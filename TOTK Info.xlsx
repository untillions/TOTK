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untillions/Documents/GitHub/TOTK/"/>
    </mc:Choice>
  </mc:AlternateContent>
  <xr:revisionPtr revIDLastSave="0" documentId="13_ncr:1_{F0F43644-604C-6049-A42C-E714AE7034B9}" xr6:coauthVersionLast="47" xr6:coauthVersionMax="47" xr10:uidLastSave="{00000000-0000-0000-0000-000000000000}"/>
  <bookViews>
    <workbookView xWindow="6540" yWindow="500" windowWidth="27620" windowHeight="19660" firstSheet="2" activeTab="3" xr2:uid="{F774F2AE-DE0F-5F42-928C-9832770C6D48}"/>
  </bookViews>
  <sheets>
    <sheet name="Checklist" sheetId="11" r:id="rId1"/>
    <sheet name="New Checklist" sheetId="36" r:id="rId2"/>
    <sheet name="Main Quests" sheetId="42" r:id="rId3"/>
    <sheet name="Side Quests" sheetId="40" r:id="rId4"/>
    <sheet name="Shrine Quests" sheetId="44" r:id="rId5"/>
    <sheet name="Side Adventures" sheetId="43" r:id="rId6"/>
    <sheet name="Mini-Bosses" sheetId="38" r:id="rId7"/>
    <sheet name="Cherry Trees" sheetId="26" r:id="rId8"/>
    <sheet name="Goddess Statues" sheetId="29" r:id="rId9"/>
    <sheet name="Hudson Signs" sheetId="7" r:id="rId10"/>
    <sheet name="Old Maps" sheetId="14" r:id="rId11"/>
    <sheet name="Sage's Wills" sheetId="31" r:id="rId12"/>
    <sheet name="Schematics" sheetId="9" r:id="rId13"/>
    <sheet name="Ancient Tablets" sheetId="19" r:id="rId14"/>
    <sheet name="Bargainer Statues" sheetId="22" r:id="rId15"/>
    <sheet name="Caves" sheetId="5" r:id="rId16"/>
    <sheet name="Chasms" sheetId="4" r:id="rId17"/>
    <sheet name="Dispensers" sheetId="6" r:id="rId18"/>
    <sheet name="Dragon Tears" sheetId="20" r:id="rId19"/>
    <sheet name="Forge Constructs" sheetId="21" r:id="rId20"/>
    <sheet name="Great Fairies" sheetId="18" r:id="rId21"/>
    <sheet name="Inns" sheetId="32" r:id="rId22"/>
    <sheet name="Koroks" sheetId="37" r:id="rId23"/>
    <sheet name="Lightroots" sheetId="10" r:id="rId24"/>
    <sheet name="Named Locations" sheetId="16" r:id="rId25"/>
    <sheet name="Shops" sheetId="23" r:id="rId26"/>
    <sheet name="Shrines" sheetId="1" r:id="rId27"/>
    <sheet name="Special" sheetId="34" r:id="rId28"/>
    <sheet name="Stables" sheetId="25" r:id="rId29"/>
    <sheet name="Temples" sheetId="28" r:id="rId30"/>
    <sheet name="Towers" sheetId="12" r:id="rId31"/>
    <sheet name="Unnamed" sheetId="35" r:id="rId32"/>
    <sheet name="Villages" sheetId="27" r:id="rId33"/>
    <sheet name="Wells" sheetId="24" r:id="rId34"/>
    <sheet name="Sheet1" sheetId="3" r:id="rId35"/>
    <sheet name="Sheet2" sheetId="2" r:id="rId36"/>
  </sheets>
  <definedNames>
    <definedName name="_xlnm._FilterDatabase" localSheetId="13" hidden="1">'Ancient Tablets'!$A$1:$I$2</definedName>
    <definedName name="_xlnm._FilterDatabase" localSheetId="14" hidden="1">'Bargainer Statues'!$A$1:$I$2</definedName>
    <definedName name="_xlnm._FilterDatabase" localSheetId="15" hidden="1">Caves!$A$1:$K$198</definedName>
    <definedName name="_xlnm._FilterDatabase" localSheetId="16" hidden="1">Chasms!$A$1:$K$37</definedName>
    <definedName name="_xlnm._FilterDatabase" localSheetId="7" hidden="1">'Cherry Trees'!$A$1:$J$1</definedName>
    <definedName name="_xlnm._FilterDatabase" localSheetId="17" hidden="1">Dispensers!$A$1:$I$30</definedName>
    <definedName name="_xlnm._FilterDatabase" localSheetId="18" hidden="1">'Dragon Tears'!$A$1:$I$2</definedName>
    <definedName name="_xlnm._FilterDatabase" localSheetId="19" hidden="1">'Forge Constructs'!$A$1:$I$12</definedName>
    <definedName name="_xlnm._FilterDatabase" localSheetId="8" hidden="1">'Goddess Statues'!$A$1:$J$1</definedName>
    <definedName name="_xlnm._FilterDatabase" localSheetId="20" hidden="1">'Great Fairies'!$A$1:$I$2</definedName>
    <definedName name="_xlnm._FilterDatabase" localSheetId="9" hidden="1">'Hudson Signs'!$A$1:$G$82</definedName>
    <definedName name="_xlnm._FilterDatabase" localSheetId="21" hidden="1">Inns!$A$1:$I$1</definedName>
    <definedName name="_xlnm._FilterDatabase" localSheetId="22" hidden="1">Koroks!$A$1:$J$901</definedName>
    <definedName name="_xlnm._FilterDatabase" localSheetId="23" hidden="1">Lightroots!$A$1:$H$121</definedName>
    <definedName name="_xlnm._FilterDatabase" localSheetId="2" hidden="1">'Main Quests'!$A$1:$J$23</definedName>
    <definedName name="_xlnm._FilterDatabase" localSheetId="6" hidden="1">'Mini-Bosses'!$A$1:$J$88</definedName>
    <definedName name="_xlnm._FilterDatabase" localSheetId="24" hidden="1">'Named Locations'!$A$1:$L$663</definedName>
    <definedName name="_xlnm._FilterDatabase" localSheetId="1" hidden="1">'New Checklist'!$A$1:$E$796</definedName>
    <definedName name="_xlnm._FilterDatabase" localSheetId="10" hidden="1">'Old Maps'!$A$1:$J$32</definedName>
    <definedName name="_xlnm._FilterDatabase" localSheetId="11" hidden="1">'Sage''s Wills'!$A$1:$J$2</definedName>
    <definedName name="_xlnm._FilterDatabase" localSheetId="12" hidden="1">Schematics!$A$1:$J$47</definedName>
    <definedName name="_xlnm._FilterDatabase" localSheetId="25" hidden="1">Shops!$A$1:$I$38</definedName>
    <definedName name="_xlnm._FilterDatabase" localSheetId="4" hidden="1">'Shrine Quests'!$A$1:$J$54</definedName>
    <definedName name="_xlnm._FilterDatabase" localSheetId="26" hidden="1">Shrines!$A$1:$J$154</definedName>
    <definedName name="_xlnm._FilterDatabase" localSheetId="5" hidden="1">'Side Adventures'!$A$1:$J$68</definedName>
    <definedName name="_xlnm._FilterDatabase" localSheetId="3" hidden="1">'Side Quests'!$A$1:$J$140</definedName>
    <definedName name="_xlnm._FilterDatabase" localSheetId="27" hidden="1">Special!$A$1:$I$1</definedName>
    <definedName name="_xlnm._FilterDatabase" localSheetId="28" hidden="1">Stables!$A$1:$I$1</definedName>
    <definedName name="_xlnm._FilterDatabase" localSheetId="29" hidden="1">Temples!$A$1:$I$2</definedName>
    <definedName name="_xlnm._FilterDatabase" localSheetId="30" hidden="1">Towers!$A$1:$G$153</definedName>
    <definedName name="_xlnm._FilterDatabase" localSheetId="31" hidden="1">Unnamed!$A$1:$I$6</definedName>
    <definedName name="_xlnm._FilterDatabase" localSheetId="32" hidden="1">Villages!$A$1:$K$1</definedName>
    <definedName name="_xlnm._FilterDatabase" localSheetId="33" hidden="1">Wells!$A$1:$K$2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2" i="40" l="1"/>
  <c r="J63" i="40"/>
  <c r="J55" i="40"/>
  <c r="J56" i="40"/>
  <c r="J111" i="40"/>
  <c r="J70" i="40"/>
  <c r="J123" i="40"/>
  <c r="J5" i="40"/>
  <c r="J6" i="40"/>
  <c r="J7" i="40"/>
  <c r="J8" i="40"/>
  <c r="J9" i="40"/>
  <c r="J16" i="40"/>
  <c r="J17" i="40"/>
  <c r="J18" i="40"/>
  <c r="J21" i="40"/>
  <c r="J22" i="40"/>
  <c r="J23" i="40"/>
  <c r="J24" i="40"/>
  <c r="J25" i="40"/>
  <c r="J30" i="40"/>
  <c r="J31" i="40"/>
  <c r="J32" i="40"/>
  <c r="J33" i="40"/>
  <c r="J34" i="40"/>
  <c r="J38" i="40"/>
  <c r="J39" i="40"/>
  <c r="J40" i="40"/>
  <c r="J41" i="40"/>
  <c r="J42" i="40"/>
  <c r="J46" i="40"/>
  <c r="J47" i="40"/>
  <c r="J48" i="40"/>
  <c r="J49" i="40"/>
  <c r="J50" i="40"/>
  <c r="J53" i="40"/>
  <c r="J54" i="40"/>
  <c r="J57" i="40"/>
  <c r="J58" i="40"/>
  <c r="J59" i="40"/>
  <c r="J61" i="40"/>
  <c r="J66" i="40"/>
  <c r="J67" i="40"/>
  <c r="J68" i="40"/>
  <c r="J69" i="40"/>
  <c r="J71" i="40"/>
  <c r="J74" i="40"/>
  <c r="J76" i="40"/>
  <c r="J77" i="40"/>
  <c r="J78" i="40"/>
  <c r="J80" i="40"/>
  <c r="J82" i="40"/>
  <c r="J83" i="40"/>
  <c r="J84" i="40"/>
  <c r="J85" i="40"/>
  <c r="J86" i="40"/>
  <c r="J87" i="40"/>
  <c r="J90" i="40"/>
  <c r="J91" i="40"/>
  <c r="J92" i="40"/>
  <c r="J93" i="40"/>
  <c r="J94" i="40"/>
  <c r="J96" i="40"/>
  <c r="J99" i="40"/>
  <c r="J100" i="40"/>
  <c r="J101" i="40"/>
  <c r="J102" i="40"/>
  <c r="J103" i="40"/>
  <c r="J106" i="40"/>
  <c r="J108" i="40"/>
  <c r="J109" i="40"/>
  <c r="J110" i="40"/>
  <c r="J113" i="40"/>
  <c r="J115" i="40"/>
  <c r="J116" i="40"/>
  <c r="J117" i="40"/>
  <c r="J118" i="40"/>
  <c r="J119" i="40"/>
  <c r="J120" i="40"/>
  <c r="J121" i="40"/>
  <c r="J122" i="40"/>
  <c r="J124" i="40"/>
  <c r="J125" i="40"/>
  <c r="J126" i="40"/>
  <c r="J127" i="40"/>
  <c r="J128" i="40"/>
  <c r="J129" i="40"/>
  <c r="J130" i="40"/>
  <c r="J132" i="40"/>
  <c r="J133" i="40"/>
  <c r="J134" i="40"/>
  <c r="J135" i="40"/>
  <c r="J136" i="40"/>
  <c r="J137" i="40"/>
  <c r="J139" i="40"/>
  <c r="J140" i="40"/>
  <c r="J2" i="40"/>
  <c r="I3" i="34"/>
  <c r="I4" i="34"/>
  <c r="I5" i="34"/>
  <c r="I6" i="34"/>
  <c r="I7" i="34"/>
  <c r="I8" i="34"/>
  <c r="I9" i="34"/>
  <c r="I10" i="34"/>
  <c r="I11" i="34"/>
  <c r="I12" i="34"/>
  <c r="I13" i="34"/>
  <c r="I14" i="34"/>
  <c r="I15" i="34"/>
  <c r="I16" i="34"/>
  <c r="I17" i="34"/>
  <c r="I3" i="23"/>
  <c r="I4" i="23"/>
  <c r="I5" i="23"/>
  <c r="I6" i="23"/>
  <c r="I7" i="23"/>
  <c r="I8" i="23"/>
  <c r="I9" i="23"/>
  <c r="I10" i="23"/>
  <c r="I11" i="23"/>
  <c r="I12" i="23"/>
  <c r="I13" i="23"/>
  <c r="I14" i="23"/>
  <c r="I15" i="23"/>
  <c r="I16" i="23"/>
  <c r="I17" i="23"/>
  <c r="I18" i="23"/>
  <c r="I19" i="23"/>
  <c r="I20" i="23"/>
  <c r="I21" i="23"/>
  <c r="I22" i="23"/>
  <c r="I23" i="23"/>
  <c r="I24" i="23"/>
  <c r="I25" i="23"/>
  <c r="I26" i="23"/>
  <c r="I27" i="23"/>
  <c r="I28" i="23"/>
  <c r="I29" i="23"/>
  <c r="I30" i="23"/>
  <c r="I31" i="23"/>
  <c r="I32" i="23"/>
  <c r="I33" i="23"/>
  <c r="I34" i="23"/>
  <c r="I35" i="23"/>
  <c r="I36" i="23"/>
  <c r="I37" i="23"/>
  <c r="I38" i="23"/>
  <c r="I2" i="23"/>
  <c r="J4" i="31"/>
  <c r="J5" i="31"/>
  <c r="J6" i="31"/>
  <c r="J7" i="31"/>
  <c r="J8" i="31"/>
  <c r="J9" i="31"/>
  <c r="J10" i="31"/>
  <c r="J11" i="31"/>
  <c r="J12" i="31"/>
  <c r="J13" i="31"/>
  <c r="J14" i="31"/>
  <c r="J15" i="31"/>
  <c r="J16" i="31"/>
  <c r="J17" i="31"/>
  <c r="J18" i="31"/>
  <c r="J19" i="31"/>
  <c r="J20" i="31"/>
  <c r="J21" i="31"/>
  <c r="J3" i="31"/>
  <c r="J36" i="14"/>
  <c r="J37" i="14"/>
  <c r="J38" i="14"/>
  <c r="J39" i="14"/>
  <c r="J40" i="14"/>
  <c r="J41" i="14"/>
  <c r="J42" i="14"/>
  <c r="J43" i="14"/>
  <c r="J44" i="14"/>
  <c r="J45" i="14"/>
  <c r="J46" i="14"/>
  <c r="J47" i="14"/>
  <c r="J48" i="14"/>
  <c r="J49" i="14"/>
  <c r="J50" i="14"/>
  <c r="J51" i="14"/>
  <c r="J52" i="14"/>
  <c r="J53" i="14"/>
  <c r="J54" i="14"/>
  <c r="J55" i="14"/>
  <c r="J56" i="14"/>
  <c r="J57" i="14"/>
  <c r="J58" i="14"/>
  <c r="J59" i="14"/>
  <c r="J60" i="14"/>
  <c r="J61" i="14"/>
  <c r="J62" i="14"/>
  <c r="J63" i="14"/>
  <c r="J64" i="14"/>
  <c r="J65" i="14"/>
  <c r="J35" i="14"/>
  <c r="J3" i="14"/>
  <c r="J4" i="14"/>
  <c r="J5" i="14"/>
  <c r="J6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2" i="14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2" i="1"/>
  <c r="J2" i="44"/>
  <c r="J3" i="44"/>
  <c r="J4" i="44"/>
  <c r="J6" i="44"/>
  <c r="J7" i="44"/>
  <c r="J8" i="44"/>
  <c r="J9" i="44"/>
  <c r="J10" i="44"/>
  <c r="J11" i="44"/>
  <c r="J12" i="44"/>
  <c r="J13" i="44"/>
  <c r="J14" i="44"/>
  <c r="J15" i="44"/>
  <c r="J16" i="44"/>
  <c r="J17" i="44"/>
  <c r="J18" i="44"/>
  <c r="J19" i="44"/>
  <c r="J20" i="44"/>
  <c r="J21" i="44"/>
  <c r="J22" i="44"/>
  <c r="J23" i="44"/>
  <c r="J24" i="44"/>
  <c r="J25" i="44"/>
  <c r="J26" i="44"/>
  <c r="J27" i="44"/>
  <c r="J28" i="44"/>
  <c r="J29" i="44"/>
  <c r="J30" i="44"/>
  <c r="J31" i="44"/>
  <c r="J32" i="44"/>
  <c r="J5" i="44"/>
  <c r="J33" i="43"/>
  <c r="J34" i="43"/>
  <c r="J31" i="43"/>
  <c r="J32" i="43"/>
  <c r="J41" i="43"/>
  <c r="J44" i="43"/>
  <c r="J45" i="43"/>
  <c r="J46" i="43"/>
  <c r="J47" i="43"/>
  <c r="J48" i="43"/>
  <c r="J50" i="43"/>
  <c r="J54" i="43"/>
  <c r="J55" i="43"/>
  <c r="J56" i="43"/>
  <c r="J58" i="43"/>
  <c r="J59" i="43"/>
  <c r="J61" i="43"/>
  <c r="J29" i="43"/>
  <c r="J21" i="43"/>
  <c r="J23" i="43"/>
  <c r="J24" i="43"/>
  <c r="J26" i="43"/>
  <c r="J28" i="43"/>
  <c r="J9" i="43"/>
  <c r="J13" i="43"/>
  <c r="J14" i="43"/>
  <c r="J15" i="43"/>
  <c r="J16" i="43"/>
  <c r="J17" i="43"/>
  <c r="J18" i="43"/>
  <c r="J49" i="43"/>
  <c r="J2" i="43"/>
  <c r="J3" i="43"/>
  <c r="J4" i="43"/>
  <c r="J5" i="43"/>
  <c r="J6" i="43"/>
  <c r="J7" i="43"/>
  <c r="J8" i="43"/>
  <c r="J10" i="43"/>
  <c r="J11" i="43"/>
  <c r="J12" i="43"/>
  <c r="J19" i="43"/>
  <c r="J20" i="43"/>
  <c r="J22" i="43"/>
  <c r="J25" i="43"/>
  <c r="J27" i="43"/>
  <c r="J30" i="43"/>
  <c r="J35" i="43"/>
  <c r="J36" i="43"/>
  <c r="J37" i="43"/>
  <c r="J38" i="43"/>
  <c r="J39" i="43"/>
  <c r="J40" i="43"/>
  <c r="J42" i="43"/>
  <c r="J43" i="43"/>
  <c r="J51" i="43"/>
  <c r="J52" i="43"/>
  <c r="J53" i="43"/>
  <c r="J60" i="43"/>
  <c r="J57" i="43"/>
  <c r="L2" i="16"/>
  <c r="J3" i="9"/>
  <c r="J2" i="9"/>
  <c r="J2" i="31"/>
  <c r="J3" i="40"/>
  <c r="J4" i="40"/>
  <c r="J10" i="40"/>
  <c r="J11" i="40"/>
  <c r="J12" i="40"/>
  <c r="J13" i="40"/>
  <c r="J14" i="40"/>
  <c r="J15" i="40"/>
  <c r="J19" i="40"/>
  <c r="J20" i="40"/>
  <c r="J26" i="40"/>
  <c r="J27" i="40"/>
  <c r="J28" i="40"/>
  <c r="J29" i="40"/>
  <c r="J35" i="40"/>
  <c r="J36" i="40"/>
  <c r="J37" i="40"/>
  <c r="J43" i="40"/>
  <c r="J44" i="40"/>
  <c r="J45" i="40"/>
  <c r="J51" i="40"/>
  <c r="J52" i="40"/>
  <c r="J60" i="40"/>
  <c r="J64" i="40"/>
  <c r="J65" i="40"/>
  <c r="J72" i="40"/>
  <c r="J73" i="40"/>
  <c r="J75" i="40"/>
  <c r="J79" i="40"/>
  <c r="J81" i="40"/>
  <c r="J88" i="40"/>
  <c r="J89" i="40"/>
  <c r="J95" i="40"/>
  <c r="J97" i="40"/>
  <c r="J98" i="40"/>
  <c r="J104" i="40"/>
  <c r="J105" i="40"/>
  <c r="J107" i="40"/>
  <c r="J112" i="40"/>
  <c r="J114" i="40"/>
  <c r="J131" i="40"/>
  <c r="J138" i="40"/>
  <c r="J3" i="42"/>
  <c r="J4" i="42"/>
  <c r="J6" i="42"/>
  <c r="J7" i="42"/>
  <c r="J8" i="42"/>
  <c r="J12" i="42"/>
  <c r="J14" i="42"/>
  <c r="J9" i="42"/>
  <c r="J23" i="42"/>
  <c r="J16" i="42"/>
  <c r="J17" i="42"/>
  <c r="J18" i="42"/>
  <c r="J19" i="42"/>
  <c r="J20" i="42"/>
  <c r="J21" i="42"/>
  <c r="J13" i="42"/>
  <c r="J10" i="42"/>
  <c r="J22" i="42"/>
  <c r="J5" i="42"/>
  <c r="J24" i="42"/>
  <c r="J15" i="42"/>
  <c r="J11" i="42"/>
  <c r="J2" i="42"/>
  <c r="J254" i="38"/>
  <c r="J284" i="38"/>
  <c r="J292" i="38"/>
  <c r="J283" i="38"/>
  <c r="J293" i="38"/>
  <c r="J294" i="38"/>
  <c r="J286" i="38"/>
  <c r="J287" i="38"/>
  <c r="J282" i="38"/>
  <c r="J278" i="38"/>
  <c r="J290" i="38"/>
  <c r="J291" i="38"/>
  <c r="J289" i="38"/>
  <c r="J295" i="38"/>
  <c r="J288" i="38"/>
  <c r="J296" i="38"/>
  <c r="J281" i="38"/>
  <c r="J280" i="38"/>
  <c r="J285" i="38"/>
  <c r="J279" i="38"/>
  <c r="J268" i="38"/>
  <c r="J272" i="38"/>
  <c r="J277" i="38"/>
  <c r="J271" i="38"/>
  <c r="J270" i="38"/>
  <c r="J269" i="38"/>
  <c r="J273" i="38"/>
  <c r="J274" i="38"/>
  <c r="J275" i="38"/>
  <c r="J265" i="38"/>
  <c r="J267" i="38"/>
  <c r="J264" i="38"/>
  <c r="J266" i="38"/>
  <c r="J263" i="38"/>
  <c r="J276" i="38"/>
  <c r="J258" i="38"/>
  <c r="J259" i="38"/>
  <c r="J260" i="38"/>
  <c r="J257" i="38"/>
  <c r="J243" i="38"/>
  <c r="J242" i="38"/>
  <c r="J246" i="38"/>
  <c r="J253" i="38"/>
  <c r="J247" i="38"/>
  <c r="J245" i="38"/>
  <c r="J252" i="38"/>
  <c r="J250" i="38"/>
  <c r="J249" i="38"/>
  <c r="J244" i="38"/>
  <c r="J251" i="38"/>
  <c r="J248" i="38"/>
  <c r="J241" i="38"/>
  <c r="J229" i="38"/>
  <c r="J234" i="38"/>
  <c r="J235" i="38"/>
  <c r="J232" i="38"/>
  <c r="J201" i="38"/>
  <c r="J205" i="38"/>
  <c r="J204" i="38"/>
  <c r="J226" i="38"/>
  <c r="J227" i="38"/>
  <c r="J203" i="38"/>
  <c r="J219" i="38"/>
  <c r="J230" i="38"/>
  <c r="J236" i="38"/>
  <c r="J210" i="38"/>
  <c r="J231" i="38"/>
  <c r="J217" i="38"/>
  <c r="J208" i="38"/>
  <c r="J202" i="38"/>
  <c r="J218" i="38"/>
  <c r="J206" i="38"/>
  <c r="J216" i="38"/>
  <c r="J228" i="38"/>
  <c r="J221" i="38"/>
  <c r="J224" i="38"/>
  <c r="J220" i="38"/>
  <c r="J222" i="38"/>
  <c r="J211" i="38"/>
  <c r="J237" i="38"/>
  <c r="J212" i="38"/>
  <c r="J207" i="38"/>
  <c r="J209" i="38"/>
  <c r="J238" i="38"/>
  <c r="J215" i="38"/>
  <c r="J213" i="38"/>
  <c r="J214" i="38"/>
  <c r="J199" i="38"/>
  <c r="J200" i="38"/>
  <c r="J223" i="38"/>
  <c r="J225" i="38"/>
  <c r="J233" i="38"/>
  <c r="J137" i="38"/>
  <c r="J138" i="38"/>
  <c r="J134" i="38"/>
  <c r="J129" i="38"/>
  <c r="J142" i="38"/>
  <c r="J143" i="38"/>
  <c r="J158" i="38"/>
  <c r="J145" i="38"/>
  <c r="J152" i="38"/>
  <c r="J156" i="38"/>
  <c r="J164" i="38"/>
  <c r="J132" i="38"/>
  <c r="J139" i="38"/>
  <c r="J133" i="38"/>
  <c r="J161" i="38"/>
  <c r="J154" i="38"/>
  <c r="J150" i="38"/>
  <c r="J155" i="38"/>
  <c r="J149" i="38"/>
  <c r="J163" i="38"/>
  <c r="J167" i="38"/>
  <c r="J141" i="38"/>
  <c r="J160" i="38"/>
  <c r="J162" i="38"/>
  <c r="J166" i="38"/>
  <c r="J148" i="38"/>
  <c r="J146" i="38"/>
  <c r="J165" i="38"/>
  <c r="J128" i="38"/>
  <c r="J135" i="38"/>
  <c r="J131" i="38"/>
  <c r="J159" i="38"/>
  <c r="J144" i="38"/>
  <c r="J153" i="38"/>
  <c r="J157" i="38"/>
  <c r="J147" i="38"/>
  <c r="J130" i="38"/>
  <c r="J136" i="38"/>
  <c r="J151" i="38"/>
  <c r="J171" i="38"/>
  <c r="J193" i="38"/>
  <c r="J172" i="38"/>
  <c r="J169" i="38"/>
  <c r="J194" i="38"/>
  <c r="J174" i="38"/>
  <c r="J180" i="38"/>
  <c r="J188" i="38"/>
  <c r="J190" i="38"/>
  <c r="J189" i="38"/>
  <c r="J191" i="38"/>
  <c r="J196" i="38"/>
  <c r="J175" i="38"/>
  <c r="J176" i="38"/>
  <c r="J178" i="38"/>
  <c r="J184" i="38"/>
  <c r="J192" i="38"/>
  <c r="J185" i="38"/>
  <c r="J182" i="38"/>
  <c r="J173" i="38"/>
  <c r="J195" i="38"/>
  <c r="J168" i="38"/>
  <c r="J170" i="38"/>
  <c r="J177" i="38"/>
  <c r="J187" i="38"/>
  <c r="J179" i="38"/>
  <c r="J183" i="38"/>
  <c r="J186" i="38"/>
  <c r="J181" i="38"/>
  <c r="J140" i="38"/>
  <c r="J97" i="38"/>
  <c r="J96" i="38"/>
  <c r="J91" i="38"/>
  <c r="J100" i="38"/>
  <c r="J99" i="38"/>
  <c r="J93" i="38"/>
  <c r="J101" i="38"/>
  <c r="J105" i="38"/>
  <c r="J98" i="38"/>
  <c r="J102" i="38"/>
  <c r="J103" i="38"/>
  <c r="J92" i="38"/>
  <c r="J104" i="38"/>
  <c r="J94" i="38"/>
  <c r="J125" i="38"/>
  <c r="J106" i="38"/>
  <c r="J121" i="38"/>
  <c r="J123" i="38"/>
  <c r="J111" i="38"/>
  <c r="J110" i="38"/>
  <c r="J112" i="38"/>
  <c r="J117" i="38"/>
  <c r="J118" i="38"/>
  <c r="J114" i="38"/>
  <c r="J115" i="38"/>
  <c r="J119" i="38"/>
  <c r="J108" i="38"/>
  <c r="J124" i="38"/>
  <c r="J107" i="38"/>
  <c r="J116" i="38"/>
  <c r="J120" i="38"/>
  <c r="J122" i="38"/>
  <c r="J109" i="38"/>
  <c r="J113" i="38"/>
  <c r="J95" i="38"/>
  <c r="J12" i="38"/>
  <c r="J21" i="38"/>
  <c r="J29" i="38"/>
  <c r="J13" i="38"/>
  <c r="J52" i="38"/>
  <c r="J20" i="38"/>
  <c r="J51" i="38"/>
  <c r="J49" i="38"/>
  <c r="J50" i="38"/>
  <c r="J30" i="38"/>
  <c r="J56" i="38"/>
  <c r="J4" i="38"/>
  <c r="J5" i="38"/>
  <c r="J19" i="38"/>
  <c r="J24" i="38"/>
  <c r="J34" i="38"/>
  <c r="J43" i="38"/>
  <c r="J44" i="38"/>
  <c r="J36" i="38"/>
  <c r="J35" i="38"/>
  <c r="J38" i="38"/>
  <c r="J37" i="38"/>
  <c r="J40" i="38"/>
  <c r="J47" i="38"/>
  <c r="J18" i="38"/>
  <c r="J55" i="38"/>
  <c r="J9" i="38"/>
  <c r="J14" i="38"/>
  <c r="J11" i="38"/>
  <c r="J6" i="38"/>
  <c r="J8" i="38"/>
  <c r="J2" i="38"/>
  <c r="J7" i="38"/>
  <c r="J39" i="38"/>
  <c r="J3" i="38"/>
  <c r="J46" i="38"/>
  <c r="J48" i="38"/>
  <c r="J41" i="38"/>
  <c r="J32" i="38"/>
  <c r="J33" i="38"/>
  <c r="J45" i="38"/>
  <c r="J31" i="38"/>
  <c r="J15" i="38"/>
  <c r="J17" i="38"/>
  <c r="J53" i="38"/>
  <c r="J16" i="38"/>
  <c r="J54" i="38"/>
  <c r="J42" i="38"/>
  <c r="J23" i="38"/>
  <c r="J27" i="38"/>
  <c r="J22" i="38"/>
  <c r="J26" i="38"/>
  <c r="J28" i="38"/>
  <c r="J25" i="38"/>
  <c r="J88" i="38"/>
  <c r="J86" i="38"/>
  <c r="J60" i="38"/>
  <c r="J84" i="38"/>
  <c r="J57" i="38"/>
  <c r="J65" i="38"/>
  <c r="J66" i="38"/>
  <c r="J63" i="38"/>
  <c r="J61" i="38"/>
  <c r="J78" i="38"/>
  <c r="J79" i="38"/>
  <c r="J58" i="38"/>
  <c r="J70" i="38"/>
  <c r="J69" i="38"/>
  <c r="J85" i="38"/>
  <c r="J71" i="38"/>
  <c r="J81" i="38"/>
  <c r="J75" i="38"/>
  <c r="J77" i="38"/>
  <c r="J80" i="38"/>
  <c r="J68" i="38"/>
  <c r="J62" i="38"/>
  <c r="J64" i="38"/>
  <c r="J59" i="38"/>
  <c r="J76" i="38"/>
  <c r="J83" i="38"/>
  <c r="J87" i="38"/>
  <c r="J67" i="38"/>
  <c r="J82" i="38"/>
  <c r="J72" i="38"/>
  <c r="J74" i="38"/>
  <c r="J73" i="38"/>
  <c r="J10" i="38"/>
  <c r="J2" i="26"/>
  <c r="J2" i="37"/>
  <c r="I2" i="28"/>
  <c r="I3" i="28"/>
  <c r="I4" i="28"/>
  <c r="I5" i="28"/>
  <c r="I6" i="28"/>
  <c r="I7" i="28"/>
  <c r="I34" i="35"/>
  <c r="I7" i="35"/>
  <c r="I8" i="35"/>
  <c r="I9" i="35"/>
  <c r="I10" i="35"/>
  <c r="I11" i="35"/>
  <c r="I12" i="35"/>
  <c r="I13" i="35"/>
  <c r="I14" i="35"/>
  <c r="I15" i="35"/>
  <c r="I16" i="35"/>
  <c r="I17" i="35"/>
  <c r="I18" i="35"/>
  <c r="I19" i="35"/>
  <c r="I20" i="35"/>
  <c r="I21" i="35"/>
  <c r="I22" i="35"/>
  <c r="I23" i="35"/>
  <c r="I24" i="35"/>
  <c r="I25" i="35"/>
  <c r="I26" i="35"/>
  <c r="I27" i="35"/>
  <c r="I29" i="35"/>
  <c r="I30" i="35"/>
  <c r="I31" i="35"/>
  <c r="I32" i="35"/>
  <c r="I33" i="35"/>
  <c r="K3" i="24"/>
  <c r="K4" i="24"/>
  <c r="K5" i="24"/>
  <c r="K6" i="24"/>
  <c r="K7" i="24"/>
  <c r="K8" i="24"/>
  <c r="K9" i="24"/>
  <c r="K10" i="24"/>
  <c r="K11" i="24"/>
  <c r="K12" i="24"/>
  <c r="K13" i="24"/>
  <c r="K14" i="24"/>
  <c r="K15" i="24"/>
  <c r="K16" i="24"/>
  <c r="K17" i="24"/>
  <c r="K18" i="24"/>
  <c r="K19" i="24"/>
  <c r="K20" i="24"/>
  <c r="K21" i="24"/>
  <c r="K22" i="24"/>
  <c r="K23" i="24"/>
  <c r="K24" i="24"/>
  <c r="K25" i="24"/>
  <c r="K26" i="24"/>
  <c r="K27" i="24"/>
  <c r="K28" i="24"/>
  <c r="K29" i="24"/>
  <c r="K30" i="24"/>
  <c r="K31" i="24"/>
  <c r="K32" i="24"/>
  <c r="K33" i="24"/>
  <c r="K34" i="24"/>
  <c r="K35" i="24"/>
  <c r="K36" i="24"/>
  <c r="K37" i="24"/>
  <c r="K38" i="24"/>
  <c r="K39" i="24"/>
  <c r="K40" i="24"/>
  <c r="K41" i="24"/>
  <c r="K42" i="24"/>
  <c r="K43" i="24"/>
  <c r="K44" i="24"/>
  <c r="K45" i="24"/>
  <c r="K46" i="24"/>
  <c r="K47" i="24"/>
  <c r="K48" i="24"/>
  <c r="K49" i="24"/>
  <c r="K50" i="24"/>
  <c r="K51" i="24"/>
  <c r="K52" i="24"/>
  <c r="K53" i="24"/>
  <c r="K54" i="24"/>
  <c r="K55" i="24"/>
  <c r="K56" i="24"/>
  <c r="K57" i="24"/>
  <c r="K58" i="24"/>
  <c r="K59" i="24"/>
  <c r="K2" i="24"/>
  <c r="J2" i="7"/>
  <c r="J2" i="29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2" i="4"/>
  <c r="K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L647" i="16"/>
  <c r="K3" i="27"/>
  <c r="K4" i="27"/>
  <c r="K5" i="27"/>
  <c r="K6" i="27"/>
  <c r="K7" i="27"/>
  <c r="K8" i="27"/>
  <c r="K9" i="27"/>
  <c r="K10" i="27"/>
  <c r="K11" i="27"/>
  <c r="K12" i="27"/>
  <c r="K2" i="27"/>
  <c r="L3" i="16"/>
  <c r="L4" i="16"/>
  <c r="L5" i="16"/>
  <c r="L6" i="16"/>
  <c r="L20" i="16"/>
  <c r="L21" i="16"/>
  <c r="L22" i="16"/>
  <c r="L23" i="16"/>
  <c r="L24" i="16"/>
  <c r="L25" i="16"/>
  <c r="L26" i="16"/>
  <c r="L27" i="16"/>
  <c r="L28" i="16"/>
  <c r="L29" i="16"/>
  <c r="L30" i="16"/>
  <c r="L31" i="16"/>
  <c r="L32" i="16"/>
  <c r="L33" i="16"/>
  <c r="L34" i="16"/>
  <c r="L35" i="16"/>
  <c r="L36" i="16"/>
  <c r="L37" i="16"/>
  <c r="L38" i="16"/>
  <c r="L39" i="16"/>
  <c r="L40" i="16"/>
  <c r="L41" i="16"/>
  <c r="L42" i="16"/>
  <c r="L43" i="16"/>
  <c r="L44" i="16"/>
  <c r="L45" i="16"/>
  <c r="L46" i="16"/>
  <c r="L47" i="16"/>
  <c r="L48" i="16"/>
  <c r="L49" i="16"/>
  <c r="L8" i="16"/>
  <c r="L11" i="16"/>
  <c r="L12" i="16"/>
  <c r="L13" i="16"/>
  <c r="L14" i="16"/>
  <c r="L15" i="16"/>
  <c r="L16" i="16"/>
  <c r="L17" i="16"/>
  <c r="L18" i="16"/>
  <c r="L19" i="16"/>
  <c r="L10" i="16"/>
  <c r="L7" i="16"/>
  <c r="L9" i="16"/>
  <c r="L51" i="16"/>
  <c r="L52" i="16"/>
  <c r="L53" i="16"/>
  <c r="L54" i="16"/>
  <c r="L55" i="16"/>
  <c r="L56" i="16"/>
  <c r="L57" i="16"/>
  <c r="L60" i="16"/>
  <c r="L61" i="16"/>
  <c r="L62" i="16"/>
  <c r="L63" i="16"/>
  <c r="L64" i="16"/>
  <c r="L65" i="16"/>
  <c r="L66" i="16"/>
  <c r="L67" i="16"/>
  <c r="L68" i="16"/>
  <c r="L69" i="16"/>
  <c r="L70" i="16"/>
  <c r="L71" i="16"/>
  <c r="L72" i="16"/>
  <c r="L73" i="16"/>
  <c r="L74" i="16"/>
  <c r="L75" i="16"/>
  <c r="L76" i="16"/>
  <c r="L77" i="16"/>
  <c r="L78" i="16"/>
  <c r="L79" i="16"/>
  <c r="L80" i="16"/>
  <c r="L81" i="16"/>
  <c r="L82" i="16"/>
  <c r="L83" i="16"/>
  <c r="L84" i="16"/>
  <c r="L85" i="16"/>
  <c r="L86" i="16"/>
  <c r="L87" i="16"/>
  <c r="L88" i="16"/>
  <c r="L89" i="16"/>
  <c r="L58" i="16"/>
  <c r="L59" i="16"/>
  <c r="L50" i="16"/>
  <c r="L90" i="16"/>
  <c r="L91" i="16"/>
  <c r="L92" i="16"/>
  <c r="L95" i="16"/>
  <c r="L96" i="16"/>
  <c r="L99" i="16"/>
  <c r="L100" i="16"/>
  <c r="L101" i="16"/>
  <c r="L102" i="16"/>
  <c r="L103" i="16"/>
  <c r="L104" i="16"/>
  <c r="L105" i="16"/>
  <c r="L106" i="16"/>
  <c r="L107" i="16"/>
  <c r="L108" i="16"/>
  <c r="L109" i="16"/>
  <c r="L110" i="16"/>
  <c r="L111" i="16"/>
  <c r="L112" i="16"/>
  <c r="L113" i="16"/>
  <c r="L114" i="16"/>
  <c r="L115" i="16"/>
  <c r="L116" i="16"/>
  <c r="L117" i="16"/>
  <c r="L118" i="16"/>
  <c r="L119" i="16"/>
  <c r="L120" i="16"/>
  <c r="L121" i="16"/>
  <c r="L122" i="16"/>
  <c r="L123" i="16"/>
  <c r="L124" i="16"/>
  <c r="L125" i="16"/>
  <c r="L126" i="16"/>
  <c r="L127" i="16"/>
  <c r="L128" i="16"/>
  <c r="L93" i="16"/>
  <c r="L138" i="16"/>
  <c r="L94" i="16"/>
  <c r="L97" i="16"/>
  <c r="L98" i="16"/>
  <c r="L130" i="16"/>
  <c r="L131" i="16"/>
  <c r="L132" i="16"/>
  <c r="L133" i="16"/>
  <c r="L134" i="16"/>
  <c r="L135" i="16"/>
  <c r="L142" i="16"/>
  <c r="L143" i="16"/>
  <c r="L144" i="16"/>
  <c r="L145" i="16"/>
  <c r="L146" i="16"/>
  <c r="L147" i="16"/>
  <c r="L148" i="16"/>
  <c r="L149" i="16"/>
  <c r="L150" i="16"/>
  <c r="L151" i="16"/>
  <c r="L152" i="16"/>
  <c r="L153" i="16"/>
  <c r="L154" i="16"/>
  <c r="L155" i="16"/>
  <c r="L156" i="16"/>
  <c r="L157" i="16"/>
  <c r="L158" i="16"/>
  <c r="L159" i="16"/>
  <c r="L160" i="16"/>
  <c r="L161" i="16"/>
  <c r="L162" i="16"/>
  <c r="L163" i="16"/>
  <c r="L164" i="16"/>
  <c r="L165" i="16"/>
  <c r="L166" i="16"/>
  <c r="L137" i="16"/>
  <c r="L139" i="16"/>
  <c r="L129" i="16"/>
  <c r="L141" i="16"/>
  <c r="L136" i="16"/>
  <c r="L140" i="16"/>
  <c r="L167" i="16"/>
  <c r="L168" i="16"/>
  <c r="L170" i="16"/>
  <c r="L172" i="16"/>
  <c r="L173" i="16"/>
  <c r="L174" i="16"/>
  <c r="L175" i="16"/>
  <c r="L176" i="16"/>
  <c r="L177" i="16"/>
  <c r="L178" i="16"/>
  <c r="L169" i="16"/>
  <c r="L171" i="16"/>
  <c r="L179" i="16"/>
  <c r="L180" i="16"/>
  <c r="L181" i="16"/>
  <c r="L182" i="16"/>
  <c r="L183" i="16"/>
  <c r="L185" i="16"/>
  <c r="L187" i="16"/>
  <c r="L188" i="16"/>
  <c r="L189" i="16"/>
  <c r="L190" i="16"/>
  <c r="L191" i="16"/>
  <c r="L192" i="16"/>
  <c r="L193" i="16"/>
  <c r="L194" i="16"/>
  <c r="L195" i="16"/>
  <c r="L196" i="16"/>
  <c r="L197" i="16"/>
  <c r="L198" i="16"/>
  <c r="L199" i="16"/>
  <c r="L200" i="16"/>
  <c r="L201" i="16"/>
  <c r="L202" i="16"/>
  <c r="L184" i="16"/>
  <c r="L186" i="16"/>
  <c r="L204" i="16"/>
  <c r="L205" i="16"/>
  <c r="L214" i="16"/>
  <c r="L215" i="16"/>
  <c r="L216" i="16"/>
  <c r="L217" i="16"/>
  <c r="L218" i="16"/>
  <c r="L219" i="16"/>
  <c r="L220" i="16"/>
  <c r="L221" i="16"/>
  <c r="L222" i="16"/>
  <c r="L223" i="16"/>
  <c r="L224" i="16"/>
  <c r="L225" i="16"/>
  <c r="L226" i="16"/>
  <c r="L227" i="16"/>
  <c r="L228" i="16"/>
  <c r="L229" i="16"/>
  <c r="L230" i="16"/>
  <c r="L231" i="16"/>
  <c r="L232" i="16"/>
  <c r="L233" i="16"/>
  <c r="L234" i="16"/>
  <c r="L235" i="16"/>
  <c r="L236" i="16"/>
  <c r="L237" i="16"/>
  <c r="L238" i="16"/>
  <c r="L239" i="16"/>
  <c r="L240" i="16"/>
  <c r="L241" i="16"/>
  <c r="L242" i="16"/>
  <c r="L243" i="16"/>
  <c r="L244" i="16"/>
  <c r="L207" i="16"/>
  <c r="L208" i="16"/>
  <c r="L203" i="16"/>
  <c r="L210" i="16"/>
  <c r="L211" i="16"/>
  <c r="L212" i="16"/>
  <c r="L206" i="16"/>
  <c r="L209" i="16"/>
  <c r="L246" i="16"/>
  <c r="L247" i="16"/>
  <c r="L248" i="16"/>
  <c r="L249" i="16"/>
  <c r="L250" i="16"/>
  <c r="L251" i="16"/>
  <c r="L252" i="16"/>
  <c r="L256" i="16"/>
  <c r="L257" i="16"/>
  <c r="L262" i="16"/>
  <c r="L263" i="16"/>
  <c r="L264" i="16"/>
  <c r="L265" i="16"/>
  <c r="L266" i="16"/>
  <c r="L267" i="16"/>
  <c r="L268" i="16"/>
  <c r="L269" i="16"/>
  <c r="L270" i="16"/>
  <c r="L271" i="16"/>
  <c r="L272" i="16"/>
  <c r="L273" i="16"/>
  <c r="L274" i="16"/>
  <c r="L275" i="16"/>
  <c r="L276" i="16"/>
  <c r="L277" i="16"/>
  <c r="L278" i="16"/>
  <c r="L279" i="16"/>
  <c r="L280" i="16"/>
  <c r="L281" i="16"/>
  <c r="L282" i="16"/>
  <c r="L283" i="16"/>
  <c r="L284" i="16"/>
  <c r="L285" i="16"/>
  <c r="L254" i="16"/>
  <c r="L255" i="16"/>
  <c r="L245" i="16"/>
  <c r="L259" i="16"/>
  <c r="L260" i="16"/>
  <c r="L261" i="16"/>
  <c r="L253" i="16"/>
  <c r="L258" i="16"/>
  <c r="L287" i="16"/>
  <c r="L288" i="16"/>
  <c r="L289" i="16"/>
  <c r="L292" i="16"/>
  <c r="L293" i="16"/>
  <c r="L297" i="16"/>
  <c r="L298" i="16"/>
  <c r="L299" i="16"/>
  <c r="L213" i="16"/>
  <c r="L300" i="16"/>
  <c r="L301" i="16"/>
  <c r="L302" i="16"/>
  <c r="L303" i="16"/>
  <c r="L304" i="16"/>
  <c r="L305" i="16"/>
  <c r="L306" i="16"/>
  <c r="L307" i="16"/>
  <c r="L308" i="16"/>
  <c r="L309" i="16"/>
  <c r="L310" i="16"/>
  <c r="L311" i="16"/>
  <c r="L312" i="16"/>
  <c r="L313" i="16"/>
  <c r="L314" i="16"/>
  <c r="L315" i="16"/>
  <c r="L316" i="16"/>
  <c r="L317" i="16"/>
  <c r="L318" i="16"/>
  <c r="L319" i="16"/>
  <c r="L320" i="16"/>
  <c r="L321" i="16"/>
  <c r="L322" i="16"/>
  <c r="L323" i="16"/>
  <c r="L324" i="16"/>
  <c r="L325" i="16"/>
  <c r="L326" i="16"/>
  <c r="L327" i="16"/>
  <c r="L328" i="16"/>
  <c r="L329" i="16"/>
  <c r="L330" i="16"/>
  <c r="L331" i="16"/>
  <c r="L332" i="16"/>
  <c r="L333" i="16"/>
  <c r="L334" i="16"/>
  <c r="L335" i="16"/>
  <c r="L336" i="16"/>
  <c r="L337" i="16"/>
  <c r="L338" i="16"/>
  <c r="L339" i="16"/>
  <c r="L340" i="16"/>
  <c r="L341" i="16"/>
  <c r="L342" i="16"/>
  <c r="L343" i="16"/>
  <c r="L344" i="16"/>
  <c r="L291" i="16"/>
  <c r="L405" i="16"/>
  <c r="L286" i="16"/>
  <c r="L295" i="16"/>
  <c r="L296" i="16"/>
  <c r="L290" i="16"/>
  <c r="L346" i="16"/>
  <c r="L347" i="16"/>
  <c r="L351" i="16"/>
  <c r="L355" i="16"/>
  <c r="L356" i="16"/>
  <c r="L357" i="16"/>
  <c r="L358" i="16"/>
  <c r="L359" i="16"/>
  <c r="L360" i="16"/>
  <c r="L361" i="16"/>
  <c r="L362" i="16"/>
  <c r="L363" i="16"/>
  <c r="L364" i="16"/>
  <c r="L365" i="16"/>
  <c r="L366" i="16"/>
  <c r="L367" i="16"/>
  <c r="L368" i="16"/>
  <c r="L369" i="16"/>
  <c r="L370" i="16"/>
  <c r="L371" i="16"/>
  <c r="L425" i="16"/>
  <c r="L372" i="16"/>
  <c r="L373" i="16"/>
  <c r="L374" i="16"/>
  <c r="L375" i="16"/>
  <c r="L376" i="16"/>
  <c r="L377" i="16"/>
  <c r="L378" i="16"/>
  <c r="L379" i="16"/>
  <c r="L380" i="16"/>
  <c r="L381" i="16"/>
  <c r="L382" i="16"/>
  <c r="L383" i="16"/>
  <c r="L384" i="16"/>
  <c r="L385" i="16"/>
  <c r="L386" i="16"/>
  <c r="L387" i="16"/>
  <c r="L388" i="16"/>
  <c r="L389" i="16"/>
  <c r="L390" i="16"/>
  <c r="L391" i="16"/>
  <c r="L392" i="16"/>
  <c r="L393" i="16"/>
  <c r="L349" i="16"/>
  <c r="L350" i="16"/>
  <c r="L345" i="16"/>
  <c r="L348" i="16"/>
  <c r="L353" i="16"/>
  <c r="L354" i="16"/>
  <c r="L404" i="16"/>
  <c r="L352" i="16"/>
  <c r="L395" i="16"/>
  <c r="L396" i="16"/>
  <c r="L397" i="16"/>
  <c r="L398" i="16"/>
  <c r="L399" i="16"/>
  <c r="L400" i="16"/>
  <c r="L401" i="16"/>
  <c r="L402" i="16"/>
  <c r="L403" i="16"/>
  <c r="L406" i="16"/>
  <c r="L410" i="16"/>
  <c r="L411" i="16"/>
  <c r="L412" i="16"/>
  <c r="L413" i="16"/>
  <c r="L414" i="16"/>
  <c r="L415" i="16"/>
  <c r="L416" i="16"/>
  <c r="L417" i="16"/>
  <c r="L418" i="16"/>
  <c r="L419" i="16"/>
  <c r="L420" i="16"/>
  <c r="L421" i="16"/>
  <c r="L422" i="16"/>
  <c r="L423" i="16"/>
  <c r="L424" i="16"/>
  <c r="L426" i="16"/>
  <c r="L427" i="16"/>
  <c r="L428" i="16"/>
  <c r="L429" i="16"/>
  <c r="L430" i="16"/>
  <c r="L431" i="16"/>
  <c r="L432" i="16"/>
  <c r="L433" i="16"/>
  <c r="L434" i="16"/>
  <c r="L435" i="16"/>
  <c r="L436" i="16"/>
  <c r="L437" i="16"/>
  <c r="L438" i="16"/>
  <c r="L439" i="16"/>
  <c r="L440" i="16"/>
  <c r="L441" i="16"/>
  <c r="L442" i="16"/>
  <c r="L443" i="16"/>
  <c r="L444" i="16"/>
  <c r="L445" i="16"/>
  <c r="L394" i="16"/>
  <c r="L409" i="16"/>
  <c r="L407" i="16"/>
  <c r="L408" i="16"/>
  <c r="L294" i="16"/>
  <c r="L447" i="16"/>
  <c r="L448" i="16"/>
  <c r="L449" i="16"/>
  <c r="L450" i="16"/>
  <c r="L451" i="16"/>
  <c r="L452" i="16"/>
  <c r="L453" i="16"/>
  <c r="L454" i="16"/>
  <c r="L455" i="16"/>
  <c r="L456" i="16"/>
  <c r="L457" i="16"/>
  <c r="L458" i="16"/>
  <c r="L459" i="16"/>
  <c r="L464" i="16"/>
  <c r="L465" i="16"/>
  <c r="L466" i="16"/>
  <c r="L467" i="16"/>
  <c r="L468" i="16"/>
  <c r="L469" i="16"/>
  <c r="L470" i="16"/>
  <c r="L471" i="16"/>
  <c r="L472" i="16"/>
  <c r="L473" i="16"/>
  <c r="L474" i="16"/>
  <c r="L475" i="16"/>
  <c r="L476" i="16"/>
  <c r="L477" i="16"/>
  <c r="L478" i="16"/>
  <c r="L479" i="16"/>
  <c r="L480" i="16"/>
  <c r="L481" i="16"/>
  <c r="L482" i="16"/>
  <c r="L483" i="16"/>
  <c r="L484" i="16"/>
  <c r="L485" i="16"/>
  <c r="L486" i="16"/>
  <c r="L487" i="16"/>
  <c r="L488" i="16"/>
  <c r="L489" i="16"/>
  <c r="L490" i="16"/>
  <c r="L491" i="16"/>
  <c r="L492" i="16"/>
  <c r="L493" i="16"/>
  <c r="L494" i="16"/>
  <c r="L495" i="16"/>
  <c r="L496" i="16"/>
  <c r="L497" i="16"/>
  <c r="L498" i="16"/>
  <c r="L499" i="16"/>
  <c r="L500" i="16"/>
  <c r="L501" i="16"/>
  <c r="L460" i="16"/>
  <c r="L461" i="16"/>
  <c r="L446" i="16"/>
  <c r="L463" i="16"/>
  <c r="L462" i="16"/>
  <c r="L502" i="16"/>
  <c r="L503" i="16"/>
  <c r="L504" i="16"/>
  <c r="L505" i="16"/>
  <c r="L506" i="16"/>
  <c r="L507" i="16"/>
  <c r="L508" i="16"/>
  <c r="L513" i="16"/>
  <c r="L518" i="16"/>
  <c r="L519" i="16"/>
  <c r="L520" i="16"/>
  <c r="L521" i="16"/>
  <c r="L522" i="16"/>
  <c r="L523" i="16"/>
  <c r="L524" i="16"/>
  <c r="L525" i="16"/>
  <c r="L526" i="16"/>
  <c r="L527" i="16"/>
  <c r="L528" i="16"/>
  <c r="L529" i="16"/>
  <c r="L530" i="16"/>
  <c r="L531" i="16"/>
  <c r="L532" i="16"/>
  <c r="L533" i="16"/>
  <c r="L534" i="16"/>
  <c r="L535" i="16"/>
  <c r="L536" i="16"/>
  <c r="L537" i="16"/>
  <c r="L538" i="16"/>
  <c r="L539" i="16"/>
  <c r="L540" i="16"/>
  <c r="L541" i="16"/>
  <c r="L542" i="16"/>
  <c r="L543" i="16"/>
  <c r="L544" i="16"/>
  <c r="L545" i="16"/>
  <c r="L546" i="16"/>
  <c r="L547" i="16"/>
  <c r="L548" i="16"/>
  <c r="L549" i="16"/>
  <c r="L550" i="16"/>
  <c r="L551" i="16"/>
  <c r="L552" i="16"/>
  <c r="L553" i="16"/>
  <c r="L554" i="16"/>
  <c r="L555" i="16"/>
  <c r="L556" i="16"/>
  <c r="L557" i="16"/>
  <c r="L558" i="16"/>
  <c r="L559" i="16"/>
  <c r="L560" i="16"/>
  <c r="L561" i="16"/>
  <c r="L562" i="16"/>
  <c r="L563" i="16"/>
  <c r="L564" i="16"/>
  <c r="L565" i="16"/>
  <c r="L566" i="16"/>
  <c r="L567" i="16"/>
  <c r="L568" i="16"/>
  <c r="L569" i="16"/>
  <c r="L570" i="16"/>
  <c r="L571" i="16"/>
  <c r="L572" i="16"/>
  <c r="L573" i="16"/>
  <c r="L574" i="16"/>
  <c r="L575" i="16"/>
  <c r="L576" i="16"/>
  <c r="L577" i="16"/>
  <c r="L578" i="16"/>
  <c r="L579" i="16"/>
  <c r="L580" i="16"/>
  <c r="L581" i="16"/>
  <c r="L511" i="16"/>
  <c r="L512" i="16"/>
  <c r="L515" i="16"/>
  <c r="L516" i="16"/>
  <c r="L517" i="16"/>
  <c r="L510" i="16"/>
  <c r="L514" i="16"/>
  <c r="L622" i="16"/>
  <c r="L584" i="16"/>
  <c r="L585" i="16"/>
  <c r="L586" i="16"/>
  <c r="L587" i="16"/>
  <c r="L588" i="16"/>
  <c r="L589" i="16"/>
  <c r="L590" i="16"/>
  <c r="L509" i="16"/>
  <c r="L593" i="16"/>
  <c r="L596" i="16"/>
  <c r="L597" i="16"/>
  <c r="L598" i="16"/>
  <c r="L599" i="16"/>
  <c r="L600" i="16"/>
  <c r="L601" i="16"/>
  <c r="L602" i="16"/>
  <c r="L603" i="16"/>
  <c r="L604" i="16"/>
  <c r="L605" i="16"/>
  <c r="L606" i="16"/>
  <c r="L607" i="16"/>
  <c r="L608" i="16"/>
  <c r="L609" i="16"/>
  <c r="L610" i="16"/>
  <c r="L611" i="16"/>
  <c r="L612" i="16"/>
  <c r="L613" i="16"/>
  <c r="L614" i="16"/>
  <c r="L615" i="16"/>
  <c r="L616" i="16"/>
  <c r="L617" i="16"/>
  <c r="L618" i="16"/>
  <c r="L619" i="16"/>
  <c r="L620" i="16"/>
  <c r="L621" i="16"/>
  <c r="L592" i="16"/>
  <c r="L582" i="16"/>
  <c r="L583" i="16"/>
  <c r="L595" i="16"/>
  <c r="L591" i="16"/>
  <c r="L594" i="16"/>
  <c r="L623" i="16"/>
  <c r="L625" i="16"/>
  <c r="L627" i="16"/>
  <c r="L628" i="16"/>
  <c r="L629" i="16"/>
  <c r="L630" i="16"/>
  <c r="L631" i="16"/>
  <c r="L632" i="16"/>
  <c r="L633" i="16"/>
  <c r="L634" i="16"/>
  <c r="L635" i="16"/>
  <c r="L636" i="16"/>
  <c r="L637" i="16"/>
  <c r="L638" i="16"/>
  <c r="L639" i="16"/>
  <c r="L640" i="16"/>
  <c r="L641" i="16"/>
  <c r="L642" i="16"/>
  <c r="L643" i="16"/>
  <c r="L644" i="16"/>
  <c r="L645" i="16"/>
  <c r="L624" i="16"/>
  <c r="L626" i="16"/>
  <c r="L646" i="16"/>
  <c r="L648" i="16"/>
  <c r="L649" i="16"/>
  <c r="L650" i="16"/>
  <c r="L651" i="16"/>
  <c r="L652" i="16"/>
  <c r="L653" i="16"/>
  <c r="L654" i="16"/>
  <c r="L655" i="16"/>
  <c r="L656" i="16"/>
  <c r="L657" i="16"/>
  <c r="L658" i="16"/>
  <c r="L659" i="16"/>
  <c r="L660" i="16"/>
  <c r="L661" i="16"/>
  <c r="L662" i="16"/>
  <c r="L663" i="16"/>
  <c r="K19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33" i="11"/>
  <c r="K48" i="11"/>
  <c r="K49" i="11"/>
  <c r="K50" i="11"/>
  <c r="K51" i="11"/>
  <c r="K52" i="11"/>
  <c r="K53" i="11"/>
  <c r="K54" i="11"/>
  <c r="K55" i="11"/>
  <c r="K56" i="11"/>
  <c r="K57" i="11"/>
  <c r="B3" i="11"/>
  <c r="B4" i="11" s="1"/>
  <c r="C4" i="11" s="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I2" i="35"/>
  <c r="I3" i="35"/>
  <c r="I4" i="35"/>
  <c r="I5" i="35"/>
  <c r="I6" i="35"/>
  <c r="I2" i="34"/>
  <c r="C5" i="11"/>
  <c r="C7" i="11"/>
  <c r="C8" i="11"/>
  <c r="C6" i="11"/>
  <c r="B14" i="11"/>
  <c r="C14" i="11" s="1"/>
  <c r="B15" i="11"/>
  <c r="C15" i="11" s="1"/>
  <c r="I9" i="32"/>
  <c r="I10" i="32"/>
  <c r="I5" i="32"/>
  <c r="I3" i="32"/>
  <c r="I4" i="32"/>
  <c r="I6" i="32"/>
  <c r="I11" i="32"/>
  <c r="I7" i="32"/>
  <c r="I2" i="32"/>
  <c r="I8" i="32"/>
  <c r="I3" i="2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2" i="21"/>
  <c r="I2" i="18"/>
  <c r="I2" i="22"/>
  <c r="I4" i="19"/>
  <c r="I5" i="19"/>
  <c r="I7" i="19"/>
  <c r="I6" i="19"/>
  <c r="I8" i="19"/>
  <c r="I9" i="19"/>
  <c r="I10" i="19"/>
  <c r="I11" i="19"/>
  <c r="I2" i="19"/>
  <c r="I12" i="19"/>
  <c r="I13" i="19"/>
  <c r="I3" i="19"/>
  <c r="I4" i="20"/>
  <c r="I7" i="20"/>
  <c r="I11" i="20"/>
  <c r="I13" i="20"/>
  <c r="I3" i="20"/>
  <c r="I10" i="20"/>
  <c r="I5" i="20"/>
  <c r="I9" i="20"/>
  <c r="I12" i="20"/>
  <c r="I6" i="20"/>
  <c r="I8" i="20"/>
  <c r="I2" i="20"/>
  <c r="I2" i="25"/>
  <c r="E22" i="11"/>
  <c r="C21" i="11"/>
  <c r="C20" i="11"/>
  <c r="C19" i="11"/>
  <c r="C18" i="11"/>
  <c r="C17" i="11"/>
  <c r="C16" i="11"/>
  <c r="C13" i="11"/>
  <c r="C12" i="11"/>
  <c r="C11" i="11"/>
  <c r="C10" i="11"/>
  <c r="C9" i="11"/>
  <c r="C2" i="11"/>
  <c r="F3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" i="11"/>
  <c r="I2" i="10"/>
  <c r="I2" i="6"/>
  <c r="H2" i="12"/>
  <c r="V7" i="2"/>
  <c r="T7" i="2"/>
  <c r="U7" i="2"/>
  <c r="AC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2" i="2"/>
  <c r="AA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2" i="2"/>
  <c r="Z2" i="2"/>
  <c r="AD2" i="2" s="1"/>
  <c r="AA3" i="2"/>
  <c r="AA4" i="2"/>
  <c r="AA5" i="2"/>
  <c r="AD5" i="2" s="1"/>
  <c r="AA6" i="2"/>
  <c r="AA7" i="2"/>
  <c r="AA8" i="2"/>
  <c r="AA9" i="2"/>
  <c r="AA10" i="2"/>
  <c r="AA11" i="2"/>
  <c r="AA12" i="2"/>
  <c r="AA13" i="2"/>
  <c r="AA14" i="2"/>
  <c r="AA15" i="2"/>
  <c r="AA16" i="2"/>
  <c r="Z3" i="2"/>
  <c r="AD3" i="2" s="1"/>
  <c r="Z4" i="2"/>
  <c r="AD4" i="2" s="1"/>
  <c r="Z5" i="2"/>
  <c r="Z6" i="2"/>
  <c r="Z7" i="2"/>
  <c r="Z8" i="2"/>
  <c r="Z9" i="2"/>
  <c r="Z10" i="2"/>
  <c r="Z11" i="2"/>
  <c r="AD11" i="2" s="1"/>
  <c r="Z12" i="2"/>
  <c r="Z13" i="2"/>
  <c r="Z14" i="2"/>
  <c r="AD14" i="2" s="1"/>
  <c r="Z15" i="2"/>
  <c r="Z16" i="2"/>
  <c r="W2" i="2"/>
  <c r="V2" i="2"/>
  <c r="X2" i="2" s="1"/>
  <c r="U2" i="2"/>
  <c r="T2" i="2"/>
  <c r="T6" i="2"/>
  <c r="U6" i="2"/>
  <c r="V6" i="2"/>
  <c r="W6" i="2"/>
  <c r="W7" i="2"/>
  <c r="T8" i="2"/>
  <c r="U8" i="2"/>
  <c r="V8" i="2"/>
  <c r="W8" i="2"/>
  <c r="Y8" i="2" s="1"/>
  <c r="T9" i="2"/>
  <c r="U9" i="2"/>
  <c r="V9" i="2"/>
  <c r="W9" i="2"/>
  <c r="T10" i="2"/>
  <c r="U10" i="2"/>
  <c r="V10" i="2"/>
  <c r="W10" i="2"/>
  <c r="T11" i="2"/>
  <c r="U11" i="2"/>
  <c r="V11" i="2"/>
  <c r="W11" i="2"/>
  <c r="T12" i="2"/>
  <c r="U12" i="2"/>
  <c r="V12" i="2"/>
  <c r="W12" i="2"/>
  <c r="T13" i="2"/>
  <c r="U13" i="2"/>
  <c r="V13" i="2"/>
  <c r="X13" i="2" s="1"/>
  <c r="W13" i="2"/>
  <c r="T14" i="2"/>
  <c r="X14" i="2" s="1"/>
  <c r="U14" i="2"/>
  <c r="V14" i="2"/>
  <c r="W14" i="2"/>
  <c r="Y14" i="2" s="1"/>
  <c r="T15" i="2"/>
  <c r="U15" i="2"/>
  <c r="V15" i="2"/>
  <c r="W15" i="2"/>
  <c r="T16" i="2"/>
  <c r="U16" i="2"/>
  <c r="V16" i="2"/>
  <c r="W16" i="2"/>
  <c r="T3" i="2"/>
  <c r="U3" i="2"/>
  <c r="V3" i="2"/>
  <c r="W3" i="2"/>
  <c r="T4" i="2"/>
  <c r="U4" i="2"/>
  <c r="V4" i="2"/>
  <c r="W4" i="2"/>
  <c r="H1" i="3"/>
  <c r="C1" i="3" s="1"/>
  <c r="H2" i="3"/>
  <c r="C2" i="3" s="1"/>
  <c r="H3" i="3"/>
  <c r="C3" i="3" s="1"/>
  <c r="H4" i="3"/>
  <c r="C4" i="3" s="1"/>
  <c r="H5" i="3"/>
  <c r="C5" i="3" s="1"/>
  <c r="K5" i="3"/>
  <c r="H6" i="3"/>
  <c r="C6" i="3" s="1"/>
  <c r="H7" i="3"/>
  <c r="C7" i="3" s="1"/>
  <c r="H8" i="3"/>
  <c r="C8" i="3" s="1"/>
  <c r="H9" i="3"/>
  <c r="C9" i="3" s="1"/>
  <c r="H10" i="3"/>
  <c r="C10" i="3" s="1"/>
  <c r="H11" i="3"/>
  <c r="C11" i="3" s="1"/>
  <c r="H12" i="3"/>
  <c r="C12" i="3" s="1"/>
  <c r="H13" i="3"/>
  <c r="C13" i="3" s="1"/>
  <c r="C14" i="3"/>
  <c r="H14" i="3"/>
  <c r="H15" i="3"/>
  <c r="C15" i="3" s="1"/>
  <c r="H16" i="3"/>
  <c r="C16" i="3" s="1"/>
  <c r="H17" i="3"/>
  <c r="C17" i="3" s="1"/>
  <c r="H18" i="3"/>
  <c r="C18" i="3" s="1"/>
  <c r="H19" i="3"/>
  <c r="C19" i="3" s="1"/>
  <c r="C20" i="3"/>
  <c r="H20" i="3"/>
  <c r="H21" i="3"/>
  <c r="C21" i="3" s="1"/>
  <c r="H22" i="3"/>
  <c r="C22" i="3" s="1"/>
  <c r="H23" i="3"/>
  <c r="C23" i="3" s="1"/>
  <c r="H24" i="3"/>
  <c r="C24" i="3" s="1"/>
  <c r="H25" i="3"/>
  <c r="C25" i="3" s="1"/>
  <c r="H26" i="3"/>
  <c r="C26" i="3" s="1"/>
  <c r="H27" i="3"/>
  <c r="C27" i="3" s="1"/>
  <c r="C28" i="3"/>
  <c r="H28" i="3"/>
  <c r="H29" i="3"/>
  <c r="C29" i="3" s="1"/>
  <c r="H30" i="3"/>
  <c r="C30" i="3" s="1"/>
  <c r="H31" i="3"/>
  <c r="C31" i="3" s="1"/>
  <c r="H32" i="3"/>
  <c r="C32" i="3" s="1"/>
  <c r="H33" i="3"/>
  <c r="C33" i="3" s="1"/>
  <c r="H34" i="3"/>
  <c r="C34" i="3" s="1"/>
  <c r="H35" i="3"/>
  <c r="C35" i="3" s="1"/>
  <c r="C36" i="3"/>
  <c r="H36" i="3"/>
  <c r="H37" i="3"/>
  <c r="C37" i="3" s="1"/>
  <c r="H38" i="3"/>
  <c r="C38" i="3" s="1"/>
  <c r="H39" i="3"/>
  <c r="C39" i="3" s="1"/>
  <c r="C40" i="3"/>
  <c r="H40" i="3"/>
  <c r="H41" i="3"/>
  <c r="C41" i="3" s="1"/>
  <c r="H42" i="3"/>
  <c r="C42" i="3" s="1"/>
  <c r="C43" i="3"/>
  <c r="H43" i="3"/>
  <c r="H44" i="3"/>
  <c r="C44" i="3" s="1"/>
  <c r="C45" i="3"/>
  <c r="H45" i="3"/>
  <c r="H46" i="3"/>
  <c r="C46" i="3" s="1"/>
  <c r="H47" i="3"/>
  <c r="C47" i="3" s="1"/>
  <c r="H48" i="3"/>
  <c r="C48" i="3" s="1"/>
  <c r="H49" i="3"/>
  <c r="C49" i="3" s="1"/>
  <c r="H50" i="3"/>
  <c r="C50" i="3" s="1"/>
  <c r="H51" i="3"/>
  <c r="C51" i="3" s="1"/>
  <c r="H52" i="3"/>
  <c r="C52" i="3" s="1"/>
  <c r="H53" i="3"/>
  <c r="C53" i="3" s="1"/>
  <c r="H54" i="3"/>
  <c r="C54" i="3" s="1"/>
  <c r="H55" i="3"/>
  <c r="C55" i="3" s="1"/>
  <c r="H56" i="3"/>
  <c r="C56" i="3" s="1"/>
  <c r="H57" i="3"/>
  <c r="C57" i="3" s="1"/>
  <c r="H58" i="3"/>
  <c r="C58" i="3" s="1"/>
  <c r="H59" i="3"/>
  <c r="C59" i="3" s="1"/>
  <c r="C60" i="3"/>
  <c r="H60" i="3"/>
  <c r="C61" i="3"/>
  <c r="H61" i="3"/>
  <c r="H62" i="3"/>
  <c r="C62" i="3" s="1"/>
  <c r="H63" i="3"/>
  <c r="C63" i="3" s="1"/>
  <c r="H64" i="3"/>
  <c r="C64" i="3" s="1"/>
  <c r="H65" i="3"/>
  <c r="C65" i="3" s="1"/>
  <c r="H66" i="3"/>
  <c r="C66" i="3" s="1"/>
  <c r="H67" i="3"/>
  <c r="C67" i="3" s="1"/>
  <c r="H68" i="3"/>
  <c r="C68" i="3" s="1"/>
  <c r="C69" i="3"/>
  <c r="H69" i="3"/>
  <c r="H70" i="3"/>
  <c r="C70" i="3" s="1"/>
  <c r="C71" i="3"/>
  <c r="H71" i="3"/>
  <c r="C72" i="3"/>
  <c r="H72" i="3"/>
  <c r="H73" i="3"/>
  <c r="C73" i="3" s="1"/>
  <c r="H74" i="3"/>
  <c r="C74" i="3" s="1"/>
  <c r="H75" i="3"/>
  <c r="C75" i="3" s="1"/>
  <c r="H76" i="3"/>
  <c r="C76" i="3" s="1"/>
  <c r="H77" i="3"/>
  <c r="C77" i="3" s="1"/>
  <c r="H78" i="3"/>
  <c r="C78" i="3" s="1"/>
  <c r="H79" i="3"/>
  <c r="C79" i="3" s="1"/>
  <c r="C80" i="3"/>
  <c r="H80" i="3"/>
  <c r="H81" i="3"/>
  <c r="C81" i="3" s="1"/>
  <c r="H82" i="3"/>
  <c r="C82" i="3" s="1"/>
  <c r="H83" i="3"/>
  <c r="C83" i="3" s="1"/>
  <c r="H84" i="3"/>
  <c r="C84" i="3" s="1"/>
  <c r="C85" i="3"/>
  <c r="H85" i="3"/>
  <c r="H86" i="3"/>
  <c r="C86" i="3" s="1"/>
  <c r="H87" i="3"/>
  <c r="C87" i="3" s="1"/>
  <c r="H88" i="3"/>
  <c r="C88" i="3" s="1"/>
  <c r="H89" i="3"/>
  <c r="C89" i="3" s="1"/>
  <c r="H90" i="3"/>
  <c r="C90" i="3" s="1"/>
  <c r="H91" i="3"/>
  <c r="C91" i="3" s="1"/>
  <c r="H92" i="3"/>
  <c r="C92" i="3" s="1"/>
  <c r="H93" i="3"/>
  <c r="C93" i="3" s="1"/>
  <c r="H94" i="3"/>
  <c r="C94" i="3" s="1"/>
  <c r="C95" i="3"/>
  <c r="H95" i="3"/>
  <c r="C96" i="3"/>
  <c r="H96" i="3"/>
  <c r="H97" i="3"/>
  <c r="C97" i="3" s="1"/>
  <c r="H98" i="3"/>
  <c r="C98" i="3" s="1"/>
  <c r="H99" i="3"/>
  <c r="C99" i="3" s="1"/>
  <c r="H100" i="3"/>
  <c r="C100" i="3" s="1"/>
  <c r="H101" i="3"/>
  <c r="C101" i="3" s="1"/>
  <c r="H102" i="3"/>
  <c r="C102" i="3" s="1"/>
  <c r="H103" i="3"/>
  <c r="C103" i="3" s="1"/>
  <c r="H104" i="3"/>
  <c r="C104" i="3" s="1"/>
  <c r="H105" i="3"/>
  <c r="C105" i="3" s="1"/>
  <c r="H106" i="3"/>
  <c r="C106" i="3" s="1"/>
  <c r="H107" i="3"/>
  <c r="C107" i="3" s="1"/>
  <c r="H108" i="3"/>
  <c r="C108" i="3" s="1"/>
  <c r="H109" i="3"/>
  <c r="C109" i="3" s="1"/>
  <c r="H110" i="3"/>
  <c r="C110" i="3" s="1"/>
  <c r="H111" i="3"/>
  <c r="C111" i="3" s="1"/>
  <c r="H112" i="3"/>
  <c r="C112" i="3" s="1"/>
  <c r="H113" i="3"/>
  <c r="C113" i="3" s="1"/>
  <c r="H114" i="3"/>
  <c r="C114" i="3" s="1"/>
  <c r="H115" i="3"/>
  <c r="C115" i="3" s="1"/>
  <c r="H116" i="3"/>
  <c r="C116" i="3" s="1"/>
  <c r="C117" i="3"/>
  <c r="H117" i="3"/>
  <c r="H118" i="3"/>
  <c r="C118" i="3" s="1"/>
  <c r="H119" i="3"/>
  <c r="C119" i="3" s="1"/>
  <c r="C120" i="3"/>
  <c r="H120" i="3"/>
  <c r="H121" i="3"/>
  <c r="C121" i="3" s="1"/>
  <c r="H122" i="3"/>
  <c r="C122" i="3" s="1"/>
  <c r="H123" i="3"/>
  <c r="C123" i="3" s="1"/>
  <c r="H124" i="3"/>
  <c r="C124" i="3" s="1"/>
  <c r="H125" i="3"/>
  <c r="C125" i="3" s="1"/>
  <c r="H126" i="3"/>
  <c r="C126" i="3" s="1"/>
  <c r="C127" i="3"/>
  <c r="H127" i="3"/>
  <c r="H128" i="3"/>
  <c r="C128" i="3" s="1"/>
  <c r="H129" i="3"/>
  <c r="C129" i="3" s="1"/>
  <c r="H130" i="3"/>
  <c r="C130" i="3" s="1"/>
  <c r="H131" i="3"/>
  <c r="C131" i="3" s="1"/>
  <c r="H132" i="3"/>
  <c r="C132" i="3" s="1"/>
  <c r="H133" i="3"/>
  <c r="C133" i="3" s="1"/>
  <c r="C134" i="3"/>
  <c r="H134" i="3"/>
  <c r="H135" i="3"/>
  <c r="C135" i="3" s="1"/>
  <c r="H136" i="3"/>
  <c r="C136" i="3" s="1"/>
  <c r="H137" i="3"/>
  <c r="C137" i="3" s="1"/>
  <c r="H138" i="3"/>
  <c r="C138" i="3" s="1"/>
  <c r="H139" i="3"/>
  <c r="C139" i="3" s="1"/>
  <c r="H140" i="3"/>
  <c r="C140" i="3" s="1"/>
  <c r="H141" i="3"/>
  <c r="C141" i="3" s="1"/>
  <c r="H142" i="3"/>
  <c r="C142" i="3" s="1"/>
  <c r="H143" i="3"/>
  <c r="C143" i="3" s="1"/>
  <c r="H144" i="3"/>
  <c r="C144" i="3" s="1"/>
  <c r="H145" i="3"/>
  <c r="C145" i="3" s="1"/>
  <c r="H146" i="3"/>
  <c r="C146" i="3" s="1"/>
  <c r="H147" i="3"/>
  <c r="C147" i="3" s="1"/>
  <c r="H148" i="3"/>
  <c r="C148" i="3" s="1"/>
  <c r="H149" i="3"/>
  <c r="C149" i="3" s="1"/>
  <c r="H150" i="3"/>
  <c r="C150" i="3" s="1"/>
  <c r="H151" i="3"/>
  <c r="C151" i="3" s="1"/>
  <c r="C152" i="3"/>
  <c r="H152" i="3"/>
  <c r="H153" i="3"/>
  <c r="C153" i="3" s="1"/>
  <c r="H154" i="3"/>
  <c r="C154" i="3" s="1"/>
  <c r="H155" i="3"/>
  <c r="C155" i="3" s="1"/>
  <c r="H156" i="3"/>
  <c r="C156" i="3" s="1"/>
  <c r="H157" i="3"/>
  <c r="C157" i="3" s="1"/>
  <c r="H158" i="3"/>
  <c r="C158" i="3" s="1"/>
  <c r="C159" i="3"/>
  <c r="H159" i="3"/>
  <c r="H160" i="3"/>
  <c r="C160" i="3" s="1"/>
  <c r="H161" i="3"/>
  <c r="C161" i="3" s="1"/>
  <c r="H162" i="3"/>
  <c r="C162" i="3" s="1"/>
  <c r="H163" i="3"/>
  <c r="C163" i="3" s="1"/>
  <c r="H164" i="3"/>
  <c r="C164" i="3" s="1"/>
  <c r="H165" i="3"/>
  <c r="C165" i="3" s="1"/>
  <c r="H166" i="3"/>
  <c r="C166" i="3" s="1"/>
  <c r="H167" i="3"/>
  <c r="C167" i="3" s="1"/>
  <c r="C168" i="3"/>
  <c r="H168" i="3"/>
  <c r="H169" i="3"/>
  <c r="C169" i="3" s="1"/>
  <c r="H170" i="3"/>
  <c r="C170" i="3" s="1"/>
  <c r="H171" i="3"/>
  <c r="C171" i="3" s="1"/>
  <c r="H172" i="3"/>
  <c r="C172" i="3" s="1"/>
  <c r="H173" i="3"/>
  <c r="C173" i="3" s="1"/>
  <c r="H174" i="3"/>
  <c r="C174" i="3" s="1"/>
  <c r="H175" i="3"/>
  <c r="C175" i="3" s="1"/>
  <c r="C176" i="3"/>
  <c r="H176" i="3"/>
  <c r="H177" i="3"/>
  <c r="C177" i="3" s="1"/>
  <c r="H178" i="3"/>
  <c r="C178" i="3" s="1"/>
  <c r="H179" i="3"/>
  <c r="C179" i="3" s="1"/>
  <c r="H180" i="3"/>
  <c r="C180" i="3" s="1"/>
  <c r="C181" i="3"/>
  <c r="H181" i="3"/>
  <c r="H182" i="3"/>
  <c r="C182" i="3" s="1"/>
  <c r="H183" i="3"/>
  <c r="C183" i="3" s="1"/>
  <c r="C184" i="3"/>
  <c r="H184" i="3"/>
  <c r="H185" i="3"/>
  <c r="C185" i="3" s="1"/>
  <c r="H186" i="3"/>
  <c r="C186" i="3" s="1"/>
  <c r="H187" i="3"/>
  <c r="C187" i="3" s="1"/>
  <c r="H188" i="3"/>
  <c r="C188" i="3" s="1"/>
  <c r="H189" i="3"/>
  <c r="C189" i="3" s="1"/>
  <c r="H190" i="3"/>
  <c r="C190" i="3" s="1"/>
  <c r="H191" i="3"/>
  <c r="C191" i="3" s="1"/>
  <c r="H192" i="3"/>
  <c r="C192" i="3" s="1"/>
  <c r="H193" i="3"/>
  <c r="C193" i="3" s="1"/>
  <c r="H194" i="3"/>
  <c r="C194" i="3" s="1"/>
  <c r="H195" i="3"/>
  <c r="C195" i="3" s="1"/>
  <c r="H196" i="3"/>
  <c r="C196" i="3" s="1"/>
  <c r="H197" i="3"/>
  <c r="C197" i="3" s="1"/>
  <c r="C198" i="3"/>
  <c r="H198" i="3"/>
  <c r="H199" i="3"/>
  <c r="C199" i="3" s="1"/>
  <c r="H200" i="3"/>
  <c r="C200" i="3" s="1"/>
  <c r="H201" i="3"/>
  <c r="C201" i="3" s="1"/>
  <c r="H202" i="3"/>
  <c r="C202" i="3" s="1"/>
  <c r="H203" i="3"/>
  <c r="C203" i="3" s="1"/>
  <c r="H204" i="3"/>
  <c r="C204" i="3" s="1"/>
  <c r="H205" i="3"/>
  <c r="C205" i="3" s="1"/>
  <c r="C206" i="3"/>
  <c r="H206" i="3"/>
  <c r="H207" i="3"/>
  <c r="C207" i="3" s="1"/>
  <c r="H208" i="3"/>
  <c r="C208" i="3" s="1"/>
  <c r="H209" i="3"/>
  <c r="C209" i="3" s="1"/>
  <c r="H210" i="3"/>
  <c r="C210" i="3" s="1"/>
  <c r="H211" i="3"/>
  <c r="C211" i="3" s="1"/>
  <c r="C212" i="3"/>
  <c r="H212" i="3"/>
  <c r="H213" i="3"/>
  <c r="C213" i="3" s="1"/>
  <c r="H214" i="3"/>
  <c r="C214" i="3" s="1"/>
  <c r="H215" i="3"/>
  <c r="C215" i="3" s="1"/>
  <c r="H216" i="3"/>
  <c r="C216" i="3" s="1"/>
  <c r="H217" i="3"/>
  <c r="C217" i="3" s="1"/>
  <c r="H218" i="3"/>
  <c r="C218" i="3" s="1"/>
  <c r="H219" i="3"/>
  <c r="C219" i="3" s="1"/>
  <c r="H220" i="3"/>
  <c r="C220" i="3" s="1"/>
  <c r="H221" i="3"/>
  <c r="C221" i="3" s="1"/>
  <c r="H222" i="3"/>
  <c r="C222" i="3" s="1"/>
  <c r="H223" i="3"/>
  <c r="C223" i="3" s="1"/>
  <c r="C224" i="3"/>
  <c r="H224" i="3"/>
  <c r="H225" i="3"/>
  <c r="C225" i="3" s="1"/>
  <c r="H226" i="3"/>
  <c r="C226" i="3" s="1"/>
  <c r="H227" i="3"/>
  <c r="C227" i="3" s="1"/>
  <c r="C228" i="3"/>
  <c r="H228" i="3"/>
  <c r="H229" i="3"/>
  <c r="C229" i="3" s="1"/>
  <c r="H230" i="3"/>
  <c r="C230" i="3" s="1"/>
  <c r="H231" i="3"/>
  <c r="C231" i="3" s="1"/>
  <c r="H232" i="3"/>
  <c r="C232" i="3" s="1"/>
  <c r="H233" i="3"/>
  <c r="C233" i="3" s="1"/>
  <c r="H234" i="3"/>
  <c r="C234" i="3" s="1"/>
  <c r="H235" i="3"/>
  <c r="C235" i="3" s="1"/>
  <c r="C236" i="3"/>
  <c r="H236" i="3"/>
  <c r="H237" i="3"/>
  <c r="C237" i="3" s="1"/>
  <c r="H238" i="3"/>
  <c r="C238" i="3" s="1"/>
  <c r="H239" i="3"/>
  <c r="C239" i="3" s="1"/>
  <c r="H240" i="3"/>
  <c r="C240" i="3" s="1"/>
  <c r="H241" i="3"/>
  <c r="C241" i="3" s="1"/>
  <c r="H242" i="3"/>
  <c r="C242" i="3" s="1"/>
  <c r="H243" i="3"/>
  <c r="C243" i="3" s="1"/>
  <c r="H244" i="3"/>
  <c r="C244" i="3" s="1"/>
  <c r="H245" i="3"/>
  <c r="C245" i="3" s="1"/>
  <c r="H246" i="3"/>
  <c r="C246" i="3" s="1"/>
  <c r="C247" i="3"/>
  <c r="H247" i="3"/>
  <c r="H248" i="3"/>
  <c r="C248" i="3" s="1"/>
  <c r="H249" i="3"/>
  <c r="C249" i="3" s="1"/>
  <c r="H250" i="3"/>
  <c r="C250" i="3" s="1"/>
  <c r="H251" i="3"/>
  <c r="C251" i="3" s="1"/>
  <c r="H252" i="3"/>
  <c r="C252" i="3" s="1"/>
  <c r="H253" i="3"/>
  <c r="C253" i="3" s="1"/>
  <c r="H254" i="3"/>
  <c r="C254" i="3" s="1"/>
  <c r="H255" i="3"/>
  <c r="C255" i="3" s="1"/>
  <c r="H256" i="3"/>
  <c r="C256" i="3" s="1"/>
  <c r="H257" i="3"/>
  <c r="C257" i="3" s="1"/>
  <c r="H258" i="3"/>
  <c r="C258" i="3" s="1"/>
  <c r="H259" i="3"/>
  <c r="C259" i="3" s="1"/>
  <c r="H260" i="3"/>
  <c r="C260" i="3" s="1"/>
  <c r="H261" i="3"/>
  <c r="C261" i="3" s="1"/>
  <c r="H262" i="3"/>
  <c r="C262" i="3" s="1"/>
  <c r="H263" i="3"/>
  <c r="C263" i="3" s="1"/>
  <c r="H264" i="3"/>
  <c r="C264" i="3" s="1"/>
  <c r="H265" i="3"/>
  <c r="C265" i="3" s="1"/>
  <c r="H266" i="3"/>
  <c r="C266" i="3" s="1"/>
  <c r="H267" i="3"/>
  <c r="C267" i="3" s="1"/>
  <c r="C268" i="3"/>
  <c r="H268" i="3"/>
  <c r="H269" i="3"/>
  <c r="C269" i="3" s="1"/>
  <c r="H270" i="3"/>
  <c r="C270" i="3" s="1"/>
  <c r="H271" i="3"/>
  <c r="C271" i="3" s="1"/>
  <c r="H272" i="3"/>
  <c r="C272" i="3" s="1"/>
  <c r="H273" i="3"/>
  <c r="C273" i="3" s="1"/>
  <c r="H274" i="3"/>
  <c r="C274" i="3" s="1"/>
  <c r="H275" i="3"/>
  <c r="C275" i="3" s="1"/>
  <c r="H276" i="3"/>
  <c r="C276" i="3" s="1"/>
  <c r="C277" i="3"/>
  <c r="H277" i="3"/>
  <c r="H278" i="3"/>
  <c r="C278" i="3" s="1"/>
  <c r="H279" i="3"/>
  <c r="C279" i="3" s="1"/>
  <c r="H280" i="3"/>
  <c r="C280" i="3" s="1"/>
  <c r="H281" i="3"/>
  <c r="C281" i="3" s="1"/>
  <c r="H282" i="3"/>
  <c r="C282" i="3" s="1"/>
  <c r="H283" i="3"/>
  <c r="C283" i="3" s="1"/>
  <c r="H284" i="3"/>
  <c r="C284" i="3" s="1"/>
  <c r="C285" i="3"/>
  <c r="H285" i="3"/>
  <c r="H286" i="3"/>
  <c r="C286" i="3" s="1"/>
  <c r="H287" i="3"/>
  <c r="C287" i="3" s="1"/>
  <c r="H288" i="3"/>
  <c r="C288" i="3" s="1"/>
  <c r="H289" i="3"/>
  <c r="C289" i="3" s="1"/>
  <c r="H290" i="3"/>
  <c r="C290" i="3" s="1"/>
  <c r="H291" i="3"/>
  <c r="C291" i="3" s="1"/>
  <c r="H292" i="3"/>
  <c r="C292" i="3" s="1"/>
  <c r="H293" i="3"/>
  <c r="C293" i="3" s="1"/>
  <c r="H294" i="3"/>
  <c r="C294" i="3" s="1"/>
  <c r="H295" i="3"/>
  <c r="C295" i="3" s="1"/>
  <c r="C296" i="3"/>
  <c r="H296" i="3"/>
  <c r="H297" i="3"/>
  <c r="C297" i="3" s="1"/>
  <c r="H298" i="3"/>
  <c r="C298" i="3" s="1"/>
  <c r="H299" i="3"/>
  <c r="C299" i="3" s="1"/>
  <c r="H300" i="3"/>
  <c r="C300" i="3" s="1"/>
  <c r="H301" i="3"/>
  <c r="C301" i="3" s="1"/>
  <c r="H302" i="3"/>
  <c r="C302" i="3" s="1"/>
  <c r="C303" i="3"/>
  <c r="H303" i="3"/>
  <c r="H304" i="3"/>
  <c r="C304" i="3" s="1"/>
  <c r="H305" i="3"/>
  <c r="C305" i="3" s="1"/>
  <c r="H306" i="3"/>
  <c r="C306" i="3" s="1"/>
  <c r="H307" i="3"/>
  <c r="C307" i="3" s="1"/>
  <c r="H308" i="3"/>
  <c r="C308" i="3" s="1"/>
  <c r="H309" i="3"/>
  <c r="C309" i="3" s="1"/>
  <c r="H310" i="3"/>
  <c r="C310" i="3" s="1"/>
  <c r="H311" i="3"/>
  <c r="C311" i="3" s="1"/>
  <c r="H312" i="3"/>
  <c r="C312" i="3" s="1"/>
  <c r="H313" i="3"/>
  <c r="C313" i="3" s="1"/>
  <c r="H314" i="3"/>
  <c r="C314" i="3" s="1"/>
  <c r="H315" i="3"/>
  <c r="C315" i="3" s="1"/>
  <c r="H316" i="3"/>
  <c r="C316" i="3" s="1"/>
  <c r="C317" i="3"/>
  <c r="H317" i="3"/>
  <c r="H318" i="3"/>
  <c r="C318" i="3" s="1"/>
  <c r="H319" i="3"/>
  <c r="C319" i="3" s="1"/>
  <c r="H320" i="3"/>
  <c r="C320" i="3" s="1"/>
  <c r="H321" i="3"/>
  <c r="C321" i="3" s="1"/>
  <c r="H322" i="3"/>
  <c r="C322" i="3" s="1"/>
  <c r="H323" i="3"/>
  <c r="C323" i="3" s="1"/>
  <c r="H324" i="3"/>
  <c r="C324" i="3" s="1"/>
  <c r="H325" i="3"/>
  <c r="C325" i="3" s="1"/>
  <c r="C326" i="3"/>
  <c r="H326" i="3"/>
  <c r="H327" i="3"/>
  <c r="C327" i="3" s="1"/>
  <c r="H328" i="3"/>
  <c r="C328" i="3" s="1"/>
  <c r="H329" i="3"/>
  <c r="C329" i="3" s="1"/>
  <c r="H330" i="3"/>
  <c r="C330" i="3" s="1"/>
  <c r="H331" i="3"/>
  <c r="C331" i="3" s="1"/>
  <c r="H332" i="3"/>
  <c r="C332" i="3" s="1"/>
  <c r="C333" i="3"/>
  <c r="H333" i="3"/>
  <c r="C334" i="3"/>
  <c r="H334" i="3"/>
  <c r="H335" i="3"/>
  <c r="C335" i="3" s="1"/>
  <c r="C336" i="3"/>
  <c r="H336" i="3"/>
  <c r="H337" i="3"/>
  <c r="C337" i="3" s="1"/>
  <c r="H338" i="3"/>
  <c r="C338" i="3" s="1"/>
  <c r="H339" i="3"/>
  <c r="C339" i="3" s="1"/>
  <c r="H340" i="3"/>
  <c r="C340" i="3" s="1"/>
  <c r="H341" i="3"/>
  <c r="C341" i="3" s="1"/>
  <c r="C342" i="3"/>
  <c r="H342" i="3"/>
  <c r="H343" i="3"/>
  <c r="C343" i="3" s="1"/>
  <c r="H344" i="3"/>
  <c r="C344" i="3" s="1"/>
  <c r="H345" i="3"/>
  <c r="C345" i="3" s="1"/>
  <c r="H346" i="3"/>
  <c r="C346" i="3" s="1"/>
  <c r="H347" i="3"/>
  <c r="C347" i="3" s="1"/>
  <c r="H348" i="3"/>
  <c r="C348" i="3" s="1"/>
  <c r="H349" i="3"/>
  <c r="C349" i="3" s="1"/>
  <c r="H350" i="3"/>
  <c r="C350" i="3" s="1"/>
  <c r="C351" i="3"/>
  <c r="H351" i="3"/>
  <c r="H352" i="3"/>
  <c r="C352" i="3" s="1"/>
  <c r="H353" i="3"/>
  <c r="C353" i="3" s="1"/>
  <c r="H354" i="3"/>
  <c r="C354" i="3" s="1"/>
  <c r="C355" i="3"/>
  <c r="H355" i="3"/>
  <c r="H356" i="3"/>
  <c r="C356" i="3" s="1"/>
  <c r="H357" i="3"/>
  <c r="C357" i="3" s="1"/>
  <c r="H358" i="3"/>
  <c r="C358" i="3" s="1"/>
  <c r="H359" i="3"/>
  <c r="C359" i="3" s="1"/>
  <c r="H360" i="3"/>
  <c r="C360" i="3" s="1"/>
  <c r="H361" i="3"/>
  <c r="C361" i="3" s="1"/>
  <c r="H362" i="3"/>
  <c r="C362" i="3" s="1"/>
  <c r="H363" i="3"/>
  <c r="C363" i="3" s="1"/>
  <c r="C364" i="3"/>
  <c r="H364" i="3"/>
  <c r="H365" i="3"/>
  <c r="C365" i="3" s="1"/>
  <c r="H366" i="3"/>
  <c r="C366" i="3" s="1"/>
  <c r="H367" i="3"/>
  <c r="C367" i="3" s="1"/>
  <c r="C368" i="3"/>
  <c r="H368" i="3"/>
  <c r="H369" i="3"/>
  <c r="C369" i="3" s="1"/>
  <c r="H370" i="3"/>
  <c r="C370" i="3" s="1"/>
  <c r="C371" i="3"/>
  <c r="H371" i="3"/>
  <c r="H372" i="3"/>
  <c r="C372" i="3" s="1"/>
  <c r="C373" i="3"/>
  <c r="H373" i="3"/>
  <c r="H374" i="3"/>
  <c r="C374" i="3" s="1"/>
  <c r="H375" i="3"/>
  <c r="C375" i="3" s="1"/>
  <c r="H376" i="3"/>
  <c r="C376" i="3" s="1"/>
  <c r="H377" i="3"/>
  <c r="C377" i="3" s="1"/>
  <c r="H378" i="3"/>
  <c r="C378" i="3" s="1"/>
  <c r="C379" i="3"/>
  <c r="H379" i="3"/>
  <c r="C380" i="3"/>
  <c r="H380" i="3"/>
  <c r="H381" i="3"/>
  <c r="C381" i="3" s="1"/>
  <c r="H382" i="3"/>
  <c r="C382" i="3" s="1"/>
  <c r="H383" i="3"/>
  <c r="C383" i="3" s="1"/>
  <c r="H384" i="3"/>
  <c r="C384" i="3" s="1"/>
  <c r="H385" i="3"/>
  <c r="C385" i="3" s="1"/>
  <c r="H386" i="3"/>
  <c r="C386" i="3" s="1"/>
  <c r="H387" i="3"/>
  <c r="C387" i="3" s="1"/>
  <c r="C388" i="3"/>
  <c r="H388" i="3"/>
  <c r="H389" i="3"/>
  <c r="C389" i="3" s="1"/>
  <c r="H390" i="3"/>
  <c r="C390" i="3" s="1"/>
  <c r="C391" i="3"/>
  <c r="H391" i="3"/>
  <c r="H392" i="3"/>
  <c r="C392" i="3" s="1"/>
  <c r="H393" i="3"/>
  <c r="C393" i="3" s="1"/>
  <c r="H394" i="3"/>
  <c r="C394" i="3" s="1"/>
  <c r="H395" i="3"/>
  <c r="C395" i="3" s="1"/>
  <c r="H396" i="3"/>
  <c r="C396" i="3" s="1"/>
  <c r="H397" i="3"/>
  <c r="C397" i="3" s="1"/>
  <c r="C398" i="3"/>
  <c r="H398" i="3"/>
  <c r="H399" i="3"/>
  <c r="C399" i="3" s="1"/>
  <c r="H400" i="3"/>
  <c r="C400" i="3" s="1"/>
  <c r="H401" i="3"/>
  <c r="C401" i="3" s="1"/>
  <c r="H402" i="3"/>
  <c r="C402" i="3" s="1"/>
  <c r="H403" i="3"/>
  <c r="C403" i="3" s="1"/>
  <c r="H404" i="3"/>
  <c r="C404" i="3" s="1"/>
  <c r="H405" i="3"/>
  <c r="C405" i="3" s="1"/>
  <c r="H406" i="3"/>
  <c r="C406" i="3" s="1"/>
  <c r="C407" i="3"/>
  <c r="H407" i="3"/>
  <c r="H408" i="3"/>
  <c r="C408" i="3" s="1"/>
  <c r="H409" i="3"/>
  <c r="C409" i="3" s="1"/>
  <c r="H410" i="3"/>
  <c r="C410" i="3" s="1"/>
  <c r="H411" i="3"/>
  <c r="C411" i="3" s="1"/>
  <c r="H412" i="3"/>
  <c r="C412" i="3" s="1"/>
  <c r="H413" i="3"/>
  <c r="C413" i="3" s="1"/>
  <c r="H414" i="3"/>
  <c r="C414" i="3" s="1"/>
  <c r="C415" i="3"/>
  <c r="H415" i="3"/>
  <c r="C416" i="3"/>
  <c r="H416" i="3"/>
  <c r="H417" i="3"/>
  <c r="C417" i="3" s="1"/>
  <c r="H418" i="3"/>
  <c r="C418" i="3" s="1"/>
  <c r="H419" i="3"/>
  <c r="C419" i="3" s="1"/>
  <c r="H420" i="3"/>
  <c r="C420" i="3" s="1"/>
  <c r="H421" i="3"/>
  <c r="C421" i="3" s="1"/>
  <c r="H422" i="3"/>
  <c r="C422" i="3" s="1"/>
  <c r="H423" i="3"/>
  <c r="C423" i="3" s="1"/>
  <c r="H424" i="3"/>
  <c r="C424" i="3" s="1"/>
  <c r="H425" i="3"/>
  <c r="C425" i="3" s="1"/>
  <c r="H426" i="3"/>
  <c r="C426" i="3" s="1"/>
  <c r="H427" i="3"/>
  <c r="C427" i="3" s="1"/>
  <c r="H428" i="3"/>
  <c r="C428" i="3" s="1"/>
  <c r="H429" i="3"/>
  <c r="C429" i="3" s="1"/>
  <c r="H430" i="3"/>
  <c r="C430" i="3" s="1"/>
  <c r="H431" i="3"/>
  <c r="C431" i="3" s="1"/>
  <c r="H432" i="3"/>
  <c r="C432" i="3" s="1"/>
  <c r="H433" i="3"/>
  <c r="C433" i="3" s="1"/>
  <c r="H434" i="3"/>
  <c r="C434" i="3" s="1"/>
  <c r="H435" i="3"/>
  <c r="C435" i="3" s="1"/>
  <c r="H436" i="3"/>
  <c r="C436" i="3" s="1"/>
  <c r="H437" i="3"/>
  <c r="C437" i="3" s="1"/>
  <c r="H438" i="3"/>
  <c r="C438" i="3" s="1"/>
  <c r="H439" i="3"/>
  <c r="C439" i="3" s="1"/>
  <c r="H440" i="3"/>
  <c r="C440" i="3" s="1"/>
  <c r="H441" i="3"/>
  <c r="C441" i="3" s="1"/>
  <c r="H442" i="3"/>
  <c r="C442" i="3" s="1"/>
  <c r="H443" i="3"/>
  <c r="C443" i="3" s="1"/>
  <c r="H444" i="3"/>
  <c r="C444" i="3" s="1"/>
  <c r="H445" i="3"/>
  <c r="C445" i="3" s="1"/>
  <c r="H446" i="3"/>
  <c r="C446" i="3" s="1"/>
  <c r="H447" i="3"/>
  <c r="C447" i="3" s="1"/>
  <c r="H448" i="3"/>
  <c r="C448" i="3" s="1"/>
  <c r="H449" i="3"/>
  <c r="C449" i="3" s="1"/>
  <c r="H450" i="3"/>
  <c r="C450" i="3" s="1"/>
  <c r="H451" i="3"/>
  <c r="C451" i="3" s="1"/>
  <c r="C452" i="3"/>
  <c r="H452" i="3"/>
  <c r="H453" i="3"/>
  <c r="C453" i="3" s="1"/>
  <c r="H454" i="3"/>
  <c r="C454" i="3" s="1"/>
  <c r="C455" i="3"/>
  <c r="H455" i="3"/>
  <c r="H456" i="3"/>
  <c r="C456" i="3" s="1"/>
  <c r="H457" i="3"/>
  <c r="C457" i="3" s="1"/>
  <c r="H458" i="3"/>
  <c r="C458" i="3" s="1"/>
  <c r="H459" i="3"/>
  <c r="C459" i="3" s="1"/>
  <c r="H460" i="3"/>
  <c r="C460" i="3" s="1"/>
  <c r="C461" i="3"/>
  <c r="H461" i="3"/>
  <c r="H462" i="3"/>
  <c r="C462" i="3" s="1"/>
  <c r="H463" i="3"/>
  <c r="C463" i="3" s="1"/>
  <c r="C464" i="3"/>
  <c r="H464" i="3"/>
  <c r="H465" i="3"/>
  <c r="C465" i="3" s="1"/>
  <c r="H466" i="3"/>
  <c r="C466" i="3" s="1"/>
  <c r="H467" i="3"/>
  <c r="C467" i="3" s="1"/>
  <c r="H468" i="3"/>
  <c r="C468" i="3" s="1"/>
  <c r="H469" i="3"/>
  <c r="C469" i="3" s="1"/>
  <c r="H470" i="3"/>
  <c r="C470" i="3" s="1"/>
  <c r="C471" i="3"/>
  <c r="H471" i="3"/>
  <c r="H472" i="3"/>
  <c r="C472" i="3" s="1"/>
  <c r="H473" i="3"/>
  <c r="C473" i="3" s="1"/>
  <c r="H474" i="3"/>
  <c r="C474" i="3" s="1"/>
  <c r="H475" i="3"/>
  <c r="C475" i="3" s="1"/>
  <c r="H476" i="3"/>
  <c r="C476" i="3" s="1"/>
  <c r="H477" i="3"/>
  <c r="C477" i="3" s="1"/>
  <c r="H478" i="3"/>
  <c r="C478" i="3" s="1"/>
  <c r="H479" i="3"/>
  <c r="C479" i="3" s="1"/>
  <c r="H480" i="3"/>
  <c r="C480" i="3" s="1"/>
  <c r="H481" i="3"/>
  <c r="C481" i="3" s="1"/>
  <c r="H482" i="3"/>
  <c r="C482" i="3" s="1"/>
  <c r="H483" i="3"/>
  <c r="C483" i="3" s="1"/>
  <c r="H484" i="3"/>
  <c r="C484" i="3" s="1"/>
  <c r="H485" i="3"/>
  <c r="C485" i="3" s="1"/>
  <c r="H486" i="3"/>
  <c r="C486" i="3" s="1"/>
  <c r="H487" i="3"/>
  <c r="C487" i="3" s="1"/>
  <c r="C488" i="3"/>
  <c r="H488" i="3"/>
  <c r="H489" i="3"/>
  <c r="C489" i="3" s="1"/>
  <c r="H490" i="3"/>
  <c r="C490" i="3" s="1"/>
  <c r="H491" i="3"/>
  <c r="C491" i="3" s="1"/>
  <c r="C492" i="3"/>
  <c r="H492" i="3"/>
  <c r="H493" i="3"/>
  <c r="C493" i="3" s="1"/>
  <c r="H494" i="3"/>
  <c r="C494" i="3" s="1"/>
  <c r="H495" i="3"/>
  <c r="C495" i="3" s="1"/>
  <c r="H496" i="3"/>
  <c r="C496" i="3" s="1"/>
  <c r="H497" i="3"/>
  <c r="C497" i="3" s="1"/>
  <c r="H498" i="3"/>
  <c r="C498" i="3" s="1"/>
  <c r="H499" i="3"/>
  <c r="C499" i="3" s="1"/>
  <c r="H500" i="3"/>
  <c r="C500" i="3" s="1"/>
  <c r="C501" i="3"/>
  <c r="H501" i="3"/>
  <c r="H502" i="3"/>
  <c r="C502" i="3" s="1"/>
  <c r="H503" i="3"/>
  <c r="C503" i="3" s="1"/>
  <c r="H504" i="3"/>
  <c r="C504" i="3" s="1"/>
  <c r="H505" i="3"/>
  <c r="C505" i="3" s="1"/>
  <c r="H506" i="3"/>
  <c r="C506" i="3" s="1"/>
  <c r="C507" i="3"/>
  <c r="H507" i="3"/>
  <c r="H508" i="3"/>
  <c r="C508" i="3" s="1"/>
  <c r="H509" i="3"/>
  <c r="C509" i="3" s="1"/>
  <c r="H510" i="3"/>
  <c r="C510" i="3" s="1"/>
  <c r="H511" i="3"/>
  <c r="C511" i="3" s="1"/>
  <c r="H512" i="3"/>
  <c r="C512" i="3" s="1"/>
  <c r="H513" i="3"/>
  <c r="C513" i="3" s="1"/>
  <c r="H514" i="3"/>
  <c r="C514" i="3" s="1"/>
  <c r="H515" i="3"/>
  <c r="C515" i="3" s="1"/>
  <c r="H516" i="3"/>
  <c r="C516" i="3" s="1"/>
  <c r="H517" i="3"/>
  <c r="C517" i="3" s="1"/>
  <c r="H518" i="3"/>
  <c r="C518" i="3" s="1"/>
  <c r="H519" i="3"/>
  <c r="C519" i="3" s="1"/>
  <c r="H520" i="3"/>
  <c r="C520" i="3" s="1"/>
  <c r="H521" i="3"/>
  <c r="C521" i="3" s="1"/>
  <c r="H522" i="3"/>
  <c r="C522" i="3" s="1"/>
  <c r="H523" i="3"/>
  <c r="C523" i="3" s="1"/>
  <c r="H524" i="3"/>
  <c r="C524" i="3" s="1"/>
  <c r="C525" i="3"/>
  <c r="H525" i="3"/>
  <c r="H526" i="3"/>
  <c r="C526" i="3" s="1"/>
  <c r="H527" i="3"/>
  <c r="C527" i="3" s="1"/>
  <c r="C528" i="3"/>
  <c r="H528" i="3"/>
  <c r="H529" i="3"/>
  <c r="C529" i="3" s="1"/>
  <c r="H530" i="3"/>
  <c r="C530" i="3" s="1"/>
  <c r="H531" i="3"/>
  <c r="C531" i="3" s="1"/>
  <c r="H532" i="3"/>
  <c r="C532" i="3" s="1"/>
  <c r="H533" i="3"/>
  <c r="C533" i="3" s="1"/>
  <c r="H534" i="3"/>
  <c r="C534" i="3" s="1"/>
  <c r="C535" i="3"/>
  <c r="H535" i="3"/>
  <c r="H536" i="3"/>
  <c r="C536" i="3" s="1"/>
  <c r="H537" i="3"/>
  <c r="C537" i="3" s="1"/>
  <c r="H538" i="3"/>
  <c r="C538" i="3" s="1"/>
  <c r="H539" i="3"/>
  <c r="C539" i="3" s="1"/>
  <c r="H540" i="3"/>
  <c r="C540" i="3" s="1"/>
  <c r="H541" i="3"/>
  <c r="C541" i="3" s="1"/>
  <c r="C542" i="3"/>
  <c r="H542" i="3"/>
  <c r="H543" i="3"/>
  <c r="C543" i="3" s="1"/>
  <c r="C544" i="3"/>
  <c r="H544" i="3"/>
  <c r="H545" i="3"/>
  <c r="C545" i="3" s="1"/>
  <c r="C546" i="3"/>
  <c r="H546" i="3"/>
  <c r="H547" i="3"/>
  <c r="C547" i="3" s="1"/>
  <c r="H548" i="3"/>
  <c r="C548" i="3" s="1"/>
  <c r="H549" i="3"/>
  <c r="C549" i="3" s="1"/>
  <c r="C550" i="3"/>
  <c r="H550" i="3"/>
  <c r="H551" i="3"/>
  <c r="C551" i="3" s="1"/>
  <c r="H552" i="3"/>
  <c r="C552" i="3" s="1"/>
  <c r="H553" i="3"/>
  <c r="C553" i="3" s="1"/>
  <c r="H554" i="3"/>
  <c r="C554" i="3" s="1"/>
  <c r="C555" i="3"/>
  <c r="H555" i="3"/>
  <c r="H556" i="3"/>
  <c r="C556" i="3" s="1"/>
  <c r="H557" i="3"/>
  <c r="C557" i="3" s="1"/>
  <c r="C558" i="3"/>
  <c r="H558" i="3"/>
  <c r="H559" i="3"/>
  <c r="C559" i="3" s="1"/>
  <c r="C560" i="3"/>
  <c r="H560" i="3"/>
  <c r="H561" i="3"/>
  <c r="C561" i="3" s="1"/>
  <c r="H562" i="3"/>
  <c r="C562" i="3" s="1"/>
  <c r="H563" i="3"/>
  <c r="C563" i="3" s="1"/>
  <c r="H564" i="3"/>
  <c r="C564" i="3" s="1"/>
  <c r="H565" i="3"/>
  <c r="C565" i="3" s="1"/>
  <c r="C566" i="3"/>
  <c r="H566" i="3"/>
  <c r="H567" i="3"/>
  <c r="C567" i="3" s="1"/>
  <c r="H568" i="3"/>
  <c r="C568" i="3" s="1"/>
  <c r="H569" i="3"/>
  <c r="C569" i="3" s="1"/>
  <c r="H570" i="3"/>
  <c r="C570" i="3" s="1"/>
  <c r="H571" i="3"/>
  <c r="C571" i="3" s="1"/>
  <c r="C572" i="3"/>
  <c r="H572" i="3"/>
  <c r="H573" i="3"/>
  <c r="C573" i="3" s="1"/>
  <c r="H574" i="3"/>
  <c r="C574" i="3" s="1"/>
  <c r="H575" i="3"/>
  <c r="C575" i="3" s="1"/>
  <c r="H576" i="3"/>
  <c r="C576" i="3" s="1"/>
  <c r="H577" i="3"/>
  <c r="C577" i="3" s="1"/>
  <c r="H578" i="3"/>
  <c r="C578" i="3" s="1"/>
  <c r="H579" i="3"/>
  <c r="C579" i="3" s="1"/>
  <c r="H580" i="3"/>
  <c r="C580" i="3" s="1"/>
  <c r="H581" i="3"/>
  <c r="C581" i="3" s="1"/>
  <c r="C582" i="3"/>
  <c r="H582" i="3"/>
  <c r="H583" i="3"/>
  <c r="C583" i="3" s="1"/>
  <c r="H584" i="3"/>
  <c r="C584" i="3" s="1"/>
  <c r="H585" i="3"/>
  <c r="C585" i="3" s="1"/>
  <c r="H586" i="3"/>
  <c r="C586" i="3" s="1"/>
  <c r="H587" i="3"/>
  <c r="C587" i="3" s="1"/>
  <c r="H588" i="3"/>
  <c r="C588" i="3" s="1"/>
  <c r="C589" i="3"/>
  <c r="H589" i="3"/>
  <c r="H590" i="3"/>
  <c r="C590" i="3" s="1"/>
  <c r="H591" i="3"/>
  <c r="C591" i="3" s="1"/>
  <c r="C592" i="3"/>
  <c r="H592" i="3"/>
  <c r="H593" i="3"/>
  <c r="C593" i="3" s="1"/>
  <c r="H594" i="3"/>
  <c r="C594" i="3" s="1"/>
  <c r="H595" i="3"/>
  <c r="C595" i="3" s="1"/>
  <c r="C596" i="3"/>
  <c r="H596" i="3"/>
  <c r="H597" i="3"/>
  <c r="C597" i="3" s="1"/>
  <c r="H598" i="3"/>
  <c r="C598" i="3" s="1"/>
  <c r="H599" i="3"/>
  <c r="C599" i="3" s="1"/>
  <c r="H600" i="3"/>
  <c r="C600" i="3" s="1"/>
  <c r="H601" i="3"/>
  <c r="C601" i="3" s="1"/>
  <c r="H602" i="3"/>
  <c r="C602" i="3" s="1"/>
  <c r="C603" i="3"/>
  <c r="H603" i="3"/>
  <c r="C604" i="3"/>
  <c r="H604" i="3"/>
  <c r="H605" i="3"/>
  <c r="C605" i="3" s="1"/>
  <c r="H606" i="3"/>
  <c r="C606" i="3" s="1"/>
  <c r="H607" i="3"/>
  <c r="C607" i="3" s="1"/>
  <c r="H608" i="3"/>
  <c r="C608" i="3" s="1"/>
  <c r="H609" i="3"/>
  <c r="C609" i="3" s="1"/>
  <c r="H610" i="3"/>
  <c r="C610" i="3" s="1"/>
  <c r="H611" i="3"/>
  <c r="C611" i="3" s="1"/>
  <c r="H612" i="3"/>
  <c r="C612" i="3" s="1"/>
  <c r="H613" i="3"/>
  <c r="C613" i="3" s="1"/>
  <c r="H614" i="3"/>
  <c r="C614" i="3" s="1"/>
  <c r="H615" i="3"/>
  <c r="C615" i="3" s="1"/>
  <c r="C616" i="3"/>
  <c r="H616" i="3"/>
  <c r="H617" i="3"/>
  <c r="C617" i="3" s="1"/>
  <c r="H618" i="3"/>
  <c r="C618" i="3" s="1"/>
  <c r="H619" i="3"/>
  <c r="C619" i="3" s="1"/>
  <c r="H620" i="3"/>
  <c r="C620" i="3" s="1"/>
  <c r="H621" i="3"/>
  <c r="C621" i="3" s="1"/>
  <c r="H622" i="3"/>
  <c r="C622" i="3" s="1"/>
  <c r="C623" i="3"/>
  <c r="H623" i="3"/>
  <c r="H624" i="3"/>
  <c r="C624" i="3" s="1"/>
  <c r="H625" i="3"/>
  <c r="C625" i="3" s="1"/>
  <c r="H626" i="3"/>
  <c r="C626" i="3" s="1"/>
  <c r="H627" i="3"/>
  <c r="C627" i="3" s="1"/>
  <c r="H628" i="3"/>
  <c r="C628" i="3" s="1"/>
  <c r="H629" i="3"/>
  <c r="C629" i="3" s="1"/>
  <c r="C630" i="3"/>
  <c r="H630" i="3"/>
  <c r="H631" i="3"/>
  <c r="C631" i="3" s="1"/>
  <c r="H632" i="3"/>
  <c r="C632" i="3" s="1"/>
  <c r="H633" i="3"/>
  <c r="C633" i="3" s="1"/>
  <c r="H634" i="3"/>
  <c r="C634" i="3" s="1"/>
  <c r="H635" i="3"/>
  <c r="C635" i="3" s="1"/>
  <c r="C636" i="3"/>
  <c r="H636" i="3"/>
  <c r="H637" i="3"/>
  <c r="C637" i="3" s="1"/>
  <c r="H638" i="3"/>
  <c r="C638" i="3" s="1"/>
  <c r="H639" i="3"/>
  <c r="C639" i="3" s="1"/>
  <c r="C640" i="3"/>
  <c r="H640" i="3"/>
  <c r="H641" i="3"/>
  <c r="C641" i="3" s="1"/>
  <c r="H642" i="3"/>
  <c r="C642" i="3" s="1"/>
  <c r="H643" i="3"/>
  <c r="C643" i="3" s="1"/>
  <c r="H644" i="3"/>
  <c r="C644" i="3" s="1"/>
  <c r="H645" i="3"/>
  <c r="C645" i="3" s="1"/>
  <c r="H646" i="3"/>
  <c r="C646" i="3" s="1"/>
  <c r="C647" i="3"/>
  <c r="H647" i="3"/>
  <c r="H648" i="3"/>
  <c r="C648" i="3" s="1"/>
  <c r="H649" i="3"/>
  <c r="C649" i="3" s="1"/>
  <c r="H650" i="3"/>
  <c r="C650" i="3" s="1"/>
  <c r="H651" i="3"/>
  <c r="C651" i="3" s="1"/>
  <c r="C652" i="3"/>
  <c r="H652" i="3"/>
  <c r="H653" i="3"/>
  <c r="C653" i="3" s="1"/>
  <c r="H654" i="3"/>
  <c r="C654" i="3" s="1"/>
  <c r="H655" i="3"/>
  <c r="C655" i="3" s="1"/>
  <c r="H656" i="3"/>
  <c r="C656" i="3" s="1"/>
  <c r="H657" i="3"/>
  <c r="C657" i="3" s="1"/>
  <c r="H658" i="3"/>
  <c r="C658" i="3" s="1"/>
  <c r="H659" i="3"/>
  <c r="C659" i="3" s="1"/>
  <c r="H660" i="3"/>
  <c r="C660" i="3" s="1"/>
  <c r="H661" i="3"/>
  <c r="C661" i="3" s="1"/>
  <c r="H662" i="3"/>
  <c r="C662" i="3" s="1"/>
  <c r="H663" i="3"/>
  <c r="C663" i="3" s="1"/>
  <c r="C664" i="3"/>
  <c r="H664" i="3"/>
  <c r="H665" i="3"/>
  <c r="C665" i="3" s="1"/>
  <c r="H666" i="3"/>
  <c r="C666" i="3" s="1"/>
  <c r="H667" i="3"/>
  <c r="C667" i="3" s="1"/>
  <c r="H668" i="3"/>
  <c r="C668" i="3" s="1"/>
  <c r="H669" i="3"/>
  <c r="C669" i="3" s="1"/>
  <c r="H670" i="3"/>
  <c r="C670" i="3" s="1"/>
  <c r="H671" i="3"/>
  <c r="C671" i="3" s="1"/>
  <c r="C672" i="3"/>
  <c r="H672" i="3"/>
  <c r="H673" i="3"/>
  <c r="C673" i="3" s="1"/>
  <c r="C674" i="3"/>
  <c r="H674" i="3"/>
  <c r="H675" i="3"/>
  <c r="C675" i="3" s="1"/>
  <c r="H676" i="3"/>
  <c r="C676" i="3" s="1"/>
  <c r="H677" i="3"/>
  <c r="C677" i="3" s="1"/>
  <c r="H678" i="3"/>
  <c r="C678" i="3" s="1"/>
  <c r="H679" i="3"/>
  <c r="C679" i="3" s="1"/>
  <c r="H680" i="3"/>
  <c r="C680" i="3" s="1"/>
  <c r="H681" i="3"/>
  <c r="C681" i="3" s="1"/>
  <c r="H682" i="3"/>
  <c r="C682" i="3" s="1"/>
  <c r="C683" i="3"/>
  <c r="H683" i="3"/>
  <c r="H684" i="3"/>
  <c r="C684" i="3" s="1"/>
  <c r="H685" i="3"/>
  <c r="C685" i="3" s="1"/>
  <c r="H686" i="3"/>
  <c r="C686" i="3" s="1"/>
  <c r="H687" i="3"/>
  <c r="C687" i="3" s="1"/>
  <c r="C688" i="3"/>
  <c r="H688" i="3"/>
  <c r="H689" i="3"/>
  <c r="C689" i="3" s="1"/>
  <c r="H690" i="3"/>
  <c r="C690" i="3" s="1"/>
  <c r="C691" i="3"/>
  <c r="H691" i="3"/>
  <c r="H692" i="3"/>
  <c r="C692" i="3" s="1"/>
  <c r="H693" i="3"/>
  <c r="C693" i="3" s="1"/>
  <c r="H694" i="3"/>
  <c r="C694" i="3" s="1"/>
  <c r="H695" i="3"/>
  <c r="C695" i="3" s="1"/>
  <c r="C696" i="3"/>
  <c r="H696" i="3"/>
  <c r="H697" i="3"/>
  <c r="C697" i="3" s="1"/>
  <c r="H698" i="3"/>
  <c r="C698" i="3" s="1"/>
  <c r="C699" i="3"/>
  <c r="H699" i="3"/>
  <c r="H700" i="3"/>
  <c r="C700" i="3" s="1"/>
  <c r="H701" i="3"/>
  <c r="C701" i="3" s="1"/>
  <c r="H702" i="3"/>
  <c r="C702" i="3" s="1"/>
  <c r="H703" i="3"/>
  <c r="C703" i="3" s="1"/>
  <c r="H704" i="3"/>
  <c r="C704" i="3" s="1"/>
  <c r="H705" i="3"/>
  <c r="C705" i="3" s="1"/>
  <c r="H706" i="3"/>
  <c r="C706" i="3" s="1"/>
  <c r="C707" i="3"/>
  <c r="H707" i="3"/>
  <c r="H708" i="3"/>
  <c r="C708" i="3" s="1"/>
  <c r="H709" i="3"/>
  <c r="C709" i="3" s="1"/>
  <c r="H710" i="3"/>
  <c r="C710" i="3" s="1"/>
  <c r="H711" i="3"/>
  <c r="C711" i="3" s="1"/>
  <c r="C712" i="3"/>
  <c r="H712" i="3"/>
  <c r="H713" i="3"/>
  <c r="C713" i="3" s="1"/>
  <c r="H714" i="3"/>
  <c r="C714" i="3" s="1"/>
  <c r="H715" i="3"/>
  <c r="C715" i="3" s="1"/>
  <c r="H716" i="3"/>
  <c r="C716" i="3" s="1"/>
  <c r="H717" i="3"/>
  <c r="C717" i="3" s="1"/>
  <c r="H718" i="3"/>
  <c r="C718" i="3" s="1"/>
  <c r="H719" i="3"/>
  <c r="C719" i="3" s="1"/>
  <c r="C720" i="3"/>
  <c r="H720" i="3"/>
  <c r="H721" i="3"/>
  <c r="C721" i="3" s="1"/>
  <c r="H722" i="3"/>
  <c r="C722" i="3" s="1"/>
  <c r="C723" i="3"/>
  <c r="H723" i="3"/>
  <c r="H724" i="3"/>
  <c r="C724" i="3" s="1"/>
  <c r="H725" i="3"/>
  <c r="C725" i="3" s="1"/>
  <c r="H726" i="3"/>
  <c r="C726" i="3" s="1"/>
  <c r="H727" i="3"/>
  <c r="C727" i="3" s="1"/>
  <c r="H728" i="3"/>
  <c r="C728" i="3" s="1"/>
  <c r="H729" i="3"/>
  <c r="C729" i="3" s="1"/>
  <c r="H730" i="3"/>
  <c r="C730" i="3" s="1"/>
  <c r="C731" i="3"/>
  <c r="H731" i="3"/>
  <c r="H732" i="3"/>
  <c r="C732" i="3" s="1"/>
  <c r="H733" i="3"/>
  <c r="C733" i="3" s="1"/>
  <c r="C734" i="3"/>
  <c r="H734" i="3"/>
  <c r="H735" i="3"/>
  <c r="C735" i="3" s="1"/>
  <c r="H736" i="3"/>
  <c r="C736" i="3" s="1"/>
  <c r="H737" i="3"/>
  <c r="C737" i="3" s="1"/>
  <c r="H738" i="3"/>
  <c r="C738" i="3" s="1"/>
  <c r="H739" i="3"/>
  <c r="C739" i="3" s="1"/>
  <c r="H740" i="3"/>
  <c r="C740" i="3" s="1"/>
  <c r="H741" i="3"/>
  <c r="C741" i="3" s="1"/>
  <c r="H742" i="3"/>
  <c r="C742" i="3" s="1"/>
  <c r="H743" i="3"/>
  <c r="C743" i="3" s="1"/>
  <c r="H744" i="3"/>
  <c r="C744" i="3" s="1"/>
  <c r="H745" i="3"/>
  <c r="C745" i="3" s="1"/>
  <c r="H746" i="3"/>
  <c r="C746" i="3" s="1"/>
  <c r="C747" i="3"/>
  <c r="H747" i="3"/>
  <c r="H748" i="3"/>
  <c r="C748" i="3" s="1"/>
  <c r="H749" i="3"/>
  <c r="C749" i="3" s="1"/>
  <c r="H750" i="3"/>
  <c r="C750" i="3" s="1"/>
  <c r="H751" i="3"/>
  <c r="C751" i="3" s="1"/>
  <c r="C752" i="3"/>
  <c r="H752" i="3"/>
  <c r="H753" i="3"/>
  <c r="C753" i="3" s="1"/>
  <c r="H754" i="3"/>
  <c r="C754" i="3" s="1"/>
  <c r="H755" i="3"/>
  <c r="C755" i="3" s="1"/>
  <c r="H756" i="3"/>
  <c r="C756" i="3" s="1"/>
  <c r="H757" i="3"/>
  <c r="C757" i="3" s="1"/>
  <c r="H758" i="3"/>
  <c r="C758" i="3" s="1"/>
  <c r="H759" i="3"/>
  <c r="C759" i="3" s="1"/>
  <c r="H760" i="3"/>
  <c r="C760" i="3" s="1"/>
  <c r="H761" i="3"/>
  <c r="C761" i="3" s="1"/>
  <c r="H762" i="3"/>
  <c r="C762" i="3" s="1"/>
  <c r="H763" i="3"/>
  <c r="C763" i="3" s="1"/>
  <c r="H764" i="3"/>
  <c r="C764" i="3" s="1"/>
  <c r="H765" i="3"/>
  <c r="C765" i="3" s="1"/>
  <c r="C766" i="3"/>
  <c r="H766" i="3"/>
  <c r="H767" i="3"/>
  <c r="C767" i="3" s="1"/>
  <c r="H768" i="3"/>
  <c r="C768" i="3" s="1"/>
  <c r="H769" i="3"/>
  <c r="C769" i="3" s="1"/>
  <c r="H770" i="3"/>
  <c r="C770" i="3" s="1"/>
  <c r="C771" i="3"/>
  <c r="H771" i="3"/>
  <c r="H772" i="3"/>
  <c r="C772" i="3" s="1"/>
  <c r="H773" i="3"/>
  <c r="C773" i="3" s="1"/>
  <c r="H774" i="3"/>
  <c r="C774" i="3" s="1"/>
  <c r="H775" i="3"/>
  <c r="C775" i="3" s="1"/>
  <c r="H776" i="3"/>
  <c r="C776" i="3" s="1"/>
  <c r="H777" i="3"/>
  <c r="C777" i="3" s="1"/>
  <c r="H778" i="3"/>
  <c r="C778" i="3" s="1"/>
  <c r="H779" i="3"/>
  <c r="C779" i="3" s="1"/>
  <c r="H780" i="3"/>
  <c r="C780" i="3" s="1"/>
  <c r="H781" i="3"/>
  <c r="C781" i="3" s="1"/>
  <c r="H782" i="3"/>
  <c r="C782" i="3" s="1"/>
  <c r="C783" i="3"/>
  <c r="H783" i="3"/>
  <c r="H784" i="3"/>
  <c r="C784" i="3" s="1"/>
  <c r="H785" i="3"/>
  <c r="C785" i="3" s="1"/>
  <c r="H786" i="3"/>
  <c r="C786" i="3" s="1"/>
  <c r="H787" i="3"/>
  <c r="C787" i="3" s="1"/>
  <c r="H788" i="3"/>
  <c r="C788" i="3" s="1"/>
  <c r="H789" i="3"/>
  <c r="C789" i="3" s="1"/>
  <c r="H790" i="3"/>
  <c r="C790" i="3" s="1"/>
  <c r="C791" i="3"/>
  <c r="H791" i="3"/>
  <c r="H792" i="3"/>
  <c r="C792" i="3" s="1"/>
  <c r="H793" i="3"/>
  <c r="C793" i="3" s="1"/>
  <c r="H794" i="3"/>
  <c r="C794" i="3" s="1"/>
  <c r="H795" i="3"/>
  <c r="C795" i="3" s="1"/>
  <c r="H796" i="3"/>
  <c r="C796" i="3" s="1"/>
  <c r="H797" i="3"/>
  <c r="C797" i="3" s="1"/>
  <c r="H798" i="3"/>
  <c r="C798" i="3" s="1"/>
  <c r="H799" i="3"/>
  <c r="C799" i="3" s="1"/>
  <c r="C800" i="3"/>
  <c r="H800" i="3"/>
  <c r="H801" i="3"/>
  <c r="C801" i="3" s="1"/>
  <c r="H802" i="3"/>
  <c r="C802" i="3" s="1"/>
  <c r="H803" i="3"/>
  <c r="C803" i="3" s="1"/>
  <c r="H804" i="3"/>
  <c r="C804" i="3" s="1"/>
  <c r="H805" i="3"/>
  <c r="C805" i="3" s="1"/>
  <c r="H806" i="3"/>
  <c r="C806" i="3" s="1"/>
  <c r="H807" i="3"/>
  <c r="C807" i="3" s="1"/>
  <c r="H808" i="3"/>
  <c r="C808" i="3" s="1"/>
  <c r="H809" i="3"/>
  <c r="C809" i="3" s="1"/>
  <c r="H810" i="3"/>
  <c r="C810" i="3" s="1"/>
  <c r="H811" i="3"/>
  <c r="C811" i="3" s="1"/>
  <c r="H812" i="3"/>
  <c r="C812" i="3" s="1"/>
  <c r="H813" i="3"/>
  <c r="C813" i="3" s="1"/>
  <c r="H814" i="3"/>
  <c r="C814" i="3" s="1"/>
  <c r="H815" i="3"/>
  <c r="C815" i="3" s="1"/>
  <c r="H816" i="3"/>
  <c r="C816" i="3" s="1"/>
  <c r="H817" i="3"/>
  <c r="C817" i="3" s="1"/>
  <c r="H818" i="3"/>
  <c r="C818" i="3" s="1"/>
  <c r="H819" i="3"/>
  <c r="C819" i="3" s="1"/>
  <c r="H820" i="3"/>
  <c r="C820" i="3" s="1"/>
  <c r="H821" i="3"/>
  <c r="C821" i="3" s="1"/>
  <c r="H822" i="3"/>
  <c r="C822" i="3" s="1"/>
  <c r="H823" i="3"/>
  <c r="C823" i="3" s="1"/>
  <c r="H824" i="3"/>
  <c r="C824" i="3" s="1"/>
  <c r="H825" i="3"/>
  <c r="C825" i="3" s="1"/>
  <c r="H826" i="3"/>
  <c r="C826" i="3" s="1"/>
  <c r="H827" i="3"/>
  <c r="C827" i="3" s="1"/>
  <c r="H828" i="3"/>
  <c r="C828" i="3" s="1"/>
  <c r="H829" i="3"/>
  <c r="C829" i="3" s="1"/>
  <c r="H830" i="3"/>
  <c r="C830" i="3" s="1"/>
  <c r="H831" i="3"/>
  <c r="C831" i="3" s="1"/>
  <c r="H832" i="3"/>
  <c r="C832" i="3" s="1"/>
  <c r="H833" i="3"/>
  <c r="C833" i="3" s="1"/>
  <c r="H834" i="3"/>
  <c r="C834" i="3" s="1"/>
  <c r="C835" i="3"/>
  <c r="H835" i="3"/>
  <c r="H836" i="3"/>
  <c r="C836" i="3" s="1"/>
  <c r="H837" i="3"/>
  <c r="C837" i="3" s="1"/>
  <c r="H838" i="3"/>
  <c r="C838" i="3" s="1"/>
  <c r="H839" i="3"/>
  <c r="C839" i="3" s="1"/>
  <c r="C840" i="3"/>
  <c r="H840" i="3"/>
  <c r="H841" i="3"/>
  <c r="C841" i="3" s="1"/>
  <c r="H842" i="3"/>
  <c r="C842" i="3" s="1"/>
  <c r="H843" i="3"/>
  <c r="C843" i="3" s="1"/>
  <c r="H844" i="3"/>
  <c r="C844" i="3" s="1"/>
  <c r="H845" i="3"/>
  <c r="C845" i="3" s="1"/>
  <c r="H846" i="3"/>
  <c r="C846" i="3" s="1"/>
  <c r="H847" i="3"/>
  <c r="C847" i="3" s="1"/>
  <c r="H848" i="3"/>
  <c r="C848" i="3" s="1"/>
  <c r="C849" i="3"/>
  <c r="H849" i="3"/>
  <c r="H850" i="3"/>
  <c r="C850" i="3" s="1"/>
  <c r="H851" i="3"/>
  <c r="C851" i="3" s="1"/>
  <c r="H852" i="3"/>
  <c r="C852" i="3" s="1"/>
  <c r="H853" i="3"/>
  <c r="C853" i="3" s="1"/>
  <c r="H854" i="3"/>
  <c r="C854" i="3" s="1"/>
  <c r="C855" i="3"/>
  <c r="H855" i="3"/>
  <c r="H856" i="3"/>
  <c r="C856" i="3" s="1"/>
  <c r="H857" i="3"/>
  <c r="C857" i="3" s="1"/>
  <c r="H858" i="3"/>
  <c r="C858" i="3" s="1"/>
  <c r="C859" i="3"/>
  <c r="H859" i="3"/>
  <c r="H860" i="3"/>
  <c r="C860" i="3" s="1"/>
  <c r="H861" i="3"/>
  <c r="C861" i="3" s="1"/>
  <c r="C862" i="3"/>
  <c r="H862" i="3"/>
  <c r="H863" i="3"/>
  <c r="C863" i="3" s="1"/>
  <c r="C864" i="3"/>
  <c r="H864" i="3"/>
  <c r="H865" i="3"/>
  <c r="C865" i="3" s="1"/>
  <c r="H866" i="3"/>
  <c r="C866" i="3" s="1"/>
  <c r="H867" i="3"/>
  <c r="C867" i="3" s="1"/>
  <c r="H868" i="3"/>
  <c r="C868" i="3" s="1"/>
  <c r="H869" i="3"/>
  <c r="C869" i="3" s="1"/>
  <c r="H870" i="3"/>
  <c r="C870" i="3" s="1"/>
  <c r="H871" i="3"/>
  <c r="C871" i="3" s="1"/>
  <c r="H872" i="3"/>
  <c r="C872" i="3" s="1"/>
  <c r="C873" i="3"/>
  <c r="H873" i="3"/>
  <c r="H874" i="3"/>
  <c r="C874" i="3" s="1"/>
  <c r="H875" i="3"/>
  <c r="C875" i="3" s="1"/>
  <c r="H876" i="3"/>
  <c r="C876" i="3" s="1"/>
  <c r="H877" i="3"/>
  <c r="C877" i="3" s="1"/>
  <c r="H878" i="3"/>
  <c r="C878" i="3" s="1"/>
  <c r="H879" i="3"/>
  <c r="C879" i="3" s="1"/>
  <c r="H880" i="3"/>
  <c r="C880" i="3" s="1"/>
  <c r="H881" i="3"/>
  <c r="C881" i="3" s="1"/>
  <c r="H882" i="3"/>
  <c r="C882" i="3" s="1"/>
  <c r="C883" i="3"/>
  <c r="H883" i="3"/>
  <c r="H884" i="3"/>
  <c r="C884" i="3" s="1"/>
  <c r="H885" i="3"/>
  <c r="C885" i="3" s="1"/>
  <c r="H886" i="3"/>
  <c r="C886" i="3" s="1"/>
  <c r="H887" i="3"/>
  <c r="C887" i="3" s="1"/>
  <c r="H888" i="3"/>
  <c r="C888" i="3" s="1"/>
  <c r="C889" i="3"/>
  <c r="H889" i="3"/>
  <c r="H890" i="3"/>
  <c r="C890" i="3" s="1"/>
  <c r="H891" i="3"/>
  <c r="C891" i="3" s="1"/>
  <c r="H892" i="3"/>
  <c r="C892" i="3" s="1"/>
  <c r="H893" i="3"/>
  <c r="C893" i="3" s="1"/>
  <c r="H894" i="3"/>
  <c r="C894" i="3" s="1"/>
  <c r="H895" i="3"/>
  <c r="C895" i="3" s="1"/>
  <c r="H896" i="3"/>
  <c r="C896" i="3" s="1"/>
  <c r="H897" i="3"/>
  <c r="C897" i="3" s="1"/>
  <c r="H898" i="3"/>
  <c r="C898" i="3" s="1"/>
  <c r="C899" i="3"/>
  <c r="H899" i="3"/>
  <c r="H900" i="3"/>
  <c r="C900" i="3" s="1"/>
  <c r="H901" i="3"/>
  <c r="C901" i="3" s="1"/>
  <c r="H902" i="3"/>
  <c r="C902" i="3" s="1"/>
  <c r="H903" i="3"/>
  <c r="C903" i="3" s="1"/>
  <c r="C904" i="3"/>
  <c r="H904" i="3"/>
  <c r="H905" i="3"/>
  <c r="C905" i="3" s="1"/>
  <c r="H906" i="3"/>
  <c r="C906" i="3" s="1"/>
  <c r="H907" i="3"/>
  <c r="C907" i="3" s="1"/>
  <c r="H908" i="3"/>
  <c r="C908" i="3" s="1"/>
  <c r="H909" i="3"/>
  <c r="C909" i="3" s="1"/>
  <c r="H910" i="3"/>
  <c r="C910" i="3" s="1"/>
  <c r="H911" i="3"/>
  <c r="C911" i="3" s="1"/>
  <c r="H912" i="3"/>
  <c r="C912" i="3" s="1"/>
  <c r="H913" i="3"/>
  <c r="C913" i="3" s="1"/>
  <c r="H914" i="3"/>
  <c r="C914" i="3" s="1"/>
  <c r="H915" i="3"/>
  <c r="C915" i="3" s="1"/>
  <c r="H916" i="3"/>
  <c r="C916" i="3" s="1"/>
  <c r="H917" i="3"/>
  <c r="C917" i="3" s="1"/>
  <c r="H918" i="3"/>
  <c r="C918" i="3" s="1"/>
  <c r="H919" i="3"/>
  <c r="C919" i="3" s="1"/>
  <c r="H920" i="3"/>
  <c r="C920" i="3" s="1"/>
  <c r="H921" i="3"/>
  <c r="C921" i="3" s="1"/>
  <c r="H922" i="3"/>
  <c r="C922" i="3" s="1"/>
  <c r="H923" i="3"/>
  <c r="C923" i="3" s="1"/>
  <c r="H924" i="3"/>
  <c r="C924" i="3" s="1"/>
  <c r="H925" i="3"/>
  <c r="C925" i="3" s="1"/>
  <c r="H926" i="3"/>
  <c r="C926" i="3" s="1"/>
  <c r="H927" i="3"/>
  <c r="C927" i="3" s="1"/>
  <c r="C928" i="3"/>
  <c r="H928" i="3"/>
  <c r="H929" i="3"/>
  <c r="C929" i="3" s="1"/>
  <c r="H930" i="3"/>
  <c r="C930" i="3" s="1"/>
  <c r="H931" i="3"/>
  <c r="C931" i="3" s="1"/>
  <c r="H932" i="3"/>
  <c r="C932" i="3" s="1"/>
  <c r="H933" i="3"/>
  <c r="C933" i="3" s="1"/>
  <c r="C934" i="3"/>
  <c r="H934" i="3"/>
  <c r="H935" i="3"/>
  <c r="C935" i="3" s="1"/>
  <c r="H936" i="3"/>
  <c r="C936" i="3" s="1"/>
  <c r="H937" i="3"/>
  <c r="C937" i="3" s="1"/>
  <c r="H938" i="3"/>
  <c r="C938" i="3" s="1"/>
  <c r="H939" i="3"/>
  <c r="C939" i="3" s="1"/>
  <c r="H940" i="3"/>
  <c r="C940" i="3" s="1"/>
  <c r="H941" i="3"/>
  <c r="C941" i="3" s="1"/>
  <c r="H942" i="3"/>
  <c r="C942" i="3" s="1"/>
  <c r="H943" i="3"/>
  <c r="C943" i="3" s="1"/>
  <c r="H944" i="3"/>
  <c r="C944" i="3" s="1"/>
  <c r="H945" i="3"/>
  <c r="C945" i="3" s="1"/>
  <c r="H946" i="3"/>
  <c r="C946" i="3" s="1"/>
  <c r="H947" i="3"/>
  <c r="C947" i="3" s="1"/>
  <c r="H948" i="3"/>
  <c r="C948" i="3" s="1"/>
  <c r="H949" i="3"/>
  <c r="C949" i="3" s="1"/>
  <c r="H950" i="3"/>
  <c r="C950" i="3" s="1"/>
  <c r="H951" i="3"/>
  <c r="C951" i="3" s="1"/>
  <c r="H952" i="3"/>
  <c r="C952" i="3" s="1"/>
  <c r="H953" i="3"/>
  <c r="C953" i="3" s="1"/>
  <c r="H954" i="3"/>
  <c r="C954" i="3" s="1"/>
  <c r="H955" i="3"/>
  <c r="C955" i="3" s="1"/>
  <c r="H956" i="3"/>
  <c r="C956" i="3" s="1"/>
  <c r="H957" i="3"/>
  <c r="C957" i="3" s="1"/>
  <c r="C958" i="3"/>
  <c r="H958" i="3"/>
  <c r="H959" i="3"/>
  <c r="C959" i="3" s="1"/>
  <c r="H960" i="3"/>
  <c r="C960" i="3" s="1"/>
  <c r="H961" i="3"/>
  <c r="C961" i="3" s="1"/>
  <c r="H962" i="3"/>
  <c r="C962" i="3" s="1"/>
  <c r="H963" i="3"/>
  <c r="C963" i="3" s="1"/>
  <c r="H964" i="3"/>
  <c r="C964" i="3" s="1"/>
  <c r="H965" i="3"/>
  <c r="C965" i="3" s="1"/>
  <c r="H966" i="3"/>
  <c r="C966" i="3" s="1"/>
  <c r="H967" i="3"/>
  <c r="C967" i="3" s="1"/>
  <c r="C968" i="3"/>
  <c r="H968" i="3"/>
  <c r="H969" i="3"/>
  <c r="C969" i="3" s="1"/>
  <c r="H970" i="3"/>
  <c r="C970" i="3" s="1"/>
  <c r="H971" i="3"/>
  <c r="C971" i="3" s="1"/>
  <c r="H972" i="3"/>
  <c r="C972" i="3" s="1"/>
  <c r="H973" i="3"/>
  <c r="C973" i="3" s="1"/>
  <c r="H974" i="3"/>
  <c r="C974" i="3" s="1"/>
  <c r="H975" i="3"/>
  <c r="C975" i="3" s="1"/>
  <c r="H976" i="3"/>
  <c r="C976" i="3" s="1"/>
  <c r="H977" i="3"/>
  <c r="C977" i="3" s="1"/>
  <c r="H978" i="3"/>
  <c r="C978" i="3" s="1"/>
  <c r="H979" i="3"/>
  <c r="C979" i="3" s="1"/>
  <c r="H980" i="3"/>
  <c r="C980" i="3" s="1"/>
  <c r="H981" i="3"/>
  <c r="C981" i="3" s="1"/>
  <c r="H982" i="3"/>
  <c r="C982" i="3" s="1"/>
  <c r="H983" i="3"/>
  <c r="C983" i="3" s="1"/>
  <c r="H984" i="3"/>
  <c r="C984" i="3" s="1"/>
  <c r="H985" i="3"/>
  <c r="C985" i="3" s="1"/>
  <c r="H986" i="3"/>
  <c r="C986" i="3" s="1"/>
  <c r="H987" i="3"/>
  <c r="C987" i="3" s="1"/>
  <c r="H988" i="3"/>
  <c r="C988" i="3" s="1"/>
  <c r="H989" i="3"/>
  <c r="C989" i="3" s="1"/>
  <c r="H990" i="3"/>
  <c r="C990" i="3" s="1"/>
  <c r="C991" i="3"/>
  <c r="H991" i="3"/>
  <c r="H992" i="3"/>
  <c r="C992" i="3" s="1"/>
  <c r="H993" i="3"/>
  <c r="C993" i="3" s="1"/>
  <c r="H994" i="3"/>
  <c r="C994" i="3" s="1"/>
  <c r="H995" i="3"/>
  <c r="C995" i="3" s="1"/>
  <c r="H996" i="3"/>
  <c r="C996" i="3" s="1"/>
  <c r="H997" i="3"/>
  <c r="C997" i="3" s="1"/>
  <c r="H998" i="3"/>
  <c r="C998" i="3" s="1"/>
  <c r="C999" i="3"/>
  <c r="H999" i="3"/>
  <c r="H1000" i="3"/>
  <c r="C1000" i="3" s="1"/>
  <c r="H1001" i="3"/>
  <c r="C1001" i="3" s="1"/>
  <c r="H1002" i="3"/>
  <c r="C1002" i="3" s="1"/>
  <c r="H1003" i="3"/>
  <c r="C1003" i="3" s="1"/>
  <c r="H1004" i="3"/>
  <c r="C1004" i="3" s="1"/>
  <c r="H1005" i="3"/>
  <c r="C1005" i="3" s="1"/>
  <c r="H1006" i="3"/>
  <c r="C1006" i="3" s="1"/>
  <c r="H1007" i="3"/>
  <c r="C1007" i="3" s="1"/>
  <c r="C1008" i="3"/>
  <c r="H1008" i="3"/>
  <c r="H1009" i="3"/>
  <c r="C1009" i="3" s="1"/>
  <c r="H1010" i="3"/>
  <c r="C1010" i="3" s="1"/>
  <c r="H1011" i="3"/>
  <c r="C1011" i="3" s="1"/>
  <c r="H1012" i="3"/>
  <c r="C1012" i="3" s="1"/>
  <c r="H1013" i="3"/>
  <c r="C1013" i="3" s="1"/>
  <c r="H1014" i="3"/>
  <c r="C1014" i="3" s="1"/>
  <c r="H1015" i="3"/>
  <c r="C1015" i="3" s="1"/>
  <c r="H1016" i="3"/>
  <c r="C1016" i="3" s="1"/>
  <c r="H1017" i="3"/>
  <c r="C1017" i="3" s="1"/>
  <c r="H1018" i="3"/>
  <c r="C1018" i="3" s="1"/>
  <c r="H1019" i="3"/>
  <c r="C1019" i="3" s="1"/>
  <c r="H1020" i="3"/>
  <c r="C1020" i="3" s="1"/>
  <c r="H1021" i="3"/>
  <c r="C1021" i="3" s="1"/>
  <c r="H1022" i="3"/>
  <c r="C1022" i="3" s="1"/>
  <c r="H1023" i="3"/>
  <c r="C1023" i="3" s="1"/>
  <c r="H1024" i="3"/>
  <c r="C1024" i="3" s="1"/>
  <c r="H1025" i="3"/>
  <c r="C1025" i="3" s="1"/>
  <c r="H1026" i="3"/>
  <c r="C1026" i="3" s="1"/>
  <c r="C1027" i="3"/>
  <c r="H1027" i="3"/>
  <c r="H1028" i="3"/>
  <c r="C1028" i="3" s="1"/>
  <c r="H1029" i="3"/>
  <c r="C1029" i="3" s="1"/>
  <c r="H1030" i="3"/>
  <c r="C1030" i="3" s="1"/>
  <c r="H1031" i="3"/>
  <c r="C1031" i="3" s="1"/>
  <c r="C1032" i="3"/>
  <c r="H1032" i="3"/>
  <c r="H1033" i="3"/>
  <c r="C1033" i="3" s="1"/>
  <c r="H1034" i="3"/>
  <c r="C1034" i="3" s="1"/>
  <c r="C1035" i="3"/>
  <c r="H1035" i="3"/>
  <c r="H1036" i="3"/>
  <c r="C1036" i="3" s="1"/>
  <c r="H1037" i="3"/>
  <c r="C1037" i="3" s="1"/>
  <c r="H1038" i="3"/>
  <c r="C1038" i="3" s="1"/>
  <c r="C1039" i="3"/>
  <c r="H1039" i="3"/>
  <c r="H1040" i="3"/>
  <c r="C1040" i="3" s="1"/>
  <c r="C1041" i="3"/>
  <c r="H1041" i="3"/>
  <c r="H1042" i="3"/>
  <c r="C1042" i="3" s="1"/>
  <c r="H1043" i="3"/>
  <c r="C1043" i="3" s="1"/>
  <c r="H1044" i="3"/>
  <c r="C1044" i="3" s="1"/>
  <c r="H1045" i="3"/>
  <c r="C1045" i="3" s="1"/>
  <c r="H1046" i="3"/>
  <c r="C1046" i="3" s="1"/>
  <c r="C1047" i="3"/>
  <c r="H1047" i="3"/>
  <c r="H1048" i="3"/>
  <c r="C1048" i="3" s="1"/>
  <c r="H1049" i="3"/>
  <c r="C1049" i="3" s="1"/>
  <c r="H1050" i="3"/>
  <c r="C1050" i="3" s="1"/>
  <c r="H1051" i="3"/>
  <c r="C1051" i="3" s="1"/>
  <c r="H1052" i="3"/>
  <c r="C1052" i="3" s="1"/>
  <c r="H1053" i="3"/>
  <c r="C1053" i="3" s="1"/>
  <c r="H1054" i="3"/>
  <c r="C1054" i="3" s="1"/>
  <c r="H1055" i="3"/>
  <c r="C1055" i="3" s="1"/>
  <c r="C1056" i="3"/>
  <c r="H1056" i="3"/>
  <c r="H1057" i="3"/>
  <c r="C1057" i="3" s="1"/>
  <c r="H1058" i="3"/>
  <c r="C1058" i="3" s="1"/>
  <c r="H1059" i="3"/>
  <c r="C1059" i="3" s="1"/>
  <c r="H1060" i="3"/>
  <c r="C1060" i="3" s="1"/>
  <c r="H1061" i="3"/>
  <c r="C1061" i="3" s="1"/>
  <c r="H1062" i="3"/>
  <c r="C1062" i="3" s="1"/>
  <c r="H1063" i="3"/>
  <c r="C1063" i="3" s="1"/>
  <c r="H1064" i="3"/>
  <c r="C1064" i="3" s="1"/>
  <c r="C1065" i="3"/>
  <c r="H1065" i="3"/>
  <c r="H1066" i="3"/>
  <c r="C1066" i="3" s="1"/>
  <c r="H1067" i="3"/>
  <c r="C1067" i="3" s="1"/>
  <c r="H1068" i="3"/>
  <c r="C1068" i="3" s="1"/>
  <c r="H1069" i="3"/>
  <c r="C1069" i="3" s="1"/>
  <c r="H1070" i="3"/>
  <c r="C1070" i="3" s="1"/>
  <c r="H1071" i="3"/>
  <c r="C1071" i="3" s="1"/>
  <c r="C1072" i="3"/>
  <c r="H1072" i="3"/>
  <c r="H1073" i="3"/>
  <c r="C1073" i="3" s="1"/>
  <c r="H1074" i="3"/>
  <c r="C1074" i="3" s="1"/>
  <c r="H1075" i="3"/>
  <c r="C1075" i="3" s="1"/>
  <c r="H1076" i="3"/>
  <c r="C1076" i="3" s="1"/>
  <c r="H1077" i="3"/>
  <c r="C1077" i="3" s="1"/>
  <c r="H1078" i="3"/>
  <c r="C1078" i="3" s="1"/>
  <c r="H1079" i="3"/>
  <c r="C1079" i="3" s="1"/>
  <c r="H1080" i="3"/>
  <c r="C1080" i="3" s="1"/>
  <c r="H1081" i="3"/>
  <c r="C1081" i="3" s="1"/>
  <c r="C1082" i="3"/>
  <c r="H1082" i="3"/>
  <c r="H1083" i="3"/>
  <c r="C1083" i="3" s="1"/>
  <c r="H1084" i="3"/>
  <c r="C1084" i="3" s="1"/>
  <c r="H1085" i="3"/>
  <c r="C1085" i="3" s="1"/>
  <c r="C1086" i="3"/>
  <c r="H1086" i="3"/>
  <c r="H1087" i="3"/>
  <c r="C1087" i="3" s="1"/>
  <c r="H1088" i="3"/>
  <c r="C1088" i="3" s="1"/>
  <c r="H1089" i="3"/>
  <c r="C1089" i="3" s="1"/>
  <c r="H1090" i="3"/>
  <c r="C1090" i="3" s="1"/>
  <c r="H1091" i="3"/>
  <c r="C1091" i="3" s="1"/>
  <c r="H1092" i="3"/>
  <c r="C1092" i="3" s="1"/>
  <c r="H1093" i="3"/>
  <c r="C1093" i="3" s="1"/>
  <c r="C1094" i="3"/>
  <c r="H1094" i="3"/>
  <c r="C1095" i="3"/>
  <c r="H1095" i="3"/>
  <c r="C1096" i="3"/>
  <c r="H1096" i="3"/>
  <c r="H1097" i="3"/>
  <c r="C1097" i="3" s="1"/>
  <c r="H1098" i="3"/>
  <c r="C1098" i="3" s="1"/>
  <c r="H1099" i="3"/>
  <c r="C1099" i="3" s="1"/>
  <c r="H1100" i="3"/>
  <c r="C1100" i="3" s="1"/>
  <c r="H1101" i="3"/>
  <c r="C1101" i="3" s="1"/>
  <c r="H1102" i="3"/>
  <c r="C1102" i="3" s="1"/>
  <c r="H1103" i="3"/>
  <c r="C1103" i="3" s="1"/>
  <c r="H1104" i="3"/>
  <c r="C1104" i="3" s="1"/>
  <c r="H1105" i="3"/>
  <c r="C1105" i="3" s="1"/>
  <c r="H1106" i="3"/>
  <c r="C1106" i="3" s="1"/>
  <c r="C1107" i="3"/>
  <c r="H1107" i="3"/>
  <c r="H1108" i="3"/>
  <c r="C1108" i="3" s="1"/>
  <c r="H1109" i="3"/>
  <c r="C1109" i="3" s="1"/>
  <c r="C1110" i="3"/>
  <c r="H1110" i="3"/>
  <c r="H1111" i="3"/>
  <c r="C1111" i="3" s="1"/>
  <c r="C1112" i="3"/>
  <c r="H1112" i="3"/>
  <c r="H1113" i="3"/>
  <c r="C1113" i="3" s="1"/>
  <c r="H1114" i="3"/>
  <c r="C1114" i="3" s="1"/>
  <c r="H1115" i="3"/>
  <c r="C1115" i="3" s="1"/>
  <c r="H1116" i="3"/>
  <c r="C1116" i="3" s="1"/>
  <c r="H1117" i="3"/>
  <c r="C1117" i="3" s="1"/>
  <c r="H1118" i="3"/>
  <c r="C1118" i="3" s="1"/>
  <c r="H1119" i="3"/>
  <c r="C1119" i="3" s="1"/>
  <c r="H1120" i="3"/>
  <c r="C1120" i="3" s="1"/>
  <c r="H1121" i="3"/>
  <c r="C1121" i="3" s="1"/>
  <c r="H1122" i="3"/>
  <c r="C1122" i="3" s="1"/>
  <c r="H1123" i="3"/>
  <c r="C1123" i="3" s="1"/>
  <c r="H1124" i="3"/>
  <c r="C1124" i="3" s="1"/>
  <c r="C1125" i="3"/>
  <c r="H1125" i="3"/>
  <c r="H1126" i="3"/>
  <c r="C1126" i="3" s="1"/>
  <c r="H1127" i="3"/>
  <c r="C1127" i="3" s="1"/>
  <c r="H1128" i="3"/>
  <c r="C1128" i="3" s="1"/>
  <c r="H1129" i="3"/>
  <c r="C1129" i="3" s="1"/>
  <c r="H1130" i="3"/>
  <c r="C1130" i="3" s="1"/>
  <c r="H1131" i="3"/>
  <c r="C1131" i="3" s="1"/>
  <c r="H1132" i="3"/>
  <c r="C1132" i="3" s="1"/>
  <c r="H1133" i="3"/>
  <c r="C1133" i="3" s="1"/>
  <c r="C1134" i="3"/>
  <c r="H1134" i="3"/>
  <c r="H1135" i="3"/>
  <c r="C1135" i="3" s="1"/>
  <c r="H1136" i="3"/>
  <c r="C1136" i="3" s="1"/>
  <c r="C1137" i="3"/>
  <c r="H1137" i="3"/>
  <c r="H1138" i="3"/>
  <c r="C1138" i="3" s="1"/>
  <c r="C1139" i="3"/>
  <c r="H1139" i="3"/>
  <c r="H1140" i="3"/>
  <c r="C1140" i="3" s="1"/>
  <c r="H1141" i="3"/>
  <c r="C1141" i="3" s="1"/>
  <c r="H1142" i="3"/>
  <c r="C1142" i="3" s="1"/>
  <c r="H1143" i="3"/>
  <c r="C1143" i="3" s="1"/>
  <c r="H1144" i="3"/>
  <c r="C1144" i="3" s="1"/>
  <c r="H1145" i="3"/>
  <c r="C1145" i="3" s="1"/>
  <c r="H1146" i="3"/>
  <c r="C1146" i="3" s="1"/>
  <c r="H1147" i="3"/>
  <c r="C1147" i="3" s="1"/>
  <c r="H1148" i="3"/>
  <c r="C1148" i="3" s="1"/>
  <c r="H1149" i="3"/>
  <c r="C1149" i="3" s="1"/>
  <c r="H1150" i="3"/>
  <c r="C1150" i="3" s="1"/>
  <c r="H1151" i="3"/>
  <c r="C1151" i="3" s="1"/>
  <c r="C1152" i="3"/>
  <c r="H1152" i="3"/>
  <c r="H1153" i="3"/>
  <c r="C1153" i="3" s="1"/>
  <c r="H1154" i="3"/>
  <c r="C1154" i="3" s="1"/>
  <c r="H1155" i="3"/>
  <c r="C1155" i="3" s="1"/>
  <c r="H1156" i="3"/>
  <c r="C1156" i="3" s="1"/>
  <c r="H1157" i="3"/>
  <c r="C1157" i="3" s="1"/>
  <c r="H1158" i="3"/>
  <c r="C1158" i="3" s="1"/>
  <c r="H1159" i="3"/>
  <c r="C1159" i="3" s="1"/>
  <c r="H1160" i="3"/>
  <c r="C1160" i="3" s="1"/>
  <c r="C1161" i="3"/>
  <c r="H1161" i="3"/>
  <c r="H1162" i="3"/>
  <c r="C1162" i="3" s="1"/>
  <c r="H1163" i="3"/>
  <c r="C1163" i="3" s="1"/>
  <c r="H1164" i="3"/>
  <c r="C1164" i="3" s="1"/>
  <c r="H1165" i="3"/>
  <c r="C1165" i="3" s="1"/>
  <c r="H1166" i="3"/>
  <c r="C1166" i="3" s="1"/>
  <c r="H1167" i="3"/>
  <c r="C1167" i="3" s="1"/>
  <c r="H1168" i="3"/>
  <c r="C1168" i="3" s="1"/>
  <c r="C1169" i="3"/>
  <c r="H1169" i="3"/>
  <c r="H1170" i="3"/>
  <c r="C1170" i="3" s="1"/>
  <c r="H1171" i="3"/>
  <c r="C1171" i="3" s="1"/>
  <c r="H1172" i="3"/>
  <c r="C1172" i="3" s="1"/>
  <c r="H1173" i="3"/>
  <c r="C1173" i="3" s="1"/>
  <c r="H1174" i="3"/>
  <c r="C1174" i="3" s="1"/>
  <c r="H1175" i="3"/>
  <c r="C1175" i="3" s="1"/>
  <c r="H1176" i="3"/>
  <c r="C1176" i="3" s="1"/>
  <c r="C1177" i="3"/>
  <c r="H1177" i="3"/>
  <c r="H1178" i="3"/>
  <c r="C1178" i="3" s="1"/>
  <c r="H1179" i="3"/>
  <c r="C1179" i="3" s="1"/>
  <c r="C1180" i="3"/>
  <c r="H1180" i="3"/>
  <c r="H1181" i="3"/>
  <c r="C1181" i="3" s="1"/>
  <c r="C1182" i="3"/>
  <c r="H1182" i="3"/>
  <c r="H1183" i="3"/>
  <c r="C1183" i="3" s="1"/>
  <c r="H1184" i="3"/>
  <c r="C1184" i="3" s="1"/>
  <c r="H1185" i="3"/>
  <c r="C1185" i="3" s="1"/>
  <c r="H1186" i="3"/>
  <c r="C1186" i="3" s="1"/>
  <c r="H1187" i="3"/>
  <c r="C1187" i="3" s="1"/>
  <c r="H1188" i="3"/>
  <c r="C1188" i="3" s="1"/>
  <c r="C1189" i="3"/>
  <c r="H1189" i="3"/>
  <c r="H1190" i="3"/>
  <c r="C1190" i="3" s="1"/>
  <c r="H1191" i="3"/>
  <c r="C1191" i="3" s="1"/>
  <c r="C1192" i="3"/>
  <c r="H1192" i="3"/>
  <c r="H1193" i="3"/>
  <c r="C1193" i="3" s="1"/>
  <c r="H1194" i="3"/>
  <c r="C1194" i="3" s="1"/>
  <c r="H1195" i="3"/>
  <c r="C1195" i="3" s="1"/>
  <c r="H1196" i="3"/>
  <c r="C1196" i="3" s="1"/>
  <c r="H1197" i="3"/>
  <c r="C1197" i="3" s="1"/>
  <c r="C1198" i="3"/>
  <c r="H1198" i="3"/>
  <c r="H1199" i="3"/>
  <c r="C1199" i="3" s="1"/>
  <c r="C1200" i="3"/>
  <c r="H1200" i="3"/>
  <c r="H1201" i="3"/>
  <c r="C1201" i="3" s="1"/>
  <c r="H1202" i="3"/>
  <c r="C1202" i="3" s="1"/>
  <c r="C1203" i="3"/>
  <c r="H1203" i="3"/>
  <c r="H1204" i="3"/>
  <c r="C1204" i="3" s="1"/>
  <c r="H1205" i="3"/>
  <c r="C1205" i="3" s="1"/>
  <c r="H1206" i="3"/>
  <c r="C1206" i="3" s="1"/>
  <c r="H1207" i="3"/>
  <c r="C1207" i="3" s="1"/>
  <c r="H1208" i="3"/>
  <c r="C1208" i="3" s="1"/>
  <c r="C1209" i="3"/>
  <c r="H1209" i="3"/>
  <c r="H1210" i="3"/>
  <c r="C1210" i="3" s="1"/>
  <c r="C1211" i="3"/>
  <c r="H1211" i="3"/>
  <c r="H1212" i="3"/>
  <c r="C1212" i="3" s="1"/>
  <c r="H1213" i="3"/>
  <c r="C1213" i="3" s="1"/>
  <c r="H1214" i="3"/>
  <c r="C1214" i="3" s="1"/>
  <c r="H1215" i="3"/>
  <c r="C1215" i="3" s="1"/>
  <c r="C1216" i="3"/>
  <c r="H1216" i="3"/>
  <c r="C1217" i="3"/>
  <c r="H1217" i="3"/>
  <c r="H1218" i="3"/>
  <c r="C1218" i="3" s="1"/>
  <c r="H1219" i="3"/>
  <c r="C1219" i="3" s="1"/>
  <c r="H1220" i="3"/>
  <c r="C1220" i="3" s="1"/>
  <c r="H1221" i="3"/>
  <c r="C1221" i="3" s="1"/>
  <c r="H1222" i="3"/>
  <c r="C1222" i="3" s="1"/>
  <c r="H1223" i="3"/>
  <c r="C1223" i="3" s="1"/>
  <c r="H1224" i="3"/>
  <c r="C1224" i="3" s="1"/>
  <c r="C1225" i="3"/>
  <c r="H1225" i="3"/>
  <c r="H1226" i="3"/>
  <c r="C1226" i="3" s="1"/>
  <c r="H1227" i="3"/>
  <c r="C1227" i="3" s="1"/>
  <c r="H1228" i="3"/>
  <c r="C1228" i="3" s="1"/>
  <c r="H1229" i="3"/>
  <c r="C1229" i="3" s="1"/>
  <c r="H1230" i="3"/>
  <c r="C1230" i="3" s="1"/>
  <c r="H1231" i="3"/>
  <c r="C1231" i="3" s="1"/>
  <c r="H1232" i="3"/>
  <c r="C1232" i="3" s="1"/>
  <c r="H1233" i="3"/>
  <c r="C1233" i="3" s="1"/>
  <c r="H1234" i="3"/>
  <c r="C1234" i="3" s="1"/>
  <c r="C1235" i="3"/>
  <c r="H1235" i="3"/>
  <c r="H1236" i="3"/>
  <c r="C1236" i="3" s="1"/>
  <c r="H1237" i="3"/>
  <c r="C1237" i="3" s="1"/>
  <c r="H1238" i="3"/>
  <c r="C1238" i="3" s="1"/>
  <c r="H1239" i="3"/>
  <c r="C1239" i="3" s="1"/>
  <c r="H1240" i="3"/>
  <c r="C1240" i="3" s="1"/>
  <c r="H1241" i="3"/>
  <c r="C1241" i="3" s="1"/>
  <c r="H1242" i="3"/>
  <c r="C1242" i="3" s="1"/>
  <c r="H1243" i="3"/>
  <c r="C1243" i="3" s="1"/>
  <c r="C1244" i="3"/>
  <c r="H1244" i="3"/>
  <c r="H1245" i="3"/>
  <c r="C1245" i="3" s="1"/>
  <c r="C1246" i="3"/>
  <c r="H1246" i="3"/>
  <c r="H1247" i="3"/>
  <c r="C1247" i="3" s="1"/>
  <c r="H1248" i="3"/>
  <c r="C1248" i="3" s="1"/>
  <c r="C1249" i="3"/>
  <c r="H1249" i="3"/>
  <c r="H1250" i="3"/>
  <c r="C1250" i="3" s="1"/>
  <c r="H1251" i="3"/>
  <c r="C1251" i="3" s="1"/>
  <c r="H1252" i="3"/>
  <c r="C1252" i="3" s="1"/>
  <c r="C1253" i="3"/>
  <c r="H1253" i="3"/>
  <c r="H1254" i="3"/>
  <c r="C1254" i="3" s="1"/>
  <c r="H1255" i="3"/>
  <c r="C1255" i="3" s="1"/>
  <c r="H1256" i="3"/>
  <c r="C1256" i="3" s="1"/>
  <c r="H1257" i="3"/>
  <c r="C1257" i="3" s="1"/>
  <c r="H1258" i="3"/>
  <c r="C1258" i="3" s="1"/>
  <c r="H1259" i="3"/>
  <c r="C1259" i="3" s="1"/>
  <c r="H1260" i="3"/>
  <c r="C1260" i="3" s="1"/>
  <c r="H1261" i="3"/>
  <c r="C1261" i="3" s="1"/>
  <c r="C1262" i="3"/>
  <c r="H1262" i="3"/>
  <c r="H1263" i="3"/>
  <c r="C1263" i="3" s="1"/>
  <c r="H1264" i="3"/>
  <c r="C1264" i="3" s="1"/>
  <c r="H1265" i="3"/>
  <c r="C1265" i="3" s="1"/>
  <c r="H1266" i="3"/>
  <c r="C1266" i="3" s="1"/>
  <c r="H1267" i="3"/>
  <c r="C1267" i="3" s="1"/>
  <c r="H1268" i="3"/>
  <c r="C1268" i="3" s="1"/>
  <c r="H1269" i="3"/>
  <c r="C1269" i="3" s="1"/>
  <c r="H1270" i="3"/>
  <c r="C1270" i="3" s="1"/>
  <c r="H1271" i="3"/>
  <c r="C1271" i="3" s="1"/>
  <c r="H1272" i="3"/>
  <c r="C1272" i="3" s="1"/>
  <c r="C1273" i="3"/>
  <c r="H1273" i="3"/>
  <c r="H1274" i="3"/>
  <c r="C1274" i="3" s="1"/>
  <c r="H1275" i="3"/>
  <c r="C1275" i="3" s="1"/>
  <c r="H1276" i="3"/>
  <c r="C1276" i="3" s="1"/>
  <c r="H1277" i="3"/>
  <c r="C1277" i="3" s="1"/>
  <c r="H1278" i="3"/>
  <c r="C1278" i="3" s="1"/>
  <c r="H1279" i="3"/>
  <c r="C1279" i="3" s="1"/>
  <c r="H1280" i="3"/>
  <c r="C1280" i="3" s="1"/>
  <c r="H1281" i="3"/>
  <c r="C1281" i="3" s="1"/>
  <c r="H1282" i="3"/>
  <c r="C1282" i="3" s="1"/>
  <c r="H1283" i="3"/>
  <c r="C1283" i="3" s="1"/>
  <c r="H1284" i="3"/>
  <c r="C1284" i="3" s="1"/>
  <c r="H1285" i="3"/>
  <c r="C1285" i="3" s="1"/>
  <c r="H1286" i="3"/>
  <c r="C1286" i="3" s="1"/>
  <c r="H1287" i="3"/>
  <c r="C1287" i="3" s="1"/>
  <c r="C1288" i="3"/>
  <c r="H1288" i="3"/>
  <c r="C1289" i="3"/>
  <c r="H1289" i="3"/>
  <c r="H1290" i="3"/>
  <c r="C1290" i="3" s="1"/>
  <c r="H1291" i="3"/>
  <c r="C1291" i="3" s="1"/>
  <c r="H1292" i="3"/>
  <c r="C1292" i="3" s="1"/>
  <c r="H1293" i="3"/>
  <c r="C1293" i="3" s="1"/>
  <c r="H1294" i="3"/>
  <c r="C1294" i="3" s="1"/>
  <c r="H1295" i="3"/>
  <c r="C1295" i="3" s="1"/>
  <c r="H1296" i="3"/>
  <c r="C1296" i="3" s="1"/>
  <c r="H1297" i="3"/>
  <c r="C1297" i="3" s="1"/>
  <c r="H1298" i="3"/>
  <c r="C1298" i="3" s="1"/>
  <c r="C1299" i="3"/>
  <c r="H1299" i="3"/>
  <c r="H1300" i="3"/>
  <c r="C1300" i="3" s="1"/>
  <c r="H1301" i="3"/>
  <c r="C1301" i="3" s="1"/>
  <c r="H1302" i="3"/>
  <c r="C1302" i="3" s="1"/>
  <c r="H1303" i="3"/>
  <c r="C1303" i="3" s="1"/>
  <c r="H1304" i="3"/>
  <c r="C1304" i="3" s="1"/>
  <c r="H1305" i="3"/>
  <c r="C1305" i="3" s="1"/>
  <c r="H1306" i="3"/>
  <c r="C1306" i="3" s="1"/>
  <c r="H1307" i="3"/>
  <c r="C1307" i="3" s="1"/>
  <c r="H1308" i="3"/>
  <c r="C1308" i="3" s="1"/>
  <c r="H1309" i="3"/>
  <c r="C1309" i="3" s="1"/>
  <c r="H1310" i="3"/>
  <c r="C1310" i="3" s="1"/>
  <c r="H1311" i="3"/>
  <c r="C1311" i="3" s="1"/>
  <c r="H1312" i="3"/>
  <c r="C1312" i="3" s="1"/>
  <c r="C1313" i="3"/>
  <c r="H1313" i="3"/>
  <c r="H1314" i="3"/>
  <c r="C1314" i="3" s="1"/>
  <c r="H1315" i="3"/>
  <c r="C1315" i="3" s="1"/>
  <c r="H1316" i="3"/>
  <c r="C1316" i="3" s="1"/>
  <c r="C1317" i="3"/>
  <c r="H1317" i="3"/>
  <c r="H1318" i="3"/>
  <c r="C1318" i="3" s="1"/>
  <c r="H1319" i="3"/>
  <c r="C1319" i="3" s="1"/>
  <c r="H1320" i="3"/>
  <c r="C1320" i="3" s="1"/>
  <c r="H1321" i="3"/>
  <c r="C1321" i="3" s="1"/>
  <c r="H1322" i="3"/>
  <c r="C1322" i="3" s="1"/>
  <c r="H1323" i="3"/>
  <c r="C1323" i="3" s="1"/>
  <c r="H1324" i="3"/>
  <c r="C1324" i="3" s="1"/>
  <c r="H1325" i="3"/>
  <c r="C1325" i="3" s="1"/>
  <c r="C1326" i="3"/>
  <c r="H1326" i="3"/>
  <c r="H1327" i="3"/>
  <c r="C1327" i="3" s="1"/>
  <c r="H1328" i="3"/>
  <c r="C1328" i="3" s="1"/>
  <c r="C1329" i="3"/>
  <c r="H1329" i="3"/>
  <c r="H1330" i="3"/>
  <c r="C1330" i="3" s="1"/>
  <c r="H1331" i="3"/>
  <c r="C1331" i="3" s="1"/>
  <c r="H1332" i="3"/>
  <c r="C1332" i="3" s="1"/>
  <c r="H1333" i="3"/>
  <c r="C1333" i="3" s="1"/>
  <c r="H1334" i="3"/>
  <c r="C1334" i="3" s="1"/>
  <c r="H1335" i="3"/>
  <c r="C1335" i="3" s="1"/>
  <c r="C1336" i="3"/>
  <c r="H1336" i="3"/>
  <c r="H1337" i="3"/>
  <c r="C1337" i="3" s="1"/>
  <c r="H1338" i="3"/>
  <c r="C1338" i="3" s="1"/>
  <c r="C1339" i="3"/>
  <c r="H1339" i="3"/>
  <c r="H1340" i="3"/>
  <c r="C1340" i="3" s="1"/>
  <c r="H1341" i="3"/>
  <c r="C1341" i="3" s="1"/>
  <c r="H1342" i="3"/>
  <c r="C1342" i="3" s="1"/>
  <c r="H1343" i="3"/>
  <c r="C1343" i="3" s="1"/>
  <c r="C1344" i="3"/>
  <c r="H1344" i="3"/>
  <c r="H1345" i="3"/>
  <c r="C1345" i="3" s="1"/>
  <c r="H1346" i="3"/>
  <c r="C1346" i="3" s="1"/>
  <c r="H1347" i="3"/>
  <c r="C1347" i="3" s="1"/>
  <c r="H1348" i="3"/>
  <c r="C1348" i="3" s="1"/>
  <c r="H1349" i="3"/>
  <c r="C1349" i="3" s="1"/>
  <c r="H1350" i="3"/>
  <c r="C1350" i="3" s="1"/>
  <c r="H1351" i="3"/>
  <c r="C1351" i="3" s="1"/>
  <c r="C1352" i="3"/>
  <c r="H1352" i="3"/>
  <c r="H1353" i="3"/>
  <c r="C1353" i="3" s="1"/>
  <c r="H1354" i="3"/>
  <c r="C1354" i="3" s="1"/>
  <c r="H1355" i="3"/>
  <c r="C1355" i="3" s="1"/>
  <c r="H1356" i="3"/>
  <c r="C1356" i="3" s="1"/>
  <c r="H1357" i="3"/>
  <c r="C1357" i="3" s="1"/>
  <c r="C1358" i="3"/>
  <c r="H1358" i="3"/>
  <c r="H1359" i="3"/>
  <c r="C1359" i="3" s="1"/>
  <c r="H1360" i="3"/>
  <c r="C1360" i="3" s="1"/>
  <c r="H1361" i="3"/>
  <c r="C1361" i="3" s="1"/>
  <c r="H1362" i="3"/>
  <c r="C1362" i="3" s="1"/>
  <c r="H1363" i="3"/>
  <c r="C1363" i="3" s="1"/>
  <c r="H1364" i="3"/>
  <c r="C1364" i="3" s="1"/>
  <c r="H1365" i="3"/>
  <c r="C1365" i="3" s="1"/>
  <c r="H1366" i="3"/>
  <c r="C1366" i="3" s="1"/>
  <c r="H1367" i="3"/>
  <c r="C1367" i="3" s="1"/>
  <c r="H1368" i="3"/>
  <c r="C1368" i="3" s="1"/>
  <c r="C1369" i="3"/>
  <c r="H1369" i="3"/>
  <c r="H1370" i="3"/>
  <c r="C1370" i="3" s="1"/>
  <c r="H1371" i="3"/>
  <c r="C1371" i="3" s="1"/>
  <c r="H1372" i="3"/>
  <c r="C1372" i="3" s="1"/>
  <c r="H1373" i="3"/>
  <c r="C1373" i="3" s="1"/>
  <c r="H1374" i="3"/>
  <c r="C1374" i="3" s="1"/>
  <c r="H1375" i="3"/>
  <c r="C1375" i="3" s="1"/>
  <c r="H1376" i="3"/>
  <c r="C1376" i="3" s="1"/>
  <c r="C1377" i="3"/>
  <c r="H1377" i="3"/>
  <c r="H1378" i="3"/>
  <c r="C1378" i="3" s="1"/>
  <c r="C1379" i="3"/>
  <c r="H1379" i="3"/>
  <c r="H1380" i="3"/>
  <c r="C1380" i="3" s="1"/>
  <c r="H1381" i="3"/>
  <c r="C1381" i="3" s="1"/>
  <c r="H1382" i="3"/>
  <c r="C1382" i="3" s="1"/>
  <c r="H1383" i="3"/>
  <c r="C1383" i="3" s="1"/>
  <c r="H1384" i="3"/>
  <c r="C1384" i="3" s="1"/>
  <c r="H1385" i="3"/>
  <c r="C1385" i="3" s="1"/>
  <c r="H1386" i="3"/>
  <c r="C1386" i="3" s="1"/>
  <c r="H1387" i="3"/>
  <c r="C1387" i="3" s="1"/>
  <c r="C1388" i="3"/>
  <c r="H1388" i="3"/>
  <c r="H1389" i="3"/>
  <c r="C1389" i="3" s="1"/>
  <c r="H1390" i="3"/>
  <c r="C1390" i="3" s="1"/>
  <c r="H1391" i="3"/>
  <c r="C1391" i="3" s="1"/>
  <c r="H1392" i="3"/>
  <c r="C1392" i="3" s="1"/>
  <c r="H1393" i="3"/>
  <c r="C1393" i="3" s="1"/>
  <c r="H1394" i="3"/>
  <c r="C1394" i="3" s="1"/>
  <c r="H1395" i="3"/>
  <c r="C1395" i="3" s="1"/>
  <c r="H1396" i="3"/>
  <c r="C1396" i="3" s="1"/>
  <c r="H1397" i="3"/>
  <c r="C1397" i="3" s="1"/>
  <c r="H1398" i="3"/>
  <c r="C1398" i="3" s="1"/>
  <c r="H1399" i="3"/>
  <c r="C1399" i="3" s="1"/>
  <c r="C1400" i="3"/>
  <c r="H1400" i="3"/>
  <c r="H1401" i="3"/>
  <c r="C1401" i="3" s="1"/>
  <c r="H1402" i="3"/>
  <c r="C1402" i="3" s="1"/>
  <c r="C1403" i="3"/>
  <c r="H1403" i="3"/>
  <c r="H1404" i="3"/>
  <c r="C1404" i="3" s="1"/>
  <c r="H1405" i="3"/>
  <c r="C1405" i="3" s="1"/>
  <c r="C1406" i="3"/>
  <c r="H1406" i="3"/>
  <c r="H1407" i="3"/>
  <c r="C1407" i="3" s="1"/>
  <c r="C1408" i="3"/>
  <c r="H1408" i="3"/>
  <c r="H1409" i="3"/>
  <c r="C1409" i="3" s="1"/>
  <c r="H1410" i="3"/>
  <c r="C1410" i="3" s="1"/>
  <c r="H1411" i="3"/>
  <c r="C1411" i="3" s="1"/>
  <c r="H1412" i="3"/>
  <c r="C1412" i="3" s="1"/>
  <c r="H1413" i="3"/>
  <c r="C1413" i="3" s="1"/>
  <c r="H1414" i="3"/>
  <c r="C1414" i="3" s="1"/>
  <c r="H1415" i="3"/>
  <c r="C1415" i="3" s="1"/>
  <c r="H1416" i="3"/>
  <c r="C1416" i="3" s="1"/>
  <c r="H1417" i="3"/>
  <c r="C1417" i="3" s="1"/>
  <c r="H1418" i="3"/>
  <c r="C1418" i="3" s="1"/>
  <c r="H1419" i="3"/>
  <c r="C1419" i="3" s="1"/>
  <c r="H1420" i="3"/>
  <c r="C1420" i="3" s="1"/>
  <c r="H1421" i="3"/>
  <c r="C1421" i="3" s="1"/>
  <c r="H1422" i="3"/>
  <c r="C1422" i="3" s="1"/>
  <c r="H1423" i="3"/>
  <c r="C1423" i="3" s="1"/>
  <c r="H1424" i="3"/>
  <c r="C1424" i="3" s="1"/>
  <c r="H1425" i="3"/>
  <c r="C1425" i="3" s="1"/>
  <c r="H1426" i="3"/>
  <c r="C1426" i="3" s="1"/>
  <c r="C1427" i="3"/>
  <c r="H1427" i="3"/>
  <c r="H1428" i="3"/>
  <c r="C1428" i="3" s="1"/>
  <c r="C1429" i="3"/>
  <c r="H1429" i="3"/>
  <c r="H1430" i="3"/>
  <c r="C1430" i="3" s="1"/>
  <c r="H1431" i="3"/>
  <c r="C1431" i="3" s="1"/>
  <c r="H1432" i="3"/>
  <c r="C1432" i="3" s="1"/>
  <c r="H1433" i="3"/>
  <c r="C1433" i="3" s="1"/>
  <c r="H1434" i="3"/>
  <c r="C1434" i="3" s="1"/>
  <c r="H1435" i="3"/>
  <c r="C1435" i="3" s="1"/>
  <c r="H1436" i="3"/>
  <c r="C1436" i="3" s="1"/>
  <c r="H1437" i="3"/>
  <c r="C1437" i="3" s="1"/>
  <c r="H1438" i="3"/>
  <c r="C1438" i="3" s="1"/>
  <c r="H1439" i="3"/>
  <c r="C1439" i="3" s="1"/>
  <c r="H1440" i="3"/>
  <c r="C1440" i="3" s="1"/>
  <c r="C1441" i="3"/>
  <c r="H1441" i="3"/>
  <c r="H1442" i="3"/>
  <c r="C1442" i="3" s="1"/>
  <c r="H1443" i="3"/>
  <c r="C1443" i="3" s="1"/>
  <c r="H1444" i="3"/>
  <c r="C1444" i="3" s="1"/>
  <c r="C1445" i="3"/>
  <c r="H1445" i="3"/>
  <c r="H1446" i="3"/>
  <c r="C1446" i="3" s="1"/>
  <c r="H1447" i="3"/>
  <c r="C1447" i="3" s="1"/>
  <c r="C1448" i="3"/>
  <c r="H1448" i="3"/>
  <c r="H1449" i="3"/>
  <c r="C1449" i="3" s="1"/>
  <c r="H1450" i="3"/>
  <c r="C1450" i="3" s="1"/>
  <c r="H1451" i="3"/>
  <c r="C1451" i="3" s="1"/>
  <c r="H1452" i="3"/>
  <c r="C1452" i="3" s="1"/>
  <c r="H1453" i="3"/>
  <c r="C1453" i="3" s="1"/>
  <c r="C1454" i="3"/>
  <c r="H1454" i="3"/>
  <c r="H1455" i="3"/>
  <c r="C1455" i="3" s="1"/>
  <c r="H1456" i="3"/>
  <c r="C1456" i="3" s="1"/>
  <c r="H1457" i="3"/>
  <c r="C1457" i="3" s="1"/>
  <c r="H1458" i="3"/>
  <c r="C1458" i="3" s="1"/>
  <c r="H1459" i="3"/>
  <c r="C1459" i="3" s="1"/>
  <c r="H1460" i="3"/>
  <c r="C1460" i="3" s="1"/>
  <c r="H1461" i="3"/>
  <c r="C1461" i="3" s="1"/>
  <c r="H1462" i="3"/>
  <c r="C1462" i="3" s="1"/>
  <c r="H1463" i="3"/>
  <c r="C1463" i="3" s="1"/>
  <c r="C1464" i="3"/>
  <c r="H1464" i="3"/>
  <c r="C1465" i="3"/>
  <c r="H1465" i="3"/>
  <c r="H1466" i="3"/>
  <c r="C1466" i="3" s="1"/>
  <c r="H1467" i="3"/>
  <c r="C1467" i="3" s="1"/>
  <c r="C1468" i="3"/>
  <c r="H1468" i="3"/>
  <c r="H1469" i="3"/>
  <c r="C1469" i="3" s="1"/>
  <c r="H1470" i="3"/>
  <c r="C1470" i="3" s="1"/>
  <c r="H1471" i="3"/>
  <c r="C1471" i="3" s="1"/>
  <c r="H1472" i="3"/>
  <c r="C1472" i="3" s="1"/>
  <c r="C1473" i="3"/>
  <c r="H1473" i="3"/>
  <c r="H1474" i="3"/>
  <c r="C1474" i="3" s="1"/>
  <c r="H1475" i="3"/>
  <c r="C1475" i="3" s="1"/>
  <c r="H1476" i="3"/>
  <c r="C1476" i="3" s="1"/>
  <c r="C1477" i="3"/>
  <c r="H1477" i="3"/>
  <c r="H1478" i="3"/>
  <c r="C1478" i="3" s="1"/>
  <c r="H1479" i="3"/>
  <c r="C1479" i="3" s="1"/>
  <c r="H1480" i="3"/>
  <c r="C1480" i="3" s="1"/>
  <c r="C1481" i="3"/>
  <c r="H1481" i="3"/>
  <c r="H1482" i="3"/>
  <c r="C1482" i="3" s="1"/>
  <c r="H1483" i="3"/>
  <c r="C1483" i="3" s="1"/>
  <c r="H1484" i="3"/>
  <c r="C1484" i="3" s="1"/>
  <c r="C1485" i="3"/>
  <c r="H1485" i="3"/>
  <c r="H1486" i="3"/>
  <c r="C1486" i="3" s="1"/>
  <c r="H1487" i="3"/>
  <c r="C1487" i="3" s="1"/>
  <c r="H1488" i="3"/>
  <c r="C1488" i="3" s="1"/>
  <c r="C1489" i="3"/>
  <c r="H1489" i="3"/>
  <c r="H1490" i="3"/>
  <c r="C1490" i="3" s="1"/>
  <c r="C1491" i="3"/>
  <c r="H1491" i="3"/>
  <c r="H1492" i="3"/>
  <c r="C1492" i="3" s="1"/>
  <c r="C1493" i="3"/>
  <c r="H1493" i="3"/>
  <c r="H1494" i="3"/>
  <c r="C1494" i="3" s="1"/>
  <c r="H1495" i="3"/>
  <c r="C1495" i="3" s="1"/>
  <c r="C1496" i="3"/>
  <c r="H1496" i="3"/>
  <c r="C1497" i="3"/>
  <c r="H1497" i="3"/>
  <c r="H1498" i="3"/>
  <c r="C1498" i="3" s="1"/>
  <c r="H1499" i="3"/>
  <c r="C1499" i="3" s="1"/>
  <c r="C1500" i="3"/>
  <c r="H1500" i="3"/>
  <c r="H1501" i="3"/>
  <c r="C1501" i="3" s="1"/>
  <c r="H1502" i="3"/>
  <c r="C1502" i="3" s="1"/>
  <c r="H1503" i="3"/>
  <c r="C1503" i="3" s="1"/>
  <c r="H1504" i="3"/>
  <c r="C1504" i="3" s="1"/>
  <c r="C1505" i="3"/>
  <c r="H1505" i="3"/>
  <c r="H1506" i="3"/>
  <c r="C1506" i="3" s="1"/>
  <c r="H1507" i="3"/>
  <c r="C1507" i="3" s="1"/>
  <c r="H1508" i="3"/>
  <c r="C1508" i="3" s="1"/>
  <c r="C1509" i="3"/>
  <c r="H1509" i="3"/>
  <c r="H1510" i="3"/>
  <c r="C1510" i="3" s="1"/>
  <c r="H1511" i="3"/>
  <c r="C1511" i="3" s="1"/>
  <c r="H1512" i="3"/>
  <c r="C1512" i="3" s="1"/>
  <c r="H1513" i="3"/>
  <c r="C1513" i="3" s="1"/>
  <c r="H1514" i="3"/>
  <c r="C1514" i="3" s="1"/>
  <c r="H1515" i="3"/>
  <c r="C1515" i="3" s="1"/>
  <c r="H1516" i="3"/>
  <c r="C1516" i="3" s="1"/>
  <c r="H1517" i="3"/>
  <c r="C1517" i="3" s="1"/>
  <c r="C1518" i="3"/>
  <c r="H1518" i="3"/>
  <c r="H1519" i="3"/>
  <c r="C1519" i="3" s="1"/>
  <c r="H1520" i="3"/>
  <c r="C1520" i="3" s="1"/>
  <c r="C1521" i="3"/>
  <c r="H1521" i="3"/>
  <c r="H1522" i="3"/>
  <c r="C1522" i="3" s="1"/>
  <c r="H1523" i="3"/>
  <c r="C1523" i="3" s="1"/>
  <c r="H1524" i="3"/>
  <c r="C1524" i="3" s="1"/>
  <c r="H1525" i="3"/>
  <c r="C1525" i="3" s="1"/>
  <c r="H1526" i="3"/>
  <c r="C1526" i="3" s="1"/>
  <c r="H1527" i="3"/>
  <c r="C1527" i="3" s="1"/>
  <c r="C1528" i="3"/>
  <c r="H1528" i="3"/>
  <c r="H1529" i="3"/>
  <c r="C1529" i="3" s="1"/>
  <c r="H1530" i="3"/>
  <c r="C1530" i="3" s="1"/>
  <c r="H1531" i="3"/>
  <c r="C1531" i="3" s="1"/>
  <c r="H1532" i="3"/>
  <c r="C1532" i="3" s="1"/>
  <c r="H1533" i="3"/>
  <c r="C1533" i="3" s="1"/>
  <c r="H1534" i="3"/>
  <c r="C1534" i="3" s="1"/>
  <c r="H1535" i="3"/>
  <c r="C1535" i="3" s="1"/>
  <c r="H1536" i="3"/>
  <c r="C1536" i="3" s="1"/>
  <c r="H1537" i="3"/>
  <c r="C1537" i="3" s="1"/>
  <c r="H1538" i="3"/>
  <c r="C1538" i="3" s="1"/>
  <c r="H1539" i="3"/>
  <c r="C1539" i="3" s="1"/>
  <c r="H1540" i="3"/>
  <c r="C1540" i="3" s="1"/>
  <c r="H1541" i="3"/>
  <c r="C1541" i="3" s="1"/>
  <c r="H1542" i="3"/>
  <c r="C1542" i="3" s="1"/>
  <c r="H1543" i="3"/>
  <c r="C1543" i="3" s="1"/>
  <c r="C1544" i="3"/>
  <c r="H1544" i="3"/>
  <c r="H1545" i="3"/>
  <c r="C1545" i="3" s="1"/>
  <c r="H1546" i="3"/>
  <c r="C1546" i="3" s="1"/>
  <c r="H1547" i="3"/>
  <c r="C1547" i="3" s="1"/>
  <c r="H1548" i="3"/>
  <c r="C1548" i="3" s="1"/>
  <c r="H1549" i="3"/>
  <c r="C1549" i="3" s="1"/>
  <c r="H1550" i="3"/>
  <c r="C1550" i="3" s="1"/>
  <c r="H1551" i="3"/>
  <c r="C1551" i="3" s="1"/>
  <c r="H1552" i="3"/>
  <c r="C1552" i="3" s="1"/>
  <c r="H1553" i="3"/>
  <c r="C1553" i="3" s="1"/>
  <c r="H1554" i="3"/>
  <c r="C1554" i="3" s="1"/>
  <c r="H1555" i="3"/>
  <c r="C1555" i="3" s="1"/>
  <c r="H1556" i="3"/>
  <c r="C1556" i="3" s="1"/>
  <c r="H1557" i="3"/>
  <c r="C1557" i="3" s="1"/>
  <c r="H1558" i="3"/>
  <c r="C1558" i="3" s="1"/>
  <c r="H1559" i="3"/>
  <c r="C1559" i="3" s="1"/>
  <c r="C1560" i="3"/>
  <c r="H1560" i="3"/>
  <c r="H1561" i="3"/>
  <c r="C1561" i="3" s="1"/>
  <c r="H1562" i="3"/>
  <c r="C1562" i="3" s="1"/>
  <c r="H1563" i="3"/>
  <c r="C1563" i="3" s="1"/>
  <c r="C1564" i="3"/>
  <c r="H1564" i="3"/>
  <c r="H1565" i="3"/>
  <c r="C1565" i="3" s="1"/>
  <c r="C1566" i="3"/>
  <c r="H1566" i="3"/>
  <c r="H1567" i="3"/>
  <c r="C1567" i="3" s="1"/>
  <c r="H1568" i="3"/>
  <c r="C1568" i="3" s="1"/>
  <c r="C1569" i="3"/>
  <c r="H1569" i="3"/>
  <c r="H1570" i="3"/>
  <c r="C1570" i="3" s="1"/>
  <c r="C1571" i="3"/>
  <c r="H1571" i="3"/>
  <c r="H1572" i="3"/>
  <c r="C1572" i="3" s="1"/>
  <c r="H1573" i="3"/>
  <c r="C1573" i="3" s="1"/>
  <c r="H1574" i="3"/>
  <c r="C1574" i="3" s="1"/>
  <c r="H1575" i="3"/>
  <c r="C1575" i="3" s="1"/>
  <c r="H1576" i="3"/>
  <c r="C1576" i="3" s="1"/>
  <c r="H1577" i="3"/>
  <c r="C1577" i="3" s="1"/>
  <c r="H1578" i="3"/>
  <c r="C1578" i="3" s="1"/>
  <c r="H1579" i="3"/>
  <c r="C1579" i="3" s="1"/>
  <c r="H1580" i="3"/>
  <c r="C1580" i="3" s="1"/>
  <c r="H1581" i="3"/>
  <c r="C1581" i="3" s="1"/>
  <c r="H1582" i="3"/>
  <c r="C1582" i="3" s="1"/>
  <c r="H1583" i="3"/>
  <c r="C1583" i="3" s="1"/>
  <c r="H1584" i="3"/>
  <c r="C1584" i="3" s="1"/>
  <c r="H1585" i="3"/>
  <c r="C1585" i="3" s="1"/>
  <c r="H1586" i="3"/>
  <c r="C1586" i="3" s="1"/>
  <c r="C1587" i="3"/>
  <c r="H1587" i="3"/>
  <c r="H1588" i="3"/>
  <c r="C1588" i="3" s="1"/>
  <c r="H1589" i="3"/>
  <c r="C1589" i="3" s="1"/>
  <c r="H1590" i="3"/>
  <c r="C1590" i="3" s="1"/>
  <c r="H1591" i="3"/>
  <c r="C1591" i="3" s="1"/>
  <c r="H1592" i="3"/>
  <c r="C1592" i="3" s="1"/>
  <c r="H1593" i="3"/>
  <c r="C1593" i="3" s="1"/>
  <c r="H1594" i="3"/>
  <c r="C1594" i="3" s="1"/>
  <c r="H1595" i="3"/>
  <c r="C1595" i="3" s="1"/>
  <c r="H1596" i="3"/>
  <c r="C1596" i="3" s="1"/>
  <c r="H1597" i="3"/>
  <c r="C1597" i="3" s="1"/>
  <c r="H1598" i="3"/>
  <c r="C1598" i="3" s="1"/>
  <c r="H1599" i="3"/>
  <c r="C1599" i="3" s="1"/>
  <c r="C1600" i="3"/>
  <c r="H1600" i="3"/>
  <c r="C1601" i="3"/>
  <c r="H1601" i="3"/>
  <c r="H1602" i="3"/>
  <c r="C1602" i="3" s="1"/>
  <c r="H1603" i="3"/>
  <c r="C1603" i="3" s="1"/>
  <c r="H1604" i="3"/>
  <c r="C1604" i="3" s="1"/>
  <c r="C1605" i="3"/>
  <c r="H1605" i="3"/>
  <c r="H1606" i="3"/>
  <c r="C1606" i="3" s="1"/>
  <c r="H1607" i="3"/>
  <c r="C1607" i="3" s="1"/>
  <c r="C1608" i="3"/>
  <c r="H1608" i="3"/>
  <c r="H1609" i="3"/>
  <c r="C1609" i="3" s="1"/>
  <c r="H1610" i="3"/>
  <c r="C1610" i="3" s="1"/>
  <c r="H1611" i="3"/>
  <c r="C1611" i="3" s="1"/>
  <c r="H1612" i="3"/>
  <c r="C1612" i="3" s="1"/>
  <c r="H1613" i="3"/>
  <c r="C1613" i="3" s="1"/>
  <c r="H1614" i="3"/>
  <c r="C1614" i="3" s="1"/>
  <c r="H1615" i="3"/>
  <c r="C1615" i="3" s="1"/>
  <c r="H1616" i="3"/>
  <c r="C1616" i="3" s="1"/>
  <c r="H1617" i="3"/>
  <c r="C1617" i="3" s="1"/>
  <c r="H1618" i="3"/>
  <c r="C1618" i="3" s="1"/>
  <c r="C1619" i="3"/>
  <c r="H1619" i="3"/>
  <c r="H1620" i="3"/>
  <c r="C1620" i="3" s="1"/>
  <c r="H1621" i="3"/>
  <c r="C1621" i="3" s="1"/>
  <c r="H1622" i="3"/>
  <c r="C1622" i="3" s="1"/>
  <c r="C1623" i="3"/>
  <c r="H1623" i="3"/>
  <c r="H1624" i="3"/>
  <c r="C1624" i="3" s="1"/>
  <c r="H1625" i="3"/>
  <c r="C1625" i="3" s="1"/>
  <c r="H1626" i="3"/>
  <c r="C1626" i="3" s="1"/>
  <c r="C1627" i="3"/>
  <c r="H1627" i="3"/>
  <c r="H1628" i="3"/>
  <c r="C1628" i="3" s="1"/>
  <c r="H1629" i="3"/>
  <c r="C1629" i="3" s="1"/>
  <c r="H1630" i="3"/>
  <c r="C1630" i="3" s="1"/>
  <c r="H1631" i="3"/>
  <c r="C1631" i="3" s="1"/>
  <c r="H1632" i="3"/>
  <c r="C1632" i="3" s="1"/>
  <c r="H1633" i="3"/>
  <c r="C1633" i="3" s="1"/>
  <c r="H1634" i="3"/>
  <c r="C1634" i="3" s="1"/>
  <c r="C1635" i="3"/>
  <c r="H1635" i="3"/>
  <c r="H1636" i="3"/>
  <c r="C1636" i="3" s="1"/>
  <c r="H1637" i="3"/>
  <c r="C1637" i="3" s="1"/>
  <c r="H1638" i="3"/>
  <c r="C1638" i="3" s="1"/>
  <c r="H1639" i="3"/>
  <c r="C1639" i="3" s="1"/>
  <c r="H1640" i="3"/>
  <c r="C1640" i="3" s="1"/>
  <c r="H1641" i="3"/>
  <c r="C1641" i="3" s="1"/>
  <c r="H1642" i="3"/>
  <c r="C1642" i="3" s="1"/>
  <c r="H1643" i="3"/>
  <c r="C1643" i="3" s="1"/>
  <c r="H1644" i="3"/>
  <c r="C1644" i="3" s="1"/>
  <c r="H1645" i="3"/>
  <c r="C1645" i="3" s="1"/>
  <c r="H1646" i="3"/>
  <c r="C1646" i="3" s="1"/>
  <c r="H1647" i="3"/>
  <c r="C1647" i="3" s="1"/>
  <c r="H1648" i="3"/>
  <c r="C1648" i="3" s="1"/>
  <c r="H1649" i="3"/>
  <c r="C1649" i="3" s="1"/>
  <c r="H1650" i="3"/>
  <c r="C1650" i="3" s="1"/>
  <c r="C1651" i="3"/>
  <c r="H1651" i="3"/>
  <c r="C1652" i="3"/>
  <c r="H1652" i="3"/>
  <c r="H1653" i="3"/>
  <c r="C1653" i="3" s="1"/>
  <c r="H1654" i="3"/>
  <c r="C1654" i="3" s="1"/>
  <c r="H1655" i="3"/>
  <c r="C1655" i="3" s="1"/>
  <c r="H1656" i="3"/>
  <c r="C1656" i="3" s="1"/>
  <c r="H1657" i="3"/>
  <c r="C1657" i="3" s="1"/>
  <c r="H1658" i="3"/>
  <c r="C1658" i="3" s="1"/>
  <c r="H1659" i="3"/>
  <c r="C1659" i="3" s="1"/>
  <c r="H1660" i="3"/>
  <c r="C1660" i="3" s="1"/>
  <c r="H1661" i="3"/>
  <c r="C1661" i="3" s="1"/>
  <c r="H1662" i="3"/>
  <c r="C1662" i="3" s="1"/>
  <c r="H1663" i="3"/>
  <c r="C1663" i="3" s="1"/>
  <c r="H1664" i="3"/>
  <c r="C1664" i="3" s="1"/>
  <c r="H1665" i="3"/>
  <c r="C1665" i="3" s="1"/>
  <c r="H1666" i="3"/>
  <c r="C1666" i="3" s="1"/>
  <c r="H1667" i="3"/>
  <c r="C1667" i="3" s="1"/>
  <c r="H1668" i="3"/>
  <c r="C1668" i="3" s="1"/>
  <c r="H1669" i="3"/>
  <c r="C1669" i="3" s="1"/>
  <c r="H1670" i="3"/>
  <c r="C1670" i="3" s="1"/>
  <c r="C1671" i="3"/>
  <c r="H1671" i="3"/>
  <c r="H1672" i="3"/>
  <c r="C1672" i="3" s="1"/>
  <c r="H1673" i="3"/>
  <c r="C1673" i="3" s="1"/>
  <c r="H1674" i="3"/>
  <c r="C1674" i="3" s="1"/>
  <c r="H1675" i="3"/>
  <c r="C1675" i="3" s="1"/>
  <c r="C1676" i="3"/>
  <c r="H1676" i="3"/>
  <c r="H1677" i="3"/>
  <c r="C1677" i="3" s="1"/>
  <c r="H1678" i="3"/>
  <c r="C1678" i="3" s="1"/>
  <c r="H1679" i="3"/>
  <c r="C1679" i="3" s="1"/>
  <c r="H1680" i="3"/>
  <c r="C1680" i="3" s="1"/>
  <c r="C1681" i="3"/>
  <c r="H1681" i="3"/>
  <c r="H1682" i="3"/>
  <c r="C1682" i="3" s="1"/>
  <c r="C1683" i="3"/>
  <c r="H1683" i="3"/>
  <c r="H1684" i="3"/>
  <c r="C1684" i="3" s="1"/>
  <c r="H1685" i="3"/>
  <c r="C1685" i="3" s="1"/>
  <c r="H1686" i="3"/>
  <c r="C1686" i="3" s="1"/>
  <c r="H1687" i="3"/>
  <c r="C1687" i="3" s="1"/>
  <c r="H1688" i="3"/>
  <c r="C1688" i="3" s="1"/>
  <c r="H1689" i="3"/>
  <c r="C1689" i="3" s="1"/>
  <c r="H1690" i="3"/>
  <c r="C1690" i="3" s="1"/>
  <c r="H1691" i="3"/>
  <c r="C1691" i="3" s="1"/>
  <c r="H1692" i="3"/>
  <c r="C1692" i="3" s="1"/>
  <c r="H1693" i="3"/>
  <c r="C1693" i="3" s="1"/>
  <c r="H1694" i="3"/>
  <c r="C1694" i="3" s="1"/>
  <c r="H1695" i="3"/>
  <c r="C1695" i="3" s="1"/>
  <c r="H1696" i="3"/>
  <c r="C1696" i="3" s="1"/>
  <c r="H1697" i="3"/>
  <c r="C1697" i="3" s="1"/>
  <c r="H1698" i="3"/>
  <c r="C1698" i="3" s="1"/>
  <c r="H1699" i="3"/>
  <c r="C1699" i="3" s="1"/>
  <c r="H1700" i="3"/>
  <c r="C1700" i="3" s="1"/>
  <c r="H1701" i="3"/>
  <c r="C1701" i="3" s="1"/>
  <c r="H1702" i="3"/>
  <c r="C1702" i="3" s="1"/>
  <c r="H1703" i="3"/>
  <c r="C1703" i="3" s="1"/>
  <c r="C1704" i="3"/>
  <c r="H1704" i="3"/>
  <c r="H1705" i="3"/>
  <c r="C1705" i="3" s="1"/>
  <c r="H1706" i="3"/>
  <c r="C1706" i="3" s="1"/>
  <c r="H1707" i="3"/>
  <c r="C1707" i="3" s="1"/>
  <c r="H1708" i="3"/>
  <c r="C1708" i="3" s="1"/>
  <c r="H1709" i="3"/>
  <c r="C1709" i="3" s="1"/>
  <c r="H1710" i="3"/>
  <c r="C1710" i="3" s="1"/>
  <c r="H1711" i="3"/>
  <c r="C1711" i="3" s="1"/>
  <c r="H1712" i="3"/>
  <c r="C1712" i="3" s="1"/>
  <c r="H1713" i="3"/>
  <c r="C1713" i="3" s="1"/>
  <c r="H1714" i="3"/>
  <c r="C1714" i="3" s="1"/>
  <c r="H1715" i="3"/>
  <c r="C1715" i="3" s="1"/>
  <c r="H1716" i="3"/>
  <c r="C1716" i="3" s="1"/>
  <c r="H1717" i="3"/>
  <c r="C1717" i="3" s="1"/>
  <c r="H1718" i="3"/>
  <c r="C1718" i="3" s="1"/>
  <c r="C1719" i="3"/>
  <c r="H1719" i="3"/>
  <c r="H1720" i="3"/>
  <c r="C1720" i="3" s="1"/>
  <c r="H1721" i="3"/>
  <c r="C1721" i="3" s="1"/>
  <c r="H1722" i="3"/>
  <c r="C1722" i="3" s="1"/>
  <c r="H1723" i="3"/>
  <c r="C1723" i="3" s="1"/>
  <c r="H1724" i="3"/>
  <c r="C1724" i="3" s="1"/>
  <c r="H1725" i="3"/>
  <c r="C1725" i="3" s="1"/>
  <c r="H1726" i="3"/>
  <c r="C1726" i="3" s="1"/>
  <c r="H1727" i="3"/>
  <c r="C1727" i="3" s="1"/>
  <c r="H1728" i="3"/>
  <c r="C1728" i="3" s="1"/>
  <c r="H1729" i="3"/>
  <c r="C1729" i="3" s="1"/>
  <c r="H1730" i="3"/>
  <c r="C1730" i="3" s="1"/>
  <c r="H1731" i="3"/>
  <c r="C1731" i="3" s="1"/>
  <c r="H1732" i="3"/>
  <c r="C1732" i="3" s="1"/>
  <c r="C1733" i="3"/>
  <c r="H1733" i="3"/>
  <c r="C1734" i="3"/>
  <c r="H1734" i="3"/>
  <c r="C1735" i="3"/>
  <c r="H1735" i="3"/>
  <c r="H1736" i="3"/>
  <c r="C1736" i="3" s="1"/>
  <c r="H1737" i="3"/>
  <c r="C1737" i="3" s="1"/>
  <c r="H1738" i="3"/>
  <c r="C1738" i="3" s="1"/>
  <c r="H1739" i="3"/>
  <c r="C1739" i="3" s="1"/>
  <c r="H1740" i="3"/>
  <c r="C1740" i="3" s="1"/>
  <c r="H1741" i="3"/>
  <c r="C1741" i="3" s="1"/>
  <c r="H1742" i="3"/>
  <c r="C1742" i="3" s="1"/>
  <c r="H1743" i="3"/>
  <c r="C1743" i="3" s="1"/>
  <c r="H1744" i="3"/>
  <c r="C1744" i="3" s="1"/>
  <c r="H1745" i="3"/>
  <c r="C1745" i="3" s="1"/>
  <c r="H1746" i="3"/>
  <c r="C1746" i="3" s="1"/>
  <c r="H1747" i="3"/>
  <c r="C1747" i="3" s="1"/>
  <c r="H1748" i="3"/>
  <c r="C1748" i="3" s="1"/>
  <c r="H1749" i="3"/>
  <c r="C1749" i="3" s="1"/>
  <c r="C1750" i="3"/>
  <c r="H1750" i="3"/>
  <c r="H1751" i="3"/>
  <c r="C1751" i="3" s="1"/>
  <c r="H1752" i="3"/>
  <c r="C1752" i="3" s="1"/>
  <c r="H1753" i="3"/>
  <c r="C1753" i="3" s="1"/>
  <c r="H1754" i="3"/>
  <c r="C1754" i="3" s="1"/>
  <c r="C1755" i="3"/>
  <c r="H1755" i="3"/>
  <c r="H1756" i="3"/>
  <c r="C1756" i="3" s="1"/>
  <c r="C1757" i="3"/>
  <c r="H1757" i="3"/>
  <c r="H1758" i="3"/>
  <c r="C1758" i="3" s="1"/>
  <c r="H1759" i="3"/>
  <c r="C1759" i="3" s="1"/>
  <c r="H1760" i="3"/>
  <c r="C1760" i="3" s="1"/>
  <c r="H1761" i="3"/>
  <c r="C1761" i="3" s="1"/>
  <c r="H1762" i="3"/>
  <c r="C1762" i="3" s="1"/>
  <c r="H1763" i="3"/>
  <c r="C1763" i="3" s="1"/>
  <c r="H1764" i="3"/>
  <c r="C1764" i="3" s="1"/>
  <c r="H1765" i="3"/>
  <c r="C1765" i="3" s="1"/>
  <c r="H1766" i="3"/>
  <c r="C1766" i="3" s="1"/>
  <c r="H1767" i="3"/>
  <c r="C1767" i="3" s="1"/>
  <c r="H1768" i="3"/>
  <c r="C1768" i="3" s="1"/>
  <c r="H1769" i="3"/>
  <c r="C1769" i="3" s="1"/>
  <c r="H1770" i="3"/>
  <c r="C1770" i="3" s="1"/>
  <c r="H1771" i="3"/>
  <c r="C1771" i="3" s="1"/>
  <c r="H1772" i="3"/>
  <c r="C1772" i="3" s="1"/>
  <c r="H1773" i="3"/>
  <c r="C1773" i="3" s="1"/>
  <c r="H1774" i="3"/>
  <c r="C1774" i="3" s="1"/>
  <c r="H1775" i="3"/>
  <c r="C1775" i="3" s="1"/>
  <c r="C1776" i="3"/>
  <c r="H1776" i="3"/>
  <c r="H1777" i="3"/>
  <c r="C1777" i="3" s="1"/>
  <c r="H1778" i="3"/>
  <c r="C1778" i="3" s="1"/>
  <c r="C1779" i="3"/>
  <c r="H1779" i="3"/>
  <c r="H1780" i="3"/>
  <c r="C1780" i="3" s="1"/>
  <c r="H1781" i="3"/>
  <c r="C1781" i="3" s="1"/>
  <c r="H1782" i="3"/>
  <c r="C1782" i="3" s="1"/>
  <c r="C1783" i="3"/>
  <c r="H1783" i="3"/>
  <c r="H1784" i="3"/>
  <c r="C1784" i="3" s="1"/>
  <c r="C1785" i="3"/>
  <c r="H1785" i="3"/>
  <c r="H1786" i="3"/>
  <c r="C1786" i="3" s="1"/>
  <c r="H1787" i="3"/>
  <c r="C1787" i="3" s="1"/>
  <c r="H1788" i="3"/>
  <c r="C1788" i="3" s="1"/>
  <c r="C1789" i="3"/>
  <c r="H1789" i="3"/>
  <c r="H1790" i="3"/>
  <c r="C1790" i="3" s="1"/>
  <c r="H1791" i="3"/>
  <c r="C1791" i="3" s="1"/>
  <c r="H1792" i="3"/>
  <c r="C1792" i="3" s="1"/>
  <c r="H1793" i="3"/>
  <c r="C1793" i="3" s="1"/>
  <c r="H1794" i="3"/>
  <c r="C1794" i="3" s="1"/>
  <c r="C1795" i="3"/>
  <c r="H1795" i="3"/>
  <c r="H1796" i="3"/>
  <c r="C1796" i="3" s="1"/>
  <c r="H1797" i="3"/>
  <c r="C1797" i="3" s="1"/>
  <c r="H1798" i="3"/>
  <c r="C1798" i="3" s="1"/>
  <c r="C1799" i="3"/>
  <c r="H1799" i="3"/>
  <c r="C1800" i="3"/>
  <c r="H1800" i="3"/>
  <c r="H1801" i="3"/>
  <c r="C1801" i="3" s="1"/>
  <c r="H1802" i="3"/>
  <c r="C1802" i="3" s="1"/>
  <c r="H1803" i="3"/>
  <c r="C1803" i="3" s="1"/>
  <c r="H1804" i="3"/>
  <c r="C1804" i="3" s="1"/>
  <c r="H1805" i="3"/>
  <c r="C1805" i="3" s="1"/>
  <c r="H1806" i="3"/>
  <c r="C1806" i="3" s="1"/>
  <c r="H1807" i="3"/>
  <c r="C1807" i="3" s="1"/>
  <c r="C1808" i="3"/>
  <c r="H1808" i="3"/>
  <c r="H1809" i="3"/>
  <c r="C1809" i="3" s="1"/>
  <c r="H1810" i="3"/>
  <c r="C1810" i="3" s="1"/>
  <c r="C1811" i="3"/>
  <c r="H1811" i="3"/>
  <c r="H1812" i="3"/>
  <c r="C1812" i="3" s="1"/>
  <c r="H1813" i="3"/>
  <c r="C1813" i="3" s="1"/>
  <c r="H1814" i="3"/>
  <c r="C1814" i="3" s="1"/>
  <c r="H1815" i="3"/>
  <c r="C1815" i="3" s="1"/>
  <c r="H1816" i="3"/>
  <c r="C1816" i="3" s="1"/>
  <c r="H1817" i="3"/>
  <c r="C1817" i="3" s="1"/>
  <c r="H1818" i="3"/>
  <c r="C1818" i="3" s="1"/>
  <c r="H1819" i="3"/>
  <c r="C1819" i="3" s="1"/>
  <c r="H1820" i="3"/>
  <c r="C1820" i="3" s="1"/>
  <c r="H1821" i="3"/>
  <c r="C1821" i="3" s="1"/>
  <c r="H1822" i="3"/>
  <c r="C1822" i="3" s="1"/>
  <c r="C1823" i="3"/>
  <c r="H1823" i="3"/>
  <c r="H1824" i="3"/>
  <c r="C1824" i="3" s="1"/>
  <c r="H1825" i="3"/>
  <c r="C1825" i="3" s="1"/>
  <c r="H1826" i="3"/>
  <c r="C1826" i="3" s="1"/>
  <c r="H1827" i="3"/>
  <c r="C1827" i="3" s="1"/>
  <c r="H1828" i="3"/>
  <c r="C1828" i="3" s="1"/>
  <c r="H1829" i="3"/>
  <c r="C1829" i="3" s="1"/>
  <c r="C1830" i="3"/>
  <c r="H1830" i="3"/>
  <c r="H1831" i="3"/>
  <c r="C1831" i="3" s="1"/>
  <c r="C1832" i="3"/>
  <c r="H1832" i="3"/>
  <c r="H1833" i="3"/>
  <c r="C1833" i="3" s="1"/>
  <c r="H1834" i="3"/>
  <c r="C1834" i="3" s="1"/>
  <c r="H1835" i="3"/>
  <c r="C1835" i="3" s="1"/>
  <c r="H1836" i="3"/>
  <c r="C1836" i="3" s="1"/>
  <c r="H1837" i="3"/>
  <c r="C1837" i="3" s="1"/>
  <c r="H1838" i="3"/>
  <c r="C1838" i="3" s="1"/>
  <c r="H1839" i="3"/>
  <c r="C1839" i="3" s="1"/>
  <c r="H1840" i="3"/>
  <c r="C1840" i="3" s="1"/>
  <c r="H1841" i="3"/>
  <c r="C1841" i="3" s="1"/>
  <c r="H1842" i="3"/>
  <c r="C1842" i="3" s="1"/>
  <c r="H1843" i="3"/>
  <c r="C1843" i="3" s="1"/>
  <c r="H1844" i="3"/>
  <c r="C1844" i="3" s="1"/>
  <c r="C1845" i="3"/>
  <c r="H1845" i="3"/>
  <c r="H1846" i="3"/>
  <c r="C1846" i="3" s="1"/>
  <c r="H1847" i="3"/>
  <c r="C1847" i="3" s="1"/>
  <c r="C1848" i="3"/>
  <c r="H1848" i="3"/>
  <c r="C1849" i="3"/>
  <c r="H1849" i="3"/>
  <c r="H1850" i="3"/>
  <c r="C1850" i="3" s="1"/>
  <c r="C1851" i="3"/>
  <c r="H1851" i="3"/>
  <c r="H1852" i="3"/>
  <c r="C1852" i="3" s="1"/>
  <c r="H1853" i="3"/>
  <c r="C1853" i="3" s="1"/>
  <c r="H1854" i="3"/>
  <c r="C1854" i="3" s="1"/>
  <c r="H1855" i="3"/>
  <c r="C1855" i="3" s="1"/>
  <c r="H1856" i="3"/>
  <c r="C1856" i="3" s="1"/>
  <c r="C1857" i="3"/>
  <c r="H1857" i="3"/>
  <c r="H1858" i="3"/>
  <c r="C1858" i="3" s="1"/>
  <c r="H1859" i="3"/>
  <c r="C1859" i="3" s="1"/>
  <c r="C1860" i="3"/>
  <c r="H1860" i="3"/>
  <c r="H1861" i="3"/>
  <c r="C1861" i="3" s="1"/>
  <c r="H1862" i="3"/>
  <c r="C1862" i="3" s="1"/>
  <c r="C1863" i="3"/>
  <c r="H1863" i="3"/>
  <c r="H1864" i="3"/>
  <c r="C1864" i="3" s="1"/>
  <c r="H1865" i="3"/>
  <c r="C1865" i="3" s="1"/>
  <c r="H1866" i="3"/>
  <c r="C1866" i="3" s="1"/>
  <c r="H1867" i="3"/>
  <c r="C1867" i="3" s="1"/>
  <c r="H1868" i="3"/>
  <c r="C1868" i="3" s="1"/>
  <c r="C1869" i="3"/>
  <c r="H1869" i="3"/>
  <c r="H1870" i="3"/>
  <c r="C1870" i="3" s="1"/>
  <c r="H1871" i="3"/>
  <c r="C1871" i="3" s="1"/>
  <c r="H1872" i="3"/>
  <c r="C1872" i="3" s="1"/>
  <c r="H1873" i="3"/>
  <c r="C1873" i="3" s="1"/>
  <c r="H1874" i="3"/>
  <c r="C1874" i="3" s="1"/>
  <c r="H1875" i="3"/>
  <c r="C1875" i="3" s="1"/>
  <c r="H1876" i="3"/>
  <c r="C1876" i="3" s="1"/>
  <c r="H1877" i="3"/>
  <c r="C1877" i="3" s="1"/>
  <c r="C1878" i="3"/>
  <c r="H1878" i="3"/>
  <c r="H1879" i="3"/>
  <c r="C1879" i="3" s="1"/>
  <c r="H1880" i="3"/>
  <c r="C1880" i="3" s="1"/>
  <c r="C1881" i="3"/>
  <c r="H1881" i="3"/>
  <c r="H1882" i="3"/>
  <c r="C1882" i="3" s="1"/>
  <c r="H1883" i="3"/>
  <c r="C1883" i="3" s="1"/>
  <c r="H1884" i="3"/>
  <c r="C1884" i="3" s="1"/>
  <c r="H1885" i="3"/>
  <c r="C1885" i="3" s="1"/>
  <c r="H1886" i="3"/>
  <c r="C1886" i="3" s="1"/>
  <c r="H1887" i="3"/>
  <c r="C1887" i="3" s="1"/>
  <c r="H1888" i="3"/>
  <c r="C1888" i="3" s="1"/>
  <c r="H1889" i="3"/>
  <c r="C1889" i="3" s="1"/>
  <c r="H1890" i="3"/>
  <c r="C1890" i="3" s="1"/>
  <c r="H1891" i="3"/>
  <c r="C1891" i="3" s="1"/>
  <c r="H1892" i="3"/>
  <c r="C1892" i="3" s="1"/>
  <c r="C1893" i="3"/>
  <c r="H1893" i="3"/>
  <c r="H1894" i="3"/>
  <c r="C1894" i="3" s="1"/>
  <c r="H1895" i="3"/>
  <c r="C1895" i="3" s="1"/>
  <c r="C1896" i="3"/>
  <c r="H1896" i="3"/>
  <c r="C1897" i="3"/>
  <c r="H1897" i="3"/>
  <c r="H1898" i="3"/>
  <c r="C1898" i="3" s="1"/>
  <c r="C1899" i="3"/>
  <c r="H1899" i="3"/>
  <c r="H1900" i="3"/>
  <c r="C1900" i="3" s="1"/>
  <c r="C1901" i="3"/>
  <c r="H1901" i="3"/>
  <c r="H1902" i="3"/>
  <c r="C1902" i="3" s="1"/>
  <c r="H1903" i="3"/>
  <c r="C1903" i="3" s="1"/>
  <c r="C1904" i="3"/>
  <c r="H1904" i="3"/>
  <c r="H1905" i="3"/>
  <c r="C1905" i="3" s="1"/>
  <c r="H1906" i="3"/>
  <c r="C1906" i="3" s="1"/>
  <c r="H1907" i="3"/>
  <c r="C1907" i="3" s="1"/>
  <c r="C1908" i="3"/>
  <c r="H1908" i="3"/>
  <c r="H1909" i="3"/>
  <c r="C1909" i="3" s="1"/>
  <c r="H1910" i="3"/>
  <c r="C1910" i="3" s="1"/>
  <c r="H1911" i="3"/>
  <c r="C1911" i="3" s="1"/>
  <c r="H1912" i="3"/>
  <c r="C1912" i="3" s="1"/>
  <c r="H1913" i="3"/>
  <c r="C1913" i="3" s="1"/>
  <c r="H1914" i="3"/>
  <c r="C1914" i="3" s="1"/>
  <c r="C1915" i="3"/>
  <c r="H1915" i="3"/>
  <c r="H1916" i="3"/>
  <c r="C1916" i="3" s="1"/>
  <c r="H1917" i="3"/>
  <c r="C1917" i="3" s="1"/>
  <c r="H1918" i="3"/>
  <c r="C1918" i="3" s="1"/>
  <c r="H1919" i="3"/>
  <c r="C1919" i="3" s="1"/>
  <c r="C1920" i="3"/>
  <c r="H1920" i="3"/>
  <c r="H1921" i="3"/>
  <c r="C1921" i="3" s="1"/>
  <c r="H1922" i="3"/>
  <c r="C1922" i="3" s="1"/>
  <c r="H1923" i="3"/>
  <c r="C1923" i="3" s="1"/>
  <c r="H1924" i="3"/>
  <c r="C1924" i="3" s="1"/>
  <c r="H1925" i="3"/>
  <c r="C1925" i="3" s="1"/>
  <c r="C1926" i="3"/>
  <c r="H1926" i="3"/>
  <c r="H1927" i="3"/>
  <c r="C1927" i="3" s="1"/>
  <c r="C1928" i="3"/>
  <c r="H1928" i="3"/>
  <c r="C1929" i="3"/>
  <c r="H1929" i="3"/>
  <c r="H1930" i="3"/>
  <c r="C1930" i="3" s="1"/>
  <c r="H1931" i="3"/>
  <c r="C1931" i="3" s="1"/>
  <c r="H1932" i="3"/>
  <c r="C1932" i="3" s="1"/>
  <c r="H1933" i="3"/>
  <c r="C1933" i="3" s="1"/>
  <c r="C1934" i="3"/>
  <c r="H1934" i="3"/>
  <c r="H1935" i="3"/>
  <c r="C1935" i="3" s="1"/>
  <c r="H1936" i="3"/>
  <c r="C1936" i="3" s="1"/>
  <c r="H1937" i="3"/>
  <c r="C1937" i="3" s="1"/>
  <c r="H1938" i="3"/>
  <c r="C1938" i="3" s="1"/>
  <c r="H1939" i="3"/>
  <c r="C1939" i="3" s="1"/>
  <c r="H1940" i="3"/>
  <c r="C1940" i="3" s="1"/>
  <c r="C1941" i="3"/>
  <c r="H1941" i="3"/>
  <c r="H1942" i="3"/>
  <c r="C1942" i="3" s="1"/>
  <c r="H1943" i="3"/>
  <c r="C1943" i="3" s="1"/>
  <c r="H1944" i="3"/>
  <c r="C1944" i="3" s="1"/>
  <c r="H1945" i="3"/>
  <c r="C1945" i="3" s="1"/>
  <c r="H1946" i="3"/>
  <c r="C1946" i="3" s="1"/>
  <c r="H1947" i="3"/>
  <c r="C1947" i="3" s="1"/>
  <c r="H1948" i="3"/>
  <c r="C1948" i="3" s="1"/>
  <c r="H1949" i="3"/>
  <c r="C1949" i="3" s="1"/>
  <c r="C1950" i="3"/>
  <c r="H1950" i="3"/>
  <c r="H1951" i="3"/>
  <c r="C1951" i="3" s="1"/>
  <c r="H1952" i="3"/>
  <c r="C1952" i="3" s="1"/>
  <c r="H1953" i="3"/>
  <c r="C1953" i="3" s="1"/>
  <c r="H1954" i="3"/>
  <c r="C1954" i="3" s="1"/>
  <c r="H1955" i="3"/>
  <c r="C1955" i="3" s="1"/>
  <c r="H1956" i="3"/>
  <c r="C1956" i="3" s="1"/>
  <c r="H1957" i="3"/>
  <c r="C1957" i="3" s="1"/>
  <c r="H1958" i="3"/>
  <c r="C1958" i="3" s="1"/>
  <c r="H1959" i="3"/>
  <c r="C1959" i="3" s="1"/>
  <c r="H1960" i="3"/>
  <c r="C1960" i="3" s="1"/>
  <c r="C1961" i="3"/>
  <c r="H1961" i="3"/>
  <c r="H1962" i="3"/>
  <c r="C1962" i="3" s="1"/>
  <c r="H1963" i="3"/>
  <c r="C1963" i="3" s="1"/>
  <c r="H1964" i="3"/>
  <c r="C1964" i="3" s="1"/>
  <c r="H1965" i="3"/>
  <c r="C1965" i="3" s="1"/>
  <c r="C1966" i="3"/>
  <c r="H1966" i="3"/>
  <c r="H1967" i="3"/>
  <c r="C1967" i="3" s="1"/>
  <c r="H1968" i="3"/>
  <c r="C1968" i="3" s="1"/>
  <c r="H1969" i="3"/>
  <c r="C1969" i="3" s="1"/>
  <c r="H1970" i="3"/>
  <c r="C1970" i="3" s="1"/>
  <c r="H1971" i="3"/>
  <c r="C1971" i="3" s="1"/>
  <c r="H1972" i="3"/>
  <c r="C1972" i="3" s="1"/>
  <c r="H1973" i="3"/>
  <c r="C1973" i="3" s="1"/>
  <c r="H1974" i="3"/>
  <c r="C1974" i="3" s="1"/>
  <c r="H1975" i="3"/>
  <c r="C1975" i="3" s="1"/>
  <c r="H1976" i="3"/>
  <c r="C1976" i="3" s="1"/>
  <c r="H1977" i="3"/>
  <c r="C1977" i="3" s="1"/>
  <c r="H1978" i="3"/>
  <c r="C1978" i="3" s="1"/>
  <c r="H1979" i="3"/>
  <c r="C1979" i="3" s="1"/>
  <c r="C1980" i="3"/>
  <c r="H1980" i="3"/>
  <c r="H1981" i="3"/>
  <c r="C1981" i="3" s="1"/>
  <c r="H1982" i="3"/>
  <c r="C1982" i="3" s="1"/>
  <c r="H1983" i="3"/>
  <c r="C1983" i="3" s="1"/>
  <c r="H1984" i="3"/>
  <c r="C1984" i="3" s="1"/>
  <c r="H1985" i="3"/>
  <c r="C1985" i="3" s="1"/>
  <c r="H1986" i="3"/>
  <c r="C1986" i="3" s="1"/>
  <c r="C1987" i="3"/>
  <c r="H1987" i="3"/>
  <c r="C1988" i="3"/>
  <c r="H1988" i="3"/>
  <c r="C1989" i="3"/>
  <c r="H1989" i="3"/>
  <c r="H1990" i="3"/>
  <c r="C1990" i="3" s="1"/>
  <c r="H1991" i="3"/>
  <c r="C1991" i="3" s="1"/>
  <c r="H1992" i="3"/>
  <c r="C1992" i="3" s="1"/>
  <c r="H1993" i="3"/>
  <c r="C1993" i="3" s="1"/>
  <c r="H1994" i="3"/>
  <c r="C1994" i="3" s="1"/>
  <c r="H1995" i="3"/>
  <c r="C1995" i="3" s="1"/>
  <c r="H1996" i="3"/>
  <c r="C1996" i="3" s="1"/>
  <c r="H1997" i="3"/>
  <c r="C1997" i="3" s="1"/>
  <c r="H1998" i="3"/>
  <c r="C1998" i="3" s="1"/>
  <c r="H1999" i="3"/>
  <c r="C1999" i="3" s="1"/>
  <c r="H2000" i="3"/>
  <c r="C2000" i="3" s="1"/>
  <c r="H2001" i="3"/>
  <c r="C2001" i="3" s="1"/>
  <c r="H2002" i="3"/>
  <c r="C2002" i="3" s="1"/>
  <c r="H2003" i="3"/>
  <c r="C2003" i="3" s="1"/>
  <c r="H2004" i="3"/>
  <c r="C2004" i="3" s="1"/>
  <c r="H2005" i="3"/>
  <c r="C2005" i="3" s="1"/>
  <c r="H2006" i="3"/>
  <c r="C2006" i="3" s="1"/>
  <c r="H2007" i="3"/>
  <c r="C2007" i="3" s="1"/>
  <c r="H2008" i="3"/>
  <c r="C2008" i="3" s="1"/>
  <c r="C2009" i="3"/>
  <c r="H2009" i="3"/>
  <c r="H2010" i="3"/>
  <c r="C2010" i="3" s="1"/>
  <c r="H2011" i="3"/>
  <c r="C2011" i="3" s="1"/>
  <c r="H2012" i="3"/>
  <c r="C2012" i="3" s="1"/>
  <c r="C2013" i="3"/>
  <c r="H2013" i="3"/>
  <c r="H2014" i="3"/>
  <c r="C2014" i="3" s="1"/>
  <c r="H2015" i="3"/>
  <c r="C2015" i="3" s="1"/>
  <c r="H2016" i="3"/>
  <c r="C2016" i="3" s="1"/>
  <c r="C2017" i="3"/>
  <c r="H2017" i="3"/>
  <c r="H2018" i="3"/>
  <c r="C2018" i="3" s="1"/>
  <c r="H2019" i="3"/>
  <c r="C2019" i="3" s="1"/>
  <c r="H2020" i="3"/>
  <c r="C2020" i="3" s="1"/>
  <c r="H2021" i="3"/>
  <c r="C2021" i="3" s="1"/>
  <c r="H2022" i="3"/>
  <c r="C2022" i="3" s="1"/>
  <c r="H2023" i="3"/>
  <c r="C2023" i="3" s="1"/>
  <c r="H2024" i="3"/>
  <c r="C2024" i="3" s="1"/>
  <c r="H2025" i="3"/>
  <c r="C2025" i="3" s="1"/>
  <c r="H2026" i="3"/>
  <c r="C2026" i="3" s="1"/>
  <c r="H2027" i="3"/>
  <c r="C2027" i="3" s="1"/>
  <c r="H2028" i="3"/>
  <c r="C2028" i="3" s="1"/>
  <c r="C2029" i="3"/>
  <c r="H2029" i="3"/>
  <c r="H2030" i="3"/>
  <c r="C2030" i="3" s="1"/>
  <c r="H2031" i="3"/>
  <c r="C2031" i="3" s="1"/>
  <c r="H2032" i="3"/>
  <c r="C2032" i="3" s="1"/>
  <c r="H2033" i="3"/>
  <c r="C2033" i="3" s="1"/>
  <c r="H2034" i="3"/>
  <c r="C2034" i="3" s="1"/>
  <c r="C2035" i="3"/>
  <c r="H2035" i="3"/>
  <c r="H2036" i="3"/>
  <c r="C2036" i="3" s="1"/>
  <c r="H2037" i="3"/>
  <c r="C2037" i="3" s="1"/>
  <c r="H2038" i="3"/>
  <c r="C2038" i="3" s="1"/>
  <c r="H2039" i="3"/>
  <c r="C2039" i="3" s="1"/>
  <c r="H2040" i="3"/>
  <c r="C2040" i="3" s="1"/>
  <c r="C2041" i="3"/>
  <c r="H2041" i="3"/>
  <c r="H2042" i="3"/>
  <c r="C2042" i="3" s="1"/>
  <c r="H2043" i="3"/>
  <c r="C2043" i="3" s="1"/>
  <c r="C2044" i="3"/>
  <c r="H2044" i="3"/>
  <c r="H2045" i="3"/>
  <c r="C2045" i="3" s="1"/>
  <c r="H2046" i="3"/>
  <c r="C2046" i="3" s="1"/>
  <c r="H2047" i="3"/>
  <c r="C2047" i="3" s="1"/>
  <c r="H2048" i="3"/>
  <c r="C2048" i="3" s="1"/>
  <c r="C2049" i="3"/>
  <c r="H2049" i="3"/>
  <c r="H2050" i="3"/>
  <c r="C2050" i="3" s="1"/>
  <c r="H2051" i="3"/>
  <c r="C2051" i="3" s="1"/>
  <c r="H2052" i="3"/>
  <c r="C2052" i="3" s="1"/>
  <c r="H2053" i="3"/>
  <c r="C2053" i="3" s="1"/>
  <c r="H2054" i="3"/>
  <c r="C2054" i="3" s="1"/>
  <c r="C2055" i="3"/>
  <c r="H2055" i="3"/>
  <c r="H2056" i="3"/>
  <c r="C2056" i="3" s="1"/>
  <c r="H2057" i="3"/>
  <c r="C2057" i="3" s="1"/>
  <c r="H2058" i="3"/>
  <c r="C2058" i="3" s="1"/>
  <c r="H2059" i="3"/>
  <c r="C2059" i="3" s="1"/>
  <c r="H2060" i="3"/>
  <c r="C2060" i="3" s="1"/>
  <c r="H2061" i="3"/>
  <c r="C2061" i="3" s="1"/>
  <c r="H2062" i="3"/>
  <c r="C2062" i="3" s="1"/>
  <c r="H2063" i="3"/>
  <c r="C2063" i="3" s="1"/>
  <c r="C2064" i="3"/>
  <c r="H2064" i="3"/>
  <c r="H2065" i="3"/>
  <c r="C2065" i="3" s="1"/>
  <c r="H2066" i="3"/>
  <c r="C2066" i="3" s="1"/>
  <c r="C2067" i="3"/>
  <c r="H2067" i="3"/>
  <c r="C2068" i="3"/>
  <c r="H2068" i="3"/>
  <c r="H2069" i="3"/>
  <c r="C2069" i="3" s="1"/>
  <c r="H2070" i="3"/>
  <c r="C2070" i="3" s="1"/>
  <c r="C2071" i="3"/>
  <c r="H2071" i="3"/>
  <c r="H2072" i="3"/>
  <c r="C2072" i="3" s="1"/>
  <c r="H2073" i="3"/>
  <c r="C2073" i="3" s="1"/>
  <c r="H2074" i="3"/>
  <c r="C2074" i="3" s="1"/>
  <c r="H2075" i="3"/>
  <c r="C2075" i="3" s="1"/>
  <c r="H2076" i="3"/>
  <c r="C2076" i="3" s="1"/>
  <c r="H2077" i="3"/>
  <c r="C2077" i="3" s="1"/>
  <c r="H2078" i="3"/>
  <c r="C2078" i="3" s="1"/>
  <c r="H2079" i="3"/>
  <c r="C2079" i="3" s="1"/>
  <c r="C2080" i="3"/>
  <c r="H2080" i="3"/>
  <c r="H2081" i="3"/>
  <c r="C2081" i="3" s="1"/>
  <c r="H2082" i="3"/>
  <c r="C2082" i="3" s="1"/>
  <c r="C2083" i="3"/>
  <c r="H2083" i="3"/>
  <c r="H2084" i="3"/>
  <c r="C2084" i="3" s="1"/>
  <c r="H2085" i="3"/>
  <c r="C2085" i="3" s="1"/>
  <c r="H2086" i="3"/>
  <c r="C2086" i="3" s="1"/>
  <c r="C2087" i="3"/>
  <c r="H2087" i="3"/>
  <c r="H2088" i="3"/>
  <c r="C2088" i="3" s="1"/>
  <c r="H2089" i="3"/>
  <c r="C2089" i="3" s="1"/>
  <c r="H2090" i="3"/>
  <c r="C2090" i="3" s="1"/>
  <c r="H2091" i="3"/>
  <c r="C2091" i="3" s="1"/>
  <c r="C2092" i="3"/>
  <c r="H2092" i="3"/>
  <c r="H2093" i="3"/>
  <c r="C2093" i="3" s="1"/>
  <c r="H2094" i="3"/>
  <c r="C2094" i="3" s="1"/>
  <c r="H2095" i="3"/>
  <c r="C2095" i="3" s="1"/>
  <c r="H2096" i="3"/>
  <c r="C2096" i="3" s="1"/>
  <c r="C2097" i="3"/>
  <c r="H2097" i="3"/>
  <c r="H2098" i="3"/>
  <c r="C2098" i="3" s="1"/>
  <c r="H2099" i="3"/>
  <c r="C2099" i="3" s="1"/>
  <c r="H2100" i="3"/>
  <c r="C2100" i="3" s="1"/>
  <c r="H2101" i="3"/>
  <c r="C2101" i="3" s="1"/>
  <c r="C2102" i="3"/>
  <c r="H2102" i="3"/>
  <c r="C2103" i="3"/>
  <c r="H2103" i="3"/>
  <c r="H2104" i="3"/>
  <c r="C2104" i="3" s="1"/>
  <c r="H2105" i="3"/>
  <c r="C2105" i="3" s="1"/>
  <c r="H2106" i="3"/>
  <c r="C2106" i="3" s="1"/>
  <c r="H2107" i="3"/>
  <c r="C2107" i="3" s="1"/>
  <c r="C2108" i="3"/>
  <c r="H2108" i="3"/>
  <c r="H2109" i="3"/>
  <c r="C2109" i="3" s="1"/>
  <c r="H2110" i="3"/>
  <c r="C2110" i="3" s="1"/>
  <c r="C2111" i="3"/>
  <c r="H2111" i="3"/>
  <c r="H2112" i="3"/>
  <c r="C2112" i="3" s="1"/>
  <c r="H2113" i="3"/>
  <c r="C2113" i="3" s="1"/>
  <c r="H2114" i="3"/>
  <c r="C2114" i="3" s="1"/>
  <c r="H2115" i="3"/>
  <c r="C2115" i="3" s="1"/>
  <c r="H2116" i="3"/>
  <c r="C2116" i="3" s="1"/>
  <c r="C2117" i="3"/>
  <c r="H2117" i="3"/>
  <c r="H2118" i="3"/>
  <c r="C2118" i="3" s="1"/>
  <c r="H2119" i="3"/>
  <c r="C2119" i="3" s="1"/>
  <c r="H2120" i="3"/>
  <c r="C2120" i="3" s="1"/>
  <c r="H2121" i="3"/>
  <c r="C2121" i="3" s="1"/>
  <c r="H2122" i="3"/>
  <c r="C2122" i="3" s="1"/>
  <c r="H2123" i="3"/>
  <c r="C2123" i="3" s="1"/>
  <c r="C2124" i="3"/>
  <c r="H2124" i="3"/>
  <c r="C2125" i="3"/>
  <c r="H2125" i="3"/>
  <c r="H2126" i="3"/>
  <c r="C2126" i="3" s="1"/>
  <c r="H2127" i="3"/>
  <c r="C2127" i="3" s="1"/>
  <c r="H2128" i="3"/>
  <c r="C2128" i="3" s="1"/>
  <c r="H2129" i="3"/>
  <c r="C2129" i="3" s="1"/>
  <c r="H2130" i="3"/>
  <c r="C2130" i="3" s="1"/>
  <c r="H2131" i="3"/>
  <c r="C2131" i="3" s="1"/>
  <c r="H2132" i="3"/>
  <c r="C2132" i="3" s="1"/>
  <c r="H2133" i="3"/>
  <c r="C2133" i="3" s="1"/>
  <c r="H2134" i="3"/>
  <c r="C2134" i="3" s="1"/>
  <c r="H2135" i="3"/>
  <c r="C2135" i="3" s="1"/>
  <c r="C2136" i="3"/>
  <c r="H2136" i="3"/>
  <c r="C2137" i="3"/>
  <c r="H2137" i="3"/>
  <c r="H2138" i="3"/>
  <c r="C2138" i="3" s="1"/>
  <c r="H2139" i="3"/>
  <c r="C2139" i="3" s="1"/>
  <c r="H2140" i="3"/>
  <c r="C2140" i="3" s="1"/>
  <c r="H2141" i="3"/>
  <c r="C2141" i="3" s="1"/>
  <c r="H2142" i="3"/>
  <c r="C2142" i="3" s="1"/>
  <c r="C2143" i="3"/>
  <c r="H2143" i="3"/>
  <c r="H2144" i="3"/>
  <c r="C2144" i="3" s="1"/>
  <c r="C2145" i="3"/>
  <c r="H2145" i="3"/>
  <c r="H2146" i="3"/>
  <c r="C2146" i="3" s="1"/>
  <c r="H2147" i="3"/>
  <c r="C2147" i="3" s="1"/>
  <c r="H2148" i="3"/>
  <c r="C2148" i="3" s="1"/>
  <c r="H2149" i="3"/>
  <c r="C2149" i="3" s="1"/>
  <c r="H2150" i="3"/>
  <c r="C2150" i="3" s="1"/>
  <c r="H2151" i="3"/>
  <c r="C2151" i="3" s="1"/>
  <c r="C2152" i="3"/>
  <c r="H2152" i="3"/>
  <c r="H2153" i="3"/>
  <c r="C2153" i="3" s="1"/>
  <c r="H2154" i="3"/>
  <c r="C2154" i="3" s="1"/>
  <c r="H2155" i="3"/>
  <c r="C2155" i="3" s="1"/>
  <c r="H2156" i="3"/>
  <c r="C2156" i="3" s="1"/>
  <c r="H2157" i="3"/>
  <c r="C2157" i="3" s="1"/>
  <c r="H2158" i="3"/>
  <c r="C2158" i="3" s="1"/>
  <c r="H2159" i="3"/>
  <c r="C2159" i="3" s="1"/>
  <c r="H2160" i="3"/>
  <c r="C2160" i="3" s="1"/>
  <c r="H2161" i="3"/>
  <c r="C2161" i="3" s="1"/>
  <c r="H2162" i="3"/>
  <c r="C2162" i="3" s="1"/>
  <c r="H2163" i="3"/>
  <c r="C2163" i="3" s="1"/>
  <c r="H2164" i="3"/>
  <c r="C2164" i="3" s="1"/>
  <c r="H2165" i="3"/>
  <c r="C2165" i="3" s="1"/>
  <c r="H2166" i="3"/>
  <c r="C2166" i="3" s="1"/>
  <c r="H2167" i="3"/>
  <c r="C2167" i="3" s="1"/>
  <c r="C2168" i="3"/>
  <c r="H2168" i="3"/>
  <c r="C2169" i="3"/>
  <c r="H2169" i="3"/>
  <c r="H2170" i="3"/>
  <c r="C2170" i="3" s="1"/>
  <c r="H2171" i="3"/>
  <c r="C2171" i="3" s="1"/>
  <c r="H2172" i="3"/>
  <c r="C2172" i="3" s="1"/>
  <c r="H2173" i="3"/>
  <c r="C2173" i="3" s="1"/>
  <c r="H2174" i="3"/>
  <c r="C2174" i="3" s="1"/>
  <c r="C2175" i="3"/>
  <c r="H2175" i="3"/>
  <c r="H2176" i="3"/>
  <c r="C2176" i="3" s="1"/>
  <c r="H2177" i="3"/>
  <c r="C2177" i="3" s="1"/>
  <c r="H2178" i="3"/>
  <c r="C2178" i="3" s="1"/>
  <c r="H2179" i="3"/>
  <c r="C2179" i="3" s="1"/>
  <c r="H2180" i="3"/>
  <c r="C2180" i="3" s="1"/>
  <c r="C2181" i="3"/>
  <c r="H2181" i="3"/>
  <c r="H2182" i="3"/>
  <c r="C2182" i="3" s="1"/>
  <c r="H2183" i="3"/>
  <c r="C2183" i="3" s="1"/>
  <c r="C2184" i="3"/>
  <c r="H2184" i="3"/>
  <c r="H2185" i="3"/>
  <c r="C2185" i="3" s="1"/>
  <c r="H2186" i="3"/>
  <c r="C2186" i="3" s="1"/>
  <c r="H2187" i="3"/>
  <c r="C2187" i="3" s="1"/>
  <c r="H2188" i="3"/>
  <c r="C2188" i="3" s="1"/>
  <c r="H2189" i="3"/>
  <c r="C2189" i="3" s="1"/>
  <c r="H2190" i="3"/>
  <c r="C2190" i="3" s="1"/>
  <c r="H2191" i="3"/>
  <c r="C2191" i="3" s="1"/>
  <c r="H2192" i="3"/>
  <c r="C2192" i="3" s="1"/>
  <c r="H2193" i="3"/>
  <c r="C2193" i="3" s="1"/>
  <c r="H2194" i="3"/>
  <c r="C2194" i="3" s="1"/>
  <c r="C2195" i="3"/>
  <c r="H2195" i="3"/>
  <c r="C2196" i="3"/>
  <c r="H2196" i="3"/>
  <c r="H2197" i="3"/>
  <c r="C2197" i="3" s="1"/>
  <c r="H2198" i="3"/>
  <c r="C2198" i="3" s="1"/>
  <c r="H2199" i="3"/>
  <c r="C2199" i="3" s="1"/>
  <c r="H2200" i="3"/>
  <c r="C2200" i="3" s="1"/>
  <c r="H2201" i="3"/>
  <c r="C2201" i="3" s="1"/>
  <c r="H2202" i="3"/>
  <c r="C2202" i="3" s="1"/>
  <c r="C2203" i="3"/>
  <c r="H2203" i="3"/>
  <c r="H2204" i="3"/>
  <c r="C2204" i="3" s="1"/>
  <c r="H2205" i="3"/>
  <c r="C2205" i="3" s="1"/>
  <c r="H2206" i="3"/>
  <c r="C2206" i="3" s="1"/>
  <c r="H2207" i="3"/>
  <c r="C2207" i="3" s="1"/>
  <c r="H2208" i="3"/>
  <c r="C2208" i="3" s="1"/>
  <c r="H2209" i="3"/>
  <c r="C2209" i="3" s="1"/>
  <c r="H2210" i="3"/>
  <c r="C2210" i="3" s="1"/>
  <c r="H2211" i="3"/>
  <c r="C2211" i="3" s="1"/>
  <c r="C2212" i="3"/>
  <c r="H2212" i="3"/>
  <c r="H2213" i="3"/>
  <c r="C2213" i="3" s="1"/>
  <c r="H2214" i="3"/>
  <c r="C2214" i="3" s="1"/>
  <c r="H2215" i="3"/>
  <c r="C2215" i="3" s="1"/>
  <c r="C2216" i="3"/>
  <c r="H2216" i="3"/>
  <c r="H2217" i="3"/>
  <c r="C2217" i="3" s="1"/>
  <c r="H2218" i="3"/>
  <c r="C2218" i="3" s="1"/>
  <c r="C2219" i="3"/>
  <c r="H2219" i="3"/>
  <c r="H2220" i="3"/>
  <c r="C2220" i="3" s="1"/>
  <c r="H2221" i="3"/>
  <c r="C2221" i="3" s="1"/>
  <c r="C2222" i="3"/>
  <c r="H2222" i="3"/>
  <c r="H2223" i="3"/>
  <c r="C2223" i="3" s="1"/>
  <c r="H2224" i="3"/>
  <c r="C2224" i="3" s="1"/>
  <c r="C2225" i="3"/>
  <c r="H2225" i="3"/>
  <c r="H2226" i="3"/>
  <c r="C2226" i="3" s="1"/>
  <c r="H2227" i="3"/>
  <c r="C2227" i="3" s="1"/>
  <c r="H2228" i="3"/>
  <c r="C2228" i="3" s="1"/>
  <c r="H2229" i="3"/>
  <c r="C2229" i="3" s="1"/>
  <c r="H2230" i="3"/>
  <c r="C2230" i="3" s="1"/>
  <c r="C2231" i="3"/>
  <c r="H2231" i="3"/>
  <c r="H2232" i="3"/>
  <c r="C2232" i="3" s="1"/>
  <c r="H2233" i="3"/>
  <c r="C2233" i="3" s="1"/>
  <c r="H2234" i="3"/>
  <c r="C2234" i="3" s="1"/>
  <c r="H2235" i="3"/>
  <c r="C2235" i="3" s="1"/>
  <c r="H2236" i="3"/>
  <c r="C2236" i="3" s="1"/>
  <c r="H2237" i="3"/>
  <c r="C2237" i="3" s="1"/>
  <c r="H2238" i="3"/>
  <c r="C2238" i="3" s="1"/>
  <c r="H2239" i="3"/>
  <c r="C2239" i="3" s="1"/>
  <c r="C2240" i="3"/>
  <c r="H2240" i="3"/>
  <c r="H2241" i="3"/>
  <c r="C2241" i="3" s="1"/>
  <c r="H2242" i="3"/>
  <c r="C2242" i="3" s="1"/>
  <c r="H2243" i="3"/>
  <c r="C2243" i="3" s="1"/>
  <c r="H2244" i="3"/>
  <c r="C2244" i="3" s="1"/>
  <c r="H2245" i="3"/>
  <c r="C2245" i="3" s="1"/>
  <c r="H2246" i="3"/>
  <c r="C2246" i="3" s="1"/>
  <c r="H2247" i="3"/>
  <c r="C2247" i="3" s="1"/>
  <c r="H2248" i="3"/>
  <c r="C2248" i="3" s="1"/>
  <c r="H2249" i="3"/>
  <c r="C2249" i="3" s="1"/>
  <c r="H2250" i="3"/>
  <c r="C2250" i="3" s="1"/>
  <c r="H2251" i="3"/>
  <c r="C2251" i="3" s="1"/>
  <c r="H2252" i="3"/>
  <c r="C2252" i="3" s="1"/>
  <c r="C2253" i="3"/>
  <c r="H2253" i="3"/>
  <c r="H2254" i="3"/>
  <c r="C2254" i="3" s="1"/>
  <c r="H2255" i="3"/>
  <c r="C2255" i="3" s="1"/>
  <c r="C2256" i="3"/>
  <c r="H2256" i="3"/>
  <c r="H2257" i="3"/>
  <c r="C2257" i="3" s="1"/>
  <c r="H2258" i="3"/>
  <c r="C2258" i="3" s="1"/>
  <c r="H2259" i="3"/>
  <c r="C2259" i="3" s="1"/>
  <c r="H2260" i="3"/>
  <c r="C2260" i="3" s="1"/>
  <c r="H2261" i="3"/>
  <c r="C2261" i="3" s="1"/>
  <c r="C2262" i="3"/>
  <c r="H2262" i="3"/>
  <c r="C2263" i="3"/>
  <c r="H2263" i="3"/>
  <c r="H2264" i="3"/>
  <c r="C2264" i="3" s="1"/>
  <c r="H2265" i="3"/>
  <c r="C2265" i="3" s="1"/>
  <c r="H2266" i="3"/>
  <c r="C2266" i="3" s="1"/>
  <c r="H2267" i="3"/>
  <c r="C2267" i="3" s="1"/>
  <c r="C2268" i="3"/>
  <c r="H2268" i="3"/>
  <c r="H2269" i="3"/>
  <c r="C2269" i="3" s="1"/>
  <c r="H2270" i="3"/>
  <c r="C2270" i="3" s="1"/>
  <c r="H2271" i="3"/>
  <c r="C2271" i="3" s="1"/>
  <c r="H2272" i="3"/>
  <c r="C2272" i="3" s="1"/>
  <c r="H2273" i="3"/>
  <c r="C2273" i="3" s="1"/>
  <c r="H2274" i="3"/>
  <c r="C2274" i="3" s="1"/>
  <c r="H2275" i="3"/>
  <c r="C2275" i="3" s="1"/>
  <c r="H2276" i="3"/>
  <c r="C2276" i="3" s="1"/>
  <c r="C2277" i="3"/>
  <c r="H2277" i="3"/>
  <c r="H2278" i="3"/>
  <c r="C2278" i="3" s="1"/>
  <c r="C2279" i="3"/>
  <c r="H2279" i="3"/>
  <c r="H2280" i="3"/>
  <c r="C2280" i="3" s="1"/>
  <c r="H2281" i="3"/>
  <c r="C2281" i="3" s="1"/>
  <c r="H2282" i="3"/>
  <c r="C2282" i="3" s="1"/>
  <c r="H2283" i="3"/>
  <c r="C2283" i="3" s="1"/>
  <c r="C2284" i="3"/>
  <c r="H2284" i="3"/>
  <c r="H2285" i="3"/>
  <c r="C2285" i="3" s="1"/>
  <c r="H2286" i="3"/>
  <c r="C2286" i="3" s="1"/>
  <c r="H2287" i="3"/>
  <c r="C2287" i="3" s="1"/>
  <c r="H2288" i="3"/>
  <c r="C2288" i="3" s="1"/>
  <c r="H2289" i="3"/>
  <c r="C2289" i="3" s="1"/>
  <c r="H2290" i="3"/>
  <c r="C2290" i="3" s="1"/>
  <c r="H2291" i="3"/>
  <c r="C2291" i="3" s="1"/>
  <c r="H2292" i="3"/>
  <c r="C2292" i="3" s="1"/>
  <c r="H2293" i="3"/>
  <c r="C2293" i="3" s="1"/>
  <c r="H2294" i="3"/>
  <c r="C2294" i="3" s="1"/>
  <c r="H2295" i="3"/>
  <c r="C2295" i="3" s="1"/>
  <c r="H2296" i="3"/>
  <c r="C2296" i="3" s="1"/>
  <c r="C2297" i="3"/>
  <c r="H2297" i="3"/>
  <c r="H2298" i="3"/>
  <c r="C2298" i="3" s="1"/>
  <c r="H2299" i="3"/>
  <c r="C2299" i="3" s="1"/>
  <c r="C2300" i="3"/>
  <c r="H2300" i="3"/>
  <c r="H2301" i="3"/>
  <c r="C2301" i="3" s="1"/>
  <c r="H2302" i="3"/>
  <c r="C2302" i="3" s="1"/>
  <c r="C2303" i="3"/>
  <c r="H2303" i="3"/>
  <c r="H2304" i="3"/>
  <c r="C2304" i="3" s="1"/>
  <c r="H2305" i="3"/>
  <c r="C2305" i="3" s="1"/>
  <c r="H2306" i="3"/>
  <c r="C2306" i="3" s="1"/>
  <c r="H2307" i="3"/>
  <c r="C2307" i="3" s="1"/>
  <c r="H2308" i="3"/>
  <c r="C2308" i="3" s="1"/>
  <c r="H2309" i="3"/>
  <c r="C2309" i="3" s="1"/>
  <c r="H2310" i="3"/>
  <c r="C2310" i="3" s="1"/>
  <c r="H2311" i="3"/>
  <c r="C2311" i="3" s="1"/>
  <c r="H2312" i="3"/>
  <c r="C2312" i="3" s="1"/>
  <c r="H2313" i="3"/>
  <c r="C2313" i="3" s="1"/>
  <c r="H2314" i="3"/>
  <c r="C2314" i="3" s="1"/>
  <c r="H2315" i="3"/>
  <c r="C2315" i="3" s="1"/>
  <c r="H2316" i="3"/>
  <c r="C2316" i="3" s="1"/>
  <c r="H2317" i="3"/>
  <c r="C2317" i="3" s="1"/>
  <c r="H2318" i="3"/>
  <c r="C2318" i="3" s="1"/>
  <c r="C2319" i="3"/>
  <c r="H2319" i="3"/>
  <c r="C2320" i="3"/>
  <c r="H2320" i="3"/>
  <c r="H2321" i="3"/>
  <c r="C2321" i="3" s="1"/>
  <c r="H2322" i="3"/>
  <c r="C2322" i="3" s="1"/>
  <c r="H2323" i="3"/>
  <c r="C2323" i="3" s="1"/>
  <c r="H2324" i="3"/>
  <c r="C2324" i="3" s="1"/>
  <c r="C2325" i="3"/>
  <c r="H2325" i="3"/>
  <c r="H2326" i="3"/>
  <c r="C2326" i="3" s="1"/>
  <c r="H2327" i="3"/>
  <c r="C2327" i="3" s="1"/>
  <c r="H2328" i="3"/>
  <c r="C2328" i="3" s="1"/>
  <c r="C2329" i="3"/>
  <c r="H2329" i="3"/>
  <c r="C2330" i="3"/>
  <c r="H2330" i="3"/>
  <c r="H2331" i="3"/>
  <c r="C2331" i="3" s="1"/>
  <c r="H2332" i="3"/>
  <c r="C2332" i="3" s="1"/>
  <c r="H2333" i="3"/>
  <c r="C2333" i="3" s="1"/>
  <c r="C2334" i="3"/>
  <c r="H2334" i="3"/>
  <c r="H2335" i="3"/>
  <c r="C2335" i="3" s="1"/>
  <c r="C2336" i="3"/>
  <c r="H2336" i="3"/>
  <c r="H2337" i="3"/>
  <c r="C2337" i="3" s="1"/>
  <c r="H2338" i="3"/>
  <c r="C2338" i="3" s="1"/>
  <c r="H2339" i="3"/>
  <c r="C2339" i="3" s="1"/>
  <c r="C2340" i="3"/>
  <c r="H2340" i="3"/>
  <c r="H2341" i="3"/>
  <c r="C2341" i="3" s="1"/>
  <c r="C2342" i="3"/>
  <c r="H2342" i="3"/>
  <c r="C2343" i="3"/>
  <c r="H2343" i="3"/>
  <c r="H2344" i="3"/>
  <c r="C2344" i="3" s="1"/>
  <c r="H2345" i="3"/>
  <c r="C2345" i="3" s="1"/>
  <c r="H2346" i="3"/>
  <c r="C2346" i="3" s="1"/>
  <c r="H2347" i="3"/>
  <c r="C2347" i="3" s="1"/>
  <c r="H2348" i="3"/>
  <c r="C2348" i="3" s="1"/>
  <c r="H2349" i="3"/>
  <c r="C2349" i="3" s="1"/>
  <c r="H2350" i="3"/>
  <c r="C2350" i="3" s="1"/>
  <c r="H2351" i="3"/>
  <c r="C2351" i="3" s="1"/>
  <c r="H2352" i="3"/>
  <c r="C2352" i="3" s="1"/>
  <c r="H2353" i="3"/>
  <c r="C2353" i="3" s="1"/>
  <c r="H2354" i="3"/>
  <c r="C2354" i="3" s="1"/>
  <c r="H2355" i="3"/>
  <c r="C2355" i="3" s="1"/>
  <c r="H2356" i="3"/>
  <c r="C2356" i="3" s="1"/>
  <c r="H2357" i="3"/>
  <c r="C2357" i="3" s="1"/>
  <c r="H2358" i="3"/>
  <c r="C2358" i="3" s="1"/>
  <c r="H2359" i="3"/>
  <c r="C2359" i="3" s="1"/>
  <c r="C2360" i="3"/>
  <c r="H2360" i="3"/>
  <c r="H2361" i="3"/>
  <c r="C2361" i="3" s="1"/>
  <c r="H2362" i="3"/>
  <c r="C2362" i="3" s="1"/>
  <c r="H2363" i="3"/>
  <c r="C2363" i="3" s="1"/>
  <c r="H2364" i="3"/>
  <c r="C2364" i="3" s="1"/>
  <c r="H2365" i="3"/>
  <c r="C2365" i="3" s="1"/>
  <c r="H2366" i="3"/>
  <c r="C2366" i="3" s="1"/>
  <c r="H2367" i="3"/>
  <c r="C2367" i="3" s="1"/>
  <c r="C2368" i="3"/>
  <c r="H2368" i="3"/>
  <c r="H2369" i="3"/>
  <c r="C2369" i="3" s="1"/>
  <c r="C2370" i="3"/>
  <c r="H2370" i="3"/>
  <c r="H2371" i="3"/>
  <c r="C2371" i="3" s="1"/>
  <c r="C2372" i="3"/>
  <c r="H2372" i="3"/>
  <c r="H2373" i="3"/>
  <c r="C2373" i="3" s="1"/>
  <c r="H2374" i="3"/>
  <c r="C2374" i="3" s="1"/>
  <c r="H2375" i="3"/>
  <c r="C2375" i="3" s="1"/>
  <c r="H2376" i="3"/>
  <c r="C2376" i="3" s="1"/>
  <c r="H2377" i="3"/>
  <c r="C2377" i="3" s="1"/>
  <c r="H2378" i="3"/>
  <c r="C2378" i="3" s="1"/>
  <c r="H2379" i="3"/>
  <c r="C2379" i="3" s="1"/>
  <c r="H2380" i="3"/>
  <c r="C2380" i="3" s="1"/>
  <c r="H2381" i="3"/>
  <c r="C2381" i="3" s="1"/>
  <c r="H2382" i="3"/>
  <c r="C2382" i="3" s="1"/>
  <c r="H2383" i="3"/>
  <c r="C2383" i="3" s="1"/>
  <c r="H2384" i="3"/>
  <c r="C2384" i="3" s="1"/>
  <c r="H2385" i="3"/>
  <c r="C2385" i="3" s="1"/>
  <c r="H2386" i="3"/>
  <c r="C2386" i="3" s="1"/>
  <c r="H2387" i="3"/>
  <c r="C2387" i="3" s="1"/>
  <c r="H2388" i="3"/>
  <c r="C2388" i="3" s="1"/>
  <c r="C2389" i="3"/>
  <c r="H2389" i="3"/>
  <c r="H2390" i="3"/>
  <c r="C2390" i="3" s="1"/>
  <c r="H2391" i="3"/>
  <c r="C2391" i="3" s="1"/>
  <c r="H2392" i="3"/>
  <c r="C2392" i="3" s="1"/>
  <c r="H2393" i="3"/>
  <c r="C2393" i="3" s="1"/>
  <c r="H2394" i="3"/>
  <c r="C2394" i="3" s="1"/>
  <c r="H2395" i="3"/>
  <c r="C2395" i="3" s="1"/>
  <c r="H2396" i="3"/>
  <c r="C2396" i="3" s="1"/>
  <c r="C2397" i="3"/>
  <c r="H2397" i="3"/>
  <c r="H2398" i="3"/>
  <c r="C2398" i="3" s="1"/>
  <c r="H2399" i="3"/>
  <c r="C2399" i="3" s="1"/>
  <c r="C2400" i="3"/>
  <c r="H2400" i="3"/>
  <c r="H2401" i="3"/>
  <c r="C2401" i="3" s="1"/>
  <c r="H2402" i="3"/>
  <c r="C2402" i="3" s="1"/>
  <c r="H2403" i="3"/>
  <c r="C2403" i="3" s="1"/>
  <c r="H2404" i="3"/>
  <c r="C2404" i="3" s="1"/>
  <c r="H2405" i="3"/>
  <c r="C2405" i="3" s="1"/>
  <c r="C2406" i="3"/>
  <c r="H2406" i="3"/>
  <c r="C2407" i="3"/>
  <c r="H2407" i="3"/>
  <c r="C2408" i="3"/>
  <c r="H2408" i="3"/>
  <c r="H2409" i="3"/>
  <c r="C2409" i="3" s="1"/>
  <c r="H2410" i="3"/>
  <c r="C2410" i="3" s="1"/>
  <c r="H2411" i="3"/>
  <c r="C2411" i="3" s="1"/>
  <c r="H2412" i="3"/>
  <c r="C2412" i="3" s="1"/>
  <c r="H2413" i="3"/>
  <c r="C2413" i="3" s="1"/>
  <c r="H2414" i="3"/>
  <c r="C2414" i="3" s="1"/>
  <c r="H2415" i="3"/>
  <c r="C2415" i="3" s="1"/>
  <c r="H2416" i="3"/>
  <c r="C2416" i="3" s="1"/>
  <c r="H2417" i="3"/>
  <c r="C2417" i="3" s="1"/>
  <c r="H2418" i="3"/>
  <c r="C2418" i="3" s="1"/>
  <c r="H2419" i="3"/>
  <c r="C2419" i="3" s="1"/>
  <c r="H2420" i="3"/>
  <c r="C2420" i="3" s="1"/>
  <c r="C2421" i="3"/>
  <c r="H2421" i="3"/>
  <c r="H2422" i="3"/>
  <c r="C2422" i="3" s="1"/>
  <c r="H2423" i="3"/>
  <c r="C2423" i="3" s="1"/>
  <c r="C2424" i="3"/>
  <c r="H2424" i="3"/>
  <c r="C2425" i="3"/>
  <c r="H2425" i="3"/>
  <c r="H2426" i="3"/>
  <c r="C2426" i="3" s="1"/>
  <c r="H2427" i="3"/>
  <c r="C2427" i="3" s="1"/>
  <c r="H2428" i="3"/>
  <c r="C2428" i="3" s="1"/>
  <c r="C2429" i="3"/>
  <c r="H2429" i="3"/>
  <c r="C2430" i="3"/>
  <c r="H2430" i="3"/>
  <c r="H2431" i="3"/>
  <c r="C2431" i="3" s="1"/>
  <c r="H2432" i="3"/>
  <c r="C2432" i="3" s="1"/>
  <c r="H2433" i="3"/>
  <c r="C2433" i="3" s="1"/>
  <c r="C2434" i="3"/>
  <c r="H2434" i="3"/>
  <c r="H2435" i="3"/>
  <c r="C2435" i="3" s="1"/>
  <c r="H2436" i="3"/>
  <c r="C2436" i="3" s="1"/>
  <c r="C2437" i="3"/>
  <c r="H2437" i="3"/>
  <c r="C2438" i="3"/>
  <c r="H2438" i="3"/>
  <c r="H2439" i="3"/>
  <c r="C2439" i="3" s="1"/>
  <c r="H2440" i="3"/>
  <c r="C2440" i="3" s="1"/>
  <c r="C2441" i="3"/>
  <c r="H2441" i="3"/>
  <c r="C2442" i="3"/>
  <c r="H2442" i="3"/>
  <c r="H2443" i="3"/>
  <c r="C2443" i="3" s="1"/>
  <c r="H2444" i="3"/>
  <c r="C2444" i="3" s="1"/>
  <c r="C2445" i="3"/>
  <c r="H2445" i="3"/>
  <c r="H2446" i="3"/>
  <c r="C2446" i="3" s="1"/>
  <c r="C2447" i="3"/>
  <c r="H2447" i="3"/>
  <c r="H2448" i="3"/>
  <c r="C2448" i="3" s="1"/>
  <c r="H2449" i="3"/>
  <c r="C2449" i="3" s="1"/>
  <c r="H2450" i="3"/>
  <c r="C2450" i="3" s="1"/>
  <c r="C2451" i="3"/>
  <c r="H2451" i="3"/>
  <c r="H2452" i="3"/>
  <c r="C2452" i="3" s="1"/>
  <c r="C2453" i="3"/>
  <c r="H2453" i="3"/>
  <c r="H2454" i="3"/>
  <c r="C2454" i="3" s="1"/>
  <c r="H2455" i="3"/>
  <c r="C2455" i="3" s="1"/>
  <c r="C2456" i="3"/>
  <c r="H2456" i="3"/>
  <c r="H2457" i="3"/>
  <c r="C2457" i="3" s="1"/>
  <c r="H2458" i="3"/>
  <c r="C2458" i="3" s="1"/>
  <c r="H2459" i="3"/>
  <c r="C2459" i="3" s="1"/>
  <c r="H2460" i="3"/>
  <c r="C2460" i="3" s="1"/>
  <c r="H2461" i="3"/>
  <c r="C2461" i="3" s="1"/>
  <c r="H2462" i="3"/>
  <c r="C2462" i="3" s="1"/>
  <c r="H2463" i="3"/>
  <c r="C2463" i="3" s="1"/>
  <c r="C2464" i="3"/>
  <c r="H2464" i="3"/>
  <c r="H2465" i="3"/>
  <c r="C2465" i="3" s="1"/>
  <c r="H2466" i="3"/>
  <c r="C2466" i="3" s="1"/>
  <c r="H2467" i="3"/>
  <c r="C2467" i="3" s="1"/>
  <c r="H2468" i="3"/>
  <c r="C2468" i="3" s="1"/>
  <c r="C2469" i="3"/>
  <c r="H2469" i="3"/>
  <c r="H2470" i="3"/>
  <c r="C2470" i="3" s="1"/>
  <c r="H2471" i="3"/>
  <c r="C2471" i="3" s="1"/>
  <c r="H2472" i="3"/>
  <c r="C2472" i="3" s="1"/>
  <c r="H2473" i="3"/>
  <c r="C2473" i="3" s="1"/>
  <c r="H2474" i="3"/>
  <c r="C2474" i="3" s="1"/>
  <c r="H2475" i="3"/>
  <c r="C2475" i="3" s="1"/>
  <c r="H2476" i="3"/>
  <c r="C2476" i="3" s="1"/>
  <c r="C2477" i="3"/>
  <c r="H2477" i="3"/>
  <c r="H2478" i="3"/>
  <c r="C2478" i="3" s="1"/>
  <c r="H2479" i="3"/>
  <c r="C2479" i="3" s="1"/>
  <c r="H2480" i="3"/>
  <c r="C2480" i="3" s="1"/>
  <c r="C2481" i="3"/>
  <c r="H2481" i="3"/>
  <c r="H2482" i="3"/>
  <c r="C2482" i="3" s="1"/>
  <c r="H2483" i="3"/>
  <c r="C2483" i="3" s="1"/>
  <c r="H2484" i="3"/>
  <c r="C2484" i="3" s="1"/>
  <c r="H2485" i="3"/>
  <c r="C2485" i="3" s="1"/>
  <c r="H2486" i="3"/>
  <c r="C2486" i="3" s="1"/>
  <c r="H2487" i="3"/>
  <c r="C2487" i="3" s="1"/>
  <c r="H2488" i="3"/>
  <c r="C2488" i="3" s="1"/>
  <c r="H2489" i="3"/>
  <c r="C2489" i="3" s="1"/>
  <c r="C2490" i="3"/>
  <c r="H2490" i="3"/>
  <c r="H2491" i="3"/>
  <c r="C2491" i="3" s="1"/>
  <c r="H2492" i="3"/>
  <c r="C2492" i="3" s="1"/>
  <c r="C2493" i="3"/>
  <c r="H2493" i="3"/>
  <c r="H2494" i="3"/>
  <c r="C2494" i="3" s="1"/>
  <c r="H2495" i="3"/>
  <c r="C2495" i="3" s="1"/>
  <c r="H2496" i="3"/>
  <c r="C2496" i="3" s="1"/>
  <c r="H2497" i="3"/>
  <c r="C2497" i="3" s="1"/>
  <c r="H2498" i="3"/>
  <c r="C2498" i="3" s="1"/>
  <c r="H2499" i="3"/>
  <c r="C2499" i="3" s="1"/>
  <c r="H2500" i="3"/>
  <c r="C2500" i="3" s="1"/>
  <c r="C2501" i="3"/>
  <c r="H2501" i="3"/>
  <c r="H2502" i="3"/>
  <c r="C2502" i="3" s="1"/>
  <c r="H2503" i="3"/>
  <c r="C2503" i="3" s="1"/>
  <c r="H2504" i="3"/>
  <c r="C2504" i="3" s="1"/>
  <c r="H2505" i="3"/>
  <c r="C2505" i="3" s="1"/>
  <c r="H2506" i="3"/>
  <c r="C2506" i="3" s="1"/>
  <c r="H2507" i="3"/>
  <c r="C2507" i="3" s="1"/>
  <c r="H2508" i="3"/>
  <c r="C2508" i="3" s="1"/>
  <c r="H2509" i="3"/>
  <c r="C2509" i="3" s="1"/>
  <c r="H2510" i="3"/>
  <c r="C2510" i="3" s="1"/>
  <c r="C2511" i="3"/>
  <c r="H2511" i="3"/>
  <c r="H2512" i="3"/>
  <c r="C2512" i="3" s="1"/>
  <c r="H2513" i="3"/>
  <c r="C2513" i="3" s="1"/>
  <c r="H2514" i="3"/>
  <c r="C2514" i="3" s="1"/>
  <c r="C2515" i="3"/>
  <c r="H2515" i="3"/>
  <c r="H2516" i="3"/>
  <c r="C2516" i="3" s="1"/>
  <c r="H2517" i="3"/>
  <c r="C2517" i="3" s="1"/>
  <c r="H2518" i="3"/>
  <c r="C2518" i="3" s="1"/>
  <c r="H2519" i="3"/>
  <c r="C2519" i="3" s="1"/>
  <c r="H2520" i="3"/>
  <c r="C2520" i="3" s="1"/>
  <c r="H2521" i="3"/>
  <c r="C2521" i="3" s="1"/>
  <c r="H2522" i="3"/>
  <c r="C2522" i="3" s="1"/>
  <c r="H2523" i="3"/>
  <c r="C2523" i="3" s="1"/>
  <c r="H2524" i="3"/>
  <c r="C2524" i="3" s="1"/>
  <c r="H2525" i="3"/>
  <c r="C2525" i="3" s="1"/>
  <c r="H2526" i="3"/>
  <c r="C2526" i="3" s="1"/>
  <c r="H2527" i="3"/>
  <c r="C2527" i="3" s="1"/>
  <c r="C2528" i="3"/>
  <c r="H2528" i="3"/>
  <c r="H2529" i="3"/>
  <c r="C2529" i="3" s="1"/>
  <c r="H2530" i="3"/>
  <c r="C2530" i="3" s="1"/>
  <c r="H2531" i="3"/>
  <c r="C2531" i="3" s="1"/>
  <c r="H2532" i="3"/>
  <c r="C2532" i="3" s="1"/>
  <c r="H2533" i="3"/>
  <c r="C2533" i="3" s="1"/>
  <c r="H2534" i="3"/>
  <c r="C2534" i="3" s="1"/>
  <c r="C2535" i="3"/>
  <c r="H2535" i="3"/>
  <c r="C2536" i="3"/>
  <c r="H2536" i="3"/>
  <c r="H2537" i="3"/>
  <c r="C2537" i="3" s="1"/>
  <c r="H2538" i="3"/>
  <c r="C2538" i="3" s="1"/>
  <c r="H2539" i="3"/>
  <c r="C2539" i="3" s="1"/>
  <c r="H2540" i="3"/>
  <c r="C2540" i="3" s="1"/>
  <c r="H2541" i="3"/>
  <c r="C2541" i="3" s="1"/>
  <c r="H2542" i="3"/>
  <c r="C2542" i="3" s="1"/>
  <c r="H2543" i="3"/>
  <c r="C2543" i="3" s="1"/>
  <c r="H2544" i="3"/>
  <c r="C2544" i="3" s="1"/>
  <c r="H2545" i="3"/>
  <c r="C2545" i="3" s="1"/>
  <c r="H2546" i="3"/>
  <c r="C2546" i="3" s="1"/>
  <c r="H2547" i="3"/>
  <c r="C2547" i="3" s="1"/>
  <c r="H2548" i="3"/>
  <c r="C2548" i="3" s="1"/>
  <c r="C2549" i="3"/>
  <c r="H2549" i="3"/>
  <c r="H2550" i="3"/>
  <c r="C2550" i="3" s="1"/>
  <c r="H2551" i="3"/>
  <c r="C2551" i="3" s="1"/>
  <c r="C2552" i="3"/>
  <c r="H2552" i="3"/>
  <c r="C2553" i="3"/>
  <c r="H2553" i="3"/>
  <c r="H2554" i="3"/>
  <c r="C2554" i="3" s="1"/>
  <c r="H2555" i="3"/>
  <c r="C2555" i="3" s="1"/>
  <c r="H2556" i="3"/>
  <c r="C2556" i="3" s="1"/>
  <c r="C2557" i="3"/>
  <c r="H2557" i="3"/>
  <c r="C2558" i="3"/>
  <c r="H2558" i="3"/>
  <c r="H2559" i="3"/>
  <c r="C2559" i="3" s="1"/>
  <c r="H2560" i="3"/>
  <c r="C2560" i="3" s="1"/>
  <c r="H2561" i="3"/>
  <c r="C2561" i="3" s="1"/>
  <c r="C2562" i="3"/>
  <c r="H2562" i="3"/>
  <c r="H2563" i="3"/>
  <c r="C2563" i="3" s="1"/>
  <c r="H2564" i="3"/>
  <c r="C2564" i="3" s="1"/>
  <c r="C2565" i="3"/>
  <c r="H2565" i="3"/>
  <c r="H2566" i="3"/>
  <c r="C2566" i="3" s="1"/>
  <c r="H2567" i="3"/>
  <c r="C2567" i="3" s="1"/>
  <c r="H2568" i="3"/>
  <c r="C2568" i="3" s="1"/>
  <c r="H2569" i="3"/>
  <c r="C2569" i="3" s="1"/>
  <c r="C2570" i="3"/>
  <c r="H2570" i="3"/>
  <c r="H2571" i="3"/>
  <c r="C2571" i="3" s="1"/>
  <c r="H2572" i="3"/>
  <c r="C2572" i="3" s="1"/>
  <c r="C2573" i="3"/>
  <c r="H2573" i="3"/>
  <c r="H2574" i="3"/>
  <c r="C2574" i="3" s="1"/>
  <c r="H2575" i="3"/>
  <c r="C2575" i="3" s="1"/>
  <c r="H2576" i="3"/>
  <c r="C2576" i="3" s="1"/>
  <c r="H2577" i="3"/>
  <c r="C2577" i="3" s="1"/>
  <c r="H2578" i="3"/>
  <c r="C2578" i="3" s="1"/>
  <c r="H2579" i="3"/>
  <c r="C2579" i="3" s="1"/>
  <c r="H2580" i="3"/>
  <c r="C2580" i="3" s="1"/>
  <c r="C2581" i="3"/>
  <c r="H2581" i="3"/>
  <c r="H2582" i="3"/>
  <c r="C2582" i="3" s="1"/>
  <c r="H2583" i="3"/>
  <c r="C2583" i="3" s="1"/>
  <c r="C2584" i="3"/>
  <c r="H2584" i="3"/>
  <c r="H2585" i="3"/>
  <c r="C2585" i="3" s="1"/>
  <c r="H2586" i="3"/>
  <c r="C2586" i="3" s="1"/>
  <c r="H2587" i="3"/>
  <c r="C2587" i="3" s="1"/>
  <c r="H2588" i="3"/>
  <c r="C2588" i="3" s="1"/>
  <c r="H2589" i="3"/>
  <c r="C2589" i="3" s="1"/>
  <c r="H2590" i="3"/>
  <c r="C2590" i="3" s="1"/>
  <c r="H2591" i="3"/>
  <c r="C2591" i="3" s="1"/>
  <c r="C2592" i="3"/>
  <c r="H2592" i="3"/>
  <c r="H2593" i="3"/>
  <c r="C2593" i="3" s="1"/>
  <c r="H2594" i="3"/>
  <c r="C2594" i="3" s="1"/>
  <c r="H2595" i="3"/>
  <c r="C2595" i="3" s="1"/>
  <c r="H2596" i="3"/>
  <c r="C2596" i="3" s="1"/>
  <c r="C2597" i="3"/>
  <c r="H2597" i="3"/>
  <c r="H2598" i="3"/>
  <c r="C2598" i="3" s="1"/>
  <c r="H2599" i="3"/>
  <c r="C2599" i="3" s="1"/>
  <c r="C2600" i="3"/>
  <c r="H2600" i="3"/>
  <c r="H2601" i="3"/>
  <c r="C2601" i="3" s="1"/>
  <c r="H2602" i="3"/>
  <c r="C2602" i="3" s="1"/>
  <c r="H2603" i="3"/>
  <c r="C2603" i="3" s="1"/>
  <c r="H2604" i="3"/>
  <c r="C2604" i="3" s="1"/>
  <c r="H2605" i="3"/>
  <c r="C2605" i="3" s="1"/>
  <c r="H2606" i="3"/>
  <c r="C2606" i="3" s="1"/>
  <c r="H2607" i="3"/>
  <c r="C2607" i="3" s="1"/>
  <c r="H2608" i="3"/>
  <c r="C2608" i="3" s="1"/>
  <c r="H2609" i="3"/>
  <c r="C2609" i="3" s="1"/>
  <c r="H2610" i="3"/>
  <c r="C2610" i="3" s="1"/>
  <c r="H2611" i="3"/>
  <c r="C2611" i="3" s="1"/>
  <c r="H2612" i="3"/>
  <c r="C2612" i="3" s="1"/>
  <c r="H2613" i="3"/>
  <c r="C2613" i="3" s="1"/>
  <c r="H2614" i="3"/>
  <c r="C2614" i="3" s="1"/>
  <c r="H2615" i="3"/>
  <c r="C2615" i="3" s="1"/>
  <c r="H2616" i="3"/>
  <c r="C2616" i="3" s="1"/>
  <c r="C2617" i="3"/>
  <c r="H2617" i="3"/>
  <c r="H2618" i="3"/>
  <c r="C2618" i="3" s="1"/>
  <c r="H2619" i="3"/>
  <c r="C2619" i="3" s="1"/>
  <c r="H2620" i="3"/>
  <c r="C2620" i="3" s="1"/>
  <c r="H2621" i="3"/>
  <c r="C2621" i="3" s="1"/>
  <c r="H2622" i="3"/>
  <c r="C2622" i="3" s="1"/>
  <c r="H2623" i="3"/>
  <c r="C2623" i="3" s="1"/>
  <c r="H2624" i="3"/>
  <c r="C2624" i="3" s="1"/>
  <c r="H2625" i="3"/>
  <c r="C2625" i="3" s="1"/>
  <c r="H2626" i="3"/>
  <c r="C2626" i="3" s="1"/>
  <c r="H2627" i="3"/>
  <c r="C2627" i="3" s="1"/>
  <c r="H2628" i="3"/>
  <c r="C2628" i="3" s="1"/>
  <c r="H2629" i="3"/>
  <c r="C2629" i="3" s="1"/>
  <c r="C2630" i="3"/>
  <c r="H2630" i="3"/>
  <c r="H2631" i="3"/>
  <c r="C2631" i="3" s="1"/>
  <c r="H2632" i="3"/>
  <c r="C2632" i="3" s="1"/>
  <c r="H2633" i="3"/>
  <c r="C2633" i="3" s="1"/>
  <c r="H2634" i="3"/>
  <c r="C2634" i="3" s="1"/>
  <c r="H2635" i="3"/>
  <c r="C2635" i="3" s="1"/>
  <c r="H2636" i="3"/>
  <c r="C2636" i="3" s="1"/>
  <c r="H2637" i="3"/>
  <c r="C2637" i="3" s="1"/>
  <c r="H2638" i="3"/>
  <c r="C2638" i="3" s="1"/>
  <c r="C2639" i="3"/>
  <c r="H2639" i="3"/>
  <c r="H2640" i="3"/>
  <c r="C2640" i="3" s="1"/>
  <c r="H2641" i="3"/>
  <c r="C2641" i="3" s="1"/>
  <c r="H2642" i="3"/>
  <c r="C2642" i="3" s="1"/>
  <c r="C2643" i="3"/>
  <c r="H2643" i="3"/>
  <c r="H2644" i="3"/>
  <c r="C2644" i="3" s="1"/>
  <c r="H2645" i="3"/>
  <c r="C2645" i="3" s="1"/>
  <c r="H2646" i="3"/>
  <c r="C2646" i="3" s="1"/>
  <c r="C2647" i="3"/>
  <c r="H2647" i="3"/>
  <c r="H2648" i="3"/>
  <c r="C2648" i="3" s="1"/>
  <c r="H2649" i="3"/>
  <c r="C2649" i="3" s="1"/>
  <c r="H2650" i="3"/>
  <c r="C2650" i="3" s="1"/>
  <c r="H2651" i="3"/>
  <c r="C2651" i="3" s="1"/>
  <c r="H2652" i="3"/>
  <c r="C2652" i="3" s="1"/>
  <c r="C2653" i="3"/>
  <c r="H2653" i="3"/>
  <c r="H2654" i="3"/>
  <c r="C2654" i="3" s="1"/>
  <c r="H2655" i="3"/>
  <c r="C2655" i="3" s="1"/>
  <c r="H2656" i="3"/>
  <c r="C2656" i="3" s="1"/>
  <c r="H2657" i="3"/>
  <c r="C2657" i="3" s="1"/>
  <c r="H2658" i="3"/>
  <c r="C2658" i="3" s="1"/>
  <c r="H2659" i="3"/>
  <c r="C2659" i="3" s="1"/>
  <c r="H2660" i="3"/>
  <c r="C2660" i="3" s="1"/>
  <c r="H2661" i="3"/>
  <c r="C2661" i="3" s="1"/>
  <c r="H2662" i="3"/>
  <c r="C2662" i="3" s="1"/>
  <c r="H2663" i="3"/>
  <c r="C2663" i="3" s="1"/>
  <c r="C2664" i="3"/>
  <c r="H2664" i="3"/>
  <c r="H2665" i="3"/>
  <c r="C2665" i="3" s="1"/>
  <c r="H2666" i="3"/>
  <c r="C2666" i="3" s="1"/>
  <c r="H2667" i="3"/>
  <c r="C2667" i="3" s="1"/>
  <c r="H2668" i="3"/>
  <c r="C2668" i="3" s="1"/>
  <c r="C2669" i="3"/>
  <c r="H2669" i="3"/>
  <c r="H2670" i="3"/>
  <c r="C2670" i="3" s="1"/>
  <c r="H2671" i="3"/>
  <c r="C2671" i="3" s="1"/>
  <c r="H2672" i="3"/>
  <c r="C2672" i="3" s="1"/>
  <c r="H2673" i="3"/>
  <c r="C2673" i="3" s="1"/>
  <c r="H2674" i="3"/>
  <c r="C2674" i="3" s="1"/>
  <c r="H2675" i="3"/>
  <c r="C2675" i="3" s="1"/>
  <c r="H2676" i="3"/>
  <c r="C2676" i="3" s="1"/>
  <c r="H2677" i="3"/>
  <c r="C2677" i="3" s="1"/>
  <c r="C2678" i="3"/>
  <c r="H2678" i="3"/>
  <c r="H2679" i="3"/>
  <c r="C2679" i="3" s="1"/>
  <c r="C2680" i="3"/>
  <c r="H2680" i="3"/>
  <c r="C2681" i="3"/>
  <c r="H2681" i="3"/>
  <c r="H2682" i="3"/>
  <c r="C2682" i="3" s="1"/>
  <c r="H2683" i="3"/>
  <c r="C2683" i="3" s="1"/>
  <c r="H2684" i="3"/>
  <c r="C2684" i="3" s="1"/>
  <c r="H2685" i="3"/>
  <c r="C2685" i="3" s="1"/>
  <c r="C2686" i="3"/>
  <c r="H2686" i="3"/>
  <c r="H2687" i="3"/>
  <c r="C2687" i="3" s="1"/>
  <c r="H2688" i="3"/>
  <c r="C2688" i="3" s="1"/>
  <c r="H2689" i="3"/>
  <c r="C2689" i="3" s="1"/>
  <c r="C2690" i="3"/>
  <c r="H2690" i="3"/>
  <c r="H2691" i="3"/>
  <c r="C2691" i="3" s="1"/>
  <c r="H2692" i="3"/>
  <c r="C2692" i="3" s="1"/>
  <c r="H2693" i="3"/>
  <c r="C2693" i="3" s="1"/>
  <c r="H2694" i="3"/>
  <c r="C2694" i="3" s="1"/>
  <c r="H2695" i="3"/>
  <c r="C2695" i="3" s="1"/>
  <c r="H2696" i="3"/>
  <c r="C2696" i="3" s="1"/>
  <c r="H2697" i="3"/>
  <c r="C2697" i="3" s="1"/>
  <c r="C2698" i="3"/>
  <c r="H2698" i="3"/>
  <c r="H2699" i="3"/>
  <c r="C2699" i="3" s="1"/>
  <c r="H2700" i="3"/>
  <c r="C2700" i="3" s="1"/>
  <c r="H2701" i="3"/>
  <c r="C2701" i="3" s="1"/>
  <c r="C2702" i="3"/>
  <c r="H2702" i="3"/>
  <c r="C2703" i="3"/>
  <c r="H2703" i="3"/>
  <c r="H2704" i="3"/>
  <c r="C2704" i="3" s="1"/>
  <c r="H2705" i="3"/>
  <c r="C2705" i="3" s="1"/>
  <c r="C2706" i="3"/>
  <c r="H2706" i="3"/>
  <c r="H2707" i="3"/>
  <c r="C2707" i="3" s="1"/>
  <c r="H2708" i="3"/>
  <c r="C2708" i="3" s="1"/>
  <c r="H2709" i="3"/>
  <c r="C2709" i="3" s="1"/>
  <c r="H2710" i="3"/>
  <c r="C2710" i="3" s="1"/>
  <c r="H2711" i="3"/>
  <c r="C2711" i="3" s="1"/>
  <c r="H2712" i="3"/>
  <c r="C2712" i="3" s="1"/>
  <c r="C2713" i="3"/>
  <c r="H2713" i="3"/>
  <c r="C2714" i="3"/>
  <c r="H2714" i="3"/>
  <c r="H2715" i="3"/>
  <c r="C2715" i="3" s="1"/>
  <c r="H2716" i="3"/>
  <c r="C2716" i="3" s="1"/>
  <c r="H2717" i="3"/>
  <c r="C2717" i="3" s="1"/>
  <c r="C2718" i="3"/>
  <c r="H2718" i="3"/>
  <c r="H2719" i="3"/>
  <c r="C2719" i="3" s="1"/>
  <c r="H2720" i="3"/>
  <c r="C2720" i="3" s="1"/>
  <c r="H2721" i="3"/>
  <c r="C2721" i="3" s="1"/>
  <c r="C2722" i="3"/>
  <c r="H2722" i="3"/>
  <c r="H2723" i="3"/>
  <c r="C2723" i="3" s="1"/>
  <c r="H2724" i="3"/>
  <c r="C2724" i="3" s="1"/>
  <c r="H2725" i="3"/>
  <c r="C2725" i="3" s="1"/>
  <c r="H2726" i="3"/>
  <c r="C2726" i="3" s="1"/>
  <c r="C2727" i="3"/>
  <c r="H2727" i="3"/>
  <c r="H2728" i="3"/>
  <c r="C2728" i="3" s="1"/>
  <c r="C2729" i="3"/>
  <c r="H2729" i="3"/>
  <c r="H2730" i="3"/>
  <c r="C2730" i="3" s="1"/>
  <c r="H2731" i="3"/>
  <c r="C2731" i="3" s="1"/>
  <c r="H2732" i="3"/>
  <c r="C2732" i="3" s="1"/>
  <c r="H2733" i="3"/>
  <c r="C2733" i="3" s="1"/>
  <c r="C2734" i="3"/>
  <c r="H2734" i="3"/>
  <c r="C2735" i="3"/>
  <c r="H2735" i="3"/>
  <c r="H2736" i="3"/>
  <c r="C2736" i="3" s="1"/>
  <c r="H2737" i="3"/>
  <c r="C2737" i="3" s="1"/>
  <c r="H2738" i="3"/>
  <c r="C2738" i="3" s="1"/>
  <c r="H2739" i="3"/>
  <c r="C2739" i="3" s="1"/>
  <c r="H2740" i="3"/>
  <c r="C2740" i="3" s="1"/>
  <c r="H2741" i="3"/>
  <c r="C2741" i="3" s="1"/>
  <c r="H2742" i="3"/>
  <c r="C2742" i="3" s="1"/>
  <c r="C2743" i="3"/>
  <c r="H2743" i="3"/>
  <c r="H2744" i="3"/>
  <c r="C2744" i="3" s="1"/>
  <c r="C2745" i="3"/>
  <c r="H2745" i="3"/>
  <c r="C2746" i="3"/>
  <c r="H2746" i="3"/>
  <c r="H2747" i="3"/>
  <c r="C2747" i="3" s="1"/>
  <c r="H2748" i="3"/>
  <c r="C2748" i="3" s="1"/>
  <c r="H2749" i="3"/>
  <c r="C2749" i="3" s="1"/>
  <c r="H2750" i="3"/>
  <c r="C2750" i="3" s="1"/>
  <c r="C2751" i="3"/>
  <c r="H2751" i="3"/>
  <c r="H2752" i="3"/>
  <c r="C2752" i="3" s="1"/>
  <c r="C2753" i="3"/>
  <c r="H2753" i="3"/>
  <c r="H2754" i="3"/>
  <c r="C2754" i="3" s="1"/>
  <c r="H2755" i="3"/>
  <c r="C2755" i="3" s="1"/>
  <c r="H2756" i="3"/>
  <c r="C2756" i="3" s="1"/>
  <c r="H2757" i="3"/>
  <c r="C2757" i="3" s="1"/>
  <c r="H2758" i="3"/>
  <c r="C2758" i="3" s="1"/>
  <c r="C2759" i="3"/>
  <c r="H2759" i="3"/>
  <c r="H2760" i="3"/>
  <c r="C2760" i="3" s="1"/>
  <c r="H2761" i="3"/>
  <c r="C2761" i="3" s="1"/>
  <c r="C2762" i="3"/>
  <c r="H2762" i="3"/>
  <c r="H2763" i="3"/>
  <c r="C2763" i="3" s="1"/>
  <c r="H2764" i="3"/>
  <c r="C2764" i="3" s="1"/>
  <c r="H2765" i="3"/>
  <c r="C2765" i="3" s="1"/>
  <c r="H2766" i="3"/>
  <c r="C2766" i="3" s="1"/>
  <c r="C2767" i="3"/>
  <c r="H2767" i="3"/>
  <c r="H2768" i="3"/>
  <c r="C2768" i="3" s="1"/>
  <c r="H2769" i="3"/>
  <c r="C2769" i="3" s="1"/>
  <c r="H2770" i="3"/>
  <c r="C2770" i="3" s="1"/>
  <c r="H2771" i="3"/>
  <c r="C2771" i="3" s="1"/>
  <c r="H2772" i="3"/>
  <c r="C2772" i="3" s="1"/>
  <c r="H2773" i="3"/>
  <c r="C2773" i="3" s="1"/>
  <c r="H2774" i="3"/>
  <c r="C2774" i="3" s="1"/>
  <c r="H2775" i="3"/>
  <c r="C2775" i="3" s="1"/>
  <c r="H2776" i="3"/>
  <c r="C2776" i="3" s="1"/>
  <c r="H2777" i="3"/>
  <c r="C2777" i="3" s="1"/>
  <c r="C2778" i="3"/>
  <c r="H2778" i="3"/>
  <c r="H2779" i="3"/>
  <c r="C2779" i="3" s="1"/>
  <c r="H2780" i="3"/>
  <c r="C2780" i="3" s="1"/>
  <c r="H2781" i="3"/>
  <c r="C2781" i="3" s="1"/>
  <c r="H2782" i="3"/>
  <c r="C2782" i="3" s="1"/>
  <c r="H2783" i="3"/>
  <c r="C2783" i="3" s="1"/>
  <c r="H2784" i="3"/>
  <c r="C2784" i="3" s="1"/>
  <c r="H2785" i="3"/>
  <c r="C2785" i="3" s="1"/>
  <c r="H2786" i="3"/>
  <c r="C2786" i="3" s="1"/>
  <c r="H2787" i="3"/>
  <c r="C2787" i="3" s="1"/>
  <c r="H2788" i="3"/>
  <c r="C2788" i="3" s="1"/>
  <c r="H2789" i="3"/>
  <c r="C2789" i="3" s="1"/>
  <c r="H2790" i="3"/>
  <c r="C2790" i="3" s="1"/>
  <c r="C2791" i="3"/>
  <c r="H2791" i="3"/>
  <c r="H2792" i="3"/>
  <c r="C2792" i="3" s="1"/>
  <c r="H2793" i="3"/>
  <c r="C2793" i="3" s="1"/>
  <c r="H2794" i="3"/>
  <c r="C2794" i="3" s="1"/>
  <c r="H2795" i="3"/>
  <c r="C2795" i="3" s="1"/>
  <c r="H2796" i="3"/>
  <c r="C2796" i="3" s="1"/>
  <c r="H2797" i="3"/>
  <c r="C2797" i="3" s="1"/>
  <c r="H2798" i="3"/>
  <c r="C2798" i="3" s="1"/>
  <c r="H2799" i="3"/>
  <c r="C2799" i="3" s="1"/>
  <c r="H2800" i="3"/>
  <c r="C2800" i="3" s="1"/>
  <c r="C2801" i="3"/>
  <c r="H2801" i="3"/>
  <c r="H2802" i="3"/>
  <c r="C2802" i="3" s="1"/>
  <c r="H2803" i="3"/>
  <c r="C2803" i="3" s="1"/>
  <c r="H2804" i="3"/>
  <c r="C2804" i="3" s="1"/>
  <c r="H2805" i="3"/>
  <c r="C2805" i="3" s="1"/>
  <c r="H2806" i="3"/>
  <c r="C2806" i="3" s="1"/>
  <c r="C2807" i="3"/>
  <c r="H2807" i="3"/>
  <c r="H2808" i="3"/>
  <c r="C2808" i="3" s="1"/>
  <c r="H2809" i="3"/>
  <c r="C2809" i="3" s="1"/>
  <c r="H2810" i="3"/>
  <c r="C2810" i="3" s="1"/>
  <c r="H2811" i="3"/>
  <c r="C2811" i="3" s="1"/>
  <c r="H2812" i="3"/>
  <c r="C2812" i="3" s="1"/>
  <c r="H2813" i="3"/>
  <c r="C2813" i="3" s="1"/>
  <c r="H2814" i="3"/>
  <c r="C2814" i="3" s="1"/>
  <c r="H2815" i="3"/>
  <c r="C2815" i="3" s="1"/>
  <c r="H2816" i="3"/>
  <c r="C2816" i="3" s="1"/>
  <c r="H2817" i="3"/>
  <c r="C2817" i="3" s="1"/>
  <c r="H2818" i="3"/>
  <c r="C2818" i="3" s="1"/>
  <c r="H2819" i="3"/>
  <c r="C2819" i="3" s="1"/>
  <c r="H2820" i="3"/>
  <c r="C2820" i="3" s="1"/>
  <c r="H2821" i="3"/>
  <c r="C2821" i="3" s="1"/>
  <c r="H2822" i="3"/>
  <c r="C2822" i="3" s="1"/>
  <c r="C2823" i="3"/>
  <c r="H2823" i="3"/>
  <c r="H2824" i="3"/>
  <c r="C2824" i="3" s="1"/>
  <c r="H2825" i="3"/>
  <c r="C2825" i="3" s="1"/>
  <c r="H2826" i="3"/>
  <c r="C2826" i="3" s="1"/>
  <c r="H2827" i="3"/>
  <c r="C2827" i="3" s="1"/>
  <c r="H2828" i="3"/>
  <c r="C2828" i="3" s="1"/>
  <c r="H2829" i="3"/>
  <c r="C2829" i="3" s="1"/>
  <c r="H2830" i="3"/>
  <c r="C2830" i="3" s="1"/>
  <c r="H2831" i="3"/>
  <c r="C2831" i="3" s="1"/>
  <c r="H2832" i="3"/>
  <c r="C2832" i="3" s="1"/>
  <c r="H2833" i="3"/>
  <c r="C2833" i="3" s="1"/>
  <c r="C2834" i="3"/>
  <c r="H2834" i="3"/>
  <c r="H2835" i="3"/>
  <c r="C2835" i="3" s="1"/>
  <c r="H2836" i="3"/>
  <c r="C2836" i="3" s="1"/>
  <c r="H2837" i="3"/>
  <c r="C2837" i="3" s="1"/>
  <c r="H2838" i="3"/>
  <c r="C2838" i="3" s="1"/>
  <c r="H2839" i="3"/>
  <c r="C2839" i="3" s="1"/>
  <c r="H2840" i="3"/>
  <c r="C2840" i="3" s="1"/>
  <c r="H2841" i="3"/>
  <c r="C2841" i="3" s="1"/>
  <c r="H2842" i="3"/>
  <c r="C2842" i="3" s="1"/>
  <c r="H2843" i="3"/>
  <c r="C2843" i="3" s="1"/>
  <c r="H2844" i="3"/>
  <c r="C2844" i="3" s="1"/>
  <c r="H2845" i="3"/>
  <c r="C2845" i="3" s="1"/>
  <c r="C2846" i="3"/>
  <c r="H2846" i="3"/>
  <c r="H2847" i="3"/>
  <c r="C2847" i="3" s="1"/>
  <c r="H2848" i="3"/>
  <c r="C2848" i="3" s="1"/>
  <c r="C2849" i="3"/>
  <c r="H2849" i="3"/>
  <c r="H2850" i="3"/>
  <c r="C2850" i="3" s="1"/>
  <c r="H2851" i="3"/>
  <c r="C2851" i="3" s="1"/>
  <c r="H2852" i="3"/>
  <c r="C2852" i="3" s="1"/>
  <c r="H2853" i="3"/>
  <c r="C2853" i="3" s="1"/>
  <c r="H2854" i="3"/>
  <c r="C2854" i="3" s="1"/>
  <c r="H2855" i="3"/>
  <c r="C2855" i="3" s="1"/>
  <c r="H2856" i="3"/>
  <c r="C2856" i="3" s="1"/>
  <c r="C2857" i="3"/>
  <c r="H2857" i="3"/>
  <c r="H2858" i="3"/>
  <c r="C2858" i="3" s="1"/>
  <c r="H2859" i="3"/>
  <c r="C2859" i="3" s="1"/>
  <c r="H2860" i="3"/>
  <c r="C2860" i="3" s="1"/>
  <c r="H2861" i="3"/>
  <c r="C2861" i="3" s="1"/>
  <c r="H2862" i="3"/>
  <c r="C2862" i="3" s="1"/>
  <c r="H2863" i="3"/>
  <c r="C2863" i="3" s="1"/>
  <c r="H2864" i="3"/>
  <c r="C2864" i="3" s="1"/>
  <c r="C2865" i="3"/>
  <c r="H2865" i="3"/>
  <c r="H2866" i="3"/>
  <c r="C2866" i="3" s="1"/>
  <c r="H2867" i="3"/>
  <c r="C2867" i="3" s="1"/>
  <c r="H2868" i="3"/>
  <c r="C2868" i="3" s="1"/>
  <c r="H2869" i="3"/>
  <c r="C2869" i="3" s="1"/>
  <c r="H2870" i="3"/>
  <c r="C2870" i="3" s="1"/>
  <c r="H2871" i="3"/>
  <c r="C2871" i="3" s="1"/>
  <c r="H2872" i="3"/>
  <c r="C2872" i="3" s="1"/>
  <c r="H2873" i="3"/>
  <c r="C2873" i="3" s="1"/>
  <c r="H2874" i="3"/>
  <c r="C2874" i="3" s="1"/>
  <c r="H2875" i="3"/>
  <c r="C2875" i="3" s="1"/>
  <c r="H2876" i="3"/>
  <c r="C2876" i="3" s="1"/>
  <c r="H2877" i="3"/>
  <c r="C2877" i="3" s="1"/>
  <c r="H2878" i="3"/>
  <c r="C2878" i="3" s="1"/>
  <c r="C2879" i="3"/>
  <c r="H2879" i="3"/>
  <c r="T5" i="2"/>
  <c r="U5" i="2"/>
  <c r="V5" i="2"/>
  <c r="W5" i="2"/>
  <c r="X5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V37" i="2"/>
  <c r="X37" i="2"/>
  <c r="V38" i="2"/>
  <c r="X38" i="2" s="1"/>
  <c r="V39" i="2"/>
  <c r="X39" i="2" s="1"/>
  <c r="V40" i="2"/>
  <c r="X40" i="2"/>
  <c r="V41" i="2"/>
  <c r="X41" i="2" s="1"/>
  <c r="V42" i="2"/>
  <c r="X42" i="2" s="1"/>
  <c r="V43" i="2"/>
  <c r="X43" i="2" s="1"/>
  <c r="V44" i="2"/>
  <c r="X44" i="2" s="1"/>
  <c r="V45" i="2"/>
  <c r="X45" i="2"/>
  <c r="V46" i="2"/>
  <c r="X46" i="2"/>
  <c r="V47" i="2"/>
  <c r="X47" i="2" s="1"/>
  <c r="V48" i="2"/>
  <c r="X48" i="2"/>
  <c r="V49" i="2"/>
  <c r="X49" i="2"/>
  <c r="V50" i="2"/>
  <c r="X50" i="2" s="1"/>
  <c r="V51" i="2"/>
  <c r="X51" i="2" s="1"/>
  <c r="X52" i="2"/>
  <c r="J3" i="37" l="1"/>
  <c r="I28" i="35"/>
  <c r="B22" i="11"/>
  <c r="C3" i="11"/>
  <c r="C22" i="11" s="1"/>
  <c r="F22" i="11"/>
  <c r="X3" i="2"/>
  <c r="Y2" i="2"/>
  <c r="X16" i="2"/>
  <c r="X8" i="2"/>
  <c r="AD12" i="2"/>
  <c r="X15" i="2"/>
  <c r="X12" i="2"/>
  <c r="AD8" i="2"/>
  <c r="X11" i="2"/>
  <c r="Y10" i="2"/>
  <c r="X7" i="2"/>
  <c r="X6" i="2"/>
  <c r="AD6" i="2"/>
  <c r="X9" i="2"/>
  <c r="AD9" i="2"/>
  <c r="Y9" i="2"/>
  <c r="Y12" i="2"/>
  <c r="AD13" i="2"/>
  <c r="Y13" i="2"/>
  <c r="AD15" i="2"/>
  <c r="Y15" i="2"/>
  <c r="Y16" i="2"/>
  <c r="AD16" i="2"/>
  <c r="X10" i="2"/>
  <c r="AD10" i="2"/>
  <c r="Y6" i="2"/>
  <c r="Y11" i="2"/>
  <c r="AD7" i="2"/>
  <c r="Y7" i="2"/>
  <c r="Y4" i="2"/>
  <c r="X4" i="2"/>
  <c r="Y5" i="2"/>
  <c r="Y3" i="2"/>
  <c r="J4" i="37" l="1"/>
  <c r="J5" i="37" l="1"/>
  <c r="J6" i="37" l="1"/>
  <c r="J7" i="37" l="1"/>
  <c r="J8" i="37" l="1"/>
  <c r="J9" i="37" l="1"/>
  <c r="J10" i="37" l="1"/>
  <c r="J11" i="37" l="1"/>
  <c r="J12" i="37" l="1"/>
  <c r="J13" i="37" l="1"/>
  <c r="J14" i="37" l="1"/>
  <c r="J15" i="37" l="1"/>
  <c r="J16" i="37" l="1"/>
  <c r="J17" i="37" l="1"/>
  <c r="J18" i="37" l="1"/>
  <c r="J617" i="37" l="1"/>
  <c r="J616" i="37"/>
  <c r="J729" i="37"/>
  <c r="J377" i="37"/>
  <c r="J728" i="37"/>
  <c r="J344" i="37"/>
  <c r="J412" i="37"/>
  <c r="J413" i="37"/>
  <c r="J411" i="37"/>
  <c r="J410" i="37"/>
  <c r="J451" i="37"/>
  <c r="J452" i="37"/>
  <c r="J409" i="37"/>
  <c r="J408" i="37"/>
  <c r="J606" i="37"/>
  <c r="J407" i="37"/>
  <c r="J605" i="37"/>
  <c r="J466" i="37"/>
  <c r="J618" i="37" l="1"/>
  <c r="J414" i="37"/>
  <c r="J415" i="37"/>
  <c r="J159" i="37"/>
  <c r="J321" i="37"/>
  <c r="J160" i="37"/>
  <c r="J19" i="37"/>
  <c r="J345" i="37"/>
  <c r="J346" i="37"/>
  <c r="J615" i="37"/>
  <c r="J654" i="37" l="1"/>
  <c r="J619" i="37"/>
  <c r="J620" i="37" l="1"/>
  <c r="J453" i="37"/>
  <c r="J82" i="37" l="1"/>
  <c r="J621" i="37"/>
  <c r="J622" i="37" l="1"/>
  <c r="J655" i="37"/>
  <c r="J656" i="37" l="1"/>
  <c r="J240" i="37"/>
  <c r="J241" i="37" l="1"/>
  <c r="J657" i="37"/>
  <c r="J658" i="37" l="1"/>
  <c r="J292" i="37"/>
  <c r="J293" i="37" l="1"/>
  <c r="J700" i="37"/>
  <c r="J701" i="37" l="1"/>
  <c r="J294" i="37"/>
  <c r="J242" i="37" l="1"/>
  <c r="J702" i="37"/>
  <c r="J703" i="37" l="1"/>
  <c r="J243" i="37"/>
  <c r="J244" i="37" l="1"/>
  <c r="J704" i="37"/>
  <c r="J347" i="37" l="1"/>
  <c r="J245" i="37"/>
  <c r="J246" i="37" l="1"/>
  <c r="J841" i="37"/>
  <c r="J842" i="37" l="1"/>
  <c r="J247" i="37"/>
  <c r="J248" i="37" l="1"/>
  <c r="J843" i="37"/>
  <c r="J225" i="37" l="1"/>
  <c r="J249" i="37"/>
  <c r="J250" i="37" l="1"/>
  <c r="J226" i="37"/>
  <c r="J227" i="37" l="1"/>
  <c r="J251" i="37"/>
  <c r="J252" i="37" l="1"/>
  <c r="J228" i="37"/>
  <c r="J229" i="37" l="1"/>
  <c r="J253" i="37"/>
  <c r="J254" i="37" l="1"/>
  <c r="J230" i="37"/>
  <c r="J231" i="37" l="1"/>
  <c r="J255" i="37"/>
  <c r="J256" i="37" l="1"/>
  <c r="J416" i="37"/>
  <c r="J454" i="37" l="1"/>
  <c r="J898" i="37"/>
  <c r="J673" i="37" l="1"/>
  <c r="J455" i="37"/>
  <c r="J456" i="37" l="1"/>
  <c r="J674" i="37"/>
  <c r="J730" i="37" l="1"/>
  <c r="J20" i="37"/>
  <c r="J527" i="37" l="1"/>
  <c r="J731" i="37"/>
  <c r="J732" i="37" l="1"/>
  <c r="J21" i="37"/>
  <c r="J22" i="37" l="1"/>
  <c r="J733" i="37"/>
  <c r="J734" i="37" l="1"/>
  <c r="J322" i="37"/>
  <c r="J161" i="37" l="1"/>
  <c r="J104" i="37"/>
  <c r="J735" i="37" l="1"/>
  <c r="J659" i="37"/>
  <c r="J660" i="37" l="1"/>
  <c r="J736" i="37"/>
  <c r="J737" i="37" l="1"/>
  <c r="J348" i="37"/>
  <c r="J83" i="37" l="1"/>
  <c r="J32" i="37"/>
  <c r="J33" i="37" l="1"/>
  <c r="J705" i="37"/>
  <c r="J706" i="37" l="1"/>
  <c r="J549" i="37"/>
  <c r="J550" i="37" l="1"/>
  <c r="J707" i="37"/>
  <c r="J349" i="37" l="1"/>
  <c r="J551" i="37"/>
  <c r="J738" i="37" l="1"/>
  <c r="J708" i="37"/>
  <c r="J709" i="37" l="1"/>
  <c r="J34" i="37"/>
  <c r="J35" i="37" l="1"/>
  <c r="J457" i="37"/>
  <c r="J661" i="37" l="1"/>
  <c r="J36" i="37"/>
  <c r="J37" i="37" l="1"/>
  <c r="J607" i="37"/>
  <c r="J662" i="37" l="1"/>
  <c r="J38" i="37"/>
  <c r="J39" i="37" l="1"/>
  <c r="J663" i="37"/>
  <c r="J664" i="37" l="1"/>
  <c r="J40" i="37"/>
  <c r="J41" i="37" l="1"/>
  <c r="J23" i="37"/>
  <c r="J24" i="37" l="1"/>
  <c r="J42" i="37"/>
  <c r="J43" i="37" l="1"/>
  <c r="J25" i="37"/>
  <c r="J26" i="37" l="1"/>
  <c r="J44" i="37"/>
  <c r="J45" i="37" l="1"/>
  <c r="J27" i="37"/>
  <c r="J28" i="37" l="1"/>
  <c r="J46" i="37"/>
  <c r="J47" i="37" l="1"/>
  <c r="J350" i="37"/>
  <c r="J788" i="37" l="1"/>
  <c r="J48" i="37"/>
  <c r="J49" i="37" l="1"/>
  <c r="J665" i="37"/>
  <c r="J608" i="37" l="1"/>
  <c r="J50" i="37"/>
  <c r="J51" i="37" l="1"/>
  <c r="J609" i="37"/>
  <c r="J232" i="37" l="1"/>
  <c r="J52" i="37"/>
  <c r="J53" i="37" l="1"/>
  <c r="J84" i="37"/>
  <c r="J710" i="37" l="1"/>
  <c r="J54" i="37"/>
  <c r="J55" i="37" l="1"/>
  <c r="J711" i="37"/>
  <c r="J233" i="37" l="1"/>
  <c r="J56" i="37"/>
  <c r="J57" i="37" l="1"/>
  <c r="J162" i="37"/>
  <c r="J666" i="37" l="1"/>
  <c r="J58" i="37"/>
  <c r="J59" i="37" l="1"/>
  <c r="J528" i="37"/>
  <c r="J529" i="37" l="1"/>
  <c r="J60" i="37"/>
  <c r="J329" i="37" l="1"/>
  <c r="J530" i="37"/>
  <c r="J531" i="37" l="1"/>
  <c r="J61" i="37"/>
  <c r="J739" i="37" l="1"/>
  <c r="J532" i="37"/>
  <c r="J533" i="37" l="1"/>
  <c r="J257" i="37"/>
  <c r="J258" i="37" l="1"/>
  <c r="J534" i="37"/>
  <c r="J163" i="37" l="1"/>
  <c r="J168" i="37"/>
  <c r="J169" i="37" l="1"/>
  <c r="J85" i="37"/>
  <c r="J86" i="37" l="1"/>
  <c r="J467" i="37"/>
  <c r="J170" i="37" l="1"/>
  <c r="J87" i="37"/>
  <c r="J712" i="37" l="1"/>
  <c r="J330" i="37"/>
  <c r="J468" i="37" l="1"/>
  <c r="J323" i="37"/>
  <c r="J351" i="37" l="1"/>
  <c r="J469" i="37"/>
  <c r="J470" i="37" l="1"/>
  <c r="J352" i="37"/>
  <c r="J789" i="37" l="1"/>
  <c r="J171" i="37"/>
  <c r="J420" i="37" l="1"/>
  <c r="J790" i="37"/>
  <c r="J458" i="37" l="1"/>
  <c r="J471" i="37"/>
  <c r="J552" i="37" l="1"/>
  <c r="J353" i="37"/>
  <c r="J354" i="37" l="1"/>
  <c r="J553" i="37"/>
  <c r="J554" i="37" l="1"/>
  <c r="J355" i="37"/>
  <c r="J356" i="37" l="1"/>
  <c r="J555" i="37"/>
  <c r="J556" i="37" l="1"/>
  <c r="J610" i="37"/>
  <c r="J713" i="37" l="1"/>
  <c r="J557" i="37"/>
  <c r="J740" i="37" l="1"/>
  <c r="J714" i="37"/>
  <c r="J715" i="37" l="1"/>
  <c r="J741" i="37"/>
  <c r="J421" i="37" l="1"/>
  <c r="J88" i="37"/>
  <c r="J89" i="37" l="1"/>
  <c r="J816" i="37"/>
  <c r="J854" i="37" l="1"/>
  <c r="J90" i="37"/>
  <c r="J234" i="37" l="1"/>
  <c r="J855" i="37"/>
  <c r="J856" i="37" l="1"/>
  <c r="J235" i="37"/>
  <c r="J791" i="37" l="1"/>
  <c r="J857" i="37"/>
  <c r="J858" i="37" l="1"/>
  <c r="J716" i="37"/>
  <c r="J324" i="37" l="1"/>
  <c r="J859" i="37"/>
  <c r="J860" i="37" l="1"/>
  <c r="J325" i="37"/>
  <c r="J535" i="37" l="1"/>
  <c r="J558" i="37"/>
  <c r="J623" i="37" l="1"/>
  <c r="J536" i="37"/>
  <c r="J537" i="37" l="1"/>
  <c r="J172" i="37"/>
  <c r="J742" i="37" l="1"/>
  <c r="J538" i="37"/>
  <c r="J539" i="37" l="1"/>
  <c r="J378" i="37"/>
  <c r="J379" i="37" l="1"/>
  <c r="J540" i="37"/>
  <c r="J541" i="37" l="1"/>
  <c r="J380" i="37"/>
  <c r="J381" i="37" l="1"/>
  <c r="J542" i="37"/>
  <c r="J543" i="37" l="1"/>
  <c r="J382" i="37"/>
  <c r="J743" i="37" l="1"/>
  <c r="J717" i="37"/>
  <c r="J544" i="37" l="1"/>
  <c r="J105" i="37"/>
  <c r="J106" i="37" l="1"/>
  <c r="J545" i="37"/>
  <c r="J667" i="37" l="1"/>
  <c r="J744" i="37"/>
  <c r="J745" i="37" l="1"/>
  <c r="J899" i="37"/>
  <c r="J417" i="37" l="1"/>
  <c r="J746" i="37"/>
  <c r="J900" i="37" l="1"/>
  <c r="J418" i="37"/>
  <c r="J792" i="37" l="1"/>
  <c r="J747" i="37"/>
  <c r="J861" i="37" l="1"/>
  <c r="J793" i="37"/>
  <c r="J794" i="37" l="1"/>
  <c r="J383" i="37"/>
  <c r="J259" i="37" l="1"/>
  <c r="J29" i="37"/>
  <c r="J326" i="37" l="1"/>
  <c r="J260" i="37"/>
  <c r="J261" i="37" l="1"/>
  <c r="J795" i="37"/>
  <c r="J796" i="37" l="1"/>
  <c r="J262" i="37"/>
  <c r="J263" i="37" l="1"/>
  <c r="J797" i="37"/>
  <c r="J798" i="37" l="1"/>
  <c r="J107" i="37"/>
  <c r="J108" i="37" l="1"/>
  <c r="J290" i="37"/>
  <c r="J291" i="37" l="1"/>
  <c r="J109" i="37"/>
  <c r="J331" i="37" l="1"/>
  <c r="J546" i="37"/>
  <c r="J91" i="37" l="1"/>
  <c r="J559" i="37"/>
  <c r="J560" i="37" l="1"/>
  <c r="J799" i="37"/>
  <c r="J800" i="37" l="1"/>
  <c r="J561" i="37"/>
  <c r="J562" i="37" l="1"/>
  <c r="J236" i="37"/>
  <c r="J718" i="37" l="1"/>
  <c r="J563" i="37"/>
  <c r="J624" i="37" l="1"/>
  <c r="J419" i="37"/>
  <c r="J459" i="37" l="1"/>
  <c r="J173" i="37"/>
  <c r="J264" i="37" l="1"/>
  <c r="J460" i="37"/>
  <c r="J461" i="37" l="1"/>
  <c r="J265" i="37"/>
  <c r="J266" i="37" l="1"/>
  <c r="J462" i="37"/>
  <c r="J463" i="37" l="1"/>
  <c r="J267" i="37"/>
  <c r="J268" i="37" l="1"/>
  <c r="J464" i="37"/>
  <c r="J92" i="37" l="1"/>
  <c r="J269" i="37"/>
  <c r="J270" i="37" l="1"/>
  <c r="J719" i="37"/>
  <c r="J611" i="37" l="1"/>
  <c r="J748" i="37"/>
  <c r="J472" i="37" l="1"/>
  <c r="J612" i="37"/>
  <c r="J327" i="37" l="1"/>
  <c r="J473" i="37"/>
  <c r="J474" i="37" l="1"/>
  <c r="J357" i="37"/>
  <c r="J328" i="37" l="1"/>
  <c r="J475" i="37"/>
  <c r="J625" i="37" l="1"/>
  <c r="J668" i="37"/>
  <c r="J669" i="37" l="1"/>
  <c r="J564" i="37"/>
  <c r="J565" i="37" l="1"/>
  <c r="J670" i="37"/>
  <c r="J671" i="37" l="1"/>
  <c r="J566" i="37"/>
  <c r="J567" i="37" l="1"/>
  <c r="J720" i="37"/>
  <c r="J721" i="37" l="1"/>
  <c r="J568" i="37"/>
  <c r="J476" i="37" l="1"/>
  <c r="J722" i="37"/>
  <c r="J723" i="37" l="1"/>
  <c r="J862" i="37"/>
  <c r="J863" i="37" l="1"/>
  <c r="J724" i="37"/>
  <c r="J613" i="37" l="1"/>
  <c r="J864" i="37"/>
  <c r="J749" i="37" l="1"/>
  <c r="J865" i="37"/>
  <c r="J672" i="37"/>
  <c r="J614" i="37" l="1"/>
  <c r="J237" i="37" l="1"/>
  <c r="J725" i="37" l="1"/>
  <c r="J726" i="37" l="1"/>
  <c r="J727" i="37" l="1"/>
  <c r="J358" i="37" l="1"/>
  <c r="J359" i="37" l="1"/>
  <c r="J465" i="37" l="1"/>
  <c r="J93" i="37" l="1"/>
  <c r="J94" i="37" l="1"/>
  <c r="J95" i="37" l="1"/>
  <c r="J164" i="37" l="1"/>
  <c r="J165" i="37" l="1"/>
  <c r="J547" i="37" l="1"/>
  <c r="J96" i="37" l="1"/>
  <c r="J360" i="37" l="1"/>
  <c r="J801" i="37" l="1"/>
  <c r="J802" i="37" l="1"/>
  <c r="J803" i="37" l="1"/>
  <c r="J804" i="37" l="1"/>
  <c r="J805" i="37" l="1"/>
  <c r="J806" i="37" l="1"/>
  <c r="J807" i="37" l="1"/>
  <c r="J808" i="37" l="1"/>
  <c r="J809" i="37" l="1"/>
  <c r="J810" i="37" l="1"/>
  <c r="J844" i="37" l="1"/>
  <c r="J811" i="37" l="1"/>
  <c r="J845" i="37" l="1"/>
  <c r="J846" i="37" l="1"/>
  <c r="J847" i="37" l="1"/>
  <c r="J848" i="37" l="1"/>
  <c r="J849" i="37" l="1"/>
  <c r="J850" i="37" l="1"/>
  <c r="J812" i="37" l="1"/>
  <c r="J813" i="37" l="1"/>
  <c r="J814" i="37" l="1"/>
  <c r="J815" i="37" l="1"/>
  <c r="J30" i="37" l="1"/>
  <c r="J31" i="37" l="1"/>
  <c r="J166" i="37" l="1"/>
  <c r="J167" i="37" l="1"/>
  <c r="J238" i="37" l="1"/>
  <c r="J239" i="37" l="1"/>
  <c r="J361" i="37" l="1"/>
  <c r="J548" i="37" l="1"/>
  <c r="J362" i="37" l="1"/>
  <c r="J363" i="37" l="1"/>
  <c r="J364" i="37" l="1"/>
  <c r="J365" i="37" l="1"/>
  <c r="J366" i="37" l="1"/>
  <c r="J367" i="37" l="1"/>
  <c r="J368" i="37" l="1"/>
  <c r="J369" i="37" l="1"/>
  <c r="J370" i="37" l="1"/>
  <c r="J371" i="37" l="1"/>
  <c r="J372" i="37" l="1"/>
  <c r="J373" i="37" l="1"/>
  <c r="J374" i="37" l="1"/>
  <c r="J375" i="37" l="1"/>
  <c r="J376" i="37" l="1"/>
  <c r="J851" i="37" l="1"/>
  <c r="J852" i="37" l="1"/>
  <c r="J853" i="37" l="1"/>
  <c r="J97" i="37" l="1"/>
  <c r="J98" i="37" l="1"/>
  <c r="J99" i="37" l="1"/>
  <c r="J100" i="37" l="1"/>
  <c r="J101" i="37" l="1"/>
  <c r="J103" i="37" l="1"/>
  <c r="J102" i="37"/>
  <c r="J750" i="37"/>
  <c r="J181" i="37"/>
  <c r="J581" i="37"/>
  <c r="J769" i="37"/>
  <c r="J501" i="37"/>
  <c r="J640" i="37"/>
  <c r="J124" i="37"/>
  <c r="J578" i="37"/>
  <c r="J569" i="37"/>
  <c r="J751" i="37"/>
  <c r="J677" i="37"/>
  <c r="J304" i="37"/>
  <c r="J155" i="37"/>
  <c r="J874" i="37"/>
  <c r="J688" i="37"/>
  <c r="J681" i="37"/>
  <c r="J639" i="37"/>
  <c r="J284" i="37"/>
  <c r="J422" i="37"/>
  <c r="J336" i="37"/>
  <c r="J303" i="37"/>
  <c r="J499" i="37"/>
  <c r="J286" i="37"/>
  <c r="J180" i="37"/>
  <c r="J334" i="37"/>
  <c r="J72" i="37"/>
  <c r="J139" i="37"/>
  <c r="J698" i="37"/>
  <c r="J274" i="37"/>
  <c r="J693" i="37"/>
  <c r="J676" i="37"/>
  <c r="J184" i="37"/>
  <c r="J901" i="37"/>
  <c r="J887" i="37"/>
  <c r="J697" i="37"/>
  <c r="J638" i="37"/>
  <c r="J509" i="37"/>
  <c r="J781" i="37"/>
  <c r="J430" i="37"/>
  <c r="J438" i="37"/>
  <c r="J314" i="37"/>
  <c r="J479" i="37"/>
  <c r="J786" i="37"/>
  <c r="J223" i="37"/>
  <c r="J892" i="37"/>
  <c r="J593" i="37"/>
  <c r="J692" i="37"/>
  <c r="J385" i="37"/>
  <c r="J121" i="37"/>
  <c r="J280" i="37"/>
  <c r="J433" i="37"/>
  <c r="J216" i="37"/>
  <c r="J391" i="37"/>
  <c r="J496" i="37"/>
  <c r="J591" i="37"/>
  <c r="J113" i="37"/>
  <c r="J675" i="37"/>
  <c r="J833" i="37"/>
  <c r="J510" i="37"/>
  <c r="J877" i="37"/>
  <c r="J872" i="37"/>
  <c r="J783" i="37"/>
  <c r="J761" i="37"/>
  <c r="J687" i="37"/>
  <c r="J582" i="37"/>
  <c r="J821" i="37"/>
  <c r="J570" i="37"/>
  <c r="J893" i="37"/>
  <c r="J779" i="37"/>
  <c r="J388" i="37"/>
  <c r="J217" i="37"/>
  <c r="J763" i="37"/>
  <c r="J222" i="37"/>
  <c r="J207" i="37"/>
  <c r="J213" i="37"/>
  <c r="J68" i="37"/>
  <c r="J133" i="37"/>
  <c r="J480" i="37"/>
  <c r="J871" i="37"/>
  <c r="J486" i="37"/>
  <c r="J648" i="37"/>
  <c r="J876" i="37"/>
  <c r="J778" i="37"/>
  <c r="J782" i="37"/>
  <c r="J825" i="37"/>
  <c r="J647" i="37"/>
  <c r="J643" i="37"/>
  <c r="J682" i="37"/>
  <c r="J756" i="37"/>
  <c r="J521" i="37"/>
  <c r="J508" i="37"/>
  <c r="J635" i="37"/>
  <c r="J626" i="37"/>
  <c r="J74" i="37"/>
  <c r="J206" i="37"/>
  <c r="J209" i="37"/>
  <c r="J125" i="37"/>
  <c r="J759" i="37"/>
  <c r="J446" i="37"/>
  <c r="J520" i="37"/>
  <c r="J507" i="37"/>
  <c r="J526" i="37"/>
  <c r="J199" i="37"/>
  <c r="J285" i="37"/>
  <c r="J221" i="37"/>
  <c r="J884" i="37"/>
  <c r="J120" i="37"/>
  <c r="J389" i="37"/>
  <c r="J762" i="37"/>
  <c r="J880" i="37"/>
  <c r="J311" i="37"/>
  <c r="J493" i="37"/>
  <c r="J513" i="37"/>
  <c r="J896" i="37"/>
  <c r="J831" i="37"/>
  <c r="J773" i="37"/>
  <c r="J198" i="37"/>
  <c r="J589" i="37"/>
  <c r="J597" i="37"/>
  <c r="J649" i="37"/>
  <c r="J487" i="37"/>
  <c r="J514" i="37"/>
  <c r="J506" i="37"/>
  <c r="J387" i="37"/>
  <c r="J401" i="37"/>
  <c r="J296" i="37"/>
  <c r="J492" i="37"/>
  <c r="J194" i="37"/>
  <c r="J177" i="37"/>
  <c r="J694" i="37"/>
  <c r="J143" i="37"/>
  <c r="J571" i="37"/>
  <c r="J832" i="37"/>
  <c r="J112" i="37"/>
  <c r="J873" i="37"/>
  <c r="J132" i="37"/>
  <c r="J774" i="37"/>
  <c r="J494" i="37"/>
  <c r="J497" i="37"/>
  <c r="J337" i="37"/>
  <c r="J515" i="37"/>
  <c r="J895" i="37"/>
  <c r="J822" i="37"/>
  <c r="J830" i="37"/>
  <c r="J772" i="37"/>
  <c r="J288" i="37"/>
  <c r="J696" i="37"/>
  <c r="J114" i="37"/>
  <c r="J158" i="37"/>
  <c r="J596" i="37"/>
  <c r="J785" i="37"/>
  <c r="J427" i="37"/>
  <c r="J319" i="37"/>
  <c r="J193" i="37"/>
  <c r="J817" i="37"/>
  <c r="J156" i="37"/>
  <c r="J70" i="37"/>
  <c r="J197" i="37"/>
  <c r="J279" i="37"/>
  <c r="J823" i="37"/>
  <c r="J522" i="37"/>
  <c r="J437" i="37"/>
  <c r="J775" i="37"/>
  <c r="J498" i="37"/>
  <c r="J135" i="37"/>
  <c r="J888" i="37"/>
  <c r="J760" i="37"/>
  <c r="J829" i="37"/>
  <c r="J753" i="37"/>
  <c r="J827" i="37"/>
  <c r="J579" i="37"/>
  <c r="J758" i="37"/>
  <c r="J153" i="37"/>
  <c r="J485" i="37"/>
  <c r="J445" i="37"/>
  <c r="J392" i="37"/>
  <c r="J313" i="37"/>
  <c r="J187" i="37"/>
  <c r="J218" i="37"/>
  <c r="J839" i="37"/>
  <c r="J123" i="37"/>
  <c r="J77" i="37"/>
  <c r="J652" i="37"/>
  <c r="J62" i="37"/>
  <c r="J110" i="37"/>
  <c r="J678" i="37"/>
  <c r="J79" i="37"/>
  <c r="J429" i="37"/>
  <c r="J201" i="37"/>
  <c r="J71" i="37"/>
  <c r="J585" i="37"/>
  <c r="J490" i="37"/>
  <c r="J136" i="37"/>
  <c r="J202" i="37"/>
  <c r="J600" i="37"/>
  <c r="J891" i="37"/>
  <c r="J866" i="37"/>
  <c r="J828" i="37"/>
  <c r="J680" i="37"/>
  <c r="J818" i="37"/>
  <c r="J478" i="37"/>
  <c r="J574" i="37"/>
  <c r="J278" i="37"/>
  <c r="J771" i="37"/>
  <c r="J297" i="37"/>
  <c r="J316" i="37"/>
  <c r="J580" i="37"/>
  <c r="J205" i="37"/>
  <c r="J179" i="37"/>
  <c r="J214" i="37"/>
  <c r="J151" i="37"/>
  <c r="J765" i="37"/>
  <c r="J126" i="37"/>
  <c r="J491" i="37"/>
  <c r="J406" i="37"/>
  <c r="J134" i="37"/>
  <c r="J386" i="37"/>
  <c r="J189" i="37"/>
  <c r="J115" i="37"/>
  <c r="J481" i="37"/>
  <c r="J275" i="37"/>
  <c r="J488" i="37"/>
  <c r="J137" i="37"/>
  <c r="J881" i="37"/>
  <c r="J203" i="37"/>
  <c r="J320" i="37"/>
  <c r="J224" i="37"/>
  <c r="J282" i="37"/>
  <c r="J754" i="37"/>
  <c r="J690" i="37"/>
  <c r="J757" i="37"/>
  <c r="J152" i="37"/>
  <c r="J590" i="37"/>
  <c r="J770" i="37"/>
  <c r="J599" i="37"/>
  <c r="J289" i="37"/>
  <c r="J894" i="37"/>
  <c r="J300" i="37"/>
  <c r="J869" i="37"/>
  <c r="J66" i="37"/>
  <c r="J150" i="37"/>
  <c r="J154" i="37"/>
  <c r="J145" i="37"/>
  <c r="J879" i="37"/>
  <c r="J178" i="37"/>
  <c r="J653" i="37"/>
  <c r="J752" i="37"/>
  <c r="J572" i="37"/>
  <c r="J295" i="37"/>
  <c r="J633" i="37"/>
  <c r="J787" i="37"/>
  <c r="J768" i="37"/>
  <c r="J127" i="37"/>
  <c r="J122" i="37"/>
  <c r="J276" i="37"/>
  <c r="J144" i="37"/>
  <c r="J140" i="37"/>
  <c r="J310" i="37"/>
  <c r="J883" i="37"/>
  <c r="J885" i="37"/>
  <c r="J868" i="37"/>
  <c r="J836" i="37"/>
  <c r="J764" i="37"/>
  <c r="J777" i="37"/>
  <c r="J767" i="37"/>
  <c r="J404" i="37"/>
  <c r="J424" i="37"/>
  <c r="J505" i="37"/>
  <c r="J484" i="37"/>
  <c r="J400" i="37"/>
  <c r="J875" i="37"/>
  <c r="J341" i="37"/>
  <c r="J182" i="37"/>
  <c r="J651" i="37"/>
  <c r="J283" i="37"/>
  <c r="J271" i="37"/>
  <c r="J824" i="37"/>
  <c r="J141" i="37"/>
  <c r="J637" i="37"/>
  <c r="J592" i="37"/>
  <c r="J504" i="37"/>
  <c r="J627" i="37"/>
  <c r="J679" i="37"/>
  <c r="J867" i="37"/>
  <c r="J431" i="37"/>
  <c r="J272" i="37"/>
  <c r="J116" i="37"/>
  <c r="J307" i="37"/>
  <c r="J335" i="37"/>
  <c r="J128" i="37"/>
  <c r="J489" i="37"/>
  <c r="J142" i="37"/>
  <c r="J318" i="37"/>
  <c r="J495" i="37"/>
  <c r="J886" i="37"/>
  <c r="J503" i="37"/>
  <c r="J834" i="37"/>
  <c r="J878" i="37"/>
  <c r="J890" i="37"/>
  <c r="J186" i="37"/>
  <c r="J332" i="37"/>
  <c r="J309" i="37"/>
  <c r="J636" i="37"/>
  <c r="J443" i="37"/>
  <c r="J195" i="37"/>
  <c r="J584" i="37"/>
  <c r="J434" i="37"/>
  <c r="J525" i="37"/>
  <c r="J393" i="37"/>
  <c r="J340" i="37"/>
  <c r="J299" i="37"/>
  <c r="J435" i="37"/>
  <c r="J577" i="37"/>
  <c r="J200" i="37"/>
  <c r="J131" i="37"/>
  <c r="J65" i="37"/>
  <c r="J342" i="37"/>
  <c r="J277" i="37"/>
  <c r="J212" i="37"/>
  <c r="J343" i="37"/>
  <c r="J631" i="37"/>
  <c r="J840" i="37"/>
  <c r="J396" i="37"/>
  <c r="J403" i="37"/>
  <c r="J302" i="37"/>
  <c r="J117" i="37"/>
  <c r="J191" i="37"/>
  <c r="J196" i="37"/>
  <c r="J157" i="37"/>
  <c r="J312" i="37"/>
  <c r="J502" i="37"/>
  <c r="J695" i="37"/>
  <c r="J398" i="37"/>
  <c r="J449" i="37"/>
  <c r="J835" i="37"/>
  <c r="J683" i="37"/>
  <c r="J306" i="37"/>
  <c r="J130" i="37"/>
  <c r="J882" i="37"/>
  <c r="J111" i="37"/>
  <c r="J516" i="37"/>
  <c r="J583" i="37"/>
  <c r="J500" i="37"/>
  <c r="J897" i="37"/>
  <c r="J524" i="37"/>
  <c r="J423" i="37"/>
  <c r="J644" i="37"/>
  <c r="J448" i="37"/>
  <c r="J384" i="37"/>
  <c r="J402" i="37"/>
  <c r="J339" i="37"/>
  <c r="J210" i="37"/>
  <c r="J305" i="37"/>
  <c r="J204" i="37"/>
  <c r="J776" i="37"/>
  <c r="J215" i="37"/>
  <c r="J81" i="37"/>
  <c r="J575" i="37"/>
  <c r="J512" i="37"/>
  <c r="J587" i="37"/>
  <c r="J118" i="37"/>
  <c r="J447" i="37"/>
  <c r="J219" i="37"/>
  <c r="J628" i="37"/>
  <c r="J686" i="37"/>
  <c r="J308" i="37"/>
  <c r="J889" i="37"/>
  <c r="J183" i="37"/>
  <c r="J755" i="37"/>
  <c r="J138" i="37"/>
  <c r="J190" i="37"/>
  <c r="J119" i="37"/>
  <c r="J192" i="37"/>
  <c r="J75" i="37"/>
  <c r="J129" i="37"/>
  <c r="J588" i="37"/>
  <c r="J149" i="37"/>
  <c r="J315" i="37"/>
  <c r="J208" i="37"/>
  <c r="J444" i="37"/>
  <c r="J399" i="37"/>
  <c r="J450" i="37"/>
  <c r="J837" i="37"/>
  <c r="J432" i="37"/>
  <c r="J784" i="37"/>
  <c r="J766" i="37"/>
  <c r="J146" i="37"/>
  <c r="J630" i="37"/>
  <c r="J405" i="37"/>
  <c r="J632" i="37"/>
  <c r="J641" i="37"/>
  <c r="J63" i="37"/>
  <c r="J576" i="37"/>
  <c r="J689" i="37"/>
  <c r="J477" i="37"/>
  <c r="J483" i="37"/>
  <c r="J523" i="37"/>
  <c r="J511" i="37"/>
  <c r="J629" i="37"/>
  <c r="J573" i="37"/>
  <c r="J338" i="37"/>
  <c r="J185" i="37"/>
  <c r="J598" i="37"/>
  <c r="J428" i="37"/>
  <c r="J482" i="37"/>
  <c r="J67" i="37"/>
  <c r="J819" i="37"/>
  <c r="J78" i="37"/>
  <c r="J436" i="37"/>
  <c r="J220" i="37"/>
  <c r="J73" i="37"/>
  <c r="J76" i="37"/>
  <c r="J642" i="37"/>
  <c r="J586" i="37"/>
  <c r="J64" i="37"/>
  <c r="J390" i="37"/>
  <c r="J69" i="37"/>
  <c r="J870" i="37"/>
  <c r="J826" i="37"/>
  <c r="J820" i="37"/>
  <c r="J780" i="37"/>
  <c r="J397" i="37"/>
  <c r="J685" i="37"/>
  <c r="J684" i="37"/>
  <c r="J646" i="37"/>
  <c r="J634" i="37"/>
  <c r="J650" i="37"/>
  <c r="J699" i="37"/>
  <c r="J645" i="37"/>
  <c r="J595" i="37"/>
  <c r="J604" i="37"/>
  <c r="J594" i="37"/>
  <c r="J603" i="37"/>
  <c r="J602" i="37"/>
  <c r="J601" i="37"/>
  <c r="J519" i="37"/>
  <c r="J301" i="37"/>
  <c r="J518" i="37"/>
  <c r="J517" i="37"/>
  <c r="J80" i="37"/>
  <c r="J441" i="37"/>
  <c r="J691" i="37"/>
  <c r="J440" i="37"/>
  <c r="J439" i="37"/>
  <c r="J426" i="37"/>
  <c r="J395" i="37"/>
  <c r="J425" i="37"/>
  <c r="J394" i="37"/>
  <c r="J442" i="37"/>
  <c r="J188" i="37"/>
  <c r="J298" i="37"/>
  <c r="J333" i="37"/>
  <c r="J287" i="37"/>
  <c r="J838" i="37"/>
  <c r="J211" i="37"/>
  <c r="J273" i="37"/>
  <c r="J317" i="37"/>
  <c r="J176" i="37"/>
  <c r="J175" i="37"/>
  <c r="J148" i="37"/>
  <c r="J174" i="37"/>
  <c r="J147" i="37"/>
  <c r="J281" i="37"/>
</calcChain>
</file>

<file path=xl/sharedStrings.xml><?xml version="1.0" encoding="utf-8"?>
<sst xmlns="http://schemas.openxmlformats.org/spreadsheetml/2006/main" count="15543" uniqueCount="4676">
  <si>
    <t>0-7 &amp; 56-63</t>
  </si>
  <si>
    <t>0, 1, 2, 3 &amp; 28, 29, 30, 31</t>
  </si>
  <si>
    <t>8 through 55</t>
  </si>
  <si>
    <t>4 through 27</t>
  </si>
  <si>
    <t>ending y</t>
  </si>
  <si>
    <t>starting y</t>
  </si>
  <si>
    <t>ending x</t>
  </si>
  <si>
    <t>starting x</t>
  </si>
  <si>
    <t>Region</t>
  </si>
  <si>
    <t>0, 1 &amp; 62, 63</t>
  </si>
  <si>
    <t>0 &amp; 31</t>
  </si>
  <si>
    <t>2 through 60</t>
  </si>
  <si>
    <t>1 through 30</t>
  </si>
  <si>
    <t>Opacity of BG</t>
  </si>
  <si>
    <t>Lvl 2</t>
  </si>
  <si>
    <t>Corrective</t>
  </si>
  <si>
    <t>Pen size</t>
  </si>
  <si>
    <t>Border</t>
  </si>
  <si>
    <t>(32 x 32)</t>
  </si>
  <si>
    <t>24 tiles</t>
  </si>
  <si>
    <t>by</t>
  </si>
  <si>
    <t>30 tiles</t>
  </si>
  <si>
    <t>Hi Res:</t>
  </si>
  <si>
    <t>x</t>
  </si>
  <si>
    <t>Tiles original:</t>
  </si>
  <si>
    <t>(16x16)</t>
  </si>
  <si>
    <t>12 tiles</t>
  </si>
  <si>
    <t>15 tiles</t>
  </si>
  <si>
    <t>Low Res:</t>
  </si>
  <si>
    <t>Tiles Splice:</t>
  </si>
  <si>
    <t>SPLICE:</t>
  </si>
  <si>
    <t>Low Res</t>
  </si>
  <si>
    <t>height</t>
  </si>
  <si>
    <t>width</t>
  </si>
  <si>
    <t>Every 1 px I move changes the in game coordinates by 0.6666</t>
  </si>
  <si>
    <t>Starting Y</t>
  </si>
  <si>
    <t>Starting X</t>
  </si>
  <si>
    <t>ΔY coord/px</t>
  </si>
  <si>
    <t>ΔX coord/px</t>
  </si>
  <si>
    <t>ΔY game</t>
  </si>
  <si>
    <t>ΔX game</t>
  </si>
  <si>
    <t>ΔY map</t>
  </si>
  <si>
    <t>ΔX map</t>
  </si>
  <si>
    <t>Point 2 game-y</t>
  </si>
  <si>
    <t>Point 2 game-x</t>
  </si>
  <si>
    <t>Point 2 y-val</t>
  </si>
  <si>
    <t>Point 2 x-val</t>
  </si>
  <si>
    <t>Point 1 game-y</t>
  </si>
  <si>
    <t>Point 1 game-x</t>
  </si>
  <si>
    <t>Point 1 y-val</t>
  </si>
  <si>
    <t>Point 1 x-val</t>
  </si>
  <si>
    <t>https://www.zeldadungeon.net/maps/totk/tiles/sky/6/zzz.jpg</t>
  </si>
  <si>
    <t>30_27</t>
  </si>
  <si>
    <t>30_26</t>
  </si>
  <si>
    <t>30_25</t>
  </si>
  <si>
    <t>30_24</t>
  </si>
  <si>
    <t>30_23</t>
  </si>
  <si>
    <t>30_22</t>
  </si>
  <si>
    <t>30_21</t>
  </si>
  <si>
    <t>30_20</t>
  </si>
  <si>
    <t>30_19</t>
  </si>
  <si>
    <t>30_18</t>
  </si>
  <si>
    <t>30_17</t>
  </si>
  <si>
    <t>30_16</t>
  </si>
  <si>
    <t>30_15</t>
  </si>
  <si>
    <t>30_14</t>
  </si>
  <si>
    <t>30_13</t>
  </si>
  <si>
    <t>30_12</t>
  </si>
  <si>
    <t>30_11</t>
  </si>
  <si>
    <t>30_10</t>
  </si>
  <si>
    <t>30_9</t>
  </si>
  <si>
    <t>30_8</t>
  </si>
  <si>
    <t>30_7</t>
  </si>
  <si>
    <t>30_6</t>
  </si>
  <si>
    <t>30_5</t>
  </si>
  <si>
    <t>30_4</t>
  </si>
  <si>
    <t>29_27</t>
  </si>
  <si>
    <t>29_26</t>
  </si>
  <si>
    <t>29_25</t>
  </si>
  <si>
    <t>29_24</t>
  </si>
  <si>
    <t>29_23</t>
  </si>
  <si>
    <t>29_22</t>
  </si>
  <si>
    <t>29_21</t>
  </si>
  <si>
    <t>29_20</t>
  </si>
  <si>
    <t>29_19</t>
  </si>
  <si>
    <t>29_18</t>
  </si>
  <si>
    <t>29_17</t>
  </si>
  <si>
    <t>29_16</t>
  </si>
  <si>
    <t>29_15</t>
  </si>
  <si>
    <t>29_14</t>
  </si>
  <si>
    <t>29_13</t>
  </si>
  <si>
    <t>29_12</t>
  </si>
  <si>
    <t>29_11</t>
  </si>
  <si>
    <t>29_10</t>
  </si>
  <si>
    <t>29_9</t>
  </si>
  <si>
    <t>29_8</t>
  </si>
  <si>
    <t>29_7</t>
  </si>
  <si>
    <t>29_6</t>
  </si>
  <si>
    <t>29_5</t>
  </si>
  <si>
    <t>29_4</t>
  </si>
  <si>
    <t>28_27</t>
  </si>
  <si>
    <t>28_26</t>
  </si>
  <si>
    <t>28_25</t>
  </si>
  <si>
    <t>28_24</t>
  </si>
  <si>
    <t>28_23</t>
  </si>
  <si>
    <t>28_22</t>
  </si>
  <si>
    <t>28_21</t>
  </si>
  <si>
    <t>28_20</t>
  </si>
  <si>
    <t>28_19</t>
  </si>
  <si>
    <t>28_18</t>
  </si>
  <si>
    <t>28_17</t>
  </si>
  <si>
    <t>28_16</t>
  </si>
  <si>
    <t>28_15</t>
  </si>
  <si>
    <t>28_14</t>
  </si>
  <si>
    <t>28_13</t>
  </si>
  <si>
    <t>28_12</t>
  </si>
  <si>
    <t>28_11</t>
  </si>
  <si>
    <t>28_10</t>
  </si>
  <si>
    <t>28_9</t>
  </si>
  <si>
    <t>28_8</t>
  </si>
  <si>
    <t>28_7</t>
  </si>
  <si>
    <t>28_6</t>
  </si>
  <si>
    <t>28_5</t>
  </si>
  <si>
    <t>28_4</t>
  </si>
  <si>
    <t>27_27</t>
  </si>
  <si>
    <t>27_26</t>
  </si>
  <si>
    <t>27_25</t>
  </si>
  <si>
    <t>27_24</t>
  </si>
  <si>
    <t>27_23</t>
  </si>
  <si>
    <t>27_22</t>
  </si>
  <si>
    <t>27_21</t>
  </si>
  <si>
    <t>27_20</t>
  </si>
  <si>
    <t>27_19</t>
  </si>
  <si>
    <t>27_18</t>
  </si>
  <si>
    <t>27_17</t>
  </si>
  <si>
    <t>27_16</t>
  </si>
  <si>
    <t>27_15</t>
  </si>
  <si>
    <t>27_14</t>
  </si>
  <si>
    <t>27_13</t>
  </si>
  <si>
    <t>27_12</t>
  </si>
  <si>
    <t>27_11</t>
  </si>
  <si>
    <t>27_10</t>
  </si>
  <si>
    <t>27_9</t>
  </si>
  <si>
    <t>27_8</t>
  </si>
  <si>
    <t>27_7</t>
  </si>
  <si>
    <t>27_6</t>
  </si>
  <si>
    <t>27_5</t>
  </si>
  <si>
    <t>27_4</t>
  </si>
  <si>
    <t>26_27</t>
  </si>
  <si>
    <t>26_26</t>
  </si>
  <si>
    <t>26_25</t>
  </si>
  <si>
    <t>26_24</t>
  </si>
  <si>
    <t>26_23</t>
  </si>
  <si>
    <t>26_22</t>
  </si>
  <si>
    <t>26_21</t>
  </si>
  <si>
    <t>26_20</t>
  </si>
  <si>
    <t>26_19</t>
  </si>
  <si>
    <t>26_18</t>
  </si>
  <si>
    <t>26_17</t>
  </si>
  <si>
    <t>26_16</t>
  </si>
  <si>
    <t>26_15</t>
  </si>
  <si>
    <t>26_14</t>
  </si>
  <si>
    <t>26_13</t>
  </si>
  <si>
    <t>26_12</t>
  </si>
  <si>
    <t>26_11</t>
  </si>
  <si>
    <t>26_10</t>
  </si>
  <si>
    <t>26_9</t>
  </si>
  <si>
    <t>26_8</t>
  </si>
  <si>
    <t>26_7</t>
  </si>
  <si>
    <t>26_6</t>
  </si>
  <si>
    <t>26_5</t>
  </si>
  <si>
    <t>26_4</t>
  </si>
  <si>
    <t>25_27</t>
  </si>
  <si>
    <t>25_26</t>
  </si>
  <si>
    <t>25_25</t>
  </si>
  <si>
    <t>25_24</t>
  </si>
  <si>
    <t>25_23</t>
  </si>
  <si>
    <t>25_22</t>
  </si>
  <si>
    <t>25_21</t>
  </si>
  <si>
    <t>25_20</t>
  </si>
  <si>
    <t>25_19</t>
  </si>
  <si>
    <t>25_18</t>
  </si>
  <si>
    <t>25_17</t>
  </si>
  <si>
    <t>25_16</t>
  </si>
  <si>
    <t>25_15</t>
  </si>
  <si>
    <t>25_14</t>
  </si>
  <si>
    <t>25_13</t>
  </si>
  <si>
    <t>25_12</t>
  </si>
  <si>
    <t>25_11</t>
  </si>
  <si>
    <t>25_10</t>
  </si>
  <si>
    <t>25_9</t>
  </si>
  <si>
    <t>25_8</t>
  </si>
  <si>
    <t>25_7</t>
  </si>
  <si>
    <t>25_6</t>
  </si>
  <si>
    <t>25_5</t>
  </si>
  <si>
    <t>25_4</t>
  </si>
  <si>
    <t>24_27</t>
  </si>
  <si>
    <t>24_26</t>
  </si>
  <si>
    <t>24_25</t>
  </si>
  <si>
    <t>24_24</t>
  </si>
  <si>
    <t>24_23</t>
  </si>
  <si>
    <t>24_22</t>
  </si>
  <si>
    <t>24_21</t>
  </si>
  <si>
    <t>24_20</t>
  </si>
  <si>
    <t>24_19</t>
  </si>
  <si>
    <t>24_18</t>
  </si>
  <si>
    <t>24_17</t>
  </si>
  <si>
    <t>24_16</t>
  </si>
  <si>
    <t>24_15</t>
  </si>
  <si>
    <t>24_14</t>
  </si>
  <si>
    <t>24_13</t>
  </si>
  <si>
    <t>24_12</t>
  </si>
  <si>
    <t>24_11</t>
  </si>
  <si>
    <t>24_10</t>
  </si>
  <si>
    <t>24_9</t>
  </si>
  <si>
    <t>24_8</t>
  </si>
  <si>
    <t>24_7</t>
  </si>
  <si>
    <t>24_6</t>
  </si>
  <si>
    <t>24_5</t>
  </si>
  <si>
    <t>24_4</t>
  </si>
  <si>
    <t>23_27</t>
  </si>
  <si>
    <t>23_26</t>
  </si>
  <si>
    <t>23_25</t>
  </si>
  <si>
    <t>23_24</t>
  </si>
  <si>
    <t>23_23</t>
  </si>
  <si>
    <t>23_22</t>
  </si>
  <si>
    <t>23_21</t>
  </si>
  <si>
    <t>23_20</t>
  </si>
  <si>
    <t>23_19</t>
  </si>
  <si>
    <t>23_18</t>
  </si>
  <si>
    <t>23_17</t>
  </si>
  <si>
    <t>23_16</t>
  </si>
  <si>
    <t>23_15</t>
  </si>
  <si>
    <t>23_14</t>
  </si>
  <si>
    <t>23_13</t>
  </si>
  <si>
    <t>23_12</t>
  </si>
  <si>
    <t>23_11</t>
  </si>
  <si>
    <t>23_10</t>
  </si>
  <si>
    <t>23_9</t>
  </si>
  <si>
    <t>23_8</t>
  </si>
  <si>
    <t>23_7</t>
  </si>
  <si>
    <t>23_6</t>
  </si>
  <si>
    <t>23_5</t>
  </si>
  <si>
    <t>23_4</t>
  </si>
  <si>
    <t>22_27</t>
  </si>
  <si>
    <t>22_26</t>
  </si>
  <si>
    <t>22_25</t>
  </si>
  <si>
    <t>22_24</t>
  </si>
  <si>
    <t>22_23</t>
  </si>
  <si>
    <t>22_22</t>
  </si>
  <si>
    <t>22_21</t>
  </si>
  <si>
    <t>22_20</t>
  </si>
  <si>
    <t>22_19</t>
  </si>
  <si>
    <t>22_18</t>
  </si>
  <si>
    <t>22_17</t>
  </si>
  <si>
    <t>22_16</t>
  </si>
  <si>
    <t>22_15</t>
  </si>
  <si>
    <t>22_14</t>
  </si>
  <si>
    <t>22_13</t>
  </si>
  <si>
    <t>22_12</t>
  </si>
  <si>
    <t>22_11</t>
  </si>
  <si>
    <t>22_10</t>
  </si>
  <si>
    <t>22_9</t>
  </si>
  <si>
    <t>22_8</t>
  </si>
  <si>
    <t>22_7</t>
  </si>
  <si>
    <t>22_6</t>
  </si>
  <si>
    <t>22_5</t>
  </si>
  <si>
    <t>22_4</t>
  </si>
  <si>
    <t>21_27</t>
  </si>
  <si>
    <t>21_26</t>
  </si>
  <si>
    <t>21_25</t>
  </si>
  <si>
    <t>21_24</t>
  </si>
  <si>
    <t>21_23</t>
  </si>
  <si>
    <t>21_22</t>
  </si>
  <si>
    <t>21_21</t>
  </si>
  <si>
    <t>21_20</t>
  </si>
  <si>
    <t>21_19</t>
  </si>
  <si>
    <t>21_18</t>
  </si>
  <si>
    <t>21_17</t>
  </si>
  <si>
    <t>21_16</t>
  </si>
  <si>
    <t>21_15</t>
  </si>
  <si>
    <t>21_14</t>
  </si>
  <si>
    <t>21_13</t>
  </si>
  <si>
    <t>21_12</t>
  </si>
  <si>
    <t>21_11</t>
  </si>
  <si>
    <t>21_10</t>
  </si>
  <si>
    <t>21_9</t>
  </si>
  <si>
    <t>21_8</t>
  </si>
  <si>
    <t>21_7</t>
  </si>
  <si>
    <t>21_6</t>
  </si>
  <si>
    <t>21_5</t>
  </si>
  <si>
    <t>21_4</t>
  </si>
  <si>
    <t>20_27</t>
  </si>
  <si>
    <t>20_26</t>
  </si>
  <si>
    <t>20_25</t>
  </si>
  <si>
    <t>20_24</t>
  </si>
  <si>
    <t>20_23</t>
  </si>
  <si>
    <t>20_22</t>
  </si>
  <si>
    <t>20_21</t>
  </si>
  <si>
    <t>20_20</t>
  </si>
  <si>
    <t>20_19</t>
  </si>
  <si>
    <t>20_18</t>
  </si>
  <si>
    <t>20_17</t>
  </si>
  <si>
    <t>20_16</t>
  </si>
  <si>
    <t>20_15</t>
  </si>
  <si>
    <t>20_14</t>
  </si>
  <si>
    <t>20_13</t>
  </si>
  <si>
    <t>20_12</t>
  </si>
  <si>
    <t>20_11</t>
  </si>
  <si>
    <t>20_10</t>
  </si>
  <si>
    <t>20_9</t>
  </si>
  <si>
    <t>20_8</t>
  </si>
  <si>
    <t>20_7</t>
  </si>
  <si>
    <t>20_6</t>
  </si>
  <si>
    <t>20_5</t>
  </si>
  <si>
    <t>20_4</t>
  </si>
  <si>
    <t>19_27</t>
  </si>
  <si>
    <t>19_26</t>
  </si>
  <si>
    <t>19_25</t>
  </si>
  <si>
    <t>19_24</t>
  </si>
  <si>
    <t>19_23</t>
  </si>
  <si>
    <t>19_22</t>
  </si>
  <si>
    <t>19_21</t>
  </si>
  <si>
    <t>19_20</t>
  </si>
  <si>
    <t>19_19</t>
  </si>
  <si>
    <t>19_18</t>
  </si>
  <si>
    <t>19_17</t>
  </si>
  <si>
    <t>19_16</t>
  </si>
  <si>
    <t>19_15</t>
  </si>
  <si>
    <t>19_14</t>
  </si>
  <si>
    <t>19_13</t>
  </si>
  <si>
    <t>19_12</t>
  </si>
  <si>
    <t>19_11</t>
  </si>
  <si>
    <t>19_10</t>
  </si>
  <si>
    <t>19_9</t>
  </si>
  <si>
    <t>19_8</t>
  </si>
  <si>
    <t>19_7</t>
  </si>
  <si>
    <t>19_6</t>
  </si>
  <si>
    <t>19_5</t>
  </si>
  <si>
    <t>19_4</t>
  </si>
  <si>
    <t>18_27</t>
  </si>
  <si>
    <t>18_26</t>
  </si>
  <si>
    <t>18_25</t>
  </si>
  <si>
    <t>18_24</t>
  </si>
  <si>
    <t>18_23</t>
  </si>
  <si>
    <t>18_22</t>
  </si>
  <si>
    <t>18_21</t>
  </si>
  <si>
    <t>18_20</t>
  </si>
  <si>
    <t>18_19</t>
  </si>
  <si>
    <t>18_18</t>
  </si>
  <si>
    <t>18_17</t>
  </si>
  <si>
    <t>18_16</t>
  </si>
  <si>
    <t>18_15</t>
  </si>
  <si>
    <t>18_14</t>
  </si>
  <si>
    <t>18_13</t>
  </si>
  <si>
    <t>18_12</t>
  </si>
  <si>
    <t>18_11</t>
  </si>
  <si>
    <t>18_10</t>
  </si>
  <si>
    <t>18_9</t>
  </si>
  <si>
    <t>18_8</t>
  </si>
  <si>
    <t>18_7</t>
  </si>
  <si>
    <t>18_6</t>
  </si>
  <si>
    <t>18_5</t>
  </si>
  <si>
    <t>18_4</t>
  </si>
  <si>
    <t>17_27</t>
  </si>
  <si>
    <t>17_26</t>
  </si>
  <si>
    <t>17_25</t>
  </si>
  <si>
    <t>17_24</t>
  </si>
  <si>
    <t>17_23</t>
  </si>
  <si>
    <t>17_22</t>
  </si>
  <si>
    <t>17_21</t>
  </si>
  <si>
    <t>17_20</t>
  </si>
  <si>
    <t>17_19</t>
  </si>
  <si>
    <t>17_18</t>
  </si>
  <si>
    <t>17_17</t>
  </si>
  <si>
    <t>17_16</t>
  </si>
  <si>
    <t>17_15</t>
  </si>
  <si>
    <t>17_14</t>
  </si>
  <si>
    <t>17_13</t>
  </si>
  <si>
    <t>17_12</t>
  </si>
  <si>
    <t>17_11</t>
  </si>
  <si>
    <t>17_10</t>
  </si>
  <si>
    <t>17_9</t>
  </si>
  <si>
    <t>17_8</t>
  </si>
  <si>
    <t>17_7</t>
  </si>
  <si>
    <t>17_6</t>
  </si>
  <si>
    <t>17_5</t>
  </si>
  <si>
    <t>17_4</t>
  </si>
  <si>
    <t>16_27</t>
  </si>
  <si>
    <t>16_26</t>
  </si>
  <si>
    <t>16_25</t>
  </si>
  <si>
    <t>16_24</t>
  </si>
  <si>
    <t>16_23</t>
  </si>
  <si>
    <t>16_22</t>
  </si>
  <si>
    <t>16_21</t>
  </si>
  <si>
    <t>16_20</t>
  </si>
  <si>
    <t>16_19</t>
  </si>
  <si>
    <t>16_18</t>
  </si>
  <si>
    <t>16_17</t>
  </si>
  <si>
    <t>16_16</t>
  </si>
  <si>
    <t>16_15</t>
  </si>
  <si>
    <t>16_14</t>
  </si>
  <si>
    <t>16_13</t>
  </si>
  <si>
    <t>16_12</t>
  </si>
  <si>
    <t>16_11</t>
  </si>
  <si>
    <t>16_10</t>
  </si>
  <si>
    <t>16_9</t>
  </si>
  <si>
    <t>16_8</t>
  </si>
  <si>
    <t>16_7</t>
  </si>
  <si>
    <t>16_6</t>
  </si>
  <si>
    <t>16_5</t>
  </si>
  <si>
    <t>16_4</t>
  </si>
  <si>
    <t>15_27</t>
  </si>
  <si>
    <t>15_26</t>
  </si>
  <si>
    <t>15_25</t>
  </si>
  <si>
    <t>15_24</t>
  </si>
  <si>
    <t>15_23</t>
  </si>
  <si>
    <t>15_22</t>
  </si>
  <si>
    <t>15_21</t>
  </si>
  <si>
    <t>15_20</t>
  </si>
  <si>
    <t>15_19</t>
  </si>
  <si>
    <t>15_18</t>
  </si>
  <si>
    <t>15_17</t>
  </si>
  <si>
    <t>15_16</t>
  </si>
  <si>
    <t>15_15</t>
  </si>
  <si>
    <t>15_14</t>
  </si>
  <si>
    <t>15_13</t>
  </si>
  <si>
    <t>15_12</t>
  </si>
  <si>
    <t>15_11</t>
  </si>
  <si>
    <t>15_10</t>
  </si>
  <si>
    <t>15_9</t>
  </si>
  <si>
    <t>15_8</t>
  </si>
  <si>
    <t>15_7</t>
  </si>
  <si>
    <t>15_6</t>
  </si>
  <si>
    <t>15_5</t>
  </si>
  <si>
    <t>15_4</t>
  </si>
  <si>
    <t>14_27</t>
  </si>
  <si>
    <t>14_26</t>
  </si>
  <si>
    <t>14_25</t>
  </si>
  <si>
    <t>14_24</t>
  </si>
  <si>
    <t>14_23</t>
  </si>
  <si>
    <t>14_22</t>
  </si>
  <si>
    <t>14_21</t>
  </si>
  <si>
    <t>14_20</t>
  </si>
  <si>
    <t>14_19</t>
  </si>
  <si>
    <t>14_18</t>
  </si>
  <si>
    <t>14_17</t>
  </si>
  <si>
    <t>14_16</t>
  </si>
  <si>
    <t>14_15</t>
  </si>
  <si>
    <t>14_14</t>
  </si>
  <si>
    <t>14_13</t>
  </si>
  <si>
    <t>14_12</t>
  </si>
  <si>
    <t>14_11</t>
  </si>
  <si>
    <t>14_10</t>
  </si>
  <si>
    <t>14_9</t>
  </si>
  <si>
    <t>14_8</t>
  </si>
  <si>
    <t>14_7</t>
  </si>
  <si>
    <t>14_6</t>
  </si>
  <si>
    <t>14_5</t>
  </si>
  <si>
    <t>14_4</t>
  </si>
  <si>
    <t>13_27</t>
  </si>
  <si>
    <t>13_26</t>
  </si>
  <si>
    <t>13_25</t>
  </si>
  <si>
    <t>13_24</t>
  </si>
  <si>
    <t>13_23</t>
  </si>
  <si>
    <t>13_22</t>
  </si>
  <si>
    <t>13_21</t>
  </si>
  <si>
    <t>13_20</t>
  </si>
  <si>
    <t>13_19</t>
  </si>
  <si>
    <t>13_18</t>
  </si>
  <si>
    <t>13_17</t>
  </si>
  <si>
    <t>13_16</t>
  </si>
  <si>
    <t>13_15</t>
  </si>
  <si>
    <t>13_14</t>
  </si>
  <si>
    <t>13_13</t>
  </si>
  <si>
    <t>13_12</t>
  </si>
  <si>
    <t>13_11</t>
  </si>
  <si>
    <t>13_10</t>
  </si>
  <si>
    <t>13_9</t>
  </si>
  <si>
    <t>13_8</t>
  </si>
  <si>
    <t>13_7</t>
  </si>
  <si>
    <t>13_6</t>
  </si>
  <si>
    <t>13_5</t>
  </si>
  <si>
    <t>13_4</t>
  </si>
  <si>
    <t>12_27</t>
  </si>
  <si>
    <t>12_26</t>
  </si>
  <si>
    <t>12_25</t>
  </si>
  <si>
    <t>12_24</t>
  </si>
  <si>
    <t>12_23</t>
  </si>
  <si>
    <t>12_22</t>
  </si>
  <si>
    <t>12_21</t>
  </si>
  <si>
    <t>12_20</t>
  </si>
  <si>
    <t>12_19</t>
  </si>
  <si>
    <t>12_18</t>
  </si>
  <si>
    <t>12_17</t>
  </si>
  <si>
    <t>12_16</t>
  </si>
  <si>
    <t>12_15</t>
  </si>
  <si>
    <t>12_14</t>
  </si>
  <si>
    <t>12_13</t>
  </si>
  <si>
    <t>12_12</t>
  </si>
  <si>
    <t>12_11</t>
  </si>
  <si>
    <t>12_10</t>
  </si>
  <si>
    <t>12_9</t>
  </si>
  <si>
    <t>12_8</t>
  </si>
  <si>
    <t>12_7</t>
  </si>
  <si>
    <t>12_6</t>
  </si>
  <si>
    <t>12_5</t>
  </si>
  <si>
    <t>12_4</t>
  </si>
  <si>
    <t>11_27</t>
  </si>
  <si>
    <t>11_26</t>
  </si>
  <si>
    <t>11_25</t>
  </si>
  <si>
    <t>11_24</t>
  </si>
  <si>
    <t>11_23</t>
  </si>
  <si>
    <t>11_22</t>
  </si>
  <si>
    <t>11_21</t>
  </si>
  <si>
    <t>11_20</t>
  </si>
  <si>
    <t>11_19</t>
  </si>
  <si>
    <t>11_18</t>
  </si>
  <si>
    <t>11_17</t>
  </si>
  <si>
    <t>11_16</t>
  </si>
  <si>
    <t>11_15</t>
  </si>
  <si>
    <t>11_14</t>
  </si>
  <si>
    <t>11_13</t>
  </si>
  <si>
    <t>11_12</t>
  </si>
  <si>
    <t>11_11</t>
  </si>
  <si>
    <t>11_10</t>
  </si>
  <si>
    <t>11_9</t>
  </si>
  <si>
    <t>11_8</t>
  </si>
  <si>
    <t>11_7</t>
  </si>
  <si>
    <t>11_6</t>
  </si>
  <si>
    <t>11_5</t>
  </si>
  <si>
    <t>11_4</t>
  </si>
  <si>
    <t>10_27</t>
  </si>
  <si>
    <t>10_26</t>
  </si>
  <si>
    <t>10_25</t>
  </si>
  <si>
    <t>10_24</t>
  </si>
  <si>
    <t>10_23</t>
  </si>
  <si>
    <t>10_22</t>
  </si>
  <si>
    <t>10_21</t>
  </si>
  <si>
    <t>10_20</t>
  </si>
  <si>
    <t>10_19</t>
  </si>
  <si>
    <t>10_18</t>
  </si>
  <si>
    <t>10_17</t>
  </si>
  <si>
    <t>10_16</t>
  </si>
  <si>
    <t>10_15</t>
  </si>
  <si>
    <t>10_14</t>
  </si>
  <si>
    <t>10_13</t>
  </si>
  <si>
    <t>10_12</t>
  </si>
  <si>
    <t>10_11</t>
  </si>
  <si>
    <t>10_10</t>
  </si>
  <si>
    <t>10_9</t>
  </si>
  <si>
    <t>10_8</t>
  </si>
  <si>
    <t>10_7</t>
  </si>
  <si>
    <t>10_6</t>
  </si>
  <si>
    <t>10_5</t>
  </si>
  <si>
    <t>10_4</t>
  </si>
  <si>
    <t>9_27</t>
  </si>
  <si>
    <t>9_26</t>
  </si>
  <si>
    <t>9_25</t>
  </si>
  <si>
    <t>9_24</t>
  </si>
  <si>
    <t>9_23</t>
  </si>
  <si>
    <t>9_22</t>
  </si>
  <si>
    <t>9_21</t>
  </si>
  <si>
    <t>9_20</t>
  </si>
  <si>
    <t>9_19</t>
  </si>
  <si>
    <t>9_18</t>
  </si>
  <si>
    <t>9_17</t>
  </si>
  <si>
    <t>9_16</t>
  </si>
  <si>
    <t>9_15</t>
  </si>
  <si>
    <t>9_14</t>
  </si>
  <si>
    <t>9_13</t>
  </si>
  <si>
    <t>9_12</t>
  </si>
  <si>
    <t>9_11</t>
  </si>
  <si>
    <t>9_10</t>
  </si>
  <si>
    <t>9_9</t>
  </si>
  <si>
    <t>9_8</t>
  </si>
  <si>
    <t>9_7</t>
  </si>
  <si>
    <t>9_6</t>
  </si>
  <si>
    <t>9_5</t>
  </si>
  <si>
    <t>9_4</t>
  </si>
  <si>
    <t>8_27</t>
  </si>
  <si>
    <t>8_26</t>
  </si>
  <si>
    <t>8_25</t>
  </si>
  <si>
    <t>8_24</t>
  </si>
  <si>
    <t>8_23</t>
  </si>
  <si>
    <t>8_22</t>
  </si>
  <si>
    <t>8_21</t>
  </si>
  <si>
    <t>8_20</t>
  </si>
  <si>
    <t>8_19</t>
  </si>
  <si>
    <t>8_18</t>
  </si>
  <si>
    <t>8_17</t>
  </si>
  <si>
    <t>8_16</t>
  </si>
  <si>
    <t>8_15</t>
  </si>
  <si>
    <t>8_14</t>
  </si>
  <si>
    <t>8_13</t>
  </si>
  <si>
    <t>8_12</t>
  </si>
  <si>
    <t>8_11</t>
  </si>
  <si>
    <t>8_10</t>
  </si>
  <si>
    <t>8_9</t>
  </si>
  <si>
    <t>8_8</t>
  </si>
  <si>
    <t>8_7</t>
  </si>
  <si>
    <t>8_6</t>
  </si>
  <si>
    <t>8_5</t>
  </si>
  <si>
    <t>8_4</t>
  </si>
  <si>
    <t>7_27</t>
  </si>
  <si>
    <t>7_26</t>
  </si>
  <si>
    <t>7_25</t>
  </si>
  <si>
    <t>7_24</t>
  </si>
  <si>
    <t>7_23</t>
  </si>
  <si>
    <t>7_22</t>
  </si>
  <si>
    <t>7_21</t>
  </si>
  <si>
    <t>7_20</t>
  </si>
  <si>
    <t>7_19</t>
  </si>
  <si>
    <t>7_18</t>
  </si>
  <si>
    <t>7_17</t>
  </si>
  <si>
    <t>7_16</t>
  </si>
  <si>
    <t>7_15</t>
  </si>
  <si>
    <t>7_14</t>
  </si>
  <si>
    <t>7_13</t>
  </si>
  <si>
    <t>7_12</t>
  </si>
  <si>
    <t>7_11</t>
  </si>
  <si>
    <t>7_10</t>
  </si>
  <si>
    <t>7_9</t>
  </si>
  <si>
    <t>7_8</t>
  </si>
  <si>
    <t>7_7</t>
  </si>
  <si>
    <t>7_6</t>
  </si>
  <si>
    <t>7_5</t>
  </si>
  <si>
    <t>7_4</t>
  </si>
  <si>
    <t>6_27</t>
  </si>
  <si>
    <t>6_26</t>
  </si>
  <si>
    <t>6_25</t>
  </si>
  <si>
    <t>6_24</t>
  </si>
  <si>
    <t>6_23</t>
  </si>
  <si>
    <t>6_22</t>
  </si>
  <si>
    <t>6_21</t>
  </si>
  <si>
    <t>6_20</t>
  </si>
  <si>
    <t>6_19</t>
  </si>
  <si>
    <t>6_18</t>
  </si>
  <si>
    <t>6_17</t>
  </si>
  <si>
    <t>6_16</t>
  </si>
  <si>
    <t>6_15</t>
  </si>
  <si>
    <t>6_14</t>
  </si>
  <si>
    <t>6_13</t>
  </si>
  <si>
    <t>6_12</t>
  </si>
  <si>
    <t>6_11</t>
  </si>
  <si>
    <t>6_10</t>
  </si>
  <si>
    <t>6_9</t>
  </si>
  <si>
    <t>6_8</t>
  </si>
  <si>
    <t>6_7</t>
  </si>
  <si>
    <t>6_6</t>
  </si>
  <si>
    <t>6_5</t>
  </si>
  <si>
    <t>6_4</t>
  </si>
  <si>
    <t>5_27</t>
  </si>
  <si>
    <t>5_26</t>
  </si>
  <si>
    <t>5_25</t>
  </si>
  <si>
    <t>5_24</t>
  </si>
  <si>
    <t>5_23</t>
  </si>
  <si>
    <t>5_22</t>
  </si>
  <si>
    <t>5_21</t>
  </si>
  <si>
    <t>5_20</t>
  </si>
  <si>
    <t>5_19</t>
  </si>
  <si>
    <t>5_18</t>
  </si>
  <si>
    <t>5_17</t>
  </si>
  <si>
    <t>5_16</t>
  </si>
  <si>
    <t>5_15</t>
  </si>
  <si>
    <t>5_14</t>
  </si>
  <si>
    <t>5_13</t>
  </si>
  <si>
    <t>5_12</t>
  </si>
  <si>
    <t>5_11</t>
  </si>
  <si>
    <t>5_10</t>
  </si>
  <si>
    <t>5_9</t>
  </si>
  <si>
    <t>5_8</t>
  </si>
  <si>
    <t>5_7</t>
  </si>
  <si>
    <t>5_6</t>
  </si>
  <si>
    <t>5_5</t>
  </si>
  <si>
    <t>5_4</t>
  </si>
  <si>
    <t>4_27</t>
  </si>
  <si>
    <t>4_26</t>
  </si>
  <si>
    <t>4_25</t>
  </si>
  <si>
    <t>4_24</t>
  </si>
  <si>
    <t>4_23</t>
  </si>
  <si>
    <t>4_22</t>
  </si>
  <si>
    <t>4_21</t>
  </si>
  <si>
    <t>4_20</t>
  </si>
  <si>
    <t>4_19</t>
  </si>
  <si>
    <t>4_18</t>
  </si>
  <si>
    <t>4_17</t>
  </si>
  <si>
    <t>4_16</t>
  </si>
  <si>
    <t>4_15</t>
  </si>
  <si>
    <t>4_14</t>
  </si>
  <si>
    <t>4_13</t>
  </si>
  <si>
    <t>4_12</t>
  </si>
  <si>
    <t>4_11</t>
  </si>
  <si>
    <t>4_10</t>
  </si>
  <si>
    <t>4_9</t>
  </si>
  <si>
    <t>4_8</t>
  </si>
  <si>
    <t>4_7</t>
  </si>
  <si>
    <t>4_6</t>
  </si>
  <si>
    <t>4_5</t>
  </si>
  <si>
    <t>4_4</t>
  </si>
  <si>
    <t>3_27</t>
  </si>
  <si>
    <t>3_26</t>
  </si>
  <si>
    <t>3_25</t>
  </si>
  <si>
    <t>3_24</t>
  </si>
  <si>
    <t>3_23</t>
  </si>
  <si>
    <t>3_22</t>
  </si>
  <si>
    <t>3_21</t>
  </si>
  <si>
    <t>3_20</t>
  </si>
  <si>
    <t>3_19</t>
  </si>
  <si>
    <t>3_18</t>
  </si>
  <si>
    <t>3_17</t>
  </si>
  <si>
    <t>3_16</t>
  </si>
  <si>
    <t>3_15</t>
  </si>
  <si>
    <t>3_14</t>
  </si>
  <si>
    <t>3_13</t>
  </si>
  <si>
    <t>3_12</t>
  </si>
  <si>
    <t>3_11</t>
  </si>
  <si>
    <t>3_10</t>
  </si>
  <si>
    <t>3_9</t>
  </si>
  <si>
    <t>3_8</t>
  </si>
  <si>
    <t>3_7</t>
  </si>
  <si>
    <t>3_6</t>
  </si>
  <si>
    <t>3_5</t>
  </si>
  <si>
    <t>3_4</t>
  </si>
  <si>
    <t>2_27</t>
  </si>
  <si>
    <t>2_26</t>
  </si>
  <si>
    <t>2_25</t>
  </si>
  <si>
    <t>2_24</t>
  </si>
  <si>
    <t>2_23</t>
  </si>
  <si>
    <t>2_22</t>
  </si>
  <si>
    <t>2_21</t>
  </si>
  <si>
    <t>2_20</t>
  </si>
  <si>
    <t>2_19</t>
  </si>
  <si>
    <t>2_18</t>
  </si>
  <si>
    <t>2_17</t>
  </si>
  <si>
    <t>2_16</t>
  </si>
  <si>
    <t>2_15</t>
  </si>
  <si>
    <t>2_14</t>
  </si>
  <si>
    <t>2_13</t>
  </si>
  <si>
    <t>2_12</t>
  </si>
  <si>
    <t>2_11</t>
  </si>
  <si>
    <t>2_10</t>
  </si>
  <si>
    <t>2_9</t>
  </si>
  <si>
    <t>2_8</t>
  </si>
  <si>
    <t>2_7</t>
  </si>
  <si>
    <t>2_6</t>
  </si>
  <si>
    <t>2_5</t>
  </si>
  <si>
    <t>2_4</t>
  </si>
  <si>
    <t>1_27</t>
  </si>
  <si>
    <t>1_26</t>
  </si>
  <si>
    <t>1_25</t>
  </si>
  <si>
    <t>1_24</t>
  </si>
  <si>
    <t>1_23</t>
  </si>
  <si>
    <t>1_22</t>
  </si>
  <si>
    <t>1_21</t>
  </si>
  <si>
    <t>1_20</t>
  </si>
  <si>
    <t>1_19</t>
  </si>
  <si>
    <t>1_18</t>
  </si>
  <si>
    <t>1_17</t>
  </si>
  <si>
    <t>1_16</t>
  </si>
  <si>
    <t>1_15</t>
  </si>
  <si>
    <t>1_14</t>
  </si>
  <si>
    <t>1_13</t>
  </si>
  <si>
    <t>1_12</t>
  </si>
  <si>
    <t>5 tiles</t>
  </si>
  <si>
    <t>4 tiles</t>
  </si>
  <si>
    <t xml:space="preserve">12 x </t>
  </si>
  <si>
    <t>1_11</t>
  </si>
  <si>
    <t>60 across</t>
  </si>
  <si>
    <t>48 down</t>
  </si>
  <si>
    <t>1_10</t>
  </si>
  <si>
    <t>1_9</t>
  </si>
  <si>
    <t>1_8</t>
  </si>
  <si>
    <t>1_7</t>
  </si>
  <si>
    <t>1_6</t>
  </si>
  <si>
    <t>1_5</t>
  </si>
  <si>
    <t>1_4</t>
  </si>
  <si>
    <t>Level</t>
  </si>
  <si>
    <t>X Coord</t>
  </si>
  <si>
    <t>Y Coord</t>
  </si>
  <si>
    <t>Z Coord</t>
  </si>
  <si>
    <t>Name</t>
  </si>
  <si>
    <t>Akkala Highlands</t>
  </si>
  <si>
    <t>Sky</t>
  </si>
  <si>
    <t>Akkala Sea</t>
  </si>
  <si>
    <t>Surface</t>
  </si>
  <si>
    <t>Deep Akkala</t>
  </si>
  <si>
    <t>Hyrule Ridge</t>
  </si>
  <si>
    <t>Central Hyrule</t>
  </si>
  <si>
    <t>Great Hyrule Forest</t>
  </si>
  <si>
    <t>Hyrule Field</t>
  </si>
  <si>
    <t>Eldin Canyon</t>
  </si>
  <si>
    <t>Eldin Mountains</t>
  </si>
  <si>
    <t>Death Mountain</t>
  </si>
  <si>
    <t>Faron Grasslands</t>
  </si>
  <si>
    <t>Dragonhead Island</t>
  </si>
  <si>
    <t>Lake Hylia</t>
  </si>
  <si>
    <t>Gerudo Highlands</t>
  </si>
  <si>
    <t>Gerudo Desert</t>
  </si>
  <si>
    <t>Tabantha Frontier</t>
  </si>
  <si>
    <t>Hebra Mountains</t>
  </si>
  <si>
    <t>Lanayru Great Spring</t>
  </si>
  <si>
    <t>Lanayru Sea</t>
  </si>
  <si>
    <t>Lanayru Wetlands</t>
  </si>
  <si>
    <t>Mount Lanayru</t>
  </si>
  <si>
    <t>East Necluda</t>
  </si>
  <si>
    <t>West Necluda</t>
  </si>
  <si>
    <t>Necluda Sea</t>
  </si>
  <si>
    <t>East Akkala Plains Chasm</t>
  </si>
  <si>
    <t>South Akkala Plains Chasm</t>
  </si>
  <si>
    <t>Tingel Island Chasm</t>
  </si>
  <si>
    <t>Skull Lake Chasm</t>
  </si>
  <si>
    <t>Death Mountain Chasm</t>
  </si>
  <si>
    <t>Birida Lookout Chasm</t>
  </si>
  <si>
    <t>East Gerudo Chasm</t>
  </si>
  <si>
    <t>Gerudo Summit Chasm</t>
  </si>
  <si>
    <t>South Lomei Chasm</t>
  </si>
  <si>
    <t>Yiga Clan Hideout Chasm</t>
  </si>
  <si>
    <t>Forest of Time Chasm</t>
  </si>
  <si>
    <t>Great Plateau East Chasm</t>
  </si>
  <si>
    <t>Great Plateau North Chasm</t>
  </si>
  <si>
    <t>Great Plateau South Chasm</t>
  </si>
  <si>
    <t>Great Plateau West Chasm</t>
  </si>
  <si>
    <t>Hyrule Castle Chasm</t>
  </si>
  <si>
    <t>Hyrule Castle Moat East Chasm</t>
  </si>
  <si>
    <t>Hyrule Field Chasm</t>
  </si>
  <si>
    <t>Hyrule Ridge Chasm</t>
  </si>
  <si>
    <t>Naydra Snowfield Chasm</t>
  </si>
  <si>
    <t>East Hill Chasm</t>
  </si>
  <si>
    <t>Hills of Baumer Chasm</t>
  </si>
  <si>
    <t>North Lomei Chasm</t>
  </si>
  <si>
    <t>Rito Village Chasm</t>
  </si>
  <si>
    <t>Chasm Under Zora's Domain</t>
  </si>
  <si>
    <t>Lomei Labyrinth Chasm</t>
  </si>
  <si>
    <t>East Akkala Plains</t>
  </si>
  <si>
    <t>South Akkala Plains</t>
  </si>
  <si>
    <t>Tingel Island</t>
  </si>
  <si>
    <t>Skull Lake</t>
  </si>
  <si>
    <t>Birida Lookout</t>
  </si>
  <si>
    <t>Gerudo Summit</t>
  </si>
  <si>
    <t>Yiga Clan Hideout</t>
  </si>
  <si>
    <t>Forest of Time</t>
  </si>
  <si>
    <t>Hyrule Castle</t>
  </si>
  <si>
    <t>Mount Daphnes</t>
  </si>
  <si>
    <t>Naydra Snowfield</t>
  </si>
  <si>
    <t>East Hill</t>
  </si>
  <si>
    <t>Hills of Baumer</t>
  </si>
  <si>
    <t>Rito Village</t>
  </si>
  <si>
    <t>Caves</t>
  </si>
  <si>
    <t>Akkala Citadel Ruins Cave</t>
  </si>
  <si>
    <t>Location</t>
  </si>
  <si>
    <t>Akkala Citadel Ruins Summit Cave</t>
  </si>
  <si>
    <t>Ancient Altar Ruins</t>
  </si>
  <si>
    <t>Ancient Columns Cave</t>
  </si>
  <si>
    <t>Ancient Prison Ruins</t>
  </si>
  <si>
    <t>Ancient Tree Stump Cave</t>
  </si>
  <si>
    <t>Ancient Zora Waterworks</t>
  </si>
  <si>
    <t>Atun Valley Cave</t>
  </si>
  <si>
    <t>Bottomless Cave</t>
  </si>
  <si>
    <t>Brightcap Cave</t>
  </si>
  <si>
    <t>Calora Lake Cave</t>
  </si>
  <si>
    <t>Cape Cales Cliffbase Cave</t>
  </si>
  <si>
    <t>Cave Under Zora's Domain</t>
  </si>
  <si>
    <t>Central Gerudo Cave</t>
  </si>
  <si>
    <t>Cephla Lake Cave</t>
  </si>
  <si>
    <t>Coliseum Ruins Cave</t>
  </si>
  <si>
    <t>Construction Site Cave</t>
  </si>
  <si>
    <t>Cora Lakefront Cave</t>
  </si>
  <si>
    <t>Corta Lake Cave</t>
  </si>
  <si>
    <t>Crenel Hills Cave</t>
  </si>
  <si>
    <t>Crenel Peak Cave</t>
  </si>
  <si>
    <t>Cucco Hideaway</t>
  </si>
  <si>
    <t>Death Mountain East Tunnel</t>
  </si>
  <si>
    <t>Death Mountain Foothill Cave</t>
  </si>
  <si>
    <t>Death Mountain West Tunnel</t>
  </si>
  <si>
    <t>Deepback Bay Cave</t>
  </si>
  <si>
    <t>Deplian Badlands Cave</t>
  </si>
  <si>
    <t>Dueling Peaks North Cave</t>
  </si>
  <si>
    <t>Dueling Peaks South Cave</t>
  </si>
  <si>
    <t>East Biron Snowshelf Cave</t>
  </si>
  <si>
    <t>East Gerudo Ruins Cave</t>
  </si>
  <si>
    <t>East Restaurant Cave</t>
  </si>
  <si>
    <t>Eventide Island Cave</t>
  </si>
  <si>
    <t>Finra Woods Excavation Site</t>
  </si>
  <si>
    <t>Floria River Upstream Excavation</t>
  </si>
  <si>
    <t>Foothill Monster Den</t>
  </si>
  <si>
    <t>Fort Hateno Cave</t>
  </si>
  <si>
    <t>Gerudo Canyon Mine</t>
  </si>
  <si>
    <t>Gerudo Sanctuary</t>
  </si>
  <si>
    <t>Gisa Crater Cave</t>
  </si>
  <si>
    <t>Gorko Tunnel</t>
  </si>
  <si>
    <t>Goronbi River Cave</t>
  </si>
  <si>
    <t>Great Plateau Foothill Cave</t>
  </si>
  <si>
    <t>Hebra Headspring Cave</t>
  </si>
  <si>
    <t>Hebra Mountains Northwest Cave</t>
  </si>
  <si>
    <t>Hebra South Summit Cave</t>
  </si>
  <si>
    <t>Horon Lagoon Cave</t>
  </si>
  <si>
    <t>Icefall Foothills Cave</t>
  </si>
  <si>
    <t>Isle of Rabac Gallery</t>
  </si>
  <si>
    <t>Kakariko Village Cave</t>
  </si>
  <si>
    <t>Komo Shoreline Cave</t>
  </si>
  <si>
    <t>Kopeeki Drifts Cave</t>
  </si>
  <si>
    <t>Koukot Plateau Cave</t>
  </si>
  <si>
    <t>Lake Darman Monster Den</t>
  </si>
  <si>
    <t>Lake Ferona Cave</t>
  </si>
  <si>
    <t>Lake Hylia Whirlpool Cave</t>
  </si>
  <si>
    <t>Lake Intenoch Cave</t>
  </si>
  <si>
    <t>Lake Kilsie Cave</t>
  </si>
  <si>
    <t>Lanayru Road East Cave</t>
  </si>
  <si>
    <t>Lanayru Road South Cave</t>
  </si>
  <si>
    <t>Lindor's Brow Cave</t>
  </si>
  <si>
    <t>Lizard's Burrow</t>
  </si>
  <si>
    <t>Lower Spectacle Rock Cave</t>
  </si>
  <si>
    <t>Luto's Channel</t>
  </si>
  <si>
    <t>Mapla Point Cave</t>
  </si>
  <si>
    <t>Meadela's Mantle Cave</t>
  </si>
  <si>
    <t>Mining Cave</t>
  </si>
  <si>
    <t>Mount Drena Foothill Cave</t>
  </si>
  <si>
    <t>Mount Dunsel Cave</t>
  </si>
  <si>
    <t>Mount Floria Cave</t>
  </si>
  <si>
    <t>Mount Nabooru Cave</t>
  </si>
  <si>
    <t>Mount Nabooru South Cave</t>
  </si>
  <si>
    <t>Mystathi's Shelf Cave</t>
  </si>
  <si>
    <t>North Akkala Beach Cave</t>
  </si>
  <si>
    <t>North Biron Snowshelf Cave</t>
  </si>
  <si>
    <t>North Hyrule Plain Cave</t>
  </si>
  <si>
    <t>Oakle's Navel Cave</t>
  </si>
  <si>
    <t>Oren Bridge Cave</t>
  </si>
  <si>
    <t>Pagos Woods Excavation Site</t>
  </si>
  <si>
    <t>Passeri Greenbelt Cave</t>
  </si>
  <si>
    <t>Pico Pond Cave</t>
  </si>
  <si>
    <t>Pikida Stonegrove Northwest Cave</t>
  </si>
  <si>
    <t>Pit Cave</t>
  </si>
  <si>
    <t>Ploymus Mountain Cave</t>
  </si>
  <si>
    <t>Pondside Cave</t>
  </si>
  <si>
    <t>Popla Foothills Excavation Site</t>
  </si>
  <si>
    <t>Pristine Sanctum</t>
  </si>
  <si>
    <t>Puffer Beach Overhead Cave</t>
  </si>
  <si>
    <t>Quicksand Lake Cave</t>
  </si>
  <si>
    <t>Ralis Channel</t>
  </si>
  <si>
    <t>Ranch Ruins Cave</t>
  </si>
  <si>
    <t>Rassla Lake Cave</t>
  </si>
  <si>
    <t>Rauru Hillside Cave</t>
  </si>
  <si>
    <t>Rebonae Bridge Cave</t>
  </si>
  <si>
    <t>Reservoir Lakefront Cavern</t>
  </si>
  <si>
    <t>Retsam Forest Cave</t>
  </si>
  <si>
    <t>River of the Dead Waterfall Cave</t>
  </si>
  <si>
    <t>Robred Dropoff Cave</t>
  </si>
  <si>
    <t>Rodai Lakefront Tunnel</t>
  </si>
  <si>
    <t>Rospro Pass Cave</t>
  </si>
  <si>
    <t>Royal Hidden Passage</t>
  </si>
  <si>
    <t>Sage Temple Cave</t>
  </si>
  <si>
    <t>Sahasra Slope Cave</t>
  </si>
  <si>
    <t>Sarjon Woods Cave</t>
  </si>
  <si>
    <t>Satori Mountain Cave</t>
  </si>
  <si>
    <t>Satori Mountain Foothill Cave</t>
  </si>
  <si>
    <t>Shrine of Resurrection</t>
  </si>
  <si>
    <t>Skull Lake Cave</t>
  </si>
  <si>
    <t>South Gerudo Cave</t>
  </si>
  <si>
    <t>Southern Mine</t>
  </si>
  <si>
    <t>Spectacle Rock Cave</t>
  </si>
  <si>
    <t>Stalry Plateau Cave</t>
  </si>
  <si>
    <t>Statue of the Eighth Heroine Cave</t>
  </si>
  <si>
    <t>Sturnida Springs Cave</t>
  </si>
  <si>
    <t>Taafei Hill Cave</t>
  </si>
  <si>
    <t>Tabahl Woods Cave</t>
  </si>
  <si>
    <t>Tabantha Hills Cave</t>
  </si>
  <si>
    <t>Talonto Peak Cave</t>
  </si>
  <si>
    <t>Tamio River Downstream Cave</t>
  </si>
  <si>
    <t>Tanagar Canyon East Cave</t>
  </si>
  <si>
    <t>Tanagar Canyon West Cave</t>
  </si>
  <si>
    <t>Tarm Point Cave</t>
  </si>
  <si>
    <t>Tarrey Town Tunnel</t>
  </si>
  <si>
    <t>Thundra Plateau Cave</t>
  </si>
  <si>
    <t>Tobio's Hollow Cave</t>
  </si>
  <si>
    <t>Ubota Point Cave</t>
  </si>
  <si>
    <t>Ulria Grotto East Cave</t>
  </si>
  <si>
    <t>Ulria Grotto South Cave</t>
  </si>
  <si>
    <t>Upland Zorana Foothill Cave</t>
  </si>
  <si>
    <t>Upland Zorana Mountainside Cave</t>
  </si>
  <si>
    <t>Upland Zorana Summit Cave</t>
  </si>
  <si>
    <t>Valley of Silent Statues</t>
  </si>
  <si>
    <t>Walnot Mountain Cave</t>
  </si>
  <si>
    <t>West Gerudo Underground Ruins</t>
  </si>
  <si>
    <t>West Lake Totori Cave</t>
  </si>
  <si>
    <t>West Restaurant Cave</t>
  </si>
  <si>
    <t>Whistling Hill Cave</t>
  </si>
  <si>
    <t>Yiga Blademaster Station</t>
  </si>
  <si>
    <t>Yiga Clan Maritta Branch</t>
  </si>
  <si>
    <t>YunoboCo HQ East Cave</t>
  </si>
  <si>
    <t>YunoboCo HQ South Cave</t>
  </si>
  <si>
    <t>Great Sky Island</t>
  </si>
  <si>
    <t>Bravery Island</t>
  </si>
  <si>
    <t>Courage Island</t>
  </si>
  <si>
    <t>Depths</t>
  </si>
  <si>
    <t>East Gerudo Sky Archipelago</t>
  </si>
  <si>
    <t>East Hebra Sky Archipelago</t>
  </si>
  <si>
    <t>Gerudo Canyon Pass</t>
  </si>
  <si>
    <t>Hudson Construction Site</t>
  </si>
  <si>
    <t>Kakariko Village</t>
  </si>
  <si>
    <t>Lanayru Sky Archipelago</t>
  </si>
  <si>
    <t>Left-Leg Depot</t>
  </si>
  <si>
    <t>Lightcast Island</t>
  </si>
  <si>
    <t>North Hyrule Sky Archipelago</t>
  </si>
  <si>
    <t>North Necluda Sky Archipelago</t>
  </si>
  <si>
    <t>Sky Mine</t>
  </si>
  <si>
    <t>Sokkala Sky Archipelago</t>
  </si>
  <si>
    <t>South Eldin Sky Archipelago</t>
  </si>
  <si>
    <t>South Hyrule Sky Archipelago</t>
  </si>
  <si>
    <t>South Lanayru Sky Archipelago</t>
  </si>
  <si>
    <t>South Necluda Sky Archipelago</t>
  </si>
  <si>
    <t>Starview Island</t>
  </si>
  <si>
    <t>Tabantha Sky Archipelago</t>
  </si>
  <si>
    <t>Thunderhead Isles</t>
  </si>
  <si>
    <t>Valor Island</t>
  </si>
  <si>
    <t>Wellspring Island</t>
  </si>
  <si>
    <t>West Hebra Sky Archipelago</t>
  </si>
  <si>
    <t>West Necluda Sky Archipelago</t>
  </si>
  <si>
    <t>Zonaite Forge Island</t>
  </si>
  <si>
    <t>Akkala Ancient Tech Lab</t>
  </si>
  <si>
    <t>Applean Forest</t>
  </si>
  <si>
    <t>Ash Swamp</t>
  </si>
  <si>
    <t>Bridge of Eldin</t>
  </si>
  <si>
    <t>Brynna Plain</t>
  </si>
  <si>
    <t>Cliffs of Quince</t>
  </si>
  <si>
    <t>Death Mountain West Site</t>
  </si>
  <si>
    <t>Drenan Highlands</t>
  </si>
  <si>
    <t>Eagus Bridge</t>
  </si>
  <si>
    <t>East Akkala Stable</t>
  </si>
  <si>
    <t>East Barrens</t>
  </si>
  <si>
    <t>Exchange Ruins</t>
  </si>
  <si>
    <t>Foothill Stable</t>
  </si>
  <si>
    <t>Forest of Spirits</t>
  </si>
  <si>
    <t>Gerudo Canyon</t>
  </si>
  <si>
    <t>Gerudo Canyon Stable</t>
  </si>
  <si>
    <t>Gut Check Rock</t>
  </si>
  <si>
    <t>Haran Lake</t>
  </si>
  <si>
    <t>Hebra Trailhead Lodge</t>
  </si>
  <si>
    <t>Hyrule Castle Moat</t>
  </si>
  <si>
    <t>Hyrule Castle Town Ruins</t>
  </si>
  <si>
    <t>Kolami Bridge</t>
  </si>
  <si>
    <t>Koto Pond</t>
  </si>
  <si>
    <t>Koukot Plateau</t>
  </si>
  <si>
    <t>Lake Akkala</t>
  </si>
  <si>
    <t>Lake Illumeni</t>
  </si>
  <si>
    <t>Lake Totori</t>
  </si>
  <si>
    <t>Lakeside Stable</t>
  </si>
  <si>
    <t>Lanayru Road - West Gate</t>
  </si>
  <si>
    <t>Lodrum Headland</t>
  </si>
  <si>
    <t>Ludfo's Bog</t>
  </si>
  <si>
    <t>Mabe Prairie</t>
  </si>
  <si>
    <t>Manhala Bridge</t>
  </si>
  <si>
    <t>Mapla Point</t>
  </si>
  <si>
    <t>Meadela's Mantle</t>
  </si>
  <si>
    <t>Mercay Island</t>
  </si>
  <si>
    <t>Midla Woods</t>
  </si>
  <si>
    <t>Mount Drena</t>
  </si>
  <si>
    <t>Mount Granajh</t>
  </si>
  <si>
    <t>Mount Gustaf</t>
  </si>
  <si>
    <t>Mount Rhoam</t>
  </si>
  <si>
    <t>Nima Plain</t>
  </si>
  <si>
    <t>Nirvata Lake</t>
  </si>
  <si>
    <t>North Tabantha Snowfield</t>
  </si>
  <si>
    <t>Octorok Lake</t>
  </si>
  <si>
    <t>Owlan Bridge</t>
  </si>
  <si>
    <t>Palmorae Beach</t>
  </si>
  <si>
    <t>Palu Wasteland</t>
  </si>
  <si>
    <t>Pappetto Grove</t>
  </si>
  <si>
    <t>Pico Pond</t>
  </si>
  <si>
    <t>Pikida Stonegrove</t>
  </si>
  <si>
    <t>Pillars of Levia</t>
  </si>
  <si>
    <t>Rebonae Bridge</t>
  </si>
  <si>
    <t>Rowan Plain</t>
  </si>
  <si>
    <t>Ruto Lake</t>
  </si>
  <si>
    <t>Sahasra Slope</t>
  </si>
  <si>
    <t>Salari Hill</t>
  </si>
  <si>
    <t>Samasa Plain</t>
  </si>
  <si>
    <t>Scout's Hill</t>
  </si>
  <si>
    <t>South Akkala Stable</t>
  </si>
  <si>
    <t>South Tabantha Snowfield</t>
  </si>
  <si>
    <t>Spring of Courage</t>
  </si>
  <si>
    <t>Sturnida Secret Hot Spring</t>
  </si>
  <si>
    <t>Tabantha Great Bridge</t>
  </si>
  <si>
    <t>Talonto Peak</t>
  </si>
  <si>
    <t>Tamio River</t>
  </si>
  <si>
    <t>Temto Hill</t>
  </si>
  <si>
    <t>Thims Bridge</t>
  </si>
  <si>
    <t>Thyphlo Ruins</t>
  </si>
  <si>
    <t>Ulria Grotto</t>
  </si>
  <si>
    <t>Upland Zorana</t>
  </si>
  <si>
    <t>Yarna Valley</t>
  </si>
  <si>
    <t>Zora River</t>
  </si>
  <si>
    <t>Abandoned Eldin Mine</t>
  </si>
  <si>
    <t>Abandoned Gerudo Mine</t>
  </si>
  <si>
    <t>Abandoned Hateno Mine</t>
  </si>
  <si>
    <t>Abandoned Hebra Mine</t>
  </si>
  <si>
    <t>Abandoned Kakariko Mine</t>
  </si>
  <si>
    <t>Abandoned Kara Kara Mine</t>
  </si>
  <si>
    <t>Abandoned Lanayru Mine</t>
  </si>
  <si>
    <t>Abandoned Lurelin Mine</t>
  </si>
  <si>
    <t>Abandoned Tarrey Mine</t>
  </si>
  <si>
    <t>Afromsia Coast</t>
  </si>
  <si>
    <t>Agaat Canyon Mine</t>
  </si>
  <si>
    <t>Akkala</t>
  </si>
  <si>
    <t>Akkala Bridge Ruins</t>
  </si>
  <si>
    <t>Akkala Citadel Ruins</t>
  </si>
  <si>
    <t>Akkala Falls</t>
  </si>
  <si>
    <t>Akkala House of Bones</t>
  </si>
  <si>
    <t>Akkala Parade Ground Ruins</t>
  </si>
  <si>
    <t>Akkala Sky</t>
  </si>
  <si>
    <t>Akkala Span</t>
  </si>
  <si>
    <t>Akkala Wilds</t>
  </si>
  <si>
    <t>Aldor Foothills</t>
  </si>
  <si>
    <t>Ancient Columns</t>
  </si>
  <si>
    <t>Ancient Observation Deck</t>
  </si>
  <si>
    <t>Ancient Tablet</t>
  </si>
  <si>
    <t>Ancient Tree Stump</t>
  </si>
  <si>
    <t>Ancient Underground Fortress</t>
  </si>
  <si>
    <t>Angel Peak</t>
  </si>
  <si>
    <t>Ankel Island</t>
  </si>
  <si>
    <t>Applean Grove</t>
  </si>
  <si>
    <t>Aquame Bridge</t>
  </si>
  <si>
    <t>Aquame Lake</t>
  </si>
  <si>
    <t>Aquame Lake Well</t>
  </si>
  <si>
    <t>Arbiter's Grounds</t>
  </si>
  <si>
    <t>Aris Beach</t>
  </si>
  <si>
    <t>Armor Shop</t>
  </si>
  <si>
    <t>Atun Valley</t>
  </si>
  <si>
    <t>Bank of Wishes</t>
  </si>
  <si>
    <t>Bannan Island</t>
  </si>
  <si>
    <t>Bargainer Statue</t>
  </si>
  <si>
    <t>Barula Plain</t>
  </si>
  <si>
    <t>Batrea Lake</t>
  </si>
  <si>
    <t>Bedrock Bistro</t>
  </si>
  <si>
    <t>Big Twin Bridge</t>
  </si>
  <si>
    <t>Biron Snowshelf</t>
  </si>
  <si>
    <t>Blatchery Plain</t>
  </si>
  <si>
    <t>Bloodleaf Lake</t>
  </si>
  <si>
    <t>Blupee Burrow</t>
  </si>
  <si>
    <t>Boné Pond</t>
  </si>
  <si>
    <t>Boné Pond East Cave</t>
  </si>
  <si>
    <t>Boneyard Bridge</t>
  </si>
  <si>
    <t>Bonooru's Stand</t>
  </si>
  <si>
    <t>Bottomless Pond</t>
  </si>
  <si>
    <t>Bottomless Pond Well</t>
  </si>
  <si>
    <t>Breach of Demise</t>
  </si>
  <si>
    <t>Break-a-Part Shop</t>
  </si>
  <si>
    <t>Breman Peak</t>
  </si>
  <si>
    <t>Bridge of Hylia</t>
  </si>
  <si>
    <t>Broca Island</t>
  </si>
  <si>
    <t>Bronas Forest</t>
  </si>
  <si>
    <t>Bubinga Forest</t>
  </si>
  <si>
    <t>Bubinga Grove</t>
  </si>
  <si>
    <t>Calora Lake</t>
  </si>
  <si>
    <t>Camphor Pond</t>
  </si>
  <si>
    <t>Canyon of Awakening Mine</t>
  </si>
  <si>
    <t>Cape Cales</t>
  </si>
  <si>
    <t>Cape Cresia</t>
  </si>
  <si>
    <t>Carok Bridge</t>
  </si>
  <si>
    <t>Carok Bridge Well</t>
  </si>
  <si>
    <t>Castle Town Prison</t>
  </si>
  <si>
    <t>Castle Town Watchtower</t>
  </si>
  <si>
    <t>Central Hyrule Sky</t>
  </si>
  <si>
    <t>Central Hyrule Sky Archipelago</t>
  </si>
  <si>
    <t>Central Square</t>
  </si>
  <si>
    <t>Cephla Lake</t>
  </si>
  <si>
    <t>Champion's Gate</t>
  </si>
  <si>
    <t>Clarnet Coast</t>
  </si>
  <si>
    <t>Cliffs of Ruvara</t>
  </si>
  <si>
    <t>Coldsnap Hollow</t>
  </si>
  <si>
    <t>Coliseum Ruins</t>
  </si>
  <si>
    <t>Construct Factory</t>
  </si>
  <si>
    <t>Construction Site Well</t>
  </si>
  <si>
    <t>Cora Lake</t>
  </si>
  <si>
    <t>Corta Lake</t>
  </si>
  <si>
    <t>Corvash Canyon Mine</t>
  </si>
  <si>
    <t>Corvash Peak</t>
  </si>
  <si>
    <t>Courage Steppe</t>
  </si>
  <si>
    <t>Crenel Canyon Mine</t>
  </si>
  <si>
    <t>Crenel Hills</t>
  </si>
  <si>
    <t>Crenel Peak</t>
  </si>
  <si>
    <t>Cresia Pit Mine</t>
  </si>
  <si>
    <t>Crystal Refinery</t>
  </si>
  <si>
    <t>Cuho Canyon Mine</t>
  </si>
  <si>
    <t>Cuho Mountain</t>
  </si>
  <si>
    <t>Dalite Forest</t>
  </si>
  <si>
    <t>Dalite Grove</t>
  </si>
  <si>
    <t>Damel Forest</t>
  </si>
  <si>
    <t>Daphnes Canyon Mine</t>
  </si>
  <si>
    <t>Darb Pond</t>
  </si>
  <si>
    <t>Darunia Lake</t>
  </si>
  <si>
    <t>Darybon Plains</t>
  </si>
  <si>
    <t>Daval Canyon Mine</t>
  </si>
  <si>
    <t>Daval Peak</t>
  </si>
  <si>
    <t>Davdi Island</t>
  </si>
  <si>
    <t>Death Caldera</t>
  </si>
  <si>
    <t>Deepback Bay</t>
  </si>
  <si>
    <t>Deku Tree Chasm</t>
  </si>
  <si>
    <t>Deplian Badlands</t>
  </si>
  <si>
    <t>Desert Coliseum</t>
  </si>
  <si>
    <t>Desert Rift</t>
  </si>
  <si>
    <t>Deya Lake</t>
  </si>
  <si>
    <t>Deya Village Ruins</t>
  </si>
  <si>
    <t>Deya Village Ruins East Well</t>
  </si>
  <si>
    <t>Deya Village Ruins North Well</t>
  </si>
  <si>
    <t>Deya Village Ruins South Well</t>
  </si>
  <si>
    <t>Deya Village Ruins Well</t>
  </si>
  <si>
    <t>Digdogg Suspension Bridge</t>
  </si>
  <si>
    <t>Dining Hall</t>
  </si>
  <si>
    <t>Docks</t>
  </si>
  <si>
    <t>Dracozu Altar</t>
  </si>
  <si>
    <t>Dracozu Lake</t>
  </si>
  <si>
    <t>Dracozu River</t>
  </si>
  <si>
    <t>Dragon Bone Mire</t>
  </si>
  <si>
    <t>Dragon's Exile</t>
  </si>
  <si>
    <t>Drena Canyon Mine</t>
  </si>
  <si>
    <t>Drenan Highlands Chasm</t>
  </si>
  <si>
    <t>Dronoc's Pass</t>
  </si>
  <si>
    <t>Dronoc's Pass Well</t>
  </si>
  <si>
    <t>Dueling Canyons Mine</t>
  </si>
  <si>
    <t>Dueling Peaks</t>
  </si>
  <si>
    <t>Dueling Peaks Stable</t>
  </si>
  <si>
    <t>Dueling Peaks Stable Well</t>
  </si>
  <si>
    <t>Dunsel Canyon Mine</t>
  </si>
  <si>
    <t>Dunsel Plateau</t>
  </si>
  <si>
    <t>East Akkala Beach</t>
  </si>
  <si>
    <t>East Akkala Stable Well</t>
  </si>
  <si>
    <t>East Castle Town</t>
  </si>
  <si>
    <t>East Deplian Badlands</t>
  </si>
  <si>
    <t>East Gerudo Mesa</t>
  </si>
  <si>
    <t>East Gerudo Ruins</t>
  </si>
  <si>
    <t>East Passage</t>
  </si>
  <si>
    <t>East Post Ruins</t>
  </si>
  <si>
    <t>East Reservoir Lake</t>
  </si>
  <si>
    <t>East Sokkala Bridge</t>
  </si>
  <si>
    <t>Eastern Abbey</t>
  </si>
  <si>
    <t>Ebara Forest</t>
  </si>
  <si>
    <t>Ebon Canyon Mine</t>
  </si>
  <si>
    <t>Ebon Mountain</t>
  </si>
  <si>
    <t>Eldin</t>
  </si>
  <si>
    <t>Eldin Dark Skeleton</t>
  </si>
  <si>
    <t>Eldin Great Skeleton</t>
  </si>
  <si>
    <t>Eldin Sky</t>
  </si>
  <si>
    <t>Eldin Sky Archipelago</t>
  </si>
  <si>
    <t>Eldin's Flank</t>
  </si>
  <si>
    <t>Elma Knolls</t>
  </si>
  <si>
    <t>Elma Knolls Chasm</t>
  </si>
  <si>
    <t>Elma Knolls Well</t>
  </si>
  <si>
    <t>Eventide Island</t>
  </si>
  <si>
    <t>Eventide Island Chasm</t>
  </si>
  <si>
    <t>Faloraa Canyon Mine</t>
  </si>
  <si>
    <t>Faron</t>
  </si>
  <si>
    <t>Faron Sea</t>
  </si>
  <si>
    <t>Faron Sky</t>
  </si>
  <si>
    <t>Faron Sky Archipelago</t>
  </si>
  <si>
    <t>Faron Woods</t>
  </si>
  <si>
    <t>Farosh Hills</t>
  </si>
  <si>
    <t>Finra Woods</t>
  </si>
  <si>
    <t>Fir River</t>
  </si>
  <si>
    <t>Firly Plateau</t>
  </si>
  <si>
    <t>Firly Pond</t>
  </si>
  <si>
    <t>First Gatehouse</t>
  </si>
  <si>
    <t>Flight Range</t>
  </si>
  <si>
    <t>Floating Coliseum</t>
  </si>
  <si>
    <t>Floating Scales Island</t>
  </si>
  <si>
    <t>Floret Sandbar</t>
  </si>
  <si>
    <t>Floria Bridge</t>
  </si>
  <si>
    <t>Floria Canyon Mine</t>
  </si>
  <si>
    <t>Floria Falls</t>
  </si>
  <si>
    <t>Floria River</t>
  </si>
  <si>
    <t>Foothill Stable Well</t>
  </si>
  <si>
    <t>Forest Coliseum</t>
  </si>
  <si>
    <t>Forge Construct</t>
  </si>
  <si>
    <t>Forgotten Temple</t>
  </si>
  <si>
    <t>Fort Hateno</t>
  </si>
  <si>
    <t>Fural Plain</t>
  </si>
  <si>
    <t>Gama Cove</t>
  </si>
  <si>
    <t>Gatepost Town Ruins</t>
  </si>
  <si>
    <t>Gero Pond</t>
  </si>
  <si>
    <t>Gerudo</t>
  </si>
  <si>
    <t>Gerudo Canyon Well</t>
  </si>
  <si>
    <t>Gerudo Dark Skeleton</t>
  </si>
  <si>
    <t>Gerudo Desert Gateway</t>
  </si>
  <si>
    <t>Gerudo Sky</t>
  </si>
  <si>
    <t>Gerudo Town</t>
  </si>
  <si>
    <t>Gerudo Underground Cemetery</t>
  </si>
  <si>
    <t>Giant's Forest</t>
  </si>
  <si>
    <t>Giant's Grove</t>
  </si>
  <si>
    <t>Ginner Grove</t>
  </si>
  <si>
    <t>Ginner Woods</t>
  </si>
  <si>
    <t>Gisa Crater</t>
  </si>
  <si>
    <t>Gleeok Bridge</t>
  </si>
  <si>
    <t>Gleeok Den</t>
  </si>
  <si>
    <t>Goflam's Lavafalls</t>
  </si>
  <si>
    <t>Goflam's Secret Hot Spring</t>
  </si>
  <si>
    <t>Gogobi Shores</t>
  </si>
  <si>
    <t>Golow River</t>
  </si>
  <si>
    <t>Goponga Island</t>
  </si>
  <si>
    <t>Goponga Village Ruins</t>
  </si>
  <si>
    <t>Goponga Village Ruins Well</t>
  </si>
  <si>
    <t>Gorko Lake</t>
  </si>
  <si>
    <t>Goro Cove</t>
  </si>
  <si>
    <t>Goron City</t>
  </si>
  <si>
    <t>Goron Hot Springs</t>
  </si>
  <si>
    <t>Goronbi Lake</t>
  </si>
  <si>
    <t>Goronbi River</t>
  </si>
  <si>
    <t>Gortram Cliff</t>
  </si>
  <si>
    <t>Granajh Canyon Mine</t>
  </si>
  <si>
    <t>Great Abandoned Central Mine</t>
  </si>
  <si>
    <t>Great Cliffs</t>
  </si>
  <si>
    <t>Great Fairy Fountain</t>
  </si>
  <si>
    <t>Great Plateau</t>
  </si>
  <si>
    <t>Great Zora Bridge</t>
  </si>
  <si>
    <t>Grinnden Plains</t>
  </si>
  <si>
    <t>Grove of Spirits</t>
  </si>
  <si>
    <t>Grove of Time</t>
  </si>
  <si>
    <t>Guards' Chamber</t>
  </si>
  <si>
    <t>Guchini Plain</t>
  </si>
  <si>
    <t>Guchini Plain Barrows</t>
  </si>
  <si>
    <t>Gustaf Canyon Mine</t>
  </si>
  <si>
    <t>Hanu Pond</t>
  </si>
  <si>
    <t>Haran Lakefront Well</t>
  </si>
  <si>
    <t>Harfin Valley</t>
  </si>
  <si>
    <t>Harker Lake</t>
  </si>
  <si>
    <t>Hateno Ancient Tech Lab</t>
  </si>
  <si>
    <t>Hateno Bay</t>
  </si>
  <si>
    <t>Hateno Beach</t>
  </si>
  <si>
    <t>Hateno Pasture</t>
  </si>
  <si>
    <t>Hateno School</t>
  </si>
  <si>
    <t>Hateno Village</t>
  </si>
  <si>
    <t>Hateno Village East Well</t>
  </si>
  <si>
    <t>Hateno Village North Well</t>
  </si>
  <si>
    <t>Hateno Village South Well</t>
  </si>
  <si>
    <t>Hateno Village West Well</t>
  </si>
  <si>
    <t>Hebra</t>
  </si>
  <si>
    <t>Hebra Canyon Mine</t>
  </si>
  <si>
    <t>Hebra Dark Skeleton</t>
  </si>
  <si>
    <t>Hebra East Summit</t>
  </si>
  <si>
    <t>Hebra Falls</t>
  </si>
  <si>
    <t>Hebra Headspring</t>
  </si>
  <si>
    <t>Hebra North Crest</t>
  </si>
  <si>
    <t>Hebra North Summit</t>
  </si>
  <si>
    <t>Hebra Peak</t>
  </si>
  <si>
    <t>Hebra Plunge</t>
  </si>
  <si>
    <t>Hebra Sky</t>
  </si>
  <si>
    <t>Hebra South Summit</t>
  </si>
  <si>
    <t>Hebra Tundra</t>
  </si>
  <si>
    <t>Hebra West Summit</t>
  </si>
  <si>
    <t>Helmhead Bridge</t>
  </si>
  <si>
    <t>Hemaar's Descent</t>
  </si>
  <si>
    <t>Herin Lake</t>
  </si>
  <si>
    <t>Hickaly Grove</t>
  </si>
  <si>
    <t>Hickaly Woods</t>
  </si>
  <si>
    <t>Highland Stable</t>
  </si>
  <si>
    <t>Highland Stable Well</t>
  </si>
  <si>
    <t>Hills of Baumer Well</t>
  </si>
  <si>
    <t>Hopper Pond</t>
  </si>
  <si>
    <t>Horon Lagoon</t>
  </si>
  <si>
    <t>Horse God Bridge</t>
  </si>
  <si>
    <t>Horwell Bridge</t>
  </si>
  <si>
    <t>Hylia Canyon Mine</t>
  </si>
  <si>
    <t>Hylia Island</t>
  </si>
  <si>
    <t>Hylia River</t>
  </si>
  <si>
    <t>Hyrule Castle Moat West Chasm</t>
  </si>
  <si>
    <t>Hyrule Castle Town Ruins Well</t>
  </si>
  <si>
    <t>Hyrule Cathedral</t>
  </si>
  <si>
    <t>Hyrule Forest Park</t>
  </si>
  <si>
    <t>Hyrule Garrison Ruins</t>
  </si>
  <si>
    <t>Ibara Butte</t>
  </si>
  <si>
    <t>Icefall Foothills</t>
  </si>
  <si>
    <t>Illumeni Plateau</t>
  </si>
  <si>
    <t>Inn</t>
  </si>
  <si>
    <t>Inogo Bridge</t>
  </si>
  <si>
    <t>Irch Plain</t>
  </si>
  <si>
    <t>Irch Plain Well</t>
  </si>
  <si>
    <t>Isle of Rabac</t>
  </si>
  <si>
    <t>Ja'Abu Ridge</t>
  </si>
  <si>
    <t>Jeddo Bridge</t>
  </si>
  <si>
    <t>Jewelry Shop</t>
  </si>
  <si>
    <t>Jia Highlands</t>
  </si>
  <si>
    <t>Kaepora Pass</t>
  </si>
  <si>
    <t>Kakariko Bridge</t>
  </si>
  <si>
    <t>Kakariko Village Well</t>
  </si>
  <si>
    <t>Kamah Plateau</t>
  </si>
  <si>
    <t>Kanalet Ridge</t>
  </si>
  <si>
    <t>Kara Kara Bazaar</t>
  </si>
  <si>
    <t>Kara Kara Bazaar Well</t>
  </si>
  <si>
    <t>Karusa Valley</t>
  </si>
  <si>
    <t>Keelay Plain</t>
  </si>
  <si>
    <t>Keya Pond</t>
  </si>
  <si>
    <t>Kincean Island</t>
  </si>
  <si>
    <t>King's Study</t>
  </si>
  <si>
    <t>Kitano Bay</t>
  </si>
  <si>
    <t>Knuckel Island</t>
  </si>
  <si>
    <t>Koholit Rock</t>
  </si>
  <si>
    <t>Kolomo Garrison Ruins</t>
  </si>
  <si>
    <t>Komo Shoreline</t>
  </si>
  <si>
    <t>Kopeeki Drifts</t>
  </si>
  <si>
    <t>Korne Beach</t>
  </si>
  <si>
    <t>Korok Forest</t>
  </si>
  <si>
    <t>Korok Grove</t>
  </si>
  <si>
    <t>Lake Darman</t>
  </si>
  <si>
    <t>Lake Ferona</t>
  </si>
  <si>
    <t>Lake Floria</t>
  </si>
  <si>
    <t>Lake Hylia Chasm</t>
  </si>
  <si>
    <t>Lake Intenoch</t>
  </si>
  <si>
    <t>Lake Jarrah</t>
  </si>
  <si>
    <t>Lake Kilsie</t>
  </si>
  <si>
    <t>Lake Kolomo</t>
  </si>
  <si>
    <t>Lake Mekar</t>
  </si>
  <si>
    <t>Lake of the Horse God</t>
  </si>
  <si>
    <t>Lake Saria</t>
  </si>
  <si>
    <t>Lake Siela</t>
  </si>
  <si>
    <t>Lake Sumac</t>
  </si>
  <si>
    <t>Lakeside Stable Well</t>
  </si>
  <si>
    <t>Lanayru</t>
  </si>
  <si>
    <t>Lanayru Bay</t>
  </si>
  <si>
    <t>Lanayru Bluff</t>
  </si>
  <si>
    <t>Lanayru Canyon Mine</t>
  </si>
  <si>
    <t>Lanayru Heights</t>
  </si>
  <si>
    <t>Lanayru Promenade</t>
  </si>
  <si>
    <t>Lanayru Range</t>
  </si>
  <si>
    <t>Lanayru Road - East Gate</t>
  </si>
  <si>
    <t>Lanayru Sky</t>
  </si>
  <si>
    <t>Lanayru Wetlands Chasm</t>
  </si>
  <si>
    <t>Lanayru Wetlands Well</t>
  </si>
  <si>
    <t>Lantern Lake</t>
  </si>
  <si>
    <t>Laparoh Mesa</t>
  </si>
  <si>
    <t>Laverra Beach</t>
  </si>
  <si>
    <t>Left-Arm Depot</t>
  </si>
  <si>
    <t>Library</t>
  </si>
  <si>
    <t>Lindor Canyon Mine</t>
  </si>
  <si>
    <t>Lindor's Brow</t>
  </si>
  <si>
    <t>Linebeck Island</t>
  </si>
  <si>
    <t>Link's House</t>
  </si>
  <si>
    <t>Little Twin Bridge</t>
  </si>
  <si>
    <t>Lockup</t>
  </si>
  <si>
    <t>Lomei Depths Labyrinth</t>
  </si>
  <si>
    <t>Lomei Labyrinth Island</t>
  </si>
  <si>
    <t>Lomei Sky Labyrinth</t>
  </si>
  <si>
    <t>Lone Island Coliseum</t>
  </si>
  <si>
    <t>Lookout Landing</t>
  </si>
  <si>
    <t>Lookout Landing Well</t>
  </si>
  <si>
    <t>Loshlo Harbor</t>
  </si>
  <si>
    <t>Lucky Clover Gazette</t>
  </si>
  <si>
    <t>Lucky Treasure Shop</t>
  </si>
  <si>
    <t>Lulu Lake</t>
  </si>
  <si>
    <t>Lurelin Village</t>
  </si>
  <si>
    <t>Lurelin Village Well</t>
  </si>
  <si>
    <t>Lurelin Water Rally</t>
  </si>
  <si>
    <t>Luto's Crossing</t>
  </si>
  <si>
    <t>Mabe Village Ruins</t>
  </si>
  <si>
    <t>Mabe Village Ruins Well</t>
  </si>
  <si>
    <t>Mable Ridge</t>
  </si>
  <si>
    <t>Madorna Canyon Mine</t>
  </si>
  <si>
    <t>Madorna Mountain</t>
  </si>
  <si>
    <t>Malanya Spring</t>
  </si>
  <si>
    <t>Malin Bay</t>
  </si>
  <si>
    <t>Marblod Plain</t>
  </si>
  <si>
    <t>Maritta Exchange Ruins</t>
  </si>
  <si>
    <t>Maritta Exchange Ruins Well</t>
  </si>
  <si>
    <t>Martha's Landing</t>
  </si>
  <si>
    <t>Maw of Death Mountain</t>
  </si>
  <si>
    <t>Meda Canyon Mine</t>
  </si>
  <si>
    <t>Meda Lavafalls</t>
  </si>
  <si>
    <t>Meda Mountain</t>
  </si>
  <si>
    <t>Meda Mountain Chasm</t>
  </si>
  <si>
    <t>Medingo Pool</t>
  </si>
  <si>
    <t>Mekar Island</t>
  </si>
  <si>
    <t>Menoat River</t>
  </si>
  <si>
    <t>Midla Grove</t>
  </si>
  <si>
    <t>Mido Swamp</t>
  </si>
  <si>
    <t>Mikau Lake</t>
  </si>
  <si>
    <t>Military Training Camp</t>
  </si>
  <si>
    <t>Millennio Sandbar</t>
  </si>
  <si>
    <t>Mini Stable</t>
  </si>
  <si>
    <t>Minshi Grove</t>
  </si>
  <si>
    <t>Minshi Woods</t>
  </si>
  <si>
    <t>Minshi Woods Chasm</t>
  </si>
  <si>
    <t>Mipha Court</t>
  </si>
  <si>
    <t>Moat Bridge</t>
  </si>
  <si>
    <t>Molida Island</t>
  </si>
  <si>
    <t>Monster Gallery</t>
  </si>
  <si>
    <t>Moor Garrison Ruins</t>
  </si>
  <si>
    <t>Moor Garrison Ruins Well</t>
  </si>
  <si>
    <t>Mount Agaat</t>
  </si>
  <si>
    <t>Mount Daphnes Well</t>
  </si>
  <si>
    <t>Mount Dunsel</t>
  </si>
  <si>
    <t>Mount Faloraa</t>
  </si>
  <si>
    <t>Mount Floria</t>
  </si>
  <si>
    <t>Mount Gustaf Well</t>
  </si>
  <si>
    <t>Mount Hylia</t>
  </si>
  <si>
    <t>Mount Nabooru</t>
  </si>
  <si>
    <t>Mount Nabooru Well</t>
  </si>
  <si>
    <t>Mount Rozudo</t>
  </si>
  <si>
    <t>Mount Taran</t>
  </si>
  <si>
    <t>Mystathi's Shelf</t>
  </si>
  <si>
    <t>Nabi Lake</t>
  </si>
  <si>
    <t>Nabooru Canyon Mine</t>
  </si>
  <si>
    <t>Nautelle Wetlands</t>
  </si>
  <si>
    <t>Necluda</t>
  </si>
  <si>
    <t>Necluda Sky</t>
  </si>
  <si>
    <t>Necluda Sky Archipelago</t>
  </si>
  <si>
    <t>Nephra Hill</t>
  </si>
  <si>
    <t>Nero Hill</t>
  </si>
  <si>
    <t>Nette Plateau</t>
  </si>
  <si>
    <t>New Serenne Stable</t>
  </si>
  <si>
    <t>New Serenne Stable Well</t>
  </si>
  <si>
    <t>Nirvata Plateau</t>
  </si>
  <si>
    <t>North Akkala Beach</t>
  </si>
  <si>
    <t>North Akkala Foothill</t>
  </si>
  <si>
    <t>North Akkala Sky Archipelago</t>
  </si>
  <si>
    <t>North Akkala Valley</t>
  </si>
  <si>
    <t>North Gerudo Ruins</t>
  </si>
  <si>
    <t>North Gerudo Sky Archipelago</t>
  </si>
  <si>
    <t>North Hyrule Plain</t>
  </si>
  <si>
    <t>North Lomei Castle Top Floor</t>
  </si>
  <si>
    <t>North Lomei Depths Labyrinth</t>
  </si>
  <si>
    <t>North Lomei Labyrinth</t>
  </si>
  <si>
    <t>North Tabantha Sky Archipelago</t>
  </si>
  <si>
    <t>Northern Icehouse</t>
  </si>
  <si>
    <t>Oakle's Navel</t>
  </si>
  <si>
    <t>Observation Room</t>
  </si>
  <si>
    <t>Ordorac Quarry</t>
  </si>
  <si>
    <t>Oren Bridge</t>
  </si>
  <si>
    <t>Orsedd Bridge</t>
  </si>
  <si>
    <t>Oseira Plains</t>
  </si>
  <si>
    <t>Outpost Ruins</t>
  </si>
  <si>
    <t>Outskirt Hill Well</t>
  </si>
  <si>
    <t>Outskirt Stable</t>
  </si>
  <si>
    <t>Outskirt Stable Well</t>
  </si>
  <si>
    <t>Ovli Plain</t>
  </si>
  <si>
    <t>Pagos Woods</t>
  </si>
  <si>
    <t>Palmorae Ruins</t>
  </si>
  <si>
    <t>Parache Plains</t>
  </si>
  <si>
    <t>Passer Hill</t>
  </si>
  <si>
    <t>Passeri Greenbelt</t>
  </si>
  <si>
    <t>Peak of Awakening</t>
  </si>
  <si>
    <t>Phalian Highlands</t>
  </si>
  <si>
    <t>Pierre Plateau</t>
  </si>
  <si>
    <t>Piper Ridge</t>
  </si>
  <si>
    <t>Ploymus Canyon Mine</t>
  </si>
  <si>
    <t>Ploymus Mountain</t>
  </si>
  <si>
    <t>Popla Foothills</t>
  </si>
  <si>
    <t>Popla Foothills North Well</t>
  </si>
  <si>
    <t>Popla Foothills South Well</t>
  </si>
  <si>
    <t>Princess Zelda's Room</t>
  </si>
  <si>
    <t>Princess Zelda's Study</t>
  </si>
  <si>
    <t>Proxim Bridge</t>
  </si>
  <si>
    <t>Puffer Beach</t>
  </si>
  <si>
    <t>Purifier Lake</t>
  </si>
  <si>
    <t>Quarry Ruins</t>
  </si>
  <si>
    <t>Quatta's Shelf</t>
  </si>
  <si>
    <t>Rabella Wetlands</t>
  </si>
  <si>
    <t>Rabia Plain</t>
  </si>
  <si>
    <t>Ralis Pond</t>
  </si>
  <si>
    <t>Ranch Ruins</t>
  </si>
  <si>
    <t>Rassla Lake</t>
  </si>
  <si>
    <t>Rauru Hillside</t>
  </si>
  <si>
    <t>Rauru Settlement Ruins</t>
  </si>
  <si>
    <t>Rauru Settlement Ruins Well</t>
  </si>
  <si>
    <t>Rayne Highlands</t>
  </si>
  <si>
    <t>Rebonae Bridge Well</t>
  </si>
  <si>
    <t>Regencia River</t>
  </si>
  <si>
    <t>Retsam Forest</t>
  </si>
  <si>
    <t>Retsam Grove</t>
  </si>
  <si>
    <t>Rhoam Canyon Mine</t>
  </si>
  <si>
    <t>Right-Arm Depot</t>
  </si>
  <si>
    <t>Right-Leg Depot</t>
  </si>
  <si>
    <t>Rikoka Hills</t>
  </si>
  <si>
    <t>Rikoka Hills Well</t>
  </si>
  <si>
    <t>Rimba Beach</t>
  </si>
  <si>
    <t>Ring Ruins</t>
  </si>
  <si>
    <t>Riola Spring</t>
  </si>
  <si>
    <t>Risoka Snowfield</t>
  </si>
  <si>
    <t>Rist Mine</t>
  </si>
  <si>
    <t>Rist Peninsula</t>
  </si>
  <si>
    <t>River of the Dead</t>
  </si>
  <si>
    <t>Riverside Stable</t>
  </si>
  <si>
    <t>Riverside Stable Well</t>
  </si>
  <si>
    <t>Robred Dropoff</t>
  </si>
  <si>
    <t>Rodai Lake</t>
  </si>
  <si>
    <t>Rok Grove</t>
  </si>
  <si>
    <t>Rok Woods</t>
  </si>
  <si>
    <t>Romani Plains</t>
  </si>
  <si>
    <t>Rospro Pass</t>
  </si>
  <si>
    <t>Rowan Plain Well</t>
  </si>
  <si>
    <t>Royal Ancient Lab Ruins</t>
  </si>
  <si>
    <t>Rozudo Canyon Mine</t>
  </si>
  <si>
    <t>Rutala Dam</t>
  </si>
  <si>
    <t>Rutala River</t>
  </si>
  <si>
    <t>Rutile Lake</t>
  </si>
  <si>
    <t>Rutimala Hill</t>
  </si>
  <si>
    <t>Ruto Canyon Mine</t>
  </si>
  <si>
    <t>Ruto Mountain</t>
  </si>
  <si>
    <t>Ruto Precipice</t>
  </si>
  <si>
    <t>Safula Hill</t>
  </si>
  <si>
    <t>Sage Temple Ruins</t>
  </si>
  <si>
    <t>Salari Plain</t>
  </si>
  <si>
    <t>Sanctum</t>
  </si>
  <si>
    <t>Sanidin Park Ruins</t>
  </si>
  <si>
    <t>Sapphia's Table</t>
  </si>
  <si>
    <t>Sarjon Bridge</t>
  </si>
  <si>
    <t>Sarjon Woods</t>
  </si>
  <si>
    <t>Satori Mountain</t>
  </si>
  <si>
    <t>Scorching Coliseum</t>
  </si>
  <si>
    <t>Secluded Coliseum</t>
  </si>
  <si>
    <t>Second Gatehouse</t>
  </si>
  <si>
    <t>Secret Spring of Revival</t>
  </si>
  <si>
    <t>Selmie's Spot</t>
  </si>
  <si>
    <t>Seres Scablands</t>
  </si>
  <si>
    <t>Shadow Hamlet Ruins</t>
  </si>
  <si>
    <t>Shadow Hamlet Ruins Well</t>
  </si>
  <si>
    <t>Shadow Pass</t>
  </si>
  <si>
    <t>Shatterback Point</t>
  </si>
  <si>
    <t>Sherfin's Lavafalls</t>
  </si>
  <si>
    <t>Sherfin's Secret Hot Spring</t>
  </si>
  <si>
    <t>Shrine Island</t>
  </si>
  <si>
    <t>Smithing Construct</t>
  </si>
  <si>
    <t>Snowfield Stable</t>
  </si>
  <si>
    <t>Snowfield Stable Well</t>
  </si>
  <si>
    <t>Soka Point</t>
  </si>
  <si>
    <t>Sokkala Bridge</t>
  </si>
  <si>
    <t>Solewood Range</t>
  </si>
  <si>
    <t>South Akkala Stable Well</t>
  </si>
  <si>
    <t>South Hebra Sky Archipelago</t>
  </si>
  <si>
    <t>South Lake Akkala</t>
  </si>
  <si>
    <t>South Lomei Castle Top Floor</t>
  </si>
  <si>
    <t>South Lomei Depths Labyrinth</t>
  </si>
  <si>
    <t>South Lomei Labyrinth</t>
  </si>
  <si>
    <t>South Nabi Lake</t>
  </si>
  <si>
    <t>South Nabi Lake Well</t>
  </si>
  <si>
    <t>Southern Oasis</t>
  </si>
  <si>
    <t>Southern Oasis Training Area</t>
  </si>
  <si>
    <t>Spectacle Rock</t>
  </si>
  <si>
    <t>Spool Bight</t>
  </si>
  <si>
    <t>Spring of Power</t>
  </si>
  <si>
    <t>Spring of Wisdom</t>
  </si>
  <si>
    <t>Squabble River</t>
  </si>
  <si>
    <t>Stalry Plateau</t>
  </si>
  <si>
    <t>Statue of the Eighth Heroine</t>
  </si>
  <si>
    <t>Stinger Cliffs</t>
  </si>
  <si>
    <t>Stolock Bridge</t>
  </si>
  <si>
    <t>Strock Lake</t>
  </si>
  <si>
    <t>Sturnida Basin</t>
  </si>
  <si>
    <t>Sturnida Lavafalls</t>
  </si>
  <si>
    <t>Taafei Hill</t>
  </si>
  <si>
    <t>Tabahl Grove</t>
  </si>
  <si>
    <t>Tabahl Woods</t>
  </si>
  <si>
    <t>Tabahl Woods Well</t>
  </si>
  <si>
    <t>Tabantha Bridge Stable</t>
  </si>
  <si>
    <t>Tabantha Bridge Stable Well</t>
  </si>
  <si>
    <t>Tabantha Hills</t>
  </si>
  <si>
    <t>Tabantha Tundra</t>
  </si>
  <si>
    <t>Tabantha Village Ruins</t>
  </si>
  <si>
    <t>Tabantha Village Ruins Well</t>
  </si>
  <si>
    <t>Tal Tal Peak</t>
  </si>
  <si>
    <t>Talus Plateau</t>
  </si>
  <si>
    <t>Tama Pond</t>
  </si>
  <si>
    <t>Tanagar Canyon</t>
  </si>
  <si>
    <t>Taobab Grassland</t>
  </si>
  <si>
    <t>Taran Canyon Mine</t>
  </si>
  <si>
    <t>Taran Pass</t>
  </si>
  <si>
    <t>Tarm Point</t>
  </si>
  <si>
    <t>Tarrey Town</t>
  </si>
  <si>
    <t>Tarrey Town Race</t>
  </si>
  <si>
    <t>Telta Lake</t>
  </si>
  <si>
    <t>Tempest Gulch</t>
  </si>
  <si>
    <t>Temple of Time</t>
  </si>
  <si>
    <t>Temple of Time Ruins</t>
  </si>
  <si>
    <t>Tenoko Island</t>
  </si>
  <si>
    <t>Ternio Trail</t>
  </si>
  <si>
    <t>Thundra Plateau</t>
  </si>
  <si>
    <t>Tobio's Hollow</t>
  </si>
  <si>
    <t>Tobio's Hollow Chasm</t>
  </si>
  <si>
    <t>Torin Wetland</t>
  </si>
  <si>
    <t>Toronbo Beach</t>
  </si>
  <si>
    <t>Toruma Dunes</t>
  </si>
  <si>
    <t>Toto Lake</t>
  </si>
  <si>
    <t>Trilby Plain</t>
  </si>
  <si>
    <t>Trilby Valley</t>
  </si>
  <si>
    <t>Trotter's Downfall</t>
  </si>
  <si>
    <t>Tuft Canyon Mine</t>
  </si>
  <si>
    <t>Tuft Mountain</t>
  </si>
  <si>
    <t>Tumlea Heights</t>
  </si>
  <si>
    <t>Ubota Point</t>
  </si>
  <si>
    <t>Ukuku Plains</t>
  </si>
  <si>
    <t>Ulri Canyon Mine</t>
  </si>
  <si>
    <t>Ulri Mountain</t>
  </si>
  <si>
    <t>Ultra Ball Haul Check-In</t>
  </si>
  <si>
    <t>Upland Lindor</t>
  </si>
  <si>
    <t>Uten Marsh</t>
  </si>
  <si>
    <t>Vatorsa Snowfield</t>
  </si>
  <si>
    <t>Veiled Falls</t>
  </si>
  <si>
    <t>Walnot Canyon Mine</t>
  </si>
  <si>
    <t>Walnot Mountain</t>
  </si>
  <si>
    <t>Washa's Bluff</t>
  </si>
  <si>
    <t>Water Reservoir</t>
  </si>
  <si>
    <t>Wellspring of Courage</t>
  </si>
  <si>
    <t>Wellspring of Power</t>
  </si>
  <si>
    <t>Wellspring of Wisdom</t>
  </si>
  <si>
    <t>Wes Island</t>
  </si>
  <si>
    <t>West Barrens</t>
  </si>
  <si>
    <t>West Castle Town</t>
  </si>
  <si>
    <t>West Deplian Badlands</t>
  </si>
  <si>
    <t>West Gerudo Ruins</t>
  </si>
  <si>
    <t>West Hyrule Plains</t>
  </si>
  <si>
    <t>West Hyrule Sky Archipelago</t>
  </si>
  <si>
    <t>West Passage</t>
  </si>
  <si>
    <t>West Sokkala Bridge</t>
  </si>
  <si>
    <t>Wetland Stable</t>
  </si>
  <si>
    <t>Wetland Stable South Well</t>
  </si>
  <si>
    <t>Wetland Stable Well</t>
  </si>
  <si>
    <t>Whistling Hill</t>
  </si>
  <si>
    <t>Windvane Meadow</t>
  </si>
  <si>
    <t>Wintre Island</t>
  </si>
  <si>
    <t>Woodland Stable</t>
  </si>
  <si>
    <t>Woodland Stable Well</t>
  </si>
  <si>
    <t>Yambi Lake</t>
  </si>
  <si>
    <t>YunoboCo HQ</t>
  </si>
  <si>
    <t>Zauz Island</t>
  </si>
  <si>
    <t>Zauz Island Well</t>
  </si>
  <si>
    <t>Zelda's Secret Well</t>
  </si>
  <si>
    <t>Zelkoa Pond</t>
  </si>
  <si>
    <t>Zelo Pond</t>
  </si>
  <si>
    <t>Zirco Mesa</t>
  </si>
  <si>
    <t>Zodobon Highlands</t>
  </si>
  <si>
    <t>Zokassa Ridge</t>
  </si>
  <si>
    <t>Zonai Ruins</t>
  </si>
  <si>
    <t>Zonai Survey Team Base</t>
  </si>
  <si>
    <t>Zora's Domain</t>
  </si>
  <si>
    <t>Aerial Cannon</t>
  </si>
  <si>
    <t>All-Purpose Raft</t>
  </si>
  <si>
    <t>Assault Cart</t>
  </si>
  <si>
    <t>Automated Ally</t>
  </si>
  <si>
    <t>Beam Cycle</t>
  </si>
  <si>
    <t>Beam Spinner</t>
  </si>
  <si>
    <t>Beam Turret</t>
  </si>
  <si>
    <t>Big Rig</t>
  </si>
  <si>
    <t>Bolt Boat</t>
  </si>
  <si>
    <t>Bomb Boquet</t>
  </si>
  <si>
    <t>Bridge</t>
  </si>
  <si>
    <t>Cargo Carrier</t>
  </si>
  <si>
    <t>Charged Charger</t>
  </si>
  <si>
    <t>Dirigible</t>
  </si>
  <si>
    <t>Excavator</t>
  </si>
  <si>
    <t>Fanboat</t>
  </si>
  <si>
    <t>Fanplane</t>
  </si>
  <si>
    <t>Fishing Trawler</t>
  </si>
  <si>
    <t>Flamethrower Baloon</t>
  </si>
  <si>
    <t>Floodlights</t>
  </si>
  <si>
    <t>Headlight Raft</t>
  </si>
  <si>
    <t>Hot-Air Balloon</t>
  </si>
  <si>
    <t>Hovercraft</t>
  </si>
  <si>
    <t>Icebreaker</t>
  </si>
  <si>
    <t>Instant Cannon</t>
  </si>
  <si>
    <t>Instant Kitchen</t>
  </si>
  <si>
    <t>Instant Scaffold (pillar)</t>
  </si>
  <si>
    <t>Instant Scaffold (stairs)</t>
  </si>
  <si>
    <t>Launch Pad</t>
  </si>
  <si>
    <t>Liftoff Glider</t>
  </si>
  <si>
    <t>Monocycle</t>
  </si>
  <si>
    <t>Raiding Plane</t>
  </si>
  <si>
    <t>Rainmaker</t>
  </si>
  <si>
    <t>Rocket Platform</t>
  </si>
  <si>
    <t>Scatter Trap</t>
  </si>
  <si>
    <t>Shock Trap</t>
  </si>
  <si>
    <t>Smoke Rocket</t>
  </si>
  <si>
    <t>Sprinkler System</t>
  </si>
  <si>
    <t>Super Spring</t>
  </si>
  <si>
    <t>Tank</t>
  </si>
  <si>
    <t>Three Wheeler</t>
  </si>
  <si>
    <t>Triple Cannon</t>
  </si>
  <si>
    <t>Vertical Escape</t>
  </si>
  <si>
    <t>Wagon</t>
  </si>
  <si>
    <t>Water Freezer</t>
  </si>
  <si>
    <t>Whirling Basher</t>
  </si>
  <si>
    <t>Sikutamak Lightroot</t>
  </si>
  <si>
    <t>Kuhsagi Lightroot</t>
  </si>
  <si>
    <t>Kawisar Lightroot</t>
  </si>
  <si>
    <t>Ui-Ihcoj Lightroot</t>
  </si>
  <si>
    <t>Akinatanis Lightroot</t>
  </si>
  <si>
    <t>Gedihcayam Lightroot</t>
  </si>
  <si>
    <t>Niuzimod Lightroot</t>
  </si>
  <si>
    <t>Agihi-Ihcoj Lightroot</t>
  </si>
  <si>
    <t>Kawikatisar Lightroot</t>
  </si>
  <si>
    <t>Kimimeg Lightroot</t>
  </si>
  <si>
    <t>Sisinatag Lightroot</t>
  </si>
  <si>
    <t>Uukukis Lightroot</t>
  </si>
  <si>
    <t>Nikakik Lightroot</t>
  </si>
  <si>
    <t>Uoyoyuik Lightroot</t>
  </si>
  <si>
    <t>Netamnet Lightroot</t>
  </si>
  <si>
    <t>Kawakanis Lightroot</t>
  </si>
  <si>
    <t>Nabahi-Ikat Lightroot</t>
  </si>
  <si>
    <t>Tikanur Lightroot</t>
  </si>
  <si>
    <t>Sikurukam Lightroot</t>
  </si>
  <si>
    <t>Napanos Lightroot</t>
  </si>
  <si>
    <t>Muzasu Lightroot</t>
  </si>
  <si>
    <t>Mu-ustust Lightroot</t>
  </si>
  <si>
    <t>Kogoir Lightroot</t>
  </si>
  <si>
    <t>Koradat Lightroot</t>
  </si>
  <si>
    <t>Nogukoyk Lightroot</t>
  </si>
  <si>
    <t>Nuzimak Lightroot</t>
  </si>
  <si>
    <t>Netinet Lightroot</t>
  </si>
  <si>
    <t>Nihcayam Lightroot</t>
  </si>
  <si>
    <t>Stakijat Lightroot</t>
  </si>
  <si>
    <t>Nisoij Lightroot</t>
  </si>
  <si>
    <t>Iayusus Lightroot</t>
  </si>
  <si>
    <t>Gadohsi Lightroot</t>
  </si>
  <si>
    <t>Sinonoyk Lightroot</t>
  </si>
  <si>
    <t>Oyimay Lightroot</t>
  </si>
  <si>
    <t>Nojoj Lightroot</t>
  </si>
  <si>
    <t>Zi-Ner Lightroot</t>
  </si>
  <si>
    <t>Apapes Lightroot</t>
  </si>
  <si>
    <t>Camobatures Lightroot</t>
  </si>
  <si>
    <t>Rikonasum Lightroot</t>
  </si>
  <si>
    <t>Sijnin Lightroot</t>
  </si>
  <si>
    <t>Ramobnukas Lightroot</t>
  </si>
  <si>
    <t>Eknupup Lightroot</t>
  </si>
  <si>
    <t>Uihcoke Lightroot</t>
  </si>
  <si>
    <t>Kawamit Lightroot</t>
  </si>
  <si>
    <t>Anonisik Lightroot</t>
  </si>
  <si>
    <t>Cugukaram Lightroot</t>
  </si>
  <si>
    <t>Misisi Lightroot</t>
  </si>
  <si>
    <t>Mustis Lightroot</t>
  </si>
  <si>
    <t>Katoij Lightroot</t>
  </si>
  <si>
    <t>Katijabis Lightroot</t>
  </si>
  <si>
    <t>Tayamik Lightroot</t>
  </si>
  <si>
    <t>Kisomom Lightroot</t>
  </si>
  <si>
    <t>Nipahsom Lightroot</t>
  </si>
  <si>
    <t>Kayam Lightroot</t>
  </si>
  <si>
    <t>Katenim Lightroot</t>
  </si>
  <si>
    <t>Uisihcoj Lightroot</t>
  </si>
  <si>
    <t>Busus Lightroot</t>
  </si>
  <si>
    <t>Muokuij Lightroot</t>
  </si>
  <si>
    <t>Sijotu Lightroot</t>
  </si>
  <si>
    <t>Amo-Ne Lightroot</t>
  </si>
  <si>
    <t>U-u-ujoj Lightroot</t>
  </si>
  <si>
    <t>Kohsustu Lightroot</t>
  </si>
  <si>
    <t>Nikohsi Lightroot</t>
  </si>
  <si>
    <t>Mustuto Lightroot</t>
  </si>
  <si>
    <t>Stamayam Lightroot</t>
  </si>
  <si>
    <t>Umamustor Lightroot</t>
  </si>
  <si>
    <t>Kawiraus Lightroot</t>
  </si>
  <si>
    <t>Jadukakar Lightroot</t>
  </si>
  <si>
    <t>Kawatik Lightroot</t>
  </si>
  <si>
    <t>Kimakarut Lightroot</t>
  </si>
  <si>
    <t>Sisustom Lightroot</t>
  </si>
  <si>
    <t>Amakawis Lightroot</t>
  </si>
  <si>
    <t>Mihcihc Lightroot</t>
  </si>
  <si>
    <t>Tatayam Lightroot</t>
  </si>
  <si>
    <t>Gonatoyros Lightroot</t>
  </si>
  <si>
    <t>Gataharak Lightroot</t>
  </si>
  <si>
    <t>Kasari Lightroot</t>
  </si>
  <si>
    <t>Gonatoyrim Lightroot</t>
  </si>
  <si>
    <t>Rasinaduk Lightroot</t>
  </si>
  <si>
    <t>Sasag Lightroot</t>
  </si>
  <si>
    <t>Kawakarut Lightroot</t>
  </si>
  <si>
    <t>Koro-nui Lightroot</t>
  </si>
  <si>
    <t>Kataki Lightroot</t>
  </si>
  <si>
    <t>Kawumoro Lightroot</t>
  </si>
  <si>
    <t>Sikatag Lightroot</t>
  </si>
  <si>
    <t>So-oaw Lightroot</t>
  </si>
  <si>
    <t>Worihas Lightroot</t>
  </si>
  <si>
    <t>Nupisoyuat Lightroot</t>
  </si>
  <si>
    <t>Kato Lightroot</t>
  </si>
  <si>
    <t>Muotue Lightroot</t>
  </si>
  <si>
    <t>Narusis Lightroot</t>
  </si>
  <si>
    <t>Aduon Lightroot</t>
  </si>
  <si>
    <t>Muihcoro Lightroot</t>
  </si>
  <si>
    <t>Yisuayam Lightroot</t>
  </si>
  <si>
    <t>U-nazohso Lightroot</t>
  </si>
  <si>
    <t>Ikatoayam Lightroot</t>
  </si>
  <si>
    <t>Korakut Lightroot</t>
  </si>
  <si>
    <t>Uasnoj Lightroot</t>
  </si>
  <si>
    <t>Sekioam Lightroot</t>
  </si>
  <si>
    <t>Uinoj Lightroot</t>
  </si>
  <si>
    <t>Kawagom Lightroot</t>
  </si>
  <si>
    <t>A-nehi Lightroot</t>
  </si>
  <si>
    <t>Kegopa Lightroot</t>
  </si>
  <si>
    <t>Kuzimoy Lightroot</t>
  </si>
  <si>
    <t>Takaruk Lightroot</t>
  </si>
  <si>
    <t>Migo-o Lightroot</t>
  </si>
  <si>
    <t>Uogoj Lightroot</t>
  </si>
  <si>
    <t>Usukaz Lightroot</t>
  </si>
  <si>
    <t>Siakij Lightroot</t>
  </si>
  <si>
    <t>Korom Lightroot</t>
  </si>
  <si>
    <t>Arusakam Lightroot</t>
  </si>
  <si>
    <t>Sohse Lightroot</t>
  </si>
  <si>
    <t>Yikot Lightroot</t>
  </si>
  <si>
    <t>Kotimab Lightroot</t>
  </si>
  <si>
    <t>Mimufis Lightroot</t>
  </si>
  <si>
    <t>Ni-iraram Lightroot</t>
  </si>
  <si>
    <t>Kimnaz Lightroot</t>
  </si>
  <si>
    <t>Kisihayam Lightroot</t>
  </si>
  <si>
    <t>Kimimadena Lightroot</t>
  </si>
  <si>
    <t>Irasak Shrine</t>
  </si>
  <si>
    <t>Miryotanog Shrine</t>
  </si>
  <si>
    <t>Karahatag Shrine</t>
  </si>
  <si>
    <t>Soryotanog Shrine</t>
  </si>
  <si>
    <t>Kudanisar Shrine</t>
  </si>
  <si>
    <t>Chichim Shrine</t>
  </si>
  <si>
    <t>Mayamats Shrine</t>
  </si>
  <si>
    <t>Mayatat Shrine</t>
  </si>
  <si>
    <t>Siwakama Shrine</t>
  </si>
  <si>
    <t>Otutsum Shrine</t>
  </si>
  <si>
    <t>Siyamotsus Shrine</t>
  </si>
  <si>
    <t>Turakamik Shrine</t>
  </si>
  <si>
    <t>Rotsumamu Shrine</t>
  </si>
  <si>
    <t>Kitawak Shrine</t>
  </si>
  <si>
    <t>Suariwak Shrine</t>
  </si>
  <si>
    <t>Ishokin Shrine</t>
  </si>
  <si>
    <t>Gasas Shrine</t>
  </si>
  <si>
    <t>Rakakudaj Shrine</t>
  </si>
  <si>
    <t>Mayasiar Shrine</t>
  </si>
  <si>
    <t>Rakashog Shrine</t>
  </si>
  <si>
    <t>Turakawak Shrine</t>
  </si>
  <si>
    <t>Tadarok Shrine</t>
  </si>
  <si>
    <t>Riogok Shrine</t>
  </si>
  <si>
    <t>Usazum Shrine</t>
  </si>
  <si>
    <t>Ganos Shrine</t>
  </si>
  <si>
    <t>Ikatak Shrine</t>
  </si>
  <si>
    <t>Tsutsu-um Shrine</t>
  </si>
  <si>
    <t>Jinodok Shrine</t>
  </si>
  <si>
    <t>Utsushok Shrine</t>
  </si>
  <si>
    <t>Iun-orok Shrine</t>
  </si>
  <si>
    <t>En-oma Shrine</t>
  </si>
  <si>
    <t>Sonapan Shrine</t>
  </si>
  <si>
    <t>Joku-usin Shrine</t>
  </si>
  <si>
    <t>Kyokugon Shrine</t>
  </si>
  <si>
    <t>Makurukis Shrine</t>
  </si>
  <si>
    <t>Wao-os Shrine</t>
  </si>
  <si>
    <t>Joju-u-u Shrine</t>
  </si>
  <si>
    <t>Joku-u Shrine</t>
  </si>
  <si>
    <t>Gatakis Shrine</t>
  </si>
  <si>
    <t>Kamizun Shrine</t>
  </si>
  <si>
    <t>Susub Shrine</t>
  </si>
  <si>
    <t>Motsusis Shrine</t>
  </si>
  <si>
    <t>Tauyosipun Shrine</t>
  </si>
  <si>
    <t>Taunhiy Shrine</t>
  </si>
  <si>
    <t>Mayachin Shrine</t>
  </si>
  <si>
    <t>In-isa Shrine</t>
  </si>
  <si>
    <t>Oromuwak Shrine</t>
  </si>
  <si>
    <t>Jiukoum Shrine</t>
  </si>
  <si>
    <t>Runakit Shrine</t>
  </si>
  <si>
    <t>Utojis Shrine</t>
  </si>
  <si>
    <t>Susuyai Shrine</t>
  </si>
  <si>
    <t>Teniten Shrine</t>
  </si>
  <si>
    <t>Ijo-o Shrine</t>
  </si>
  <si>
    <t>Jochisiu Shrine</t>
  </si>
  <si>
    <t>Sahirow Shrine</t>
  </si>
  <si>
    <t>Nachoyah Shrine</t>
  </si>
  <si>
    <t>Ukoojisi Shrine</t>
  </si>
  <si>
    <t>Otak Shrine</t>
  </si>
  <si>
    <t>Gutanbac Shrine</t>
  </si>
  <si>
    <t>Tajikats Shrine</t>
  </si>
  <si>
    <t>Sinakawak Shrine</t>
  </si>
  <si>
    <t>Ukouh Shrine</t>
  </si>
  <si>
    <t>Taki-ihaban Shrine</t>
  </si>
  <si>
    <t>Jiosin Shrine</t>
  </si>
  <si>
    <t>Ishodag Shrine</t>
  </si>
  <si>
    <t>Sifumim Shrine</t>
  </si>
  <si>
    <t>Eshos Shrine</t>
  </si>
  <si>
    <t>Nouda Shrine</t>
  </si>
  <si>
    <t>Bamitok Shrine</t>
  </si>
  <si>
    <t>Tokiy Shrine</t>
  </si>
  <si>
    <t>Kumamayn Shrine</t>
  </si>
  <si>
    <t>Eutoum Shrine</t>
  </si>
  <si>
    <t>Mayaumekis Shrine</t>
  </si>
  <si>
    <t>Rutafu-um Shrine</t>
  </si>
  <si>
    <t>Kahatanaum Shrine</t>
  </si>
  <si>
    <t>Kyononis Shrine</t>
  </si>
  <si>
    <t>Morok Shrine</t>
  </si>
  <si>
    <t>Josiu Shrine</t>
  </si>
  <si>
    <t>Yansamin Shrine</t>
  </si>
  <si>
    <t>Tukarok Shrine</t>
  </si>
  <si>
    <t>Makasura Shrine</t>
  </si>
  <si>
    <t>Sisuran Shrine</t>
  </si>
  <si>
    <t>Yamiyo Shrine</t>
  </si>
  <si>
    <t>Marari-In Shrine</t>
  </si>
  <si>
    <t>Tenmaten Shrine</t>
  </si>
  <si>
    <t>Kiuyoyou Shrine</t>
  </si>
  <si>
    <t>Serutabomac Shrine</t>
  </si>
  <si>
    <t>Orochium Shrine</t>
  </si>
  <si>
    <t>Zanmik Shrine</t>
  </si>
  <si>
    <t>Sepapa Shrine</t>
  </si>
  <si>
    <t>Mayausiy Shrine</t>
  </si>
  <si>
    <t>Jojon Shrine</t>
  </si>
  <si>
    <t>Ren-iz Shrine</t>
  </si>
  <si>
    <t>Taninoud Shrine</t>
  </si>
  <si>
    <t>O-ogim Shrine</t>
  </si>
  <si>
    <t>Mayahisik Shrine</t>
  </si>
  <si>
    <t>Jonsau Shrine</t>
  </si>
  <si>
    <t>Kurakat Shrine</t>
  </si>
  <si>
    <t>Zakusu Shrine</t>
  </si>
  <si>
    <t>Anedamimik Shrine</t>
  </si>
  <si>
    <t>Simosiwak Shrine</t>
  </si>
  <si>
    <t>Jogou Shrine</t>
  </si>
  <si>
    <t>Ninjis Shrine</t>
  </si>
  <si>
    <t>Oshozan-u Shrine</t>
  </si>
  <si>
    <t>Ekochiu Shrine</t>
  </si>
  <si>
    <t>Kikakin Shrine</t>
  </si>
  <si>
    <t>Maoikes Shrine</t>
  </si>
  <si>
    <t>Sakunbomar Shrine</t>
  </si>
  <si>
    <t>Musanokir Shrine</t>
  </si>
  <si>
    <t>Jikais Shrine</t>
  </si>
  <si>
    <t>Mayaotaki Shrine</t>
  </si>
  <si>
    <t>Pupunke Shrine</t>
  </si>
  <si>
    <t>Kadaunar Shrine</t>
  </si>
  <si>
    <t>Mayam Shrine</t>
  </si>
  <si>
    <t>Joniu Shrine</t>
  </si>
  <si>
    <t>Timawak Shrine</t>
  </si>
  <si>
    <t>Jirutagumac Shrine</t>
  </si>
  <si>
    <t>Tenbez Shrine</t>
  </si>
  <si>
    <t>Sikukuu Shrine</t>
  </si>
  <si>
    <t>Mayanas Shrine</t>
  </si>
  <si>
    <t>Sihajog Shrine</t>
  </si>
  <si>
    <t>Apogek Shrine</t>
  </si>
  <si>
    <t>Mogawak Shrine</t>
  </si>
  <si>
    <t>Yomizuk Shrine</t>
  </si>
  <si>
    <t>Kisinona Shrine</t>
  </si>
  <si>
    <t>Minetak Shrine</t>
  </si>
  <si>
    <t>Igoshon Shrine</t>
  </si>
  <si>
    <t>Marakuguc Shrine</t>
  </si>
  <si>
    <t>Ihen-a Shrine</t>
  </si>
  <si>
    <t>Moshapin Shrine</t>
  </si>
  <si>
    <t>Isisim Shrine</t>
  </si>
  <si>
    <t>Domizuin Shrine</t>
  </si>
  <si>
    <t>Mayachideg Shrine</t>
  </si>
  <si>
    <t>Sitsum Shrine</t>
  </si>
  <si>
    <t>Mayak Shrine</t>
  </si>
  <si>
    <t>Jiotak Shrine</t>
  </si>
  <si>
    <t>Jochi-ihiga Shrine</t>
  </si>
  <si>
    <t>Natak Shrine</t>
  </si>
  <si>
    <t>Gatanisis Shrine</t>
  </si>
  <si>
    <t>Rasitakiwak Shrine</t>
  </si>
  <si>
    <t>Sibajitak Shrine</t>
  </si>
  <si>
    <t>Momosik Shrine</t>
  </si>
  <si>
    <t>Sinatanika Shrine</t>
  </si>
  <si>
    <t>Kimayat Shrine</t>
  </si>
  <si>
    <t>Gemimik Shrine</t>
  </si>
  <si>
    <t>Gikaku Shrine</t>
  </si>
  <si>
    <t>Kamatukis Shrine</t>
  </si>
  <si>
    <t>Mogisari Shrine</t>
  </si>
  <si>
    <t>Jochi-iu Shrine</t>
  </si>
  <si>
    <t>Rasiwak Shrine</t>
  </si>
  <si>
    <t>Igashuk Shrine</t>
  </si>
  <si>
    <t>Mu-ufatur Lightroot</t>
  </si>
  <si>
    <t>Korok Seeds</t>
  </si>
  <si>
    <t>Total</t>
  </si>
  <si>
    <t>Named Locations</t>
  </si>
  <si>
    <t>Shrines</t>
  </si>
  <si>
    <t>Lightroots</t>
  </si>
  <si>
    <t>My #</t>
  </si>
  <si>
    <t>Wells</t>
  </si>
  <si>
    <t>Chasms</t>
  </si>
  <si>
    <t>Dispensers</t>
  </si>
  <si>
    <t>Towers</t>
  </si>
  <si>
    <t>Forges/Refineries</t>
  </si>
  <si>
    <t>Dragon Tears</t>
  </si>
  <si>
    <t>Ancient Tablets</t>
  </si>
  <si>
    <t>Great Fairy Fountains</t>
  </si>
  <si>
    <t>Diff X</t>
  </si>
  <si>
    <t>Diff Y</t>
  </si>
  <si>
    <t>North Hyrule Field</t>
  </si>
  <si>
    <t>South Hyrule Field</t>
  </si>
  <si>
    <t>Typhlo Ruins</t>
  </si>
  <si>
    <t>Mount Lanaryu</t>
  </si>
  <si>
    <t>Ga-ahisas Shrine</t>
  </si>
  <si>
    <t>Marari-in Shrine</t>
  </si>
  <si>
    <t>Corresponding Shrine</t>
  </si>
  <si>
    <t>Lanaryu Wetlands</t>
  </si>
  <si>
    <t>Lanaryu Great Spring</t>
  </si>
  <si>
    <t>stats</t>
  </si>
  <si>
    <t>Region #</t>
  </si>
  <si>
    <t>CODE</t>
  </si>
  <si>
    <t>Hebra Great Skeleton Cave</t>
  </si>
  <si>
    <t>Source of the Oasis Cave</t>
  </si>
  <si>
    <t>Gerudo Great Skeleton Cave</t>
  </si>
  <si>
    <t>Byroad to Lanayru Wetlands Cave</t>
  </si>
  <si>
    <t>Upland Zorana Byroad Cave</t>
  </si>
  <si>
    <t>Details</t>
  </si>
  <si>
    <t xml:space="preserve"> </t>
  </si>
  <si>
    <t>Type</t>
  </si>
  <si>
    <t>Proving Grounds</t>
  </si>
  <si>
    <t>Rauru's Blessing</t>
  </si>
  <si>
    <t>Combat Training</t>
  </si>
  <si>
    <t>Puzzle Trial</t>
  </si>
  <si>
    <t>{ name: "Camobatures Lightroot", landmark: "Lightroot", type: "", region: 1, level: "Depths", x: -180, y: 1170, z: -515, details: "" },</t>
  </si>
  <si>
    <t>{ name: "Gadohsi Lightroot", landmark: "Lightroot", type: "", region: 1, level: "Depths", x: -885, y: 418, z: -497, details: "" },</t>
  </si>
  <si>
    <t>{ name: "Iayusus Lightroot", landmark: "Lightroot", type: "", region: 1, level: "Depths", x: -785, y: -433, z: -469, details: "" },</t>
  </si>
  <si>
    <t>{ name: "Nisoij Lightroot", landmark: "Lightroot", type: "", region: 1, level: "Depths", x: -240, y: -374, z: -478, details: "" },</t>
  </si>
  <si>
    <t>{ name: "Oyimay Lightroot", landmark: "Lightroot", type: "", region: 1, level: "Depths", x: 333, y: 468, z: -479, details: "" },</t>
  </si>
  <si>
    <t>{ name: "Sinonoyk Lightroot", landmark: "Lightroot", type: "", region: 1, level: "Depths", x: -205, y: 451, z: -472, details: "" },</t>
  </si>
  <si>
    <t>{ name: "Kogoir Lightroot", landmark: "Lightroot", type: "", region: 2, level: "Depths", x: -1443, y: -1616, z: -538, details: "" },</t>
  </si>
  <si>
    <t>{ name: "Koradat Lightroot", landmark: "Lightroot", type: "", region: 2, level: "Depths", x: -1082, y: -2187, z: -562, details: "" },</t>
  </si>
  <si>
    <t>{ name: "Mu-ustust Lightroot", landmark: "Lightroot", type: "", region: 2, level: "Depths", x: -1422, y: -1350, z: -517, details: "" },</t>
  </si>
  <si>
    <t>{ name: "Muzasu Lightroot", landmark: "Lightroot", type: "", region: 2, level: "Depths", x: -2140, y: -873, z: -542, details: "" },</t>
  </si>
  <si>
    <t>{ name: "Napanos Lightroot", landmark: "Lightroot", type: "", region: 2, level: "Depths", x: -1921, y: -356, z: -635, details: "" },</t>
  </si>
  <si>
    <t>{ name: "Netinet Lightroot", landmark: "Lightroot", type: "", region: 2, level: "Depths", x: -73, y: -1115, z: -471, details: "" },</t>
  </si>
  <si>
    <t>{ name: "Nihcayam Lightroot", landmark: "Lightroot", type: "", region: 2, level: "Depths", x: -705, y: -866, z: -481, details: "" },</t>
  </si>
  <si>
    <t>{ name: "Nogukoyk Lightroot", landmark: "Lightroot", type: "", region: 2, level: "Depths", x: -710, y: -1550, z: -517, details: "" },</t>
  </si>
  <si>
    <t>{ name: "Nuzimak Lightroot", landmark: "Lightroot", type: "", region: 2, level: "Depths", x: -176, y: -1557, z: -473, details: "" },</t>
  </si>
  <si>
    <t>{ name: "Stakijat Lightroot", landmark: "Lightroot", type: "", region: 2, level: "Depths", x: 344, y: -1007, z: -468, details: "" },</t>
  </si>
  <si>
    <t>{ name: "Kataki Lightroot", landmark: "Lightroot", type: "", region: 3, level: "Depths", x: -3950, y: 1138, z: -551, details: "" },</t>
  </si>
  <si>
    <t>{ name: "Kawakanis Lightroot", landmark: "Lightroot", type: "", region: 3, level: "Depths", x: -1413, y: 757, z: -538, details: "" },</t>
  </si>
  <si>
    <t>{ name: "Kawumoro Lightroot", landmark: "Lightroot", type: "", region: 3, level: "Depths", x: -3079, y: 1618, z: -687, details: "" },</t>
  </si>
  <si>
    <t>{ name: "Koro-nui Lightroot", landmark: "Lightroot", type: "", region: 3, level: "Depths", x: -3538, y: 853, z: -576, details: "" },</t>
  </si>
  <si>
    <t>{ name: "Nabahi-Ikat Lightroot", landmark: "Lightroot", type: "", region: 3, level: "Depths", x: -1828, y: 1196, z: -723, details: "" },</t>
  </si>
  <si>
    <t>{ name: "Sikurukam Lightroot", landmark: "Lightroot", type: "", region: 3, level: "Depths", x: -2848, y: 629, z: -621, details: "" },</t>
  </si>
  <si>
    <t>{ name: "Tikanur Lightroot", landmark: "Lightroot", type: "", region: 3, level: "Depths", x: -2534, y: 1167, z: -623, details: "" },</t>
  </si>
  <si>
    <t>{ name: "Uoyoyuik Lightroot", landmark: "Lightroot", type: "", region: 3, level: "Depths", x: -1106, y: 2086, z: -554, details: "" },</t>
  </si>
  <si>
    <t>{ name: "Kato Lightroot", landmark: "Lightroot", type: "", region: 4, level: "Depths", x: -4391, y: 3714, z: -702, details: "" },</t>
  </si>
  <si>
    <t>{ name: "Mu-ufatur Lightroot", landmark: "Lightroot", type: "", region: 4, level: "Depths", x: -2996, y: 3102, z: -1027, details: "" },</t>
  </si>
  <si>
    <t>{ name: "Muotue Lightroot", landmark: "Lightroot", type: "", region: 4, level: "Depths", x: -3506, y: 3570, z: -826, details: "" },</t>
  </si>
  <si>
    <t>{ name: "Narusis Lightroot", landmark: "Lightroot", type: "", region: 4, level: "Depths", x: -2559, y: 3353, z: -690, details: "" },</t>
  </si>
  <si>
    <t>{ name: "Nupisoyuat Lightroot", landmark: "Lightroot", type: "", region: 4, level: "Depths", x: -4539, y: 2881, z: -707, details: "" },</t>
  </si>
  <si>
    <t>{ name: "Sikatag Lightroot", landmark: "Lightroot", type: "", region: 4, level: "Depths", x: -3650, y: 1805, z: -417, details: "" },</t>
  </si>
  <si>
    <t>{ name: "So-oaw Lightroot", landmark: "Lightroot", type: "", region: 4, level: "Depths", x: -4059, y: 1991, z: -674, details: "" },</t>
  </si>
  <si>
    <t>{ name: "Worihas Lightroot", landmark: "Lightroot", type: "", region: 4, level: "Depths", x: -3355, y: 2387, z: -802, details: "" },</t>
  </si>
  <si>
    <t>{ name: "Aduon Lightroot", landmark: "Lightroot", type: "", region: 5, level: "Depths", x: -2319, y: 2201, z: -781, details: "" },</t>
  </si>
  <si>
    <t>{ name: "Ikatoayam Lightroot", landmark: "Lightroot", type: "", region: 5, level: "Depths", x: -823, y: 3535, z: -636, details: "" },</t>
  </si>
  <si>
    <t>{ name: "Muihcoro Lightroot", landmark: "Lightroot", type: "", region: 5, level: "Depths", x: -1638, y: 2643, z: -685, details: "" },</t>
  </si>
  <si>
    <t>{ name: "U-nazohso Lightroot", landmark: "Lightroot", type: "", region: 5, level: "Depths", x: -1404, y: 3677, z: -712, details: "" },</t>
  </si>
  <si>
    <t>{ name: "Yisuayam Lightroot", landmark: "Lightroot", type: "", region: 5, level: "Depths", x: -1165, y: 2602, z: -350, details: "" },</t>
  </si>
  <si>
    <t>{ name: "Eknupup Lightroot", landmark: "Lightroot", type: "", region: 6, level: "Depths", x: 619, y: 2211, z: -611, details: "" },</t>
  </si>
  <si>
    <t>{ name: "Katenim Lightroot", landmark: "Lightroot", type: "", region: 6, level: "Depths", x: 393, y: 3485, z: -594, details: "" },</t>
  </si>
  <si>
    <t>{ name: "Kayam Lightroot", landmark: "Lightroot", type: "", region: 6, level: "Depths", x: 1270, y: 3733, z: -553, details: "" },</t>
  </si>
  <si>
    <t>{ name: "Netamnet Lightroot", landmark: "Lightroot", type: "", region: 6, level: "Depths", x: -594, y: 1551, z: -599, details: "" },</t>
  </si>
  <si>
    <t>{ name: "Nikakik Lightroot", landmark: "Lightroot", type: "", region: 6, level: "Depths", x: -395, y: 2736, z: -725, details: "" },</t>
  </si>
  <si>
    <t>{ name: "Ramobnukas Lightroot", landmark: "Lightroot", type: "", region: 6, level: "Depths", x: 166, y: 2319, z: -625, details: "" },</t>
  </si>
  <si>
    <t>{ name: "Rikonasum Lightroot", landmark: "Lightroot", type: "", region: 6, level: "Depths", x: 408, y: 2133, z: -592, details: "" },</t>
  </si>
  <si>
    <t>{ name: "Sijnin Lightroot", landmark: "Lightroot", type: "", region: 6, level: "Depths", x: 353, y: 1890, z: -625, details: "" },</t>
  </si>
  <si>
    <t>{ name: "Uukukis Lightroot", landmark: "Lightroot", type: "", region: 6, level: "Depths", x: 700, y: 2793, z: -671, details: "" },</t>
  </si>
  <si>
    <t>{ name: "Anonisik Lightroot", landmark: "Lightroot", type: "", region: 7, level: "Depths", x: 2567, y: 1245, z: -600, details: "" },</t>
  </si>
  <si>
    <t>{ name: "Cugukaram Lightroot", landmark: "Lightroot", type: "", region: 7, level: "Depths", x: 1761, y: 2508, z: -719, details: "" },</t>
  </si>
  <si>
    <t>{ name: "Katijabis Lightroot", landmark: "Lightroot", type: "", region: 7, level: "Depths", x: 2401, y: 3273, z: -844, details: "" },</t>
  </si>
  <si>
    <t>{ name: "Katoij Lightroot", landmark: "Lightroot", type: "", region: 7, level: "Depths", x: 1833, y: 3179, z: -838, details: "" },</t>
  </si>
  <si>
    <t>{ name: "Kawamit Lightroot", landmark: "Lightroot", type: "", region: 7, level: "Depths", x: 1798, y: 1639, z: -749, details: "" },</t>
  </si>
  <si>
    <t>{ name: "Kisomom Lightroot", landmark: "Lightroot", type: "", region: 7, level: "Depths", x: 2959, y: 2758, z: -963, details: "" },</t>
  </si>
  <si>
    <t>{ name: "Misisi Lightroot", landmark: "Lightroot", type: "", region: 7, level: "Depths", x: 1842, y: 2841, z: -838, details: "" },</t>
  </si>
  <si>
    <t>{ name: "Mustis Lightroot", landmark: "Lightroot", type: "", region: 7, level: "Depths", x: 2367, y: 2598, z: -948, details: "" },</t>
  </si>
  <si>
    <t>{ name: "Nipahsom Lightroot", landmark: "Lightroot", type: "", region: 7, level: "Depths", x: 2678, y: 1905, z: -688, details: "" },</t>
  </si>
  <si>
    <t>{ name: "Tayamik Lightroot", landmark: "Lightroot", type: "", region: 7, level: "Depths", x: 2863, y: 3637, z: -685, details: "" },</t>
  </si>
  <si>
    <t>{ name: "Uihcoke Lightroot", landmark: "Lightroot", type: "", region: 7, level: "Depths", x: 1059, y: 1276, z: -495, details: "" },</t>
  </si>
  <si>
    <t>{ name: "Agihi-Ihcoj Lightroot", landmark: "Lightroot", type: "", region: 8, level: "Depths", x: 3809, y: 1219, z: -536, details: "" },</t>
  </si>
  <si>
    <t>{ name: "Akinatanis Lightroot", landmark: "Lightroot", type: "", region: 8, level: "Depths", x: 3839, y: 2301, z: -488, details: "" },</t>
  </si>
  <si>
    <t>{ name: "Gedihcayam Lightroot", landmark: "Lightroot", type: "", region: 8, level: "Depths", x: 3061, y: 1823, z: -662, details: "" },</t>
  </si>
  <si>
    <t>{ name: "Kawisar Lightroot", landmark: "Lightroot", type: "", region: 8, level: "Depths", x: 4664, y: 3262, z: -454, details: "" },</t>
  </si>
  <si>
    <t>{ name: "Kimimeg Lightroot", landmark: "Lightroot", type: "", region: 8, level: "Depths", x: 4513, y: 2116, z: -453, details: "" },</t>
  </si>
  <si>
    <t>{ name: "Kuhsagi Lightroot", landmark: "Lightroot", type: "", region: 8, level: "Depths", x: 4653, y: 3702, z: -400, details: "" },</t>
  </si>
  <si>
    <t>{ name: "Niuzimod Lightroot", landmark: "Lightroot", type: "", region: 8, level: "Depths", x: 3305, y: 1443, z: -790, details: "" },</t>
  </si>
  <si>
    <t>{ name: "Sikutamak Lightroot", landmark: "Lightroot", type: "", region: 8, level: "Depths", x: 3431, y: 3355, z: -431, details: "" },</t>
  </si>
  <si>
    <t>{ name: "Ui-Ihcoj Lightroot", landmark: "Lightroot", type: "", region: 8, level: "Depths", x: 4346, y: 2875, z: -608, details: "" },</t>
  </si>
  <si>
    <t>{ name: "A-nehi Lightroot", landmark: "Lightroot", type: "", region: 9, level: "Depths", x: 3784, y: 579, z: -926, details: "" },</t>
  </si>
  <si>
    <t>{ name: "Kawagom Lightroot", landmark: "Lightroot", type: "", region: 9, level: "Depths", x: 3298, y: 424, z: -749, details: "" },</t>
  </si>
  <si>
    <t>{ name: "Kawikatisar Lightroot", landmark: "Lightroot", type: "", region: 9, level: "Depths", x: 4166, y: 1323, z: -673, details: "" },</t>
  </si>
  <si>
    <t>{ name: "Kegopa Lightroot", landmark: "Lightroot", type: "", region: 9, level: "Depths", x: 3887, y: -217, z: -608, details: "" },</t>
  </si>
  <si>
    <t>{ name: "Kuzimoy Lightroot", landmark: "Lightroot", type: "", region: 9, level: "Depths", x: 4412, y: -610, z: -513, details: "" },</t>
  </si>
  <si>
    <t>{ name: "Sekioam Lightroot", landmark: "Lightroot", type: "", region: 9, level: "Depths", x: 2277, y: 150, z: -501, details: "" },</t>
  </si>
  <si>
    <t>{ name: "Sisinatag Lightroot", landmark: "Lightroot", type: "", region: 9, level: "Depths", x: 4498, y: 825, z: -535, details: "" },</t>
  </si>
  <si>
    <t>{ name: "Uinoj Lightroot", landmark: "Lightroot", type: "", region: 9, level: "Depths", x: 2918, y: 505, z: -795, details: "" },</t>
  </si>
  <si>
    <t>{ name: "Arusakam Lightroot", landmark: "Lightroot", type: "", region: 10, level: "Depths", x: 1770, y: -1050, z: -61, details: "" },</t>
  </si>
  <si>
    <t>{ name: "Korakut Lightroot", landmark: "Lightroot", type: "", region: 10, level: "Depths", x: 915, y: -250, z: -481, details: "" },</t>
  </si>
  <si>
    <t>{ name: "Korom Lightroot", landmark: "Lightroot", type: "", region: 10, level: "Depths", x: 1183, y: -780, z: -500, details: "" },</t>
  </si>
  <si>
    <t>{ name: "Migo-o Lightroot", landmark: "Lightroot", type: "", region: 10, level: "Depths", x: 2755, y: -1089, z: -54, details: "" },</t>
  </si>
  <si>
    <t>{ name: "Nojoj Lightroot", landmark: "Lightroot", type: "", region: 10, level: "Depths", x: 1202, y: 329, z: -574, details: "" },</t>
  </si>
  <si>
    <t>{ name: "Sohse Lightroot", landmark: "Lightroot", type: "", region: 10, level: "Depths", x: 1564, y: -1945, z: -464, details: "" },</t>
  </si>
  <si>
    <t>{ name: "Takaruk Lightroot", landmark: "Lightroot", type: "", region: 10, level: "Depths", x: 2362, y: -511, z: -589, details: "" },</t>
  </si>
  <si>
    <t>{ name: "Uasnoj Lightroot", landmark: "Lightroot", type: "", region: 10, level: "Depths", x: 1743, y: 18, z: -459, details: "" },</t>
  </si>
  <si>
    <t>{ name: "Zi-Ner Lightroot", landmark: "Lightroot", type: "", region: 10, level: "Depths", x: 756, y: 823, z: -531, details: "" },</t>
  </si>
  <si>
    <t>{ name: "Kimimadena Lightroot", landmark: "Lightroot", type: "", region: 11, level: "Depths", x: 4231, y: -2178, z: -521, details: "" },</t>
  </si>
  <si>
    <t>{ name: "Kimnaz Lightroot", landmark: "Lightroot", type: "", region: 11, level: "Depths", x: 3469, y: -2180, z: -594, details: "" },</t>
  </si>
  <si>
    <t>{ name: "Kisihayam Lightroot", landmark: "Lightroot", type: "", region: 11, level: "Depths", x: 3730, y: -2057, z: -665, details: "" },</t>
  </si>
  <si>
    <t>{ name: "Siakij Lightroot", landmark: "Lightroot", type: "", region: 11, level: "Depths", x: 4266, y: -1674, z: -628, details: "" },</t>
  </si>
  <si>
    <t>{ name: "Uogoj Lightroot", landmark: "Lightroot", type: "", region: 11, level: "Depths", x: 3346, y: -1188, z: -610, details: "" },</t>
  </si>
  <si>
    <t>{ name: "Usukaz Lightroot", landmark: "Lightroot", type: "", region: 11, level: "Depths", x: 3527, y: -1481, z: -612, details: "" },</t>
  </si>
  <si>
    <t>{ name: "Kotimab Lightroot", landmark: "Lightroot", type: "", region: 12, level: "Depths", x: 3094, y: -3209, z: -594, details: "" },</t>
  </si>
  <si>
    <t>{ name: "Mimufis Lightroot", landmark: "Lightroot", type: "", region: 12, level: "Depths", x: 2826, y: -3271, z: -527, details: "" },</t>
  </si>
  <si>
    <t>{ name: "Ni-iraram Lightroot", landmark: "Lightroot", type: "", region: 12, level: "Depths", x: 4632, y: -3712, z: -506, details: "" },</t>
  </si>
  <si>
    <t>{ name: "Yikot Lightroot", landmark: "Lightroot", type: "", region: 12, level: "Depths", x: 2304, y: -2377, z: -617, details: "" },</t>
  </si>
  <si>
    <t>{ name: "Amo-Ne Lightroot", landmark: "Lightroot", type: "", region: 13, level: "Depths", x: 104, y: -2517, z: -414, details: "" },</t>
  </si>
  <si>
    <t>{ name: "Busus Lightroot", landmark: "Lightroot", type: "", region: 13, level: "Depths", x: 348, y: -2050, z: -471, details: "" },</t>
  </si>
  <si>
    <t>{ name: "Kohsustu Lightroot", landmark: "Lightroot", type: "", region: 13, level: "Depths", x: 669, y: -3358, z: -484, details: "" },</t>
  </si>
  <si>
    <t>{ name: "Muokuij Lightroot", landmark: "Lightroot", type: "", region: 13, level: "Depths", x: 867, y: -2280, z: -556, details: "" },</t>
  </si>
  <si>
    <t>{ name: "Nikohsi Lightroot", landmark: "Lightroot", type: "", region: 13, level: "Depths", x: -562, y: -3524, z: -574, details: "" },</t>
  </si>
  <si>
    <t>{ name: "Sijotu Lightroot", landmark: "Lightroot", type: "", region: 13, level: "Depths", x: 1217, y: -2542, z: -612, details: "" },</t>
  </si>
  <si>
    <t>{ name: "U-u-ujoj Lightroot", landmark: "Lightroot", type: "", region: 13, level: "Depths", x: 1516, y: -3576, z: -529, details: "" },</t>
  </si>
  <si>
    <t>{ name: "Uisihcoj Lightroot", landmark: "Lightroot", type: "", region: 13, level: "Depths", x: 931, y: -1902, z: -461, details: "" },</t>
  </si>
  <si>
    <t>{ name: "Amakawis Lightroot", landmark: "Lightroot", type: "", region: 14, level: "Depths", x: -2445, y: -3345, z: -465, details: "" },</t>
  </si>
  <si>
    <t>{ name: "Gataharak Lightroot", landmark: "Lightroot", type: "", region: 14, level: "Depths", x: -3726, y: -3625, z: -494, details: "" },</t>
  </si>
  <si>
    <t>{ name: "Gonatoyrim Lightroot", landmark: "Lightroot", type: "", region: 14, level: "Depths", x: -4679, y: -3086, z: -503, details: "" },</t>
  </si>
  <si>
    <t>{ name: "Gonatoyros Lightroot", landmark: "Lightroot", type: "", region: 14, level: "Depths", x: -3883, y: -2964, z: -434, details: "" },</t>
  </si>
  <si>
    <t>{ name: "Jadukakar Lightroot", landmark: "Lightroot", type: "", region: 14, level: "Depths", x: -2031, y: -1847, z: -504, details: "" },</t>
  </si>
  <si>
    <t>{ name: "Kasari Lightroot", landmark: "Lightroot", type: "", region: 14, level: "Depths", x: -4159, y: -3824, z: -478, details: "" },</t>
  </si>
  <si>
    <t>{ name: "Kawatik Lightroot", landmark: "Lightroot", type: "", region: 14, level: "Depths", x: -1529, y: -2928, z: -731, details: "" },</t>
  </si>
  <si>
    <t>{ name: "Kimakarut Lightroot", landmark: "Lightroot", type: "", region: 14, level: "Depths", x: -2658, y: -2236, z: -488, details: "" },</t>
  </si>
  <si>
    <t>{ name: "Mihcihc Lightroot", landmark: "Lightroot", type: "", region: 14, level: "Depths", x: -3211, y: -3007, z: -470, details: "" },</t>
  </si>
  <si>
    <t>{ name: "Rasinaduk Lightroot", landmark: "Lightroot", type: "", region: 14, level: "Depths", x: -4168, y: -2144, z: -487, details: "" },</t>
  </si>
  <si>
    <t>{ name: "Sisustom Lightroot", landmark: "Lightroot", type: "", region: 14, level: "Depths", x: -1795, y: -3485, z: -477, details: "" },</t>
  </si>
  <si>
    <t>{ name: "Tatayam Lightroot", landmark: "Lightroot", type: "", region: 14, level: "Depths", x: -3292, y: -2509, z: -475, details: "" },</t>
  </si>
  <si>
    <t>{ name: "Kawakarut Lightroot", landmark: "Lightroot", type: "", region: 15, level: "Depths", x: -3496, y: -197, z: -516, details: "" },</t>
  </si>
  <si>
    <t>{ name: "Kawiraus Lightroot", landmark: "Lightroot", type: "", region: 15, level: "Depths", x: -2523, y: -1770, z: -713, details: "" },</t>
  </si>
  <si>
    <t>{ name: "Mustuto Lightroot", landmark: "Lightroot", type: "", region: 15, level: "Depths", x: -4468, y: -670, z: -949, details: "" },</t>
  </si>
  <si>
    <t>{ name: "Sasag Lightroot", landmark: "Lightroot", type: "", region: 15, level: "Depths", x: -4152, y: 98, z: -489, details: "" },</t>
  </si>
  <si>
    <t>{ name: "Stamayam Lightroot", landmark: "Lightroot", type: "", region: 15, level: "Depths", x: -4637, y: -1514, z: -890, details: "" },</t>
  </si>
  <si>
    <t>{ name: "Umamustor Lightroot", landmark: "Lightroot", type: "", region: 15, level: "Depths", x: -3407, y: -1362, z: -77, details: "" },</t>
  </si>
  <si>
    <t>{ name: "Hyrule Field", landmark: "Tower", type: "Skyview Tower", region: 2, level: "Surface", x: -761, y: -1019, z: 64, details: "" },</t>
  </si>
  <si>
    <t>{ name: "Lindor's Brow", landmark: "Tower", type: "Skyview Tower", region: 3, level: "Surface", x: -1909, y: 1245, z: 297, details: "" },</t>
  </si>
  <si>
    <t>{ name: "Rospro Pass", landmark: "Tower", type: "Skyview Tower", region: 4, level: "Surface", x: -3860, y: 2345, z: 233, details: "" },</t>
  </si>
  <si>
    <t>{ name: "Pikida Stonegrove", landmark: "Tower", type: "Skyview Tower", region: 5, level: "Surface", x: -2312, y: 3064, z: 536, details: "" },</t>
  </si>
  <si>
    <t>{ name: "Eldin Canyon", landmark: "Tower", type: "Skyview Tower", region: 7, level: "Surface", x: 1641, y: 1190, z: 225, details: "" },</t>
  </si>
  <si>
    <t>{ name: "Ulri Mountain", landmark: "Tower", type: "Skyview Tower", region: 8, level: "Surface", x: 3497, y: 2025, z: 188, details: "" },</t>
  </si>
  <si>
    <t>{ name: "Upland Zorana", landmark: "Tower", type: "Skyview Tower", region: 9, level: "Surface", x: 2865, y: 580, z: 379, details: "" },</t>
  </si>
  <si>
    <t>{ name: "Sahasra Slope", landmark: "Tower", type: "Skyview Tower", region: 10, level: "Surface", x: 1341, y: -1176, z: 166, details: "" },</t>
  </si>
  <si>
    <t>{ name: "Mount Lanayru", landmark: "Tower", type: "Skyview Tower", region: 11, level: "Surface", x: 3847, y: -1313, z: 539, details: "" },</t>
  </si>
  <si>
    <t>{ name: "Rabella Wetlands", landmark: "Tower", type: "Skyview Tower", region: 12, level: "Surface", x: 2419, y: -2755, z: 222, details: "" },</t>
  </si>
  <si>
    <t>{ name: "Popla Foothills", landmark: "Tower", type: "Skyview Tower", region: 13, level: "Surface", x: 604, y: -2127, z: 98, details: "" },</t>
  </si>
  <si>
    <t>{ name: "Gerudo Canyon", landmark: "Tower", type: "Skyview Tower", region: 14, level: "Surface", x: -2438, y: -2182, z: 307, details: "" },</t>
  </si>
  <si>
    <t>{ name: "Gerudo Highlands", landmark: "Tower", type: "Skyview Tower", region: 15, level: "Surface", x: -3959, y: -1313, z: 422, details: "" },</t>
  </si>
  <si>
    <t/>
  </si>
  <si>
    <t>(Entrance 1 of 12)</t>
  </si>
  <si>
    <t>(Entrance 2 of 12)</t>
  </si>
  <si>
    <t>(Entrance 3 of 12)</t>
  </si>
  <si>
    <t>(Entrance 4 of 12)</t>
  </si>
  <si>
    <t>(Entrance 5 of 12)</t>
  </si>
  <si>
    <t>(Entrance 6 of 12)</t>
  </si>
  <si>
    <t>(Entrance 7 of 12)</t>
  </si>
  <si>
    <t>(Entrance 8 of 12)</t>
  </si>
  <si>
    <t>(Entrance 9 of 12)</t>
  </si>
  <si>
    <t>(Entrance 10 of 12)</t>
  </si>
  <si>
    <t>(Entrance 11 of 12)</t>
  </si>
  <si>
    <t>(Entrance 12 of 12)</t>
  </si>
  <si>
    <t>(Entrance 1 of 4)</t>
  </si>
  <si>
    <t>(Entrance 2 of 4)</t>
  </si>
  <si>
    <t>(Entrance 3 of 4)</t>
  </si>
  <si>
    <t>(Entrance 4 of 4)</t>
  </si>
  <si>
    <t>(Entrance 1 of 2)</t>
  </si>
  <si>
    <t>(Entrance 2 of 2)</t>
  </si>
  <si>
    <t>(Entrance 1 of 3)</t>
  </si>
  <si>
    <t>(Entrance 2 of 3)</t>
  </si>
  <si>
    <t>(Entrance 3 of 3)</t>
  </si>
  <si>
    <t>Battery, Big Wheel, Portable Pot, Steering Stick</t>
  </si>
  <si>
    <t>Battery, Construct Head, Flame Emitter, Light</t>
  </si>
  <si>
    <t>Balloon, Fan, Portable Pot, Time Bomb</t>
  </si>
  <si>
    <t>Cart, Fan, Steering Stick, Wing</t>
  </si>
  <si>
    <t>Fan, Flame Emitter, Portable Pot, Wing</t>
  </si>
  <si>
    <t>Fan, Flame Emitter, Portable Pot</t>
  </si>
  <si>
    <t>Beam Emitter, Cart, Fan, Wing</t>
  </si>
  <si>
    <t>Homing Cart, Light, Shock Emitter, Steering Stick</t>
  </si>
  <si>
    <t>Cannon, Spring, Time Bomb, Wing</t>
  </si>
  <si>
    <t>Homing Cart, Hover Stone, Hydrant, Time Bomb</t>
  </si>
  <si>
    <t>Battery, Big Wheel, Fan, Hydrant</t>
  </si>
  <si>
    <t>Light, Rocket, Small Wheel, Time Bomb</t>
  </si>
  <si>
    <t>Battery, Frost Emitter, Mirror, Wing</t>
  </si>
  <si>
    <t>Cannon, Light, Small Wheel, Steering Stick</t>
  </si>
  <si>
    <t>Frost Emitter, Mirror, Small Wheel, Wing</t>
  </si>
  <si>
    <t>Battery, Fan, Portable Pot, Shock Emitter</t>
  </si>
  <si>
    <t>Beam Emitter, Hydrant, Spring, Steering Stick</t>
  </si>
  <si>
    <t>Flame Emitter, Portable Pot, Rocket, Time Bomb</t>
  </si>
  <si>
    <t>Balloon, Big Wheel, Fan, Stabilizer</t>
  </si>
  <si>
    <t>Battery, Big Wheel, Portable Pot, Spring, Stake</t>
  </si>
  <si>
    <t>Balloon, Big Wheel, Small Wheel, Fan, Rocket, Steering Stick</t>
  </si>
  <si>
    <t>Beam Emitter, Mirror, Sled, Stake, Steering Stick</t>
  </si>
  <si>
    <t>Cart, Fan, Light, Sled, Wing</t>
  </si>
  <si>
    <t>Balloon, Hover Stone, Mirror, Spring, Wing</t>
  </si>
  <si>
    <t>Big Wheel, Construct Head, Rocket, Small Wheel, Steering Stick, Wing</t>
  </si>
  <si>
    <t>Cannon, Cart, Construct Head, Homing Cart, Stake</t>
  </si>
  <si>
    <t>Frost Emitter, Shock Emitter, Sled, Stabilizer, Stake</t>
  </si>
  <si>
    <t>Balloon, Cart, Construct Head, Hydrant, Stabilizer</t>
  </si>
  <si>
    <t>Battery, Fan, Hover Stone, Stabilizer, Wing</t>
  </si>
  <si>
    <t>Beam Emitter, Flame Emitter, Frost Emitter, Homing Cart, Time Bomb</t>
  </si>
  <si>
    <t>East Gerudo Sky</t>
  </si>
  <si>
    <t>East Hebra Sky</t>
  </si>
  <si>
    <t>North Hyrule Sky</t>
  </si>
  <si>
    <t>North Necluda Sky</t>
  </si>
  <si>
    <t>Sokkala Sky</t>
  </si>
  <si>
    <t>South Eldin Sky</t>
  </si>
  <si>
    <t>South Hyrule Sky</t>
  </si>
  <si>
    <t>South Lanayru Sky</t>
  </si>
  <si>
    <t>South Necluda Sky</t>
  </si>
  <si>
    <t>West Hebra Sky</t>
  </si>
  <si>
    <t>West Necluda Sky</t>
  </si>
  <si>
    <t>Death Mountain Depths Dispenser</t>
  </si>
  <si>
    <t>Left-Leg Depot Dispenser</t>
  </si>
  <si>
    <t>Bravery Island Dispenser</t>
  </si>
  <si>
    <t>Courage Island Dispenser</t>
  </si>
  <si>
    <t>Dragonhead Island Dispenser</t>
  </si>
  <si>
    <t>East Gerudo Sky Dispenser</t>
  </si>
  <si>
    <t>East Hebra Sky Dispenser</t>
  </si>
  <si>
    <t>Great Sky Island East Dispenser</t>
  </si>
  <si>
    <t>Great Sky Island South Dispenser</t>
  </si>
  <si>
    <t>Lanayru Sky Dispenser</t>
  </si>
  <si>
    <t>Lightcast Island Dispenser</t>
  </si>
  <si>
    <t>North Hyrule Sky Dispenser</t>
  </si>
  <si>
    <t>North Necluda Sky Dispenser</t>
  </si>
  <si>
    <t>Sky Mine Dispenser</t>
  </si>
  <si>
    <t>Sokkala Sky Dispenser</t>
  </si>
  <si>
    <t>South Eldin Sky Dispenser</t>
  </si>
  <si>
    <t>South Hyrule Sky Dispenser</t>
  </si>
  <si>
    <t>South Lanayru Sky Dispenser</t>
  </si>
  <si>
    <t>South Necluda Sky Dispenser</t>
  </si>
  <si>
    <t>Starview Island Dispenser</t>
  </si>
  <si>
    <t>Tabantha Sky Dispenser</t>
  </si>
  <si>
    <t>Thunderhead Isles Dispenser</t>
  </si>
  <si>
    <t>Valor Island Dispenser</t>
  </si>
  <si>
    <t>Wellspring Island Dispenser</t>
  </si>
  <si>
    <t>West Hebra Sky Dispenser</t>
  </si>
  <si>
    <t>West Necluda Sky Dispenser</t>
  </si>
  <si>
    <t>Zonaite Forge Island Dispenser</t>
  </si>
  <si>
    <t>Gerudo Canyon Pass Dispenser</t>
  </si>
  <si>
    <t>Hudson Construction Site Dispenser</t>
  </si>
  <si>
    <t>Kakariko Village Dispenser</t>
  </si>
  <si>
    <t>{ name: "South Hyrule Sky Dispenser", landmark: "Dispenser", type: "", region: 2, level: "Sky", x: -1212, y: -1585, z: 1006, details: "Light, Rocket, Small Wheel, Time Bomb" },</t>
  </si>
  <si>
    <t>{ name: "Courage Island Dispenser", landmark: "Dispenser", type: "", region: 3, level: "Sky", x: -2370, y: 781, z: 610, details: "Balloon, Fan, Portable Pot, Time Bomb" },</t>
  </si>
  <si>
    <t>{ name: "Lightcast Island Dispenser", landmark: "Dispenser", type: "", region: 3, level: "Sky", x: -3612, y: 1066, z: 1655, details: "Balloon, Hover Stone, Mirror, Spring, Wing" },</t>
  </si>
  <si>
    <t>{ name: "Tabantha Sky Dispenser", landmark: "Dispenser", type: "", region: 3, level: "Sky", x: -3455, y: 393, z: 1694, details: "Frost Emitter, Mirror, Small Wheel, Wing" },</t>
  </si>
  <si>
    <t>{ name: "West Hebra Sky Dispenser", landmark: "Dispenser", type: "", region: 4, level: "Sky", x: -3803, y: 2766, z: 701, details: "Flame Emitter, Portable Pot, Rocket, Time Bomb" },</t>
  </si>
  <si>
    <t>{ name: "East Hebra Sky Dispenser", landmark: "Dispenser", type: "", region: 5, level: "Sky", x: -1705, y: 3371, z: 947, details: "Cart, Fan, Light, Sled, Wing" },</t>
  </si>
  <si>
    <t>{ name: "Bravery Island Dispenser", landmark: "Dispenser", type: "", region: 6, level: "Sky", x: 215, y: 1981, z: 754, details: "Battery, Construct Head, Flame Emitter, Light" },</t>
  </si>
  <si>
    <t>{ name: "North Hyrule Sky Dispenser", landmark: "Dispenser", type: "", region: 6, level: "Sky", x: 443, y: 2821, z: 1819, details: "Homing Cart, Light, Shock Emitter, Steering Stick" },</t>
  </si>
  <si>
    <t>{ name: "Death Mountain Depths Dispenser", landmark: "Dispenser", type: "", region: 7, level: "Depths", x: 2190, y: 2640, z: -963, details: "Battery, Big Wheel, Portable Pot, Steering Stick" },</t>
  </si>
  <si>
    <t>{ name: "South Eldin Sky Dispenser", landmark: "Dispenser", type: "", region: 7, level: "Sky", x: 1983, y: 1221, z: 1250, details: "Battery, Big Wheel, Fan, Hydrant" },</t>
  </si>
  <si>
    <t>{ name: "Sky Mine Dispenser", landmark: "Dispenser", type: "", region: 8, level: "Sky", x: 4557, y: 2076, z: 1154, details: "Homing Cart, Hover Stone, Hydrant, Time Bomb" },</t>
  </si>
  <si>
    <t>{ name: "Sokkala Sky Dispenser", landmark: "Dispenser", type: "", region: 8, level: "Sky", x: 3755, y: 1542, z: 1156, details: "Cannon, Cart, Construct Head, Homing Cart, Stake" },</t>
  </si>
  <si>
    <t>{ name: "Hudson Construction Site Dispenser", landmark: "Dispenser", type: "", region: 8, level: "Surface", x: 3807, y: 1561, z: 89, details: "Balloon, Big Wheel, Small Wheel, Fan, Rocket, Steering Stick" },</t>
  </si>
  <si>
    <t>{ name: "Lanayru Sky Dispenser", landmark: "Dispenser", type: "", region: 9, level: "Sky", x: 2915, y: 502, z: 950, details: "Beam Emitter, Cart, Fan, Wing" },</t>
  </si>
  <si>
    <t>{ name: "Wellspring Island Dispenser", landmark: "Dispenser", type: "", region: 9, level: "Sky", x: 3430, y: 636, z: 1316, details: "Battery, Fan, Hover Stone, Stabilizer, Wing" },</t>
  </si>
  <si>
    <t>{ name: "Kakariko Village Dispenser", landmark: "Dispenser", type: "", region: 10, level: "Surface", x: 1838, y: -1093, z: 154, details: "Balloon, Big Wheel, Fan, Stabilizer" },</t>
  </si>
  <si>
    <t>{ name: "North Necluda Sky Dispenser", landmark: "Dispenser", type: "", region: 10, level: "Sky", x: 1778, y: -1096, z: 917, details: "Cannon, Spring, Time Bomb, Wing" },</t>
  </si>
  <si>
    <t>{ name: "West Necluda Sky Dispenser", landmark: "Dispenser", type: "", region: 10, level: "Sky", x: 1344, y: -2151, z: 584, details: "Balloon, Cart, Construct Head, Hydrant, Stabilizer" },</t>
  </si>
  <si>
    <t>{ name: "Zonaite Forge Island Dispenser", landmark: "Dispenser", type: "", region: 10, level: "Sky", x: 2320, y: -1718, z: 1484, details: "Beam Emitter, Flame Emitter, Frost Emitter, Homing Cart, Time Bomb" },</t>
  </si>
  <si>
    <t>{ name: "South Lanayru Sky Dispenser", landmark: "Dispenser", type: "", region: 11, level: "Sky", x: 4675, y: -1029, z: 1788, details: "Battery, Frost Emitter, Mirror, Wing" },</t>
  </si>
  <si>
    <t>{ name: "Valor Island Dispenser", landmark: "Dispenser", type: "", region: 11, level: "Sky", x: 4510, y: -805, z: 1116, details: "Beam Emitter, Hydrant, Spring, Steering Stick" },</t>
  </si>
  <si>
    <t>{ name: "South Necluda Sky Dispenser", landmark: "Dispenser", type: "", region: 12, level: "Sky", x: 2851, y: -2958, z: 1211, details: "Cannon, Light, Small Wheel, Steering Stick" },</t>
  </si>
  <si>
    <t>{ name: "Left-Leg Depot Dispenser", landmark: "Dispenser", type: "", region: 13, level: "Depths", x: 1058, y: -2320, z: -553, details: "Big Wheel, Construct Head, Rocket, Small Wheel, Steering Stick, Wing" },</t>
  </si>
  <si>
    <t>{ name: "Dragonhead Island Dispenser", landmark: "Dispenser", type: "", region: 13, level: "Sky", x: 1390, y: -3239, z: 416, details: "Cart, Fan, Steering Stick, Wing" },</t>
  </si>
  <si>
    <t>{ name: "Great Sky Island East Dispenser", landmark: "Dispenser", type: "", region: 13, level: "Sky", x: 769, y: -1259, z: 1578, details: "Fan, Flame Emitter, Portable Pot, Wing" },</t>
  </si>
  <si>
    <t>{ name: "Great Sky Island South Dispenser", landmark: "Dispenser", type: "", region: 13, level: "Sky", x: 435, y: -1686, z: 1442, details: "Fan, Flame Emitter, Portable Pot" },</t>
  </si>
  <si>
    <t>{ name: "Thunderhead Isles Dispenser", landmark: "Dispenser", type: "", region: 13, level: "Sky", x: 1104, y: -3331, z: 827, details: "Battery, Fan, Portable Pot, Shock Emitter" },</t>
  </si>
  <si>
    <t>{ name: "East Gerudo Sky Dispenser", landmark: "Dispenser", type: "", region: 14, level: "Sky", x: -1771, y: -2019, z: 1147, details: "Beam Emitter, Mirror, Sled, Stake, Steering Stick" },</t>
  </si>
  <si>
    <t>{ name: "Starview Island Dispenser", landmark: "Dispenser", type: "", region: 15, level: "Sky", x: -3457, y: -373, z: 1942, details: "Frost Emitter, Shock Emitter, Sled, Stabilizer, Stake" },</t>
  </si>
  <si>
    <t>DETAILS</t>
  </si>
  <si>
    <t>Hudson Sign</t>
  </si>
  <si>
    <t>Treasure</t>
  </si>
  <si>
    <t>Korok Mask</t>
  </si>
  <si>
    <t>Cap of Time</t>
  </si>
  <si>
    <t>Trousers of the Hero</t>
  </si>
  <si>
    <t>Tunic of the Hero</t>
  </si>
  <si>
    <t>Cap of the Hero</t>
  </si>
  <si>
    <t>Sheik's Mask</t>
  </si>
  <si>
    <t>Rising Island Chain</t>
  </si>
  <si>
    <t>Miner's Mask</t>
  </si>
  <si>
    <t>Miner's Top</t>
  </si>
  <si>
    <t>Miner's Trousers</t>
  </si>
  <si>
    <t>Ravio's Hood</t>
  </si>
  <si>
    <t>Biggoron's Sword</t>
  </si>
  <si>
    <t>Trousers of Twilight</t>
  </si>
  <si>
    <t>Cap of Twilight</t>
  </si>
  <si>
    <t>Tunic of Twilight</t>
  </si>
  <si>
    <t>Trousers of the Wind</t>
  </si>
  <si>
    <t>Cap of the Wind</t>
  </si>
  <si>
    <t>Tunic of the Wind</t>
  </si>
  <si>
    <t>Midna's Helmet</t>
  </si>
  <si>
    <t>Zant's Helmet</t>
  </si>
  <si>
    <t>Tunic of Time</t>
  </si>
  <si>
    <t>Trousers of Time</t>
  </si>
  <si>
    <t>East Necluda Sky</t>
  </si>
  <si>
    <t>Sea-Breeze Shield</t>
  </si>
  <si>
    <t>Sea-Breeze Boomerang</t>
  </si>
  <si>
    <t>Tunic of the Sky</t>
  </si>
  <si>
    <t>Trousers of the Sky</t>
  </si>
  <si>
    <t>Cap of the Sky</t>
  </si>
  <si>
    <t>Majora's Mask</t>
  </si>
  <si>
    <t>Sword of the Hero</t>
  </si>
  <si>
    <t>Tunic of the Wild</t>
  </si>
  <si>
    <t>Trousers of the Wild</t>
  </si>
  <si>
    <t>Cap of the Wild</t>
  </si>
  <si>
    <t>Old Map</t>
  </si>
  <si>
    <t>Yiga Schematic</t>
  </si>
  <si>
    <t>Schema Stone</t>
  </si>
  <si>
    <t>Brazen Beak</t>
  </si>
  <si>
    <t>Enchanted</t>
  </si>
  <si>
    <t>Ventest Clothing Boutique</t>
  </si>
  <si>
    <t>High Spirits Produce</t>
  </si>
  <si>
    <t>The Curious Quiver</t>
  </si>
  <si>
    <t>The Slippery Falcon</t>
  </si>
  <si>
    <t>Hotel Oasis</t>
  </si>
  <si>
    <t>Seabed Inn</t>
  </si>
  <si>
    <t>Shuteye Inn</t>
  </si>
  <si>
    <t>Swallow's Roost</t>
  </si>
  <si>
    <t>Emergency Shelter</t>
  </si>
  <si>
    <t>Forgotten Foundation</t>
  </si>
  <si>
    <t>Gloom's Approach</t>
  </si>
  <si>
    <t>Gloom's Lair</t>
  </si>
  <si>
    <t>Imprisoning Chamber</t>
  </si>
  <si>
    <t>Lost Woods</t>
  </si>
  <si>
    <t>Room of Awakening</t>
  </si>
  <si>
    <t>Settlement</t>
  </si>
  <si>
    <t>Azure Bay Restaurant</t>
  </si>
  <si>
    <t>Gerudo Secret Club</t>
  </si>
  <si>
    <t>Kochi Dye Shop</t>
  </si>
  <si>
    <t>Spirit Temple</t>
  </si>
  <si>
    <t>The Noble Canteen</t>
  </si>
  <si>
    <t>Fire Temple</t>
  </si>
  <si>
    <t>Lightning Temple</t>
  </si>
  <si>
    <t>Water Temple</t>
  </si>
  <si>
    <t>Wind Temple</t>
  </si>
  <si>
    <t>IGN Thinks</t>
  </si>
  <si>
    <t>approx 35%</t>
  </si>
  <si>
    <t>Specialty Shops &amp; Bargainer Statues</t>
  </si>
  <si>
    <t>Temples</t>
  </si>
  <si>
    <t>Cherry Blossom Tree</t>
  </si>
  <si>
    <t>Eldin Mountain Flank</t>
  </si>
  <si>
    <t>Village</t>
  </si>
  <si>
    <t>Gerudo Town Shelter</t>
  </si>
  <si>
    <t>{ name: "Mini Stable", landmark: "Stable", type: "Digdogg Suspension Bridge", region: 2, level: "Surface", x: -1689, y: -1663, z: 22, details: "" },</t>
  </si>
  <si>
    <t>Rauru Geoglyph</t>
  </si>
  <si>
    <t>Dragon Tear #1</t>
  </si>
  <si>
    <t>Dragon Tear #2</t>
  </si>
  <si>
    <t>Dragon Tear #3</t>
  </si>
  <si>
    <t>Dragon Tear #4</t>
  </si>
  <si>
    <t>Dragon Tear #5</t>
  </si>
  <si>
    <t>Dragon Tear #6</t>
  </si>
  <si>
    <t>Dragon Tear #7</t>
  </si>
  <si>
    <t>Dragon Tear #8</t>
  </si>
  <si>
    <t>Dragon Tear #9</t>
  </si>
  <si>
    <t>Dragon Tear #10</t>
  </si>
  <si>
    <t>Dragon Tear #11</t>
  </si>
  <si>
    <t>Dragon Tear #12</t>
  </si>
  <si>
    <t>Castle Geoglyph</t>
  </si>
  <si>
    <t>Purah Pad Geoglyph</t>
  </si>
  <si>
    <t>Molduga Geoglyph</t>
  </si>
  <si>
    <t>Demon King Geoglyph</t>
  </si>
  <si>
    <t>Shrine Geoglyph</t>
  </si>
  <si>
    <t>Master Sword Geoglyph</t>
  </si>
  <si>
    <t>Final Tear Geoglyph</t>
  </si>
  <si>
    <t>Sonia Geoglyph</t>
  </si>
  <si>
    <t>Ganondorf Geoglyph</t>
  </si>
  <si>
    <t>Scimitar Geoglyph</t>
  </si>
  <si>
    <t>Sacred Stone Geoglyph</t>
  </si>
  <si>
    <t>North Gerudo Sky</t>
  </si>
  <si>
    <t>North Tabantha Sky</t>
  </si>
  <si>
    <t>West Hebra Sky #1</t>
  </si>
  <si>
    <t>West Hebra Sky #2</t>
  </si>
  <si>
    <t>Goddess Statue</t>
  </si>
  <si>
    <t>Plains</t>
  </si>
  <si>
    <t>Great Central Mine</t>
  </si>
  <si>
    <t>Cliff</t>
  </si>
  <si>
    <t>[0,1]</t>
  </si>
  <si>
    <t>Mija</t>
  </si>
  <si>
    <t>Tera</t>
  </si>
  <si>
    <t>Kaysa</t>
  </si>
  <si>
    <t>Cotera</t>
  </si>
  <si>
    <t>The Horse God</t>
  </si>
  <si>
    <t>{ name: "Plains", landmark: "Statue", type: "Bargainer Statue", region: 1, level: "Depths", x: 460, y: -806, z: -489, details: "" },</t>
  </si>
  <si>
    <t>{ name: "Cliff", landmark: "Statue", type: "Bargainer Statue", region: 5, level: "Depths", x: -1032, y: 2690, z: -273, details: "" },</t>
  </si>
  <si>
    <t>{ name: "Wellspring of Power", landmark: "Statue", type: "Bargainer Statue", region: 8, level: "Depths", x: 3708, y: 2598, z: -414, details: "" },</t>
  </si>
  <si>
    <t>{ name: "Wellspring of Wisdom", landmark: "Statue", type: "Bargainer Statue", region: 11, level: "Depths", x: 3850, y: -1328, z: -858, details: "" },</t>
  </si>
  <si>
    <t>{ name: "Wellspring of Courage", landmark: "Statue", type: "Bargainer Statue", region: 13, level: "Depths", x: 884, y: -2406, z: -393, details: "" },</t>
  </si>
  <si>
    <t>{ name: "Great Fairy Fountain", landmark: "Great Fairy", type: "Tera", region: 7, level: "Surface", x: 920, y: 1381, z: 93, details: "" },</t>
  </si>
  <si>
    <t>{ name: "Great Fairy Fountain", landmark: "Great Fairy", type: "Kaysa", region: 2, level: "Surface", x: -1555, y: -1237, z: 85, details: "" },</t>
  </si>
  <si>
    <t>{ name: "Great Fairy Fountain", landmark: "Great Fairy", type: "Cotera", region: 12, level: "Surface", x: 1766, y: -2172, z: 13, details: "" },</t>
  </si>
  <si>
    <t>{ name: "Malanya Spring", landmark: "Great Fairy", type: "The Horse God", region: 8, level: "Surface", x: 4296, y: 3219, z: 149, details: "" },</t>
  </si>
  <si>
    <t>Great Wellspring of Hyrule</t>
  </si>
  <si>
    <t>Legendary Stormwind Ark</t>
  </si>
  <si>
    <t>Lost Gorondia</t>
  </si>
  <si>
    <t>The Mural's Myth</t>
  </si>
  <si>
    <t>Vessel of Spirit's Resting Place</t>
  </si>
  <si>
    <t>Starlight Memories</t>
  </si>
  <si>
    <t>arrow, apple, shroom</t>
  </si>
  <si>
    <t>arrow, shroom, acorn, egg</t>
  </si>
  <si>
    <t>wheat, apple, rice, sugar, arrow, seed</t>
  </si>
  <si>
    <t>Arrow Shop</t>
  </si>
  <si>
    <t>arrow, chuchu, redchuchu, yellowchuchu, whitechuchu</t>
  </si>
  <si>
    <t>Mushroom Shop</t>
  </si>
  <si>
    <t>Cooking Shop</t>
  </si>
  <si>
    <t>salt, rice, wheat</t>
  </si>
  <si>
    <t>Fruit Shop</t>
  </si>
  <si>
    <t>Meat Shop</t>
  </si>
  <si>
    <t>steak, primesteak, gourmetsteak</t>
  </si>
  <si>
    <t>arrow, chuchu, redchuchu, yellowchuchu, whitechuchu, bomb</t>
  </si>
  <si>
    <t>General Shop</t>
  </si>
  <si>
    <t>bass, steak, lizalfostail</t>
  </si>
  <si>
    <t>Other Shop</t>
  </si>
  <si>
    <t>East Wind General Goods</t>
  </si>
  <si>
    <t>milk, pumpkin, shroom, butter, rice, carrot, tomato, egg, arrow</t>
  </si>
  <si>
    <t>desertvoe1</t>
  </si>
  <si>
    <t>The Coral Reef</t>
  </si>
  <si>
    <t>salt, spice, sugar, firefruit, arrow</t>
  </si>
  <si>
    <t xml:space="preserve">arrow, aerocudaeye, aerocudawing </t>
  </si>
  <si>
    <t>Sand-Seal Rental Shop #1</t>
  </si>
  <si>
    <t>Sand-Seal Rental Shop #2</t>
  </si>
  <si>
    <t>Sand-Seal Rental Shop #3</t>
  </si>
  <si>
    <t>Hebra Mine</t>
  </si>
  <si>
    <t>Eldin Mine</t>
  </si>
  <si>
    <t>Lanayru Mine</t>
  </si>
  <si>
    <t>Tarrey Mine</t>
  </si>
  <si>
    <t>Kakariko Mine</t>
  </si>
  <si>
    <t>Hateno Mine</t>
  </si>
  <si>
    <t>Lurelin Mine</t>
  </si>
  <si>
    <t>Gerudo Mine</t>
  </si>
  <si>
    <t>Kara Kara Mine</t>
  </si>
  <si>
    <t>[0,13]</t>
  </si>
  <si>
    <t>hylian1, hylian2, hylian3</t>
  </si>
  <si>
    <t>electricsafflina, hydromelon, oil</t>
  </si>
  <si>
    <t>ironshroom, razorshroom, sunshroom, zapshroom, chillshroom</t>
  </si>
  <si>
    <t>arrow, bomb, dazzlefruit, monsterextract</t>
  </si>
  <si>
    <t>octoballoon, octoeye, ironshellcrab, mightyporgy</t>
  </si>
  <si>
    <t>voltfruit, hydromelon, palmfruit</t>
  </si>
  <si>
    <t>brightcap, razorshroom, ironshroom, rushroom, stamella</t>
  </si>
  <si>
    <t>arrow, rice, violet, splashfruit, tomato, salmon, mightycarp, armoredcarp</t>
  </si>
  <si>
    <t>wheat, sugar, butter, oil, arrow, sunshroom</t>
  </si>
  <si>
    <t>snowquill1, snowquill2, snowquill3</t>
  </si>
  <si>
    <t>flamebreaker1, flamebreaker2, flamebreaker3</t>
  </si>
  <si>
    <t>earrings1, earrings2, earrings3, circlet1, circlet2, circlet3</t>
  </si>
  <si>
    <t>radiant1, radiant2, radiant3, stealth1, stealth2, stealth3</t>
  </si>
  <si>
    <t>Ton Pu Inn</t>
  </si>
  <si>
    <t>Sage's Will</t>
  </si>
  <si>
    <t>S</t>
  </si>
  <si>
    <t>Lanayru Sky #1</t>
  </si>
  <si>
    <t>Lanayru Sky #2</t>
  </si>
  <si>
    <t>Eventide Island Sky</t>
  </si>
  <si>
    <t>Dragon Head Island</t>
  </si>
  <si>
    <t>West Hebra Sky #3</t>
  </si>
  <si>
    <t>West Hyrule Sky</t>
  </si>
  <si>
    <t>{ name: "Outskirt Stable", landmark: "Stable", type: "", region: 2, level: "Surface", x: -1448, y: -1268, z: 32, details: "" },</t>
  </si>
  <si>
    <t>{ name: "Riverside Stable", landmark: "Stable", type: "", region: 2, level: "Surface", x: 341, y: -1095, z: 10, details: "" },</t>
  </si>
  <si>
    <t>{ name: "New Serenne Stable", landmark: "Stable", type: "", region: 3, level: "Surface", x: -1361, y: 724, z: 85, details: "" },</t>
  </si>
  <si>
    <t>{ name: "Tabantha Bridge Stable", landmark: "Stable", type: "", region: 3, level: "Surface", x: -2931, y: 548, z: 169, details: "" },</t>
  </si>
  <si>
    <t>{ name: "Snowfield Stable", landmark: "Stable", type: "", region: 5, level: "Surface", x: -1654, y: 2572, z: 233, details: "" },</t>
  </si>
  <si>
    <t>{ name: "Foothill Stable", landmark: "Stable", type: "", region: 7, level: "Surface", x: 2613, y: 1143, z: 148, details: "" },</t>
  </si>
  <si>
    <t>{ name: "Woodland Stable", landmark: "Stable", type: "", region: 7, level: "Surface", x: 1066, y: 1142, z: 21, details: "" },</t>
  </si>
  <si>
    <t>{ name: "East Akkala Stable", landmark: "Stable", type: "", region: 8, level: "Surface", x: 4229, y: 2748, z: 125, details: "" },</t>
  </si>
  <si>
    <t>{ name: "South Akkala Stable", landmark: "Stable", type: "", region: 8, level: "Surface", x: 3151, y: 1692, z: 201, details: "" },</t>
  </si>
  <si>
    <t>{ name: "Dueling Peaks Stable", landmark: "Stable", type: "", region: 10, level: "Surface", x: 1764, y: -1927, z: 13, details: "" },</t>
  </si>
  <si>
    <t>{ name: "Wetland Stable", landmark: "Stable", type: "", region: 10, level: "Surface", x: 889, y: -175, z: 26, details: "" },</t>
  </si>
  <si>
    <t>{ name: "Highland Stable", landmark: "Stable", type: "", region: 13, level: "Surface", x: 530, y: -3451, z: 53, details: "" },</t>
  </si>
  <si>
    <t>{ name: "Lakeside Stable", landmark: "Stable", type: "", region: 13, level: "Surface", x: 1552, y: -3537, z: 72, details: "" },</t>
  </si>
  <si>
    <t>{ name: "Gerudo Canyon Stable", landmark: "Stable", type: "", region: 14, level: "Surface", x: -2803, y: -2228, z: 29, details: "" },</t>
  </si>
  <si>
    <t>Gloom's Origin</t>
  </si>
  <si>
    <t>Zoom</t>
  </si>
  <si>
    <t>Subregion</t>
  </si>
  <si>
    <t>Province</t>
  </si>
  <si>
    <t>Size</t>
  </si>
  <si>
    <t>M</t>
  </si>
  <si>
    <t>L</t>
  </si>
  <si>
    <t>[1,6]</t>
  </si>
  <si>
    <t>[2,3]</t>
  </si>
  <si>
    <t>[1,3]</t>
  </si>
  <si>
    <t>[2,13]</t>
  </si>
  <si>
    <t>[10,13]</t>
  </si>
  <si>
    <t>[12,13]</t>
  </si>
  <si>
    <t>[1,10]</t>
  </si>
  <si>
    <t>[7,10]</t>
  </si>
  <si>
    <t>cheese</t>
  </si>
  <si>
    <t>3,4</t>
  </si>
  <si>
    <t>Mini-Game</t>
  </si>
  <si>
    <t>Villages &amp; Stables</t>
  </si>
  <si>
    <t>1,2,3,4</t>
  </si>
  <si>
    <t>Pappetto Grove Depths</t>
  </si>
  <si>
    <t>Plains Bargainer Statue</t>
  </si>
  <si>
    <t>Cliff Bargainer Statue</t>
  </si>
  <si>
    <t>Hyrule Castle 1F</t>
  </si>
  <si>
    <t>Hyrule Castle B1</t>
  </si>
  <si>
    <t>Hyrule Castle B2</t>
  </si>
  <si>
    <t>Hyrule Castle B3</t>
  </si>
  <si>
    <t>Lightning Temple 1F</t>
  </si>
  <si>
    <t>Lightning Temple 2F</t>
  </si>
  <si>
    <t>Lightning Temple 3F</t>
  </si>
  <si>
    <t>Lightning Temple 4F</t>
  </si>
  <si>
    <t>Lightning Temple 5F</t>
  </si>
  <si>
    <t>Lightning Temple 6F</t>
  </si>
  <si>
    <t>Lightning Temple 7F</t>
  </si>
  <si>
    <t>Lightning Temple B1</t>
  </si>
  <si>
    <t>Room of Ascension</t>
  </si>
  <si>
    <t>Room of Glorious Light</t>
  </si>
  <si>
    <t>Room of Hopeful Light</t>
  </si>
  <si>
    <t>Room of Light and Flame</t>
  </si>
  <si>
    <t>Room of Light and Shade</t>
  </si>
  <si>
    <t>Room of Natural Light</t>
  </si>
  <si>
    <t>Room of Offered Light</t>
  </si>
  <si>
    <t>Water Temple B1</t>
  </si>
  <si>
    <t>Wind Temple 1F</t>
  </si>
  <si>
    <t>Wind Temple B1</t>
  </si>
  <si>
    <t>Wind Temple B2</t>
  </si>
  <si>
    <t>Fire Temple 1F</t>
  </si>
  <si>
    <t>Fire Temple 2F</t>
  </si>
  <si>
    <t>Fire Temple 3F</t>
  </si>
  <si>
    <t>Fire Temple 4F</t>
  </si>
  <si>
    <t>Fire Temple 5F</t>
  </si>
  <si>
    <t>Special</t>
  </si>
  <si>
    <t>Inns</t>
  </si>
  <si>
    <t>Unnamed Locations</t>
  </si>
  <si>
    <t>Gerudo Great Skeleton</t>
  </si>
  <si>
    <t>Attack and catch the dandelion</t>
  </si>
  <si>
    <t>Starts at (19, -1263, 1419)</t>
  </si>
  <si>
    <t>Starts at (474, -1695, 1443)</t>
  </si>
  <si>
    <t>Starts at (-3104, 3260, 866)</t>
  </si>
  <si>
    <t>Starts at (2409, -1821, 1570)</t>
  </si>
  <si>
    <t>Starts at (3748, 2305, 94)</t>
  </si>
  <si>
    <t>Starts at (3092, 1755, 197)</t>
  </si>
  <si>
    <t>Starts at (4293, 1609, 154)</t>
  </si>
  <si>
    <t>Starts at (4053, 945, 277)</t>
  </si>
  <si>
    <t>Starts at (4477, 937, 97)</t>
  </si>
  <si>
    <t>Starts at (3350, 3668, 222)</t>
  </si>
  <si>
    <t>Starts at (3959, 3119, 181)</t>
  </si>
  <si>
    <t>Starts at (4282, 3268, 173)</t>
  </si>
  <si>
    <t>Starts at (4202, 2742, 128)</t>
  </si>
  <si>
    <t>Starts at (4356, 2536, 78)</t>
  </si>
  <si>
    <t>Starts at (-323, 3159, 101)</t>
  </si>
  <si>
    <t>Starts at (489, 3055, 176)</t>
  </si>
  <si>
    <t>Starts at (-546, 2226, 268)</t>
  </si>
  <si>
    <t>Starts at (778, 1530, 149)</t>
  </si>
  <si>
    <t>Starts at (-1434, 1476, 194)</t>
  </si>
  <si>
    <t>Starts at (535, 1108, 18)</t>
  </si>
  <si>
    <t>Starts at (-2919, 285, 207)</t>
  </si>
  <si>
    <t>Starts at (-948, 682, 56)</t>
  </si>
  <si>
    <t>Starts at (-776, 939, 18)</t>
  </si>
  <si>
    <t>Starts at (434, 484, 30)</t>
  </si>
  <si>
    <t>Starts at (-1548, -1002, 28)</t>
  </si>
  <si>
    <t>Starts at (-779, -500, 18)</t>
  </si>
  <si>
    <t>Starts at (629, -965, 13)</t>
  </si>
  <si>
    <t>Starts at (794, -511, 11)</t>
  </si>
  <si>
    <t>Starts at (809, -27, 11)</t>
  </si>
  <si>
    <t>Starts at (-1356, -1310, 47)</t>
  </si>
  <si>
    <t>Starts at (-696, -1574, 67)</t>
  </si>
  <si>
    <t>Starts at (-657, -1390, 53)</t>
  </si>
  <si>
    <t>Starts at (-455, -1648, 20)</t>
  </si>
  <si>
    <t>Starts at (-42, -1112, 23)</t>
  </si>
  <si>
    <t>Starts at (48, -1694, 59)</t>
  </si>
  <si>
    <t>Starts at (290, -1205, 28)</t>
  </si>
  <si>
    <t>Starts at (-1130, -1971, 145)</t>
  </si>
  <si>
    <t>Starts at (-190, -2249, 21)</t>
  </si>
  <si>
    <t>Starts at (-2580, 1249, 216)</t>
  </si>
  <si>
    <t>Starts at (-2873, 497, 180)</t>
  </si>
  <si>
    <t>Starts at (-2083, 480, 105)</t>
  </si>
  <si>
    <t>Starts at (-1799, -321, 120)</t>
  </si>
  <si>
    <t>Starts at (2194, 3009, 508)</t>
  </si>
  <si>
    <t>Starts at (1249, 3005, 422)</t>
  </si>
  <si>
    <t>Starts at (1723, 2611, 431)</t>
  </si>
  <si>
    <t>Starts at (1817, 2642, 402)</t>
  </si>
  <si>
    <t>Starts at (1981, 2040, 424)</t>
  </si>
  <si>
    <t>Starts at (2178, 2780, 524)</t>
  </si>
  <si>
    <t>Starts at (1534, 1606, 306)</t>
  </si>
  <si>
    <t>Starts at (1542, 1809, 284)</t>
  </si>
  <si>
    <t>Starts at (2372, 1405, 132)</t>
  </si>
  <si>
    <t>Starts at (2638, 1111, 159)</t>
  </si>
  <si>
    <t>Starts at (2678, 1351, 128)</t>
  </si>
  <si>
    <t>Starts at (2544, 640, 128)</t>
  </si>
  <si>
    <t>Starts at (523, 3399, 185)</t>
  </si>
  <si>
    <t>Starts at (1025, 3674, 111)</t>
  </si>
  <si>
    <t>Starts at (-1018, -2633, 201)</t>
  </si>
  <si>
    <t>Starts at (885, -2425, 65)</t>
  </si>
  <si>
    <t>Starts at (-307, -3290, 25)</t>
  </si>
  <si>
    <t>Starts at (67, -3762, 6)</t>
  </si>
  <si>
    <t>Starts at (223, -3531, 70)</t>
  </si>
  <si>
    <t>Starts at (520, -3484, 50)</t>
  </si>
  <si>
    <t>Starts at (-3859, -3018, 85)</t>
  </si>
  <si>
    <t>Starts at (-2985, -2326, 26)</t>
  </si>
  <si>
    <t>Starts at (-2732, -2820, 36)</t>
  </si>
  <si>
    <t>Starts at (-4614, -3197, 39)</t>
  </si>
  <si>
    <t>Starts at (-3820, -3126, 52)</t>
  </si>
  <si>
    <t>Starts at (-2494, -3348, 27)</t>
  </si>
  <si>
    <t>Starts at (-3722, -803, 642)</t>
  </si>
  <si>
    <t>Starts at (-3621, -403, 240)</t>
  </si>
  <si>
    <t>Starts at (-3197, -1170, 480)</t>
  </si>
  <si>
    <t>Starts at (-4538, -1344, 529)</t>
  </si>
  <si>
    <t>Starts at (-3846, -1465, 366)</t>
  </si>
  <si>
    <t>Starts at (-2696, -1446, 543)</t>
  </si>
  <si>
    <t>Starts at (-4136, -2260, 46)</t>
  </si>
  <si>
    <t>Starts at (-2434, -2119, 235)</t>
  </si>
  <si>
    <t>Starts at (-2252, -2359, 276)</t>
  </si>
  <si>
    <t>Starts at (-1984, -2079, 34)</t>
  </si>
  <si>
    <t>Starts at (-1708, -2341, -14)</t>
  </si>
  <si>
    <t>Starts at (-3345, -3056, 42)</t>
  </si>
  <si>
    <t>Starts at (-4423, 3216, 392)</t>
  </si>
  <si>
    <t>Starts at (-3671, 3386, 324)</t>
  </si>
  <si>
    <t>Starts at (-3428, 3800, 245)</t>
  </si>
  <si>
    <t>Starts at (-2892, 3494, 248)</t>
  </si>
  <si>
    <t>Starts at (-2337, 2957, 405)</t>
  </si>
  <si>
    <t>Starts at (-1384, 3630, 257)</t>
  </si>
  <si>
    <t>Starts at (-4261, 2175, -10)</t>
  </si>
  <si>
    <t>Starts at (-3329, 2302, 403)</t>
  </si>
  <si>
    <t>Starts at (-2833, 2840, 582)</t>
  </si>
  <si>
    <t>Starts at (-1540, 2554, 239)</t>
  </si>
  <si>
    <t>Starts at (-2794, 2308, 355)</t>
  </si>
  <si>
    <t>Starts at (-3613, 985, 290)</t>
  </si>
  <si>
    <t>Starts at (-3584, 14, 71)</t>
  </si>
  <si>
    <t>Starts at (-3207, 334, -99)</t>
  </si>
  <si>
    <t>Starts at (-2962, 88, 144)</t>
  </si>
  <si>
    <t>Starts at (1535, 510, 11)</t>
  </si>
  <si>
    <t>Starts at (2240, 245, 15)</t>
  </si>
  <si>
    <t>Starts at (2565, 467, 185)</t>
  </si>
  <si>
    <t>Starts at (2807, 183, 147)</t>
  </si>
  <si>
    <t>Starts at (3070, 177, 263)</t>
  </si>
  <si>
    <t>Starts at (3105, 462, 173)</t>
  </si>
  <si>
    <t>Starts at (3528, -61, 212)</t>
  </si>
  <si>
    <t>Starts at (3781, 446, 531)</t>
  </si>
  <si>
    <t>Starts at (2689, -544, 112)</t>
  </si>
  <si>
    <t>Starts at (3654, -605, 4)</t>
  </si>
  <si>
    <t>Starts at (4000, -187, 177)</t>
  </si>
  <si>
    <t>Starts at (4185, -444, 25)</t>
  </si>
  <si>
    <t>Starts at (958, -203, 32)</t>
  </si>
  <si>
    <t>Starts at (1505, -336, 14)</t>
  </si>
  <si>
    <t>Starts at (3500, -1458, 163)</t>
  </si>
  <si>
    <t>Starts at (2477, -1743, 11)</t>
  </si>
  <si>
    <t>Starts at (2410, -2671, 258)</t>
  </si>
  <si>
    <t>Starts at (2453, -2912, 221)</t>
  </si>
  <si>
    <t>Starts at (2646, -2118, 128)</t>
  </si>
  <si>
    <t>Starts at (2859, -1913, 41)</t>
  </si>
  <si>
    <t>Starts at (3245, -2283, 132)</t>
  </si>
  <si>
    <t>Starts at (3727, -2161, 202)</t>
  </si>
  <si>
    <t>Starts at (1397, -3641, 2)</t>
  </si>
  <si>
    <t>Starts at (2199, -3493, 84)</t>
  </si>
  <si>
    <t>Starts at (2243, -3469, 30)</t>
  </si>
  <si>
    <t>Starts at (3082, -3386, 49)</t>
  </si>
  <si>
    <t>Starts at (3542, -3458, 1)</t>
  </si>
  <si>
    <t>Starts at (3687, -3318, 245)</t>
  </si>
  <si>
    <t>Starts at (1973, -3922, 4)</t>
  </si>
  <si>
    <t>Starts at (2828, -3884, 1)</t>
  </si>
  <si>
    <t>Starts at (1877, -806, 240)</t>
  </si>
  <si>
    <t>Starts at (1087, -1048, 10)</t>
  </si>
  <si>
    <t>Starts at (1172, -1885, 10)</t>
  </si>
  <si>
    <t>Starts at (1769, -1868, 16)</t>
  </si>
  <si>
    <t>Starts at (50, -2719, 81)</t>
  </si>
  <si>
    <t>Starts at (350, -2158, 63)</t>
  </si>
  <si>
    <t>Starts at (523, -2196, 56)</t>
  </si>
  <si>
    <t>Starts at (770, -2141, 137)</t>
  </si>
  <si>
    <t>Starts at (1612, -3493, 62)</t>
  </si>
  <si>
    <t>Starts at (4613, 2284, 1299)</t>
  </si>
  <si>
    <t>Starts at (521, -1324, 1419)</t>
  </si>
  <si>
    <t>Starts at (-1830, -1918, 1200)</t>
  </si>
  <si>
    <t>Starts at (-1717, 3561, 988)</t>
  </si>
  <si>
    <t>Starts at (-3064, 2137, 693)</t>
  </si>
  <si>
    <t>Starts at (-3960, 650, 1506)</t>
  </si>
  <si>
    <t>Starts at (-3612, 1030, 1815)</t>
  </si>
  <si>
    <t>Starts at (-3374, 12, 2324)</t>
  </si>
  <si>
    <t>Starts at (2335, -1845, 1686)</t>
  </si>
  <si>
    <t>Starts at (1300, -1977, 629)</t>
  </si>
  <si>
    <t>Starts at (3670, 1468, 97)</t>
  </si>
  <si>
    <t>Starts at (3883, 1338, 248)</t>
  </si>
  <si>
    <t>Starts at (4698, 547, 231)</t>
  </si>
  <si>
    <t>Starts at (3153, 3431, 137)</t>
  </si>
  <si>
    <t>Starts at (3575, 3046, 110)</t>
  </si>
  <si>
    <t>Starts at (4436, 3188, 250)</t>
  </si>
  <si>
    <t>Starts at (61, 3114, 191)</t>
  </si>
  <si>
    <t>Starts at (-1035, 1083, 62)</t>
  </si>
  <si>
    <t>Starts at (-527, 188, 63)</t>
  </si>
  <si>
    <t>Starts at (-467, 851, 101)</t>
  </si>
  <si>
    <t>Starts at (-303, 1123, 91)</t>
  </si>
  <si>
    <t>Starts at (347, 493, 42)</t>
  </si>
  <si>
    <t>Starts at (841, 694, 129)</t>
  </si>
  <si>
    <t>Starts at (974, 674, 84)</t>
  </si>
  <si>
    <t>Starts at (-1110, -420, 63)</t>
  </si>
  <si>
    <t>Starts at (-1173, -1655, 83)</t>
  </si>
  <si>
    <t>Starts at (-683, -1843, 95)</t>
  </si>
  <si>
    <t>Starts at (4, -1891, 102)</t>
  </si>
  <si>
    <t>Starts at (-2897, 558, 209)</t>
  </si>
  <si>
    <t>Starts at (-2839, -437, 53)</t>
  </si>
  <si>
    <t>Starts at (-2537, -629, 203)</t>
  </si>
  <si>
    <t>Starts at (-2479, -509, 222)</t>
  </si>
  <si>
    <t>Starts at (-1968, -1090, 99)</t>
  </si>
  <si>
    <t>Starts at (2224, 2369, 521)</t>
  </si>
  <si>
    <t>Starts at (1799, 2210, 498)</t>
  </si>
  <si>
    <t>Starts at (2268, 1827, 324)</t>
  </si>
  <si>
    <t>Starts at (-40, -2961, 113)</t>
  </si>
  <si>
    <t>Starts at (813, -3718, 108)</t>
  </si>
  <si>
    <t>Starts at (-4482, -2134, 69)</t>
  </si>
  <si>
    <t>Starts at (-4443, -2274, 81)</t>
  </si>
  <si>
    <t>Starts at (-3592, -3006, 36)</t>
  </si>
  <si>
    <t>Starts at (-3422, -3119, 85)</t>
  </si>
  <si>
    <t>Starts at (-3752, -1081, 525)</t>
  </si>
  <si>
    <t>Starts at (-2931, -2217, 209)</t>
  </si>
  <si>
    <t>Starts at (-967, -3232, 252)</t>
  </si>
  <si>
    <t>Starts at (-3993, 3836, 220)</t>
  </si>
  <si>
    <t>Starts at (-3842, 3347, 312)</t>
  </si>
  <si>
    <t>Starts at (-3797, 2323, 171)</t>
  </si>
  <si>
    <t>Starts at (-2002, 3147, 385)</t>
  </si>
  <si>
    <t>Starts at (-4227, 1748, 112)</t>
  </si>
  <si>
    <t>Starts at (-3821, 1319, 287)</t>
  </si>
  <si>
    <t>Starts at (-3621, 1522, 145)</t>
  </si>
  <si>
    <t>Starts at (-3966, 625, 189)</t>
  </si>
  <si>
    <t>Starts at (-3650, 511, 287)</t>
  </si>
  <si>
    <t>Starts at (-3109, 242, 112)</t>
  </si>
  <si>
    <t>Starts at (2752, 251, 111)</t>
  </si>
  <si>
    <t>Starts at (3664, 450, 247)</t>
  </si>
  <si>
    <t>Starts at (2944, -350, 181)</t>
  </si>
  <si>
    <t>Starts at (3293, -10, 294)</t>
  </si>
  <si>
    <t>Starts at (4448, -743, 69)</t>
  </si>
  <si>
    <t>Starts at (4526, -1515, 12)</t>
  </si>
  <si>
    <t>Starts at (2766, -1217, 167)</t>
  </si>
  <si>
    <t>Starts at (3018, -2033, 50)</t>
  </si>
  <si>
    <t>Starts at (2549, -3208, 92)</t>
  </si>
  <si>
    <t>Starts at (1260, -1006, 153)</t>
  </si>
  <si>
    <t>Starts at (514, -1791, 62)</t>
  </si>
  <si>
    <t>Starts at (1244, -1941, 437)</t>
  </si>
  <si>
    <t>Starts at (1626, -1360, 12)</t>
  </si>
  <si>
    <t>Starts at (282, -2241, 37)</t>
  </si>
  <si>
    <t>Starts at (1885, -2418, 40)</t>
  </si>
  <si>
    <t>Starts at (1539, -3239, 95)</t>
  </si>
  <si>
    <t>Break the Acorn Pot</t>
  </si>
  <si>
    <t>Transport to Friend</t>
  </si>
  <si>
    <t>Build a Roof</t>
  </si>
  <si>
    <t>Burn the Leaves</t>
  </si>
  <si>
    <t>Burn the Thorns</t>
  </si>
  <si>
    <t>Catch the Dandelion</t>
  </si>
  <si>
    <t>Complete the Cube Puzzle</t>
  </si>
  <si>
    <t>Complete the Rock Pattern</t>
  </si>
  <si>
    <t>Dive into the Lily Ring</t>
  </si>
  <si>
    <t>Examine the Sparkle</t>
  </si>
  <si>
    <t>Follow the Yellow Flowers</t>
  </si>
  <si>
    <t>Lift the Rock</t>
  </si>
  <si>
    <t>Melt the Ice</t>
  </si>
  <si>
    <t>Make Offering to Statue</t>
  </si>
  <si>
    <t>Place the Boulder</t>
  </si>
  <si>
    <t>Pull the Plug</t>
  </si>
  <si>
    <t>Reach the Target Ring</t>
  </si>
  <si>
    <t>Remove the Boulder</t>
  </si>
  <si>
    <t>Repair the Roof</t>
  </si>
  <si>
    <t>Ring the Bell</t>
  </si>
  <si>
    <t>Shoot the Balloons</t>
  </si>
  <si>
    <t>Shoot the Hidden Balloon</t>
  </si>
  <si>
    <t>Examine Fairy Lights</t>
  </si>
  <si>
    <t>Catch the Moving Sparkle</t>
  </si>
  <si>
    <t>Climb and Examine the Fairy Lights</t>
  </si>
  <si>
    <t>Ascend Through the Marker</t>
  </si>
  <si>
    <t>Paraglide to the Goal</t>
  </si>
  <si>
    <t>Touch the Wallside Marker</t>
  </si>
  <si>
    <t>No way! The locations that change positions as you zoom in and out count as 0.08!!!!</t>
  </si>
  <si>
    <t>% Weight</t>
  </si>
  <si>
    <t>Moved Map Labels</t>
  </si>
  <si>
    <t>2,3,4</t>
  </si>
  <si>
    <t>[4,5]</t>
  </si>
  <si>
    <t>[9,11]</t>
  </si>
  <si>
    <t>[10,12]</t>
  </si>
  <si>
    <t>[3,5]</t>
  </si>
  <si>
    <t>Weight</t>
  </si>
  <si>
    <t>1,2,3</t>
  </si>
  <si>
    <t>["Surface", "Depths"]</t>
  </si>
  <si>
    <t>{ name: "Lookout Landing", landmark: "Statue", type: "Goddess Statue", region: 1, level: "Surface", x: -242, y: 86, z: 8, weight: 0, details: "" },</t>
  </si>
  <si>
    <t>{ name: "Temple of Time Ruins", landmark: "Statue", type: "Goddess Statue", region: 2, level: "Surface", x: -821, y: -2027, z: 119, weight: 0, details: "" },</t>
  </si>
  <si>
    <t>{ name: "Rito Village", landmark: "Statue", type: "Goddess Statue", region: 4, level: "Surface", x: -3606, y: 1805, z: 180, weight: 0, details: "" },</t>
  </si>
  <si>
    <t>{ name: "Forgotten Temple", landmark: "Statue", type: "Goddess Statue", region: 5, level: "Surface", x: -1076, y: 2651, z: -84, weight: 0, details: "" },</t>
  </si>
  <si>
    <t>{ name: "Korok Forest", landmark: "Statue", type: "Goddess Statue", region: 6, level: "Surface", x: 416, y: 2178, z: 153, weight: 0, details: "" },</t>
  </si>
  <si>
    <t>{ name: "Goron City", landmark: "Statue", type: "Goddess Statue", region: 7, level: "Surface", x: 1718, y: 2455, z: 393, weight: 0, details: "" },</t>
  </si>
  <si>
    <t>{ name: "Spring of Power", landmark: "Statue", type: "Goddess Statue", region: 8, level: "Surface", x: 3753, y: 2670, z: 2, weight: 0, details: "" },</t>
  </si>
  <si>
    <t>{ name: "Tarrey Town", landmark: "Statue", type: "Goddess Statue", region: 8, level: "Surface", x: 3974, y: 1612, z: 127, weight: 0, details: "" },</t>
  </si>
  <si>
    <t>{ name: "Zora's Domain", landmark: "Statue", type: "Goddess Statue", region: 9, level: "Surface", x: 3315, y: 500, z: 150, weight: 0, details: "" },</t>
  </si>
  <si>
    <t>{ name: "Kakariko Village", landmark: "Statue", type: "Goddess Statue", region: 10, level: "Surface", x: 1836, y: -996, z: 112, weight: 0, details: "" },</t>
  </si>
  <si>
    <t>{ name: "Spring of Courage", landmark: "Statue", type: "Goddess Statue", region: 13, level: "Surface", x: 875, y: -2365, z: 16, weight: 0, details: "" },</t>
  </si>
  <si>
    <t>{ name: "Hateno Village", landmark: "Statue", type: "Goddess Statue", region: 11, level: "Surface", x: 3426, y: -2099, z: 130, weight: 0, details: "" },</t>
  </si>
  <si>
    <t>{ name: "Spring of Wisdom", landmark: "Statue", type: "Goddess Statue", region: 11, level: "Surface", x: 3915, y: -1331, z: 465, weight: 0, details: "" },</t>
  </si>
  <si>
    <t>{ name: "Lurelin Village", landmark: "Statue", type: "Goddess Statue", region: 12, level: "Surface", x: 2921, y: -3444, z: 0, weight: 0, details: "" },</t>
  </si>
  <si>
    <t>{ name: "Dragonhead Island", landmark: "Statue", type: "Goddess Statue", region: 13, level: "Sky", x: 1337, y: -3311, z: 429, weight: 0, details: "" },</t>
  </si>
  <si>
    <t>{ name: "Gerudo Town", landmark: "Statue", type: "Goddess Statue", region: 14, level: "Surface", x: -3876, y: -2969, z: 33, weight: 0, details: "" },</t>
  </si>
  <si>
    <t>{ name: "Satori Mountain", landmark: "Cherry Tree", type: "Cherry Blossom Tree", region: 2, level: "Surface", x: -2299, y: -341, z: 336, weight: 0, details: "" },</t>
  </si>
  <si>
    <t>{ name: "Passer Hill", landmark: "Cherry Tree", type: "Cherry Blossom Tree", region: 4, level: "Surface", x: -4050, y: 1690, z: 185, weight: 0, details: "" },</t>
  </si>
  <si>
    <t>{ name: "Eldin Mountain Flank", landmark: "Cherry Tree", type: "Cherry Blossom Tree", region: 7, level: "Surface", x: 1239, y: 2957, z: 406, weight: 0, details: "" },</t>
  </si>
  <si>
    <t>{ name: "Zodobon Highlands", landmark: "Cherry Tree", type: "Cherry Blossom Tree", region: 9, level: "Surface", x: 2531, y: -5, z: 130, weight: 0, details: "" },</t>
  </si>
  <si>
    <t>{ name: "Ebon Mountain", landmark: "Cherry Tree", type: "Cherry Blossom Tree", region: 11, level: "Surface", x: 3358, y: -2479, z: 267, weight: 0, details: "" },</t>
  </si>
  <si>
    <t>{ name: "Guchini Plain", landmark: "Cherry Tree", type: "Cherry Blossom Tree", region: 13, level: "Surface", x: 799, y: -3502, z: 45, weight: 0, details: "" },</t>
  </si>
  <si>
    <t>{ name: "Gerudo Canyon", landmark: "Cherry Tree", type: "Cherry Blossom Tree", region: 14, level: "Surface", x: -2315, y: -2158, z: 237, weight: 0, details: "" },</t>
  </si>
  <si>
    <t>{ name: "Hyrule Castle Town Ruins", landmark: "Hudson Sign", type: "Hudson Sign", region: 1, level: "Surface", x: -268, y: 383, z: 33, weight: 0, details: "" },</t>
  </si>
  <si>
    <t>{ name: "Mabe Prairie", landmark: "Hudson Sign", type: "Hudson Sign", region: 1, level: "Surface", x: 186, y: 268, z: 39, weight: 0, details: "" },</t>
  </si>
  <si>
    <t>{ name: "Mount Gustaf", landmark: "Hudson Sign", type: "Hudson Sign", region: 1, level: "Surface", x: -755, y: 243, z: 31, weight: 0, details: "" },</t>
  </si>
  <si>
    <t>{ name: "Rebonae Bridge", landmark: "Hudson Sign", type: "Hudson Sign", region: 1, level: "Surface", x: 674, y: 138, z: 38, weight: 0, details: "" },</t>
  </si>
  <si>
    <t>{ name: "Exchange Ruins", landmark: "Hudson Sign", type: "Hudson Sign", region: 2, level: "Surface", x: -678, y: -864, z: 53, weight: 0, details: "" },</t>
  </si>
  <si>
    <t>{ name: "Forest of Spirits", landmark: "Hudson Sign", type: "Hudson Sign", region: 2, level: "Surface", x: -873, y: -1472, z: 35, weight: 0, details: "" },</t>
  </si>
  <si>
    <t>{ name: "Manhala Bridge", landmark: "Hudson Sign", type: "Hudson Sign", region: 2, level: "Surface", x: -1437, y: -1059, z: 50, weight: 0, details: "" },</t>
  </si>
  <si>
    <t>{ name: "Nima Plain", landmark: "Hudson Sign", type: "Hudson Sign", region: 2, level: "Surface", x: -1603, y: -490, z: 125, weight: 0, details: "" },</t>
  </si>
  <si>
    <t>{ name: "Scout's Hill", landmark: "Hudson Sign", type: "Hudson Sign", region: 2, level: "Surface", x: -150, y: -2125, z: 30, weight: 0, details: "" },</t>
  </si>
  <si>
    <t>{ name: "Hyrule Ridge", landmark: "Hudson Sign", type: "Hudson Sign", region: 3, level: "Surface", x: -2504, y: 190, z: 155, weight: 0, details: "" },</t>
  </si>
  <si>
    <t>{ name: "Kolami Bridge", landmark: "Hudson Sign", type: "Hudson Sign", region: 3, level: "Surface", x: -3134, y: 1224, z: 227, weight: 0, details: "" },</t>
  </si>
  <si>
    <t>{ name: "Lake Totori", landmark: "Hudson Sign", type: "Hudson Sign", region: 3, level: "Surface", x: -3559, y: 1549, z: 148, weight: 0, details: "" },</t>
  </si>
  <si>
    <t>{ name: "Ludfo's Bog", landmark: "Hudson Sign", type: "Hudson Sign", region: 3, level: "Surface", x: -1783, y: 660, z: 160, weight: 0, details: "" },</t>
  </si>
  <si>
    <t>{ name: "Mount Rhoam", landmark: "Hudson Sign", type: "Hudson Sign", region: 3, level: "Surface", x: -2700, y: 771, z: 315, weight: 0, details: "" },</t>
  </si>
  <si>
    <t>{ name: "Rowan Plain", landmark: "Hudson Sign", type: "Hudson Sign", region: 3, level: "Surface", x: -1011, y: 2023, z: 126, weight: 0, details: "" },</t>
  </si>
  <si>
    <t>{ name: "Salari Hill", landmark: "Hudson Sign", type: "Hudson Sign", region: 3, level: "Surface", x: -1451, y: 1177, z: 150, weight: 0, details: "" },</t>
  </si>
  <si>
    <t>{ name: "Tabantha Great Bridge", landmark: "Hudson Sign", type: "Hudson Sign", region: 3, level: "Surface", x: -3321, y: 505, z: 179, weight: 0, details: "" },</t>
  </si>
  <si>
    <t>{ name: "Hebra Trailhead Lodge", landmark: "Hudson Sign", type: "Hudson Sign", region: 4, level: "Surface", x: -3613, y: 2188, z: 154, weight: 0, details: "" },</t>
  </si>
  <si>
    <t>{ name: "Sturnida Secret Hot Spring", landmark: "Hudson Sign", type: "Hudson Sign", region: 4, level: "Surface", x: -4113, y: 2759, z: 37, weight: 0, details: "" },</t>
  </si>
  <si>
    <t>{ name: "Talonto Peak", landmark: "Hudson Sign", type: "Hudson Sign", region: 4, level: "Surface", x: -3256, y: 2571, z: 452, weight: 0, details: "" },</t>
  </si>
  <si>
    <t>{ name: "Mount Drena", landmark: "Hudson Sign", type: "Hudson Sign", region: 5, level: "Surface", x: -1075, y: 2797, z: 190, weight: 0, details: "" },</t>
  </si>
  <si>
    <t>{ name: "North Tabantha Snowfield", landmark: "Hudson Sign", type: "Hudson Sign", region: 5, level: "Surface", x: -1612, y: 3339, z: 250, weight: 0, details: "" },</t>
  </si>
  <si>
    <t>{ name: "Pikida Stonegrove", landmark: "Hudson Sign", type: "Hudson Sign", region: 5, level: "Surface", x: -2211, y: 2929, z: 396, weight: 0, details: "" },</t>
  </si>
  <si>
    <t>{ name: "South Tabantha Snowfield", landmark: "Hudson Sign", type: "Hudson Sign", region: 5, level: "Surface", x: -1870, y: 2324, z: 246, weight: 0, details: "" },</t>
  </si>
  <si>
    <t>{ name: "Drenan Highlands", landmark: "Hudson Sign", type: "Hudson Sign", region: 6, level: "Surface", x: -458, y: 3042, z: 119, weight: 0, details: "" },</t>
  </si>
  <si>
    <t>{ name: "Eldin Mountains", landmark: "Hudson Sign", type: "Hudson Sign", region: 6, level: "Surface", x: 1024, y: 3110, z: 282, weight: 0, details: "" },</t>
  </si>
  <si>
    <t>{ name: "Hyrule Castle Moat", landmark: "Hudson Sign", type: "Hudson Sign", region: 6, level: "Surface", x: -333, y: 1344, z: 22, weight: 0, details: "" },</t>
  </si>
  <si>
    <t>{ name: "Thyphlo Ruins", landmark: "Hudson Sign", type: "Hudson Sign", region: 6, level: "Surface", x: 493, y: 2939, z: 187, weight: 0, details: "" },</t>
  </si>
  <si>
    <t>{ name: "Bridge of Eldin", landmark: "Hudson Sign", type: "Hudson Sign", region: 7, level: "Surface", x: 2268, y: 2317, z: 523, weight: 0, details: "" },</t>
  </si>
  <si>
    <t>{ name: "Death Mountain", landmark: "Hudson Sign", type: "Hudson Sign", region: 7, level: "Surface", x: 2797, y: 2655, z: 670, weight: 0, details: "" },</t>
  </si>
  <si>
    <t>{ name: "Death Mountain West Site", landmark: "Hudson Sign", type: "Hudson Sign", region: 7, level: "Surface", x: 1980, y: 2656, z: 463, weight: 0, details: "" },</t>
  </si>
  <si>
    <t>{ name: "Foothill Stable", landmark: "Hudson Sign", type: "Hudson Sign", region: 7, level: "Surface", x: 2572, y: 1100, z: 147, weight: 0, details: "" },</t>
  </si>
  <si>
    <t>{ name: "Gut Check Rock", landmark: "Hudson Sign", type: "Hudson Sign", region: 7, level: "Surface", x: 2820, y: 3549, z: 247, weight: 0, details: "" },</t>
  </si>
  <si>
    <t>{ name: "Mercay Island", landmark: "Hudson Sign", type: "Hudson Sign", region: 7, level: "Surface", x: 1710, y: 965, z: 59, weight: 0, details: "" },</t>
  </si>
  <si>
    <t>{ name: "Pico Pond", landmark: "Hudson Sign", type: "Hudson Sign", region: 7, level: "Surface", x: 1310, y: 1222, z: 126, weight: 0, details: "" },</t>
  </si>
  <si>
    <t>{ name: "Southern Mine", landmark: "Hudson Sign", type: "Hudson Sign", region: 7, level: "Surface", x: 1573, y: 2164, z: 346, weight: 0, details: "" },</t>
  </si>
  <si>
    <t>{ name: "Thims Bridge", landmark: "Hudson Sign", type: "Hudson Sign", region: 7, level: "Surface", x: 1346, y: 800, z: 33, weight: 0, details: "" },</t>
  </si>
  <si>
    <t>{ name: "Akkala Ancient Tech Lab", landmark: "Hudson Sign", type: "Hudson Sign", region: 8, level: "Surface", x: 4450, y: 3075, z: 225, weight: 0, details: "" },</t>
  </si>
  <si>
    <t>{ name: "East Akkala Stable", landmark: "Hudson Sign", type: "Hudson Sign", region: 8, level: "Surface", x: 4237, y: 2648, z: 129, weight: 0, details: "" },</t>
  </si>
  <si>
    <t>{ name: "Lake Akkala", landmark: "Hudson Sign", type: "Hudson Sign", region: 8, level: "Surface", x: 4086, y: 1874, z: 107, weight: 0, details: "" },</t>
  </si>
  <si>
    <t>{ name: "Octorok Lake", landmark: "Hudson Sign", type: "Hudson Sign", region: 8, level: "Surface", x: 3873, y: 2476, z: 65, weight: 0, details: "" },</t>
  </si>
  <si>
    <t>{ name: "Skull Lake", landmark: "Hudson Sign", type: "Hudson Sign", region: 8, level: "Surface", x: 3422, y: 3526, z: 218, weight: 0, details: "" },</t>
  </si>
  <si>
    <t>{ name: "South Akkala Stable", landmark: "Hudson Sign", type: "Hudson Sign", region: 8, level: "Surface", x: 3163, y: 1625, z: 212, weight: 0, details: "" },</t>
  </si>
  <si>
    <t>{ name: "Brynna Plain", landmark: "Hudson Sign", type: "Hudson Sign", region: 9, level: "Surface", x: 3973, y: -295, z: 43, weight: 0, details: "" },</t>
  </si>
  <si>
    <t>{ name: "Lodrum Headland", landmark: "Hudson Sign", type: "Hudson Sign", region: 9, level: "Surface", x: 4334, y: -570, z: 71, weight: 0, details: "" },</t>
  </si>
  <si>
    <t>{ name: "Ruto Lake", landmark: "Hudson Sign", type: "Hudson Sign", region: 9, level: "Surface", x: 3208, y: 131, z: 147, weight: 0, details: "" },</t>
  </si>
  <si>
    <t>{ name: "Samasa Plain", landmark: "Hudson Sign", type: "Hudson Sign", region: 9, level: "Surface", x: 3229, y: -656, z: 13, weight: 0, details: "" },</t>
  </si>
  <si>
    <t>{ name: "Ulria Grotto", landmark: "Hudson Sign", type: "Hudson Sign", region: 9, level: "Surface", x: 4296, y: 578, z: 283, weight: 0, details: "" },</t>
  </si>
  <si>
    <t>{ name: "Upland Zorana", landmark: "Hudson Sign", type: "Hudson Sign", region: 9, level: "Surface", x: 2933, y: 704, z: 359, weight: 0, details: "" },</t>
  </si>
  <si>
    <t>{ name: "Zora River", landmark: "Hudson Sign", type: "Hudson Sign", region: 9, level: "Surface", x: 2094, y: 216, z: 28, weight: 0, details: "" },</t>
  </si>
  <si>
    <t>{ name: "Lanayru Road - West Gate", landmark: "Hudson Sign", type: "Hudson Sign", region: 10, level: "Surface", x: 2374, y: -679, z: 133, weight: 0, details: "" },</t>
  </si>
  <si>
    <t>{ name: "Pillars of Levia", landmark: "Hudson Sign", type: "Hudson Sign", region: 10, level: "Surface", x: 2097, y: -1265, z: 143, weight: 0, details: "" },</t>
  </si>
  <si>
    <t>{ name: "Sahasra Slope", landmark: "Hudson Sign", type: "Hudson Sign", region: 10, level: "Surface", x: 1490, y: -989, z: 164, weight: 0, details: "" },</t>
  </si>
  <si>
    <t>{ name: "Cliffs of Quince", landmark: "Hudson Sign", type: "Hudson Sign", region: 11, level: "Surface", x: 2674, y: -1722, z: 52, weight: 0, details: "" },</t>
  </si>
  <si>
    <t>{ name: "Mapla Point", landmark: "Hudson Sign", type: "Hudson Sign", region: 11, level: "Surface", x: 4651, y: -2337, z: 67, weight: 0, details: "" },</t>
  </si>
  <si>
    <t>{ name: "Midla Woods", landmark: "Hudson Sign", type: "Hudson Sign", region: 11, level: "Surface", x: 3142, y: -2138, z: 74, weight: 0, details: "" },</t>
  </si>
  <si>
    <t>{ name: "Mount Lanayru", landmark: "Hudson Sign", type: "Hudson Sign", region: 11, level: "Surface", x: 4103, y: -1144, z: 325, weight: 0, details: "" },</t>
  </si>
  <si>
    <t>{ name: "Nirvata Lake", landmark: "Hudson Sign", type: "Hudson Sign", region: 11, level: "Surface", x: 3145, y: -1819, z: 81, weight: 0, details: "" },</t>
  </si>
  <si>
    <t>{ name: "Ash Swamp", landmark: "Hudson Sign", type: "Hudson Sign", region: 12, level: "Surface", x: 1969, y: -1899, z: 36, weight: 0, details: "" },</t>
  </si>
  <si>
    <t>{ name: "Koto Pond", landmark: "Hudson Sign", type: "Hudson Sign", region: 12, level: "Surface", x: 2616, y: -2595, z: 163, weight: 0, details: "" },</t>
  </si>
  <si>
    <t>{ name: "Palmorae Beach", landmark: "Hudson Sign", type: "Hudson Sign", region: 12, level: "Surface", x: 3359, y: -3494, z: 50, weight: 0, details: "" },</t>
  </si>
  <si>
    <t>{ name: "Temto Hill", landmark: "Hudson Sign", type: "Hudson Sign", region: 12, level: "Surface", x: 2214, y: -3369, z: 41, weight: 0, details: "" },</t>
  </si>
  <si>
    <t>{ name: "Eagus Bridge", landmark: "Hudson Sign", type: "Hudson Sign", region: 13, level: "Surface", x: 922, y: -995, z: 48, weight: 0, details: "" },</t>
  </si>
  <si>
    <t>{ name: "Haran Lake", landmark: "Hudson Sign", type: "Hudson Sign", region: 13, level: "Surface", x: 254, y: -3456, z: 89, weight: 0, details: "" },</t>
  </si>
  <si>
    <t>{ name: "Lake Hylia", landmark: "Hudson Sign", type: "Hudson Sign", region: 13, level: "Surface", x: 104, y: -2674, z: -2, weight: 0, details: "" },</t>
  </si>
  <si>
    <t>{ name: "Lakeside Stable", landmark: "Hudson Sign", type: "Hudson Sign", region: 13, level: "Surface", x: 1595, y: -3470, z: 71, weight: 0, details: "" },</t>
  </si>
  <si>
    <t>{ name: "Owlan Bridge", landmark: "Hudson Sign", type: "Hudson Sign", region: 13, level: "Surface", x: 389, y: -1273, z: 27, weight: 0, details: "" },</t>
  </si>
  <si>
    <t>{ name: "Pappetto Grove", landmark: "Hudson Sign", type: "Hudson Sign", region: 13, level: "Surface", x: -204, y: -3488, z: 35, weight: 0, details: "" },</t>
  </si>
  <si>
    <t>{ name: "Spring of Courage", landmark: "Hudson Sign", type: "Hudson Sign", region: 13, level: "Surface", x: 824, y: -2329, z: 131, weight: 0, details: "" },</t>
  </si>
  <si>
    <t>{ name: "East Barrens", landmark: "Hudson Sign", type: "Hudson Sign", region: 14, level: "Surface", x: -2963, y: -3793, z: 42, weight: 0, details: "" },</t>
  </si>
  <si>
    <t>{ name: "Gerudo Canyon", landmark: "Hudson Sign", type: "Hudson Sign", region: 14, level: "Surface", x: -2396, y: -2161, z: 276, weight: 0, details: "" },</t>
  </si>
  <si>
    <t>{ name: "Gerudo Canyon Pass", landmark: "Hudson Sign", type: "Hudson Sign", region: 14, level: "Surface", x: -1609, y: -2249, z: -4, weight: 0, details: "" },</t>
  </si>
  <si>
    <t>{ name: "Gerudo Canyon Stable", landmark: "Hudson Sign", type: "Hudson Sign", region: 14, level: "Surface", x: -2758, y: -2263, z: 46, weight: 0, details: "" },</t>
  </si>
  <si>
    <t>{ name: "Koukot Plateau", landmark: "Hudson Sign", type: "Hudson Sign", region: 14, level: "Surface", x: -2087, y: -1952, z: 149, weight: 0, details: "" },</t>
  </si>
  <si>
    <t>{ name: "Mount Granajh", landmark: "Hudson Sign", type: "Hudson Sign", region: 14, level: "Surface", x: -1076, y: -3351, z: 166, weight: 0, details: "" },</t>
  </si>
  <si>
    <t>{ name: "Palu Wasteland", landmark: "Hudson Sign", type: "Hudson Sign", region: 14, level: "Surface", x: -3438, y: -3123, z: 66, weight: 0, details: "" },</t>
  </si>
  <si>
    <t>{ name: "Yarna Valley", landmark: "Hudson Sign", type: "Hudson Sign", region: 14, level: "Surface", x: -1800, y: -2616, z: 169, weight: 0, details: "" },</t>
  </si>
  <si>
    <t>{ name: "Lake Illumeni", landmark: "Hudson Sign", type: "Hudson Sign", region: 15, level: "Surface", x: -3382, y: -220, z: 79, weight: 0, details: "" },</t>
  </si>
  <si>
    <t>{ name: "Meadela's Mantle", landmark: "Hudson Sign", type: "Hudson Sign", region: 15, level: "Surface", x: -4108, y: -1389, z: 459, weight: 0, details: "" },</t>
  </si>
  <si>
    <t>{ name: "Tamio River", landmark: "Hudson Sign", type: "Hudson Sign", region: 15, level: "Surface", x: -2676, y: -426, z: 22, weight: 0, details: "" },</t>
  </si>
  <si>
    <t>{ name: "Fanplane", landmark: "Schematic", type: "Schema Stone", region: 2, level: "Depths", x: -821, y: -1940, z: -523, weight: 0, details: "" },</t>
  </si>
  <si>
    <t>{ name: "Three Wheeler", landmark: "Schematic", type: "Yiga Schematic", region: 2, level: "Depths", x: -1856, y: -735, z: -527, weight: 0, details: "" },</t>
  </si>
  <si>
    <t>{ name: "All-Purpose Raft", landmark: "Schematic", type: "Yiga Schematic", region: 3, level: "Depths", x: -3380, y: 665, z: -619, weight: 0, details: "" },</t>
  </si>
  <si>
    <t>{ name: "Bomb Boquet", landmark: "Schematic", type: "Yiga Schematic", region: 3, level: "Depths", x: -1620, y: 247, z: -482, weight: 0, details: "" },</t>
  </si>
  <si>
    <t>{ name: "Cargo Carrier", landmark: "Schematic", type: "Yiga Schematic", region: 3, level: "Depths", x: -1332, y: 1496, z: -597, weight: 0, details: "" },</t>
  </si>
  <si>
    <t>{ name: "Flamethrower Baloon", landmark: "Schematic", type: "Yiga Schematic", region: 3, level: "Depths", x: -2822, y: 902, z: -565, weight: 0, details: "" },</t>
  </si>
  <si>
    <t>{ name: "Excavator", landmark: "Schematic", type: "Yiga Schematic", region: 4, level: "Depths", x: -3708, y: 3099, z: -782, weight: 0, details: "" },</t>
  </si>
  <si>
    <t>{ name: "Floodlights", landmark: "Schematic", type: "Yiga Schematic", region: 4, level: "Depths", x: -2865, y: 2918, z: -931, weight: 0, details: "" },</t>
  </si>
  <si>
    <t>{ name: "Rocket Platform", landmark: "Schematic", type: "Schema Stone", region: 4, level: "Depths", x: -3480, y: 1883, z: -417, weight: 0, details: "" },</t>
  </si>
  <si>
    <t>{ name: "Sprinkler System", landmark: "Schematic", type: "Yiga Schematic", region: 5, level: "Depths", x: -1903, y: 2095, z: -682, weight: 0, details: "" },</t>
  </si>
  <si>
    <t>{ name: "Whirling Basher", landmark: "Schematic", type: "Yiga Schematic", region: 5, level: "Depths", x: -1751, y: 3107, z: -679, weight: 0, details: "" },</t>
  </si>
  <si>
    <t>{ name: "Aerial Cannon", landmark: "Schematic", type: "Yiga Schematic", region: 6, level: "Depths", x: -130, y: 2867, z: -634, weight: 0, details: "" },</t>
  </si>
  <si>
    <t>{ name: "Charged Charger", landmark: "Schematic", type: "Yiga Schematic", region: 6, level: "Depths", x: 622, y: 3698, z: -540, weight: 0, details: "" },</t>
  </si>
  <si>
    <t>{ name: "Fishing Trawler", landmark: "Schematic", type: "Yiga Schematic", region: 6, level: "Depths", x: -397, y: 1776, z: -623, weight: 0, details: "" },</t>
  </si>
  <si>
    <t>{ name: "Automated Ally", landmark: "Schematic", type: "Schema Stone", region: 7, level: "Depths", x: 1641, y: 2397, z: -824, weight: 0, details: "" },</t>
  </si>
  <si>
    <t>{ name: "Big Rig", landmark: "Schematic", type: "Yiga Schematic", region: 7, level: "Depths", x: 2667, y: 1578, z: -591, weight: 0, details: "" },</t>
  </si>
  <si>
    <t>{ name: "Rainmaker", landmark: "Schematic", type: "Yiga Schematic", region: 7, level: "Depths", x: 1539, y: 692, z: -439, weight: 0, details: "" },</t>
  </si>
  <si>
    <t>{ name: "Assault Cart", landmark: "Schematic", type: "Yiga Schematic", region: 8, level: "Depths", x: 3273, y: 3697, z: -660, weight: 0, details: "" },</t>
  </si>
  <si>
    <t>{ name: "Headlight Raft", landmark: "Schematic", type: "Yiga Schematic", region: 8, level: "Depths", x: 4112, y: 3215, z: -611, weight: 0, details: "" },</t>
  </si>
  <si>
    <t>{ name: "Instant Cannon", landmark: "Schematic", type: "Schema Stone", region: 8, level: "Depths", x: 3986, y: 1583, z: -576, weight: 0, details: "" },</t>
  </si>
  <si>
    <t>{ name: "Wagon", landmark: "Schematic", type: "Yiga Schematic", region: 8, level: "Depths", x: 3606, y: 2281, z: -478, weight: 0, details: "" },</t>
  </si>
  <si>
    <t>{ name: "Bolt Boat", landmark: "Schematic", type: "Schema Stone", region: 9, level: "Depths", x: 3257, y: 593, z: -750, weight: 0, details: "" },</t>
  </si>
  <si>
    <t>{ name: "Icebreaker", landmark: "Schematic", type: "Yiga Schematic", region: 9, level: "Depths", x: 3618, y: -569, z: -455, weight: 0, details: "" },</t>
  </si>
  <si>
    <t>{ name: "Triple Cannon", landmark: "Schematic", type: "Yiga Schematic", region: 9, level: "Depths", x: 4412, y: 637, z: -709, weight: 0, details: "" },</t>
  </si>
  <si>
    <t>{ name: "Instant Kitchen", landmark: "Schematic", type: "Yiga Schematic", region: 10, level: "Depths", x: 1168, y: 600, z: -408, weight: 0, details: "" },</t>
  </si>
  <si>
    <t>{ name: "Launch Pad", landmark: "Schematic", type: "Schema Stone", region: 10, level: "Depths", x: 1796, y: -1226, z: -629, weight: 0, details: "" },</t>
  </si>
  <si>
    <t>{ name: "Scatter Trap", landmark: "Schematic", type: "Yiga Schematic", region: 10, level: "Depths", x: 2078, y: -1625, z: -464, weight: 0, details: "" },</t>
  </si>
  <si>
    <t>{ name: "Super Spring", landmark: "Schematic", type: "Yiga Schematic", region: 10, level: "Depths", x: 2542, y: -544, z: -476, weight: 0, details: "" },</t>
  </si>
  <si>
    <t>{ name: "Bridge", landmark: "Schematic", type: "Schema Stone", region: 11, level: "Depths", x: 3562, y: -2209, z: -588, weight: 0, details: "" },</t>
  </si>
  <si>
    <t>{ name: "Tank", landmark: "Schematic", type: "Yiga Schematic", region: 11, level: "Depths", x: 3261, y: -1445, z: -657, weight: 0, details: "" },</t>
  </si>
  <si>
    <t>{ name: "Dirigible", landmark: "Schematic", type: "Schema Stone", region: 12, level: "Depths", x: 2946, y: -3338, z: -453, weight: 0, details: "" },</t>
  </si>
  <si>
    <t>{ name: "Liftoff Glider", landmark: "Schematic", type: "Yiga Schematic", region: 12, level: "Depths", x: 2963, y: -2571, z: -507, weight: 0, details: "" },</t>
  </si>
  <si>
    <t>{ name: "Beam Spinner", landmark: "Schematic", type: "Yiga Schematic", region: 13, level: "Depths", x: 246, y: -2170, z: -486, weight: 0, details: "" },</t>
  </si>
  <si>
    <t>{ name: "Monocycle", landmark: "Schematic", type: "Yiga Schematic", region: 13, level: "Depths", x: -1225, y: -2611, z: -480, weight: 0, details: "" },</t>
  </si>
  <si>
    <t>{ name: "Water Freezer", landmark: "Schematic", type: "Yiga Schematic", region: 13, level: "Depths", x: 417, y: -3673, z: -498, weight: 0, details: "" },</t>
  </si>
  <si>
    <t>{ name: "Beam Turret", landmark: "Schematic", type: "Yiga Schematic", region: 14, level: "Depths", x: -2409, y: -3485, z: -394, weight: 0, details: "" },</t>
  </si>
  <si>
    <t>{ name: "Hovercraft", landmark: "Schematic", type: "Schema Stone", region: 14, level: "Depths", x: -3846, y: -2941, z: -487, weight: 0, details: "" },</t>
  </si>
  <si>
    <t>{ name: "Instant Scaffold (pillar)", landmark: "Schematic", type: "Schema Stone", region: 14, level: "Depths", x: -3210, y: -2473, z: -475, weight: 0, details: "" },</t>
  </si>
  <si>
    <t>{ name: "Raiding Plane", landmark: "Schematic", type: "Yiga Schematic", region: 14, level: "Depths", x: -4546, y: -2170, z: -489, weight: 0, details: "" },</t>
  </si>
  <si>
    <t>{ name: "Shock Trap", landmark: "Schematic", type: "Yiga Schematic", region: 14, level: "Depths", x: -2694, y: -2882, z: -467, weight: 0, details: "" },</t>
  </si>
  <si>
    <t>{ name: "Vertical Escape", landmark: "Schematic", type: "Yiga Schematic", region: 14, level: "Depths", x: -3262, y: -3780, z: -494, weight: 0, details: "" },</t>
  </si>
  <si>
    <t>{ name: "Fanboat", landmark: "Schematic", type: "Yiga Schematic", region: 15, level: "Depths", x: -3075, y: -1580, z: -913, weight: 0, details: "" },</t>
  </si>
  <si>
    <t>{ name: "Instant Scaffold (stairs)", landmark: "Schematic", type: "Yiga Schematic", region: 15, level: "Depths", x: -3403, y: -222, z: -482, weight: 0, details: "" },</t>
  </si>
  <si>
    <t>{ name: "Smoke Rocket", landmark: "Schematic", type: "Yiga Schematic", region: 15, level: "Depths", x: -4457, y: -994, z: -861, weight: 0, details: "" },</t>
  </si>
  <si>
    <t>[0,2,13]</t>
  </si>
  <si>
    <t>[0,1,2]</t>
  </si>
  <si>
    <t>XS</t>
  </si>
  <si>
    <t>Battle Talus</t>
  </si>
  <si>
    <t>Frost Talus</t>
  </si>
  <si>
    <t>Igneo Talus</t>
  </si>
  <si>
    <t>Rare Stone Talus</t>
  </si>
  <si>
    <t>Stone Talus</t>
  </si>
  <si>
    <t>Blue Hinox </t>
  </si>
  <si>
    <t>Black Hinox </t>
  </si>
  <si>
    <t>Stalnox </t>
  </si>
  <si>
    <t>Obsidian Frox </t>
  </si>
  <si>
    <t>Blue-White Frox </t>
  </si>
  <si>
    <t>King Gleeok </t>
  </si>
  <si>
    <t>Frost Gleeok </t>
  </si>
  <si>
    <t>Flame Gleeok </t>
  </si>
  <si>
    <t>Thunder Gleeok </t>
  </si>
  <si>
    <t>Blue-Maned Lynel </t>
  </si>
  <si>
    <t>White-Maned Lynel </t>
  </si>
  <si>
    <t>Silver Lynel </t>
  </si>
  <si>
    <t>Armored Blue-Maned Lynel</t>
  </si>
  <si>
    <t>Armored White-Maned Lynel</t>
  </si>
  <si>
    <t>Armored Silver Lynel</t>
  </si>
  <si>
    <t>A Picture for New Serenne Stable</t>
  </si>
  <si>
    <t>A Picture for Outskirt Stable</t>
  </si>
  <si>
    <t>A Picture for Riverside Stable</t>
  </si>
  <si>
    <t>Feathered Fugitives</t>
  </si>
  <si>
    <t>Spotting Spot</t>
  </si>
  <si>
    <t>The Incomplete Stable</t>
  </si>
  <si>
    <t>The Shrine Explorer</t>
  </si>
  <si>
    <t>The Treasure Hunters</t>
  </si>
  <si>
    <t>Today's Menu</t>
  </si>
  <si>
    <t>Unknown Huge Silhouette</t>
  </si>
  <si>
    <t>Unknown Sky Giant</t>
  </si>
  <si>
    <t>Unknown Three-Headed Monster</t>
  </si>
  <si>
    <t>Village Attacked by Pirates</t>
  </si>
  <si>
    <t>Cave Mushrooms That Glow</t>
  </si>
  <si>
    <t>Crossing the Cold Pool</t>
  </si>
  <si>
    <t>Fish for Fletching</t>
  </si>
  <si>
    <t>Genli's Home Cooking</t>
  </si>
  <si>
    <t>Horse-Drawn Dreams</t>
  </si>
  <si>
    <t>Legacy of the Rito</t>
  </si>
  <si>
    <t>Molli the Fletcher's Quest</t>
  </si>
  <si>
    <t>Open the Door</t>
  </si>
  <si>
    <t>Supply-Eyeing Fliers</t>
  </si>
  <si>
    <t>The Blocked Cave</t>
  </si>
  <si>
    <t>The Horse Guard's Request</t>
  </si>
  <si>
    <t>The Mother Goddess Statue</t>
  </si>
  <si>
    <t>The Rito Rope Bridge</t>
  </si>
  <si>
    <t>Treasure of the Secret Springs</t>
  </si>
  <si>
    <t>A Picture for Snowfield Stable</t>
  </si>
  <si>
    <t>Gerudo's Colossal Fossil</t>
  </si>
  <si>
    <t>The Captured Tent</t>
  </si>
  <si>
    <t>The Duchess Who Disappeared</t>
  </si>
  <si>
    <t>The North Lomei Prophecy</t>
  </si>
  <si>
    <t>Who Finds the Haven</t>
  </si>
  <si>
    <t>The Secret Room</t>
  </si>
  <si>
    <t>Walton's Treasure Hunt</t>
  </si>
  <si>
    <t>Whirly Swirly Things</t>
  </si>
  <si>
    <t>A Picture for East Akkala Stable</t>
  </si>
  <si>
    <t>Eldin's Colossal Fossil</t>
  </si>
  <si>
    <t>Goddess Statue of Power</t>
  </si>
  <si>
    <t>Home on Arrange</t>
  </si>
  <si>
    <t>Master the Vehicle Prototype</t>
  </si>
  <si>
    <t>Secrets Within</t>
  </si>
  <si>
    <t>Strongest in the World</t>
  </si>
  <si>
    <t>The Gathering Pirates</t>
  </si>
  <si>
    <t>A Picture for Foothill Stable</t>
  </si>
  <si>
    <t>A Picture for Woodland Stable</t>
  </si>
  <si>
    <t>Amber Dealer</t>
  </si>
  <si>
    <t>Cash In on Ripened Flint</t>
  </si>
  <si>
    <t>Hebra's Colossal Fossil</t>
  </si>
  <si>
    <t>Meat for Meat</t>
  </si>
  <si>
    <t>Mine-Cart Land: Death Mountain</t>
  </si>
  <si>
    <t>Misko's Cave of Chests</t>
  </si>
  <si>
    <t>Moon-Gazing Gorons</t>
  </si>
  <si>
    <t>Rock Roast or Dust</t>
  </si>
  <si>
    <t>Simmerstone Springs</t>
  </si>
  <si>
    <t>Soul of the Gorons</t>
  </si>
  <si>
    <t>The Abandoned Laborer</t>
  </si>
  <si>
    <t>A Crabulous Deal</t>
  </si>
  <si>
    <t>A Picture for Wetland Stable</t>
  </si>
  <si>
    <t>A Token of Friendship</t>
  </si>
  <si>
    <t>A Wife Wafted Away</t>
  </si>
  <si>
    <t>An Uninvited Guest</t>
  </si>
  <si>
    <t>Glory of the Zora</t>
  </si>
  <si>
    <t>Goddess Statue of Wisdom</t>
  </si>
  <si>
    <t>Mired in Muck</t>
  </si>
  <si>
    <t>The Blue Stone</t>
  </si>
  <si>
    <t>The Fort at Ja'Abu Ridge</t>
  </si>
  <si>
    <t>The Moonlit Princess</t>
  </si>
  <si>
    <t>The Never-Ending Lecture</t>
  </si>
  <si>
    <t>True Treasure</t>
  </si>
  <si>
    <t>A Bottled Cry for Help</t>
  </si>
  <si>
    <t>A New Champion's Tunic</t>
  </si>
  <si>
    <t>A Trip through History</t>
  </si>
  <si>
    <t>A Way to Trade, Washed Away</t>
  </si>
  <si>
    <t>Codgers' Quarrel</t>
  </si>
  <si>
    <t>Dad's Blue Shirt</t>
  </si>
  <si>
    <t>Dantz's Prize Cows</t>
  </si>
  <si>
    <t>Follow the Cuccos</t>
  </si>
  <si>
    <t>Gloom-Borne Illness</t>
  </si>
  <si>
    <t>Homegrown in Hateno</t>
  </si>
  <si>
    <t>Lurelin Resort Project</t>
  </si>
  <si>
    <t>Manny's Beloved</t>
  </si>
  <si>
    <t>Ousting the Giants</t>
  </si>
  <si>
    <t>Out of the Inn</t>
  </si>
  <si>
    <t>Photographing a Chuchu</t>
  </si>
  <si>
    <t>Rattled Ralera</t>
  </si>
  <si>
    <t>Seeking the Pirate Hideout</t>
  </si>
  <si>
    <t>Uma's Garden</t>
  </si>
  <si>
    <t>A Picture for Highland Stable</t>
  </si>
  <si>
    <t>A Picture for Lakeside Stable</t>
  </si>
  <si>
    <t>Ancient Blades Below</t>
  </si>
  <si>
    <t>Goddess Statue of Courage</t>
  </si>
  <si>
    <t>Dalia's Game</t>
  </si>
  <si>
    <t>Decorate with Passion</t>
  </si>
  <si>
    <t>Disaster in Gerudo Canyon</t>
  </si>
  <si>
    <t>Gleeok Guts</t>
  </si>
  <si>
    <t>Lost in the Dunes</t>
  </si>
  <si>
    <t>Piaffe, Packed Away</t>
  </si>
  <si>
    <t>Pride of the Gerudo</t>
  </si>
  <si>
    <t>The Great Tumbleweed Purge</t>
  </si>
  <si>
    <t>The Heroines' Secret</t>
  </si>
  <si>
    <t>The Iceless Icehouse</t>
  </si>
  <si>
    <t>The Missing Owner</t>
  </si>
  <si>
    <t>The Mysterious Eighth</t>
  </si>
  <si>
    <t>The South Lomei Prophecy</t>
  </si>
  <si>
    <t>Treasure of the Gerudo Desert</t>
  </si>
  <si>
    <t>Talk to Teli&lt;br&gt;&lt;strong&gt;Reward:&lt;/strong&gt; Silver Rupee</t>
  </si>
  <si>
    <t>Talk to Domidak&lt;br&gt;&lt;strong&gt;Reward:&lt;/strong&gt; Bomb Flowers</t>
  </si>
  <si>
    <t>Talk to Garini&lt;br&gt;&lt;strong&gt;Reward:&lt;/strong&gt; Mighty Salt-Grilled Crab</t>
  </si>
  <si>
    <t>Talk to Genli at the General Store&lt;br&gt;&lt;strong&gt;Reward:&lt;/strong&gt; Biting Simmered Fruit</t>
  </si>
  <si>
    <t>Talk to Huck&lt;br&gt;&lt;strong&gt;Reward:&lt;/strong&gt; Purple Rupee</t>
  </si>
  <si>
    <t>Activate the North Lomei Labyrinth Terminal&lt;br&gt;&lt;strong&gt;Reward:&lt;/strong&gt; Evil Spirit Greaves</t>
  </si>
  <si>
    <t>Talk to Oaki&lt;br&gt;&lt;strong&gt;Reward:&lt;/strong&gt; Korok Fabric</t>
  </si>
  <si>
    <t>Talk to Walton&lt;br&gt;&lt;strong&gt;Reward:&lt;/strong&gt; Forest Dweller's Bow</t>
  </si>
  <si>
    <t>Talk to Kula After Curing the Deku Tree&lt;br&gt;&lt;strong&gt;Reward:&lt;/strong&gt; Endura Carrot x5</t>
  </si>
  <si>
    <t>Talk to Loone&lt;br&gt;&lt;strong&gt;Reward:&lt;/strong&gt; Purple Rupee</t>
  </si>
  <si>
    <t>Speak with Rhondson in Tarrey Town&lt;br&gt;&lt;strong&gt;Reward:&lt;/strong&gt; Hudson Construction Fabric</t>
  </si>
  <si>
    <t>Talk to Chabi&lt;br&gt;&lt;strong&gt;Reward:&lt;/strong&gt; Rupees</t>
  </si>
  <si>
    <t>Activate the Lomei Labyrinth Island Terminal&lt;br&gt;&lt;strong&gt;Reward:&lt;/strong&gt; Evil Spirit Armor</t>
  </si>
  <si>
    <t>Talk to Gomo&lt;br&gt;&lt;strong&gt;Reward:&lt;/strong&gt; Rupees x1000</t>
  </si>
  <si>
    <t>Talk to Mezer&lt;br&gt;&lt;strong&gt;Reward:&lt;/strong&gt; Large Zonai Charge</t>
  </si>
  <si>
    <t>Talk to Cooke&lt;br&gt;&lt;strong&gt;Reward:&lt;/strong&gt; Seared Gourmet Steak</t>
  </si>
  <si>
    <t>Talk to Kima&lt;br&gt;&lt;strong&gt;Reward:&lt;/strong&gt; Silver Rupee</t>
  </si>
  <si>
    <t>Investigate the Bottled Letter&lt;br&gt;&lt;strong&gt;Reward:&lt;/strong&gt; 100 Rupees</t>
  </si>
  <si>
    <t>Examine Zelda's Diary&lt;br&gt;&lt;strong&gt;Reward:&lt;/strong&gt; Champion's Leathers</t>
  </si>
  <si>
    <t>Talk to Trissa&lt;br&gt;&lt;strong&gt;Reward:&lt;/strong&gt; Endura Carrot</t>
  </si>
  <si>
    <t>Talk to Zuta&lt;br&gt;&lt;strong&gt;Reward:&lt;/strong&gt; Island Lobster Shirt</t>
  </si>
  <si>
    <t>Speak With Dantz&lt;br&gt;&lt;strong&gt;Reward:&lt;/strong&gt; Fresh Milk</t>
  </si>
  <si>
    <t>Talk to Symin During Class&lt;br&gt;&lt;strong&gt;Reward:&lt;/strong&gt; Hylian Rice</t>
  </si>
  <si>
    <t xml:space="preserve">Talk to Uma at the School Field&lt;br&gt;&lt;strong&gt;Reward:&lt;/strong&gt; </t>
  </si>
  <si>
    <t>Talk to the Mining Construct after Finishing the Spirit Temple&lt;br&gt;&lt;strong&gt;Reward:&lt;/strong&gt; Ancient Blade</t>
  </si>
  <si>
    <t>Talk to Boraa&lt;br&gt;&lt;strong&gt;Reward:&lt;/strong&gt; Electric Keese Wing</t>
  </si>
  <si>
    <t>Talk to Quince&lt;br&gt;&lt;strong&gt;Reward:&lt;/strong&gt; Bomb Flower x10</t>
  </si>
  <si>
    <t>Talk to Malena&lt;br&gt;&lt;strong&gt;Reward:&lt;/strong&gt; Gold Rupee</t>
  </si>
  <si>
    <t>Talk to Barles&lt;br&gt;&lt;strong&gt;Reward:&lt;/strong&gt; Royal Shield</t>
  </si>
  <si>
    <t>Talk to Rotana&lt;br&gt;&lt;strong&gt;Reward:&lt;/strong&gt; 100 Rupees</t>
  </si>
  <si>
    <t>Talk to Anche&lt;br&gt;&lt;strong&gt;Reward:&lt;/strong&gt; Purple Rupee</t>
  </si>
  <si>
    <t>Activate the South Lomei Labyrinth Terminal&lt;br&gt;&lt;strong&gt;Reward:&lt;/strong&gt; Evil Spirit Mask</t>
  </si>
  <si>
    <t>Talk to Lester&lt;br&gt;&lt;strong&gt;Reward:&lt;/strong&gt; Purple Rupee, Swift Carrot</t>
  </si>
  <si>
    <t>Talk to Jogo Through the Door of the Hut&lt;br&gt;&lt;strong&gt;Reward:&lt;/strong&gt; Spicy Elixir, Traveler's Shield</t>
  </si>
  <si>
    <t>Talk to Aya&lt;br&gt;&lt;strong&gt;Reward:&lt;/strong&gt; Pony Points, Endura Carrot</t>
  </si>
  <si>
    <t>Talk to Ramella&lt;br&gt;&lt;strong&gt;Reward:&lt;/strong&gt; Rupees x200, Selling Ores to Ramella</t>
  </si>
  <si>
    <t>Inside the &lt;img src="icons/well.png" style="height: 20px, width: 20px, vertical-align: middle, margin-right: 5px;"&gt;&lt;span style="color: #a784e5, font-weight: bold;"&gt;WELL&lt;/span&gt;</t>
  </si>
  <si>
    <t>{ name: "East Akkala Stable", landmark: "Statue", type: "Goddess Statue", region: 8, level: "Surface", x: 4260, y: 2810, z: 105, weight: 0, details: 'Inside the &lt;img src="icons/well.png" style="height: 20px, width: 20px, vertical-align: middle, margin-right: 5px;"&gt;&lt;span style="color: #a784e5, font-weight: bold;"&gt;WELL&lt;/span&gt;' },</t>
  </si>
  <si>
    <t>Holds a &lt;img src="icons/chasm.png" style="height: 20px, width: 20px, vertical-align: middle, margin-right: 5px;"&gt;&lt;span style="color: #de878b, font-weight: bold;"&gt;CHASM&lt;/span&gt;</t>
  </si>
  <si>
    <t>Great Sky Island Korok #01</t>
  </si>
  <si>
    <t>Index</t>
  </si>
  <si>
    <t>Dueling Peaks South</t>
  </si>
  <si>
    <t>Afromsia Coast Korok #02</t>
  </si>
  <si>
    <t>Akkala Ancient Tech Lab Korok #01</t>
  </si>
  <si>
    <t>Akkala Ancient Tech Lab Korok #02</t>
  </si>
  <si>
    <t>Akkala Ancient Tech Lab Korok #03</t>
  </si>
  <si>
    <t>Akkala Bridge Ruins Korok</t>
  </si>
  <si>
    <t>Akkala Citadel Ruins Korok #01</t>
  </si>
  <si>
    <t>Akkala Citadel Ruins Korok #02</t>
  </si>
  <si>
    <t>Akkala Citadel Ruins Korok #03</t>
  </si>
  <si>
    <t>Akkala Span Korok #01</t>
  </si>
  <si>
    <t>Akkala Span Korok #02</t>
  </si>
  <si>
    <t>Akkala Span Korok #03</t>
  </si>
  <si>
    <t>Akkala Wilds Korok #01</t>
  </si>
  <si>
    <t>Akkala Wilds Korok #02</t>
  </si>
  <si>
    <t>Akkala Wilds Korok #03</t>
  </si>
  <si>
    <t>Akkala Wilds Korok #04</t>
  </si>
  <si>
    <t>Aldor Foothills Korok</t>
  </si>
  <si>
    <t>Ancient Columns Korok #01</t>
  </si>
  <si>
    <t>Ancient Columns Korok #02</t>
  </si>
  <si>
    <t>Ancient Tree Stump Korok</t>
  </si>
  <si>
    <t>Angel Peak Korok</t>
  </si>
  <si>
    <t>Ankel Island Korok</t>
  </si>
  <si>
    <t>Aquame Bridge Korok</t>
  </si>
  <si>
    <t>Aris Beach Korok</t>
  </si>
  <si>
    <t>Ash Swamp Korok</t>
  </si>
  <si>
    <t>Atun Valley Korok #01</t>
  </si>
  <si>
    <t>Atun Valley Korok #02</t>
  </si>
  <si>
    <t>Barula Plain Korok #01</t>
  </si>
  <si>
    <t>Barula Plain Korok #02</t>
  </si>
  <si>
    <t>Batrea Lake Korok #01</t>
  </si>
  <si>
    <t>Batrea Lake Korok #02</t>
  </si>
  <si>
    <t>Batrea Lake Korok #03</t>
  </si>
  <si>
    <t>Bedrock Bistro Korok</t>
  </si>
  <si>
    <t>Birida Lookout Korok #01</t>
  </si>
  <si>
    <t>Birida Lookout Korok #02</t>
  </si>
  <si>
    <t>Birida Lookout Korok #03</t>
  </si>
  <si>
    <t>Biron Snowshelf Korok #01</t>
  </si>
  <si>
    <t>Biron Snowshelf Korok #02</t>
  </si>
  <si>
    <t>Biron Snowshelf Korok #03</t>
  </si>
  <si>
    <t>Biron Snowshelf Korok #04</t>
  </si>
  <si>
    <t>Biron Snowshelf Korok #05</t>
  </si>
  <si>
    <t>Biron Snowshelf Korok #06</t>
  </si>
  <si>
    <t>Biron Snowshelf Korok #07</t>
  </si>
  <si>
    <t>Bloodleaf Lake Korok</t>
  </si>
  <si>
    <t>Boné Pond East Korok #01</t>
  </si>
  <si>
    <t>Boné Pond East Korok #02</t>
  </si>
  <si>
    <t>Boné Pond East Korok #03</t>
  </si>
  <si>
    <t>Boneyard Bridge Korok</t>
  </si>
  <si>
    <t>Bonooru's Stand Korok</t>
  </si>
  <si>
    <t>Bottomless Pond Korok #01</t>
  </si>
  <si>
    <t>Bottomless Pond Korok #02</t>
  </si>
  <si>
    <t>Bravery Island Korok</t>
  </si>
  <si>
    <t>Breach of Demise Korok</t>
  </si>
  <si>
    <t>Breman Peak Korok #01</t>
  </si>
  <si>
    <t>Breman Peak Korok #02</t>
  </si>
  <si>
    <t>Bridge of Eldin Korok</t>
  </si>
  <si>
    <t>Bridge of Hylia Korok #01</t>
  </si>
  <si>
    <t>Bridge of Hylia Korok #02</t>
  </si>
  <si>
    <t>Bridge of Hylia Korok #03</t>
  </si>
  <si>
    <t>Bridge of Hylia Korok #04</t>
  </si>
  <si>
    <t>Broca Island Korok</t>
  </si>
  <si>
    <t>Bronas Forest Korok #01</t>
  </si>
  <si>
    <t>Bronas Forest Korok #02</t>
  </si>
  <si>
    <t>Brynna Plain Korok</t>
  </si>
  <si>
    <t>Bubinga Forest Korok</t>
  </si>
  <si>
    <t>Camphor Pond Korok</t>
  </si>
  <si>
    <t>Cape Cales Korok #01</t>
  </si>
  <si>
    <t>Cape Cales Korok #02</t>
  </si>
  <si>
    <t>Cape Cales Korok #03</t>
  </si>
  <si>
    <t>Castle Town Prison Korok #01</t>
  </si>
  <si>
    <t>Castle Town Prison Korok #02</t>
  </si>
  <si>
    <t>Castle Town Prison Korok #03</t>
  </si>
  <si>
    <t>Central Square Korok #01</t>
  </si>
  <si>
    <t>Central Square Korok #02</t>
  </si>
  <si>
    <t>Central Square Korok #03</t>
  </si>
  <si>
    <t>Cephla Lake Korok</t>
  </si>
  <si>
    <t>Champion's Gate Korok</t>
  </si>
  <si>
    <t>Clarnet Coast Korok</t>
  </si>
  <si>
    <t>Cliffs of Quince Korok #01</t>
  </si>
  <si>
    <t>Cliffs of Quince Korok #02</t>
  </si>
  <si>
    <t>Coldsnap Hollow Korok</t>
  </si>
  <si>
    <t>Coliseum Ruins Korok</t>
  </si>
  <si>
    <t>Cora Lake Korok #01</t>
  </si>
  <si>
    <t>Cora Lake Korok #02</t>
  </si>
  <si>
    <t>Corvash Peak Korok</t>
  </si>
  <si>
    <t>Courage Island Korok</t>
  </si>
  <si>
    <t>Courage Steppe Korok</t>
  </si>
  <si>
    <t>Crenel Hills Korok #01</t>
  </si>
  <si>
    <t>Crenel Hills Korok #02</t>
  </si>
  <si>
    <t>Crenel Hills Korok #03</t>
  </si>
  <si>
    <t>Crenel Hills Korok #04</t>
  </si>
  <si>
    <t>Crenel Peak Korok #01</t>
  </si>
  <si>
    <t>Crenel Peak Korok #02</t>
  </si>
  <si>
    <t>Crenel Peak Korok #03</t>
  </si>
  <si>
    <t>Cuho Mountain Korok</t>
  </si>
  <si>
    <t>Dalite Forest Korok #01</t>
  </si>
  <si>
    <t>Dalite Forest Korok #02</t>
  </si>
  <si>
    <t>Dalite Forest Korok #03</t>
  </si>
  <si>
    <t>Damel Forest Korok</t>
  </si>
  <si>
    <t>Darunia Lake Korok #01</t>
  </si>
  <si>
    <t>Darunia Lake Korok #02</t>
  </si>
  <si>
    <t>Darunia Lake Korok #03</t>
  </si>
  <si>
    <t>Daval Peak Korok #01</t>
  </si>
  <si>
    <t>Daval Peak Korok #02</t>
  </si>
  <si>
    <t>Davdi Island Korok</t>
  </si>
  <si>
    <t>Death Mountain Korok #01</t>
  </si>
  <si>
    <t>Death Mountain Korok #02</t>
  </si>
  <si>
    <t>Death Mountain West Site Korok #01</t>
  </si>
  <si>
    <t>Death Mountain West Site Korok #02</t>
  </si>
  <si>
    <t>Deepback Bay Korok</t>
  </si>
  <si>
    <t>Deya Lake Korok</t>
  </si>
  <si>
    <t>Deya Village Ruins Korok #01</t>
  </si>
  <si>
    <t>Deya Village Ruins Korok #02</t>
  </si>
  <si>
    <t>Digdogg Suspension Bridge Korok #01</t>
  </si>
  <si>
    <t>Digdogg Suspension Bridge Korok #02</t>
  </si>
  <si>
    <t>Digdogg Suspension Bridge Korok #03</t>
  </si>
  <si>
    <t>Dragon Bone Mire Korok #01</t>
  </si>
  <si>
    <t>Dragon Bone Mire Korok #02</t>
  </si>
  <si>
    <t>Dragon's Exile Korok</t>
  </si>
  <si>
    <t>Dragonhead Island Korok</t>
  </si>
  <si>
    <t>Drenan Highlands Korok #01</t>
  </si>
  <si>
    <t>Drenan Highlands Korok #02</t>
  </si>
  <si>
    <t>Dueling Peaks North Korok #01</t>
  </si>
  <si>
    <t>Dueling Peaks North Korok #02</t>
  </si>
  <si>
    <t>Dueling Peaks North Korok #03</t>
  </si>
  <si>
    <t>Dueling Peaks North Korok #04</t>
  </si>
  <si>
    <t>Dueling Peaks North Korok #05</t>
  </si>
  <si>
    <t>Dueling Peaks South Korok #01</t>
  </si>
  <si>
    <t>Dueling Peaks South Korok #02</t>
  </si>
  <si>
    <t>Dueling Peaks South Korok #03</t>
  </si>
  <si>
    <t>Dueling Peaks South Korok #04</t>
  </si>
  <si>
    <t>Dueling Peaks South Korok #05</t>
  </si>
  <si>
    <t>Dueling Peaks Stable Korok #01</t>
  </si>
  <si>
    <t>Dueling Peaks Stable Korok #02</t>
  </si>
  <si>
    <t>Dunsel Plateau Korok</t>
  </si>
  <si>
    <t>Eagus Bridge Korok</t>
  </si>
  <si>
    <t>East Akkala Plains Korok</t>
  </si>
  <si>
    <t>East Akkala Stable Korok</t>
  </si>
  <si>
    <t>East Barrens Korok #01</t>
  </si>
  <si>
    <t>East Barrens Korok #02</t>
  </si>
  <si>
    <t>East Barrens Korok #03</t>
  </si>
  <si>
    <t>East Castle Town Korok</t>
  </si>
  <si>
    <t>East Deplian Badlands Korok</t>
  </si>
  <si>
    <t>East Gerudo Mesa Korok #01</t>
  </si>
  <si>
    <t>East Gerudo Mesa Korok #02</t>
  </si>
  <si>
    <t>East Gerudo Ruins Korok</t>
  </si>
  <si>
    <t>East Gerudo Sky Archipelago Korok</t>
  </si>
  <si>
    <t>East Hebra Sky Archipelago Korok #01</t>
  </si>
  <si>
    <t>East Hebra Sky Archipelago Korok #02</t>
  </si>
  <si>
    <t>East Hill Korok</t>
  </si>
  <si>
    <t>East of Digdogg Suspension Bridge Korok</t>
  </si>
  <si>
    <t>East of Gerudo Town Korok #01</t>
  </si>
  <si>
    <t>East of Gerudo Town Korok #02</t>
  </si>
  <si>
    <t>East of Hebra's North Crest Korok</t>
  </si>
  <si>
    <t>East of Hills of Baumer Korok</t>
  </si>
  <si>
    <t>East of Octorok Lake Korok</t>
  </si>
  <si>
    <t>East of Oren Bridge Korok #01</t>
  </si>
  <si>
    <t>East of Oren Bridge Korok #02</t>
  </si>
  <si>
    <t>East Reservoir Lake Korok #01</t>
  </si>
  <si>
    <t>East Reservoir Lake Korok #02</t>
  </si>
  <si>
    <t>East Reservoir Lake Korok #03</t>
  </si>
  <si>
    <t>East Sokkala Bridge Korok</t>
  </si>
  <si>
    <t>Eastern Abbey Korok</t>
  </si>
  <si>
    <t>Ebara Forest Korok</t>
  </si>
  <si>
    <t>Ebon Mountain Korok #01</t>
  </si>
  <si>
    <t>Ebon Mountain Korok #02</t>
  </si>
  <si>
    <t>Eldin Great Skeleton Korok</t>
  </si>
  <si>
    <t>Eldin's Flank Korok</t>
  </si>
  <si>
    <t>Elma Knolls Korok</t>
  </si>
  <si>
    <t>Eventide Island Korok #01</t>
  </si>
  <si>
    <t>Eventide Island Korok #02</t>
  </si>
  <si>
    <t>Eventide Island Korok #03</t>
  </si>
  <si>
    <t>Eventide Island Korok #04</t>
  </si>
  <si>
    <t>Faron Sky Archipelago Korok</t>
  </si>
  <si>
    <t>Farosh Hills Korok #01</t>
  </si>
  <si>
    <t>Farosh Hills Korok #02</t>
  </si>
  <si>
    <t>Finra Woods Korok #01</t>
  </si>
  <si>
    <t>Finra Woods Korok #02</t>
  </si>
  <si>
    <t>Fir River Korok</t>
  </si>
  <si>
    <t>Firly Plateau Korok</t>
  </si>
  <si>
    <t>Firly Pond Korok</t>
  </si>
  <si>
    <t>Flight Range Korok</t>
  </si>
  <si>
    <t>Floria Bridge Korok</t>
  </si>
  <si>
    <t>Floria Falls Korok</t>
  </si>
  <si>
    <t>Floria River Korok</t>
  </si>
  <si>
    <t>Foothill Stable Korok #01</t>
  </si>
  <si>
    <t>Foothill Stable Korok #02</t>
  </si>
  <si>
    <t>Foothill Stable Korok #03</t>
  </si>
  <si>
    <t>Forest of Spirits Korok #01</t>
  </si>
  <si>
    <t>Forest of Spirits Korok #02</t>
  </si>
  <si>
    <t>Forest of Spirits Korok #03</t>
  </si>
  <si>
    <t>Forgotten Temple Korok #01</t>
  </si>
  <si>
    <t>Forgotten Temple Korok #02</t>
  </si>
  <si>
    <t>Fort Hateno Korok</t>
  </si>
  <si>
    <t>Gatepost Town Ruins Korok</t>
  </si>
  <si>
    <t>Gero Pond Korok</t>
  </si>
  <si>
    <t>Gerudo Canyon Korok #01</t>
  </si>
  <si>
    <t>Gerudo Canyon Korok #02</t>
  </si>
  <si>
    <t>Gerudo Canyon Korok #03</t>
  </si>
  <si>
    <t>Gerudo Canyon Korok #04</t>
  </si>
  <si>
    <t>Gerudo Canyon Korok #05</t>
  </si>
  <si>
    <t>Gerudo Canyon Korok #06</t>
  </si>
  <si>
    <t>Gerudo Canyon Korok #07</t>
  </si>
  <si>
    <t>Gerudo Canyon Korok #08</t>
  </si>
  <si>
    <t>Gerudo Canyon Korok #09</t>
  </si>
  <si>
    <t>Gerudo Desert Gateway Korok #01</t>
  </si>
  <si>
    <t>Gerudo Desert Gateway Korok #02</t>
  </si>
  <si>
    <t>Gerudo Great Skeleton Korok</t>
  </si>
  <si>
    <t>Gerudo Summit Korok #01</t>
  </si>
  <si>
    <t>Gerudo Summit Korok #02</t>
  </si>
  <si>
    <t>Gerudo Summit Korok #03</t>
  </si>
  <si>
    <t>Gerudo Summit East Korok #01</t>
  </si>
  <si>
    <t>Gerudo Summit East Korok #02</t>
  </si>
  <si>
    <t>Gerudo Summit East Korok #03</t>
  </si>
  <si>
    <t>Gerudo Town Korok #01</t>
  </si>
  <si>
    <t>Gerudo Town Korok #02</t>
  </si>
  <si>
    <t>Gerudo Town Korok #03</t>
  </si>
  <si>
    <t>Gerudo Town Korok #04</t>
  </si>
  <si>
    <t>Giant's Forest Korok #01</t>
  </si>
  <si>
    <t>Giant's Forest Korok #02</t>
  </si>
  <si>
    <t>Gisa Crater Korok #01</t>
  </si>
  <si>
    <t>Gisa Crater Korok #02</t>
  </si>
  <si>
    <t>Goflam's Secret Hot Spring Korok #01</t>
  </si>
  <si>
    <t>Goflam's Secret Hot Spring Korok #02</t>
  </si>
  <si>
    <t>Golow River Korok</t>
  </si>
  <si>
    <t>Goponga Island Korok</t>
  </si>
  <si>
    <t>Gorko Lake Korok</t>
  </si>
  <si>
    <t>Gorko Tunnel Korok</t>
  </si>
  <si>
    <t>Goro Cove Korok #01</t>
  </si>
  <si>
    <t>Goro Cove Korok #02</t>
  </si>
  <si>
    <t>Goro Cove Korok #03</t>
  </si>
  <si>
    <t>Goron City Korok #01</t>
  </si>
  <si>
    <t>Goron City Korok #02</t>
  </si>
  <si>
    <t>Goron City Korok #03</t>
  </si>
  <si>
    <t>Goron City Korok #04</t>
  </si>
  <si>
    <t>Goron City Korok #05</t>
  </si>
  <si>
    <t>Goron Hot Springs Korok</t>
  </si>
  <si>
    <t>Goronbi Lake Korok</t>
  </si>
  <si>
    <t>Goronbi River Korok #01</t>
  </si>
  <si>
    <t>Goronbi River Korok #02</t>
  </si>
  <si>
    <t>Goronbi River Korok #03</t>
  </si>
  <si>
    <t>Great Cliffs Korok #01</t>
  </si>
  <si>
    <t>Great Cliffs Korok #02</t>
  </si>
  <si>
    <t>Great Cliffs Korok #03</t>
  </si>
  <si>
    <t>Great Plateau North Korok #01</t>
  </si>
  <si>
    <t>Great Plateau North Korok #02</t>
  </si>
  <si>
    <t>Great Plateau South Korok #01</t>
  </si>
  <si>
    <t>Great Plateau South Korok #02</t>
  </si>
  <si>
    <t>Great Plateau South Korok #03</t>
  </si>
  <si>
    <t>Great Plateau West Korok #01</t>
  </si>
  <si>
    <t>Great Plateau West Korok #02</t>
  </si>
  <si>
    <t>Great Sky Island Korok #02</t>
  </si>
  <si>
    <t>Great Sky Island Korok #03</t>
  </si>
  <si>
    <t>Great Sky Island Korok #04</t>
  </si>
  <si>
    <t>Great Sky Island Korok #05</t>
  </si>
  <si>
    <t>Great Sky Island Korok #06</t>
  </si>
  <si>
    <t>Great Sky Island Korok #07</t>
  </si>
  <si>
    <t>Great Sky Island Korok #08</t>
  </si>
  <si>
    <t>Great Sky Island Korok #09</t>
  </si>
  <si>
    <t>Great Sky Island Korok #10</t>
  </si>
  <si>
    <t>Great Sky Island Korok #11</t>
  </si>
  <si>
    <t>Great Sky Island Korok #12</t>
  </si>
  <si>
    <t>Great Sky Island Korok #13</t>
  </si>
  <si>
    <t>Great Sky Island Korok #14</t>
  </si>
  <si>
    <t>Great Sky Island Korok #15</t>
  </si>
  <si>
    <t>Great Sky Island Korok #16</t>
  </si>
  <si>
    <t>Great Sky Island Korok #17</t>
  </si>
  <si>
    <t>Great Zora Bridge Korok</t>
  </si>
  <si>
    <t>Guchini Plain Korok</t>
  </si>
  <si>
    <t>Guchini Plain Barrows Korok</t>
  </si>
  <si>
    <t>Gut Check Rock Korok</t>
  </si>
  <si>
    <t>Hateno Ancient Tech Lab Korok</t>
  </si>
  <si>
    <t>Hateno Bay Korok #01</t>
  </si>
  <si>
    <t>Hateno Bay Korok #02</t>
  </si>
  <si>
    <t>Hateno Beach Korok</t>
  </si>
  <si>
    <t>Hateno Village Korok #01</t>
  </si>
  <si>
    <t>Hateno Village Korok #02</t>
  </si>
  <si>
    <t>Hateno Village Korok #03</t>
  </si>
  <si>
    <t>Hateno Village Korok #04</t>
  </si>
  <si>
    <t>Hebra East Summit Korok #01</t>
  </si>
  <si>
    <t>Hebra East Summit Korok #02</t>
  </si>
  <si>
    <t>Hebra Falls Korok #01</t>
  </si>
  <si>
    <t>Hebra Falls Korok #02</t>
  </si>
  <si>
    <t>Hebra Falls Korok #03</t>
  </si>
  <si>
    <t>Hebra Great Skeleton Korok #01</t>
  </si>
  <si>
    <t>Hebra Great Skeleton Korok #02</t>
  </si>
  <si>
    <t>Hebra North Crest Korok #01</t>
  </si>
  <si>
    <t>Hebra North Crest Korok #02</t>
  </si>
  <si>
    <t>Hebra North Summit Korok</t>
  </si>
  <si>
    <t>Hebra Plunge Korok #01</t>
  </si>
  <si>
    <t>Hebra Plunge Korok #02</t>
  </si>
  <si>
    <t>Hebra Plunge Korok #03</t>
  </si>
  <si>
    <t>Hebra Trailhead Lodge Korok</t>
  </si>
  <si>
    <t>Hebra Tundra Korok #01</t>
  </si>
  <si>
    <t>Hebra Tundra Korok #02</t>
  </si>
  <si>
    <t>Hebra Tundra Korok #03</t>
  </si>
  <si>
    <t>Hebra West Summit Korok #01</t>
  </si>
  <si>
    <t>Hebra West Summit Korok #02</t>
  </si>
  <si>
    <t>Hebra West Summit Korok #03</t>
  </si>
  <si>
    <t>Helmhead Bridge Korok</t>
  </si>
  <si>
    <t>Hickaly Woods Korok #01</t>
  </si>
  <si>
    <t>Hickaly Woods Korok #02</t>
  </si>
  <si>
    <t>Highland Stable Korok</t>
  </si>
  <si>
    <t>Hills of Baumer North Korok #01</t>
  </si>
  <si>
    <t>Hills of Baumer North Korok #02</t>
  </si>
  <si>
    <t>Hills of Baumer South Korok #01</t>
  </si>
  <si>
    <t>Hills of Baumer South Korok #02</t>
  </si>
  <si>
    <t>Hopper Pond Korok</t>
  </si>
  <si>
    <t>Horse God Bridge Korok</t>
  </si>
  <si>
    <t>Horwell Bridge Korok</t>
  </si>
  <si>
    <t>Hylia Island Korok</t>
  </si>
  <si>
    <t>Hylia River Korok #01</t>
  </si>
  <si>
    <t>Hylia River Korok #02</t>
  </si>
  <si>
    <t>Hylia River Korok #03</t>
  </si>
  <si>
    <t>Hylia River Korok #04</t>
  </si>
  <si>
    <t>Hylia River Korok #05</t>
  </si>
  <si>
    <t>Hylia River Korok #06</t>
  </si>
  <si>
    <t>Hyrule Castle Bridge Korok #01</t>
  </si>
  <si>
    <t>Hyrule Castle Bridge Korok #02</t>
  </si>
  <si>
    <t>Hyrule Castle Dining Hall Korok</t>
  </si>
  <si>
    <t>Hyrule Castle Docks Korok #01</t>
  </si>
  <si>
    <t>Hyrule Castle Docks Korok #02</t>
  </si>
  <si>
    <t>Hyrule Castle East Korok #01</t>
  </si>
  <si>
    <t>Hyrule Castle East Korok #02</t>
  </si>
  <si>
    <t>Hyrule Castle East Korok #03</t>
  </si>
  <si>
    <t>Hyrule Castle First Gatehouse Korok #01</t>
  </si>
  <si>
    <t>Hyrule Castle First Gatehouse Korok #02</t>
  </si>
  <si>
    <t>Hyrule Castle First Gatehouse Korok #03</t>
  </si>
  <si>
    <t>Hyrule Castle First Gatehouse Korok #04</t>
  </si>
  <si>
    <t>Hyrule Castle First Gatehouse Korok #05</t>
  </si>
  <si>
    <t>Hyrule Castle First Gatehouse Korok #06</t>
  </si>
  <si>
    <t>Hyrule Castle Lockup Korok</t>
  </si>
  <si>
    <t>Hyrule Castle Moat West Korok #01</t>
  </si>
  <si>
    <t>Hyrule Castle Moat West Korok #02</t>
  </si>
  <si>
    <t>Hyrule Castle North Korok</t>
  </si>
  <si>
    <t>Hyrule Castle Observation Room Korok</t>
  </si>
  <si>
    <t>Hyrule Castle Sanctum Korok #01</t>
  </si>
  <si>
    <t>Hyrule Castle Sanctum Korok #02</t>
  </si>
  <si>
    <t>Hyrule Castle Sanctum Korok #03</t>
  </si>
  <si>
    <t>Hyrule Castle Town Outer Wall Korok</t>
  </si>
  <si>
    <t>Hyrule Castle Zelda's Study Korok #01</t>
  </si>
  <si>
    <t>Hyrule Castle Zelda's Study Korok #02</t>
  </si>
  <si>
    <t>Hyrule Cathedral Korok</t>
  </si>
  <si>
    <t>Hyrule Forest Park Korok #01</t>
  </si>
  <si>
    <t>Hyrule Forest Park Korok #02</t>
  </si>
  <si>
    <t>Hyrule Garrison Ruins Korok</t>
  </si>
  <si>
    <t>Ibara Butte Korok</t>
  </si>
  <si>
    <t>Icefall Foothills Korok #01</t>
  </si>
  <si>
    <t>Icefall Foothills Korok #02</t>
  </si>
  <si>
    <t>Illumeni Plateau Korok #01</t>
  </si>
  <si>
    <t>Illumeni Plateau Korok #02</t>
  </si>
  <si>
    <t>Inogo Bridge Korok</t>
  </si>
  <si>
    <t>Irch Plain Korok #01</t>
  </si>
  <si>
    <t>Irch Plain Korok #02</t>
  </si>
  <si>
    <t>Ja'Abu Ridge Korok #01</t>
  </si>
  <si>
    <t>Ja'Abu Ridge Korok #02</t>
  </si>
  <si>
    <t>Ja'Abu Ridge Korok #03</t>
  </si>
  <si>
    <t>Jeddo Bridge Korok</t>
  </si>
  <si>
    <t>Kaepora Pass Korok #01</t>
  </si>
  <si>
    <t>Kaepora Pass Korok #02</t>
  </si>
  <si>
    <t>Kakariko Bridge Korok</t>
  </si>
  <si>
    <t>Kakariko Village Korok #01</t>
  </si>
  <si>
    <t>Kakariko Village Korok #02</t>
  </si>
  <si>
    <t>Kakariko Village Korok #03</t>
  </si>
  <si>
    <t>Kakariko Village Korok #04</t>
  </si>
  <si>
    <t>Kakariko Village Korok #05</t>
  </si>
  <si>
    <t>Kamah Plateau Korok #01</t>
  </si>
  <si>
    <t>Kamah Plateau Korok #02</t>
  </si>
  <si>
    <t>Kanalet Ridge Korok</t>
  </si>
  <si>
    <t>Kara Kara Bazaar Korok</t>
  </si>
  <si>
    <t>Karusa Valley Korok #01</t>
  </si>
  <si>
    <t>Karusa Valley Korok #02</t>
  </si>
  <si>
    <t>Karusa Valley Korok #03</t>
  </si>
  <si>
    <t>Karusa Valley Korok #04</t>
  </si>
  <si>
    <t>Karusa Valley Korok #05</t>
  </si>
  <si>
    <t>Karusa Valley Korok #06</t>
  </si>
  <si>
    <t>Karusa Valley Korok #07</t>
  </si>
  <si>
    <t>Kincean Island Korok</t>
  </si>
  <si>
    <t>Kitano Bay Korok</t>
  </si>
  <si>
    <t>Kolami Bridge Korok</t>
  </si>
  <si>
    <t>Komo Shoreline Korok</t>
  </si>
  <si>
    <t>Lake Darman Korok #01</t>
  </si>
  <si>
    <t>Lake Darman Korok #02</t>
  </si>
  <si>
    <t>Lake Darman Korok #03</t>
  </si>
  <si>
    <t>Lake Darman Korok #04</t>
  </si>
  <si>
    <t>Lake Ferona Korok</t>
  </si>
  <si>
    <t>Lake Floria Korok</t>
  </si>
  <si>
    <t>Lake Hylia Korok #01</t>
  </si>
  <si>
    <t>Lake Hylia Korok #02</t>
  </si>
  <si>
    <t>Lake Hylia Korok #03</t>
  </si>
  <si>
    <t>Lake Hylia Korok #04</t>
  </si>
  <si>
    <t>Lake Hylia Korok #05</t>
  </si>
  <si>
    <t>Lake Hylia Korok #06</t>
  </si>
  <si>
    <t>Lake Hylia Korok #07</t>
  </si>
  <si>
    <t>Lake Illumeni Korok</t>
  </si>
  <si>
    <t>Lake Intenoch Korok</t>
  </si>
  <si>
    <t>Lake Kilsie Korok #01</t>
  </si>
  <si>
    <t>Lake Kilsie Korok #02</t>
  </si>
  <si>
    <t>Lake Kilsie Korok #03</t>
  </si>
  <si>
    <t>Lake Kilsie Korok #04</t>
  </si>
  <si>
    <t>Lake Kilsie Korok #05</t>
  </si>
  <si>
    <t>Lake Kolomo Korok #01</t>
  </si>
  <si>
    <t>Lake Kolomo Korok #02</t>
  </si>
  <si>
    <t>Lake Kolomo Korok #03</t>
  </si>
  <si>
    <t>Lake Mekar Korok</t>
  </si>
  <si>
    <t>Lake Siela Korok #01</t>
  </si>
  <si>
    <t>Lake Siela Korok #02</t>
  </si>
  <si>
    <t>Lake Siela Korok #03</t>
  </si>
  <si>
    <t>Lake Siela Korok #04</t>
  </si>
  <si>
    <t>Lake Siela Korok #05</t>
  </si>
  <si>
    <t>Lake Sumac Korok</t>
  </si>
  <si>
    <t>Lake Totori Korok #01</t>
  </si>
  <si>
    <t>Lake Totori Korok #02</t>
  </si>
  <si>
    <t>Lake Totori Korok #03</t>
  </si>
  <si>
    <t>Lake Totori Korok #04</t>
  </si>
  <si>
    <t>Lake Totori West Korok #01</t>
  </si>
  <si>
    <t>Lake Totori West Korok #02</t>
  </si>
  <si>
    <t>Lake Totori West Korok #03</t>
  </si>
  <si>
    <t>Lake Totori West Korok #04</t>
  </si>
  <si>
    <t>Lakeside Stable Korok</t>
  </si>
  <si>
    <t>Lanayru Bay Korok #01</t>
  </si>
  <si>
    <t>Lanayru Bay Korok #02</t>
  </si>
  <si>
    <t>Lanayru Bay Korok #03</t>
  </si>
  <si>
    <t>Lanayru Bay Korok #04</t>
  </si>
  <si>
    <t>Lanayru Bay Korok #05</t>
  </si>
  <si>
    <t>Lanayru Heights Korok</t>
  </si>
  <si>
    <t>Lanayru Promenade Korok #01</t>
  </si>
  <si>
    <t>Lanayru Promenade Korok #02</t>
  </si>
  <si>
    <t>Lanayru Promenade Korok #03</t>
  </si>
  <si>
    <t>Lanayru Road West Gate Korok</t>
  </si>
  <si>
    <t>Lanayru Sky Archipelago Korok</t>
  </si>
  <si>
    <t>Laparoh Mesa Korok #01</t>
  </si>
  <si>
    <t>Laparoh Mesa Korok #02</t>
  </si>
  <si>
    <t>Laparoh Mesa Korok #03</t>
  </si>
  <si>
    <t>Laparoh Mesa Korok #04</t>
  </si>
  <si>
    <t>Laverra Beach Korok</t>
  </si>
  <si>
    <t>Lightcast Island Korok #01</t>
  </si>
  <si>
    <t>Lightcast Island Korok #02</t>
  </si>
  <si>
    <t>Lightcast Island Korok #03</t>
  </si>
  <si>
    <t>Lindor's Brow Korok #01</t>
  </si>
  <si>
    <t>Lindor's Brow Korok #02</t>
  </si>
  <si>
    <t>Link's House Korok #01</t>
  </si>
  <si>
    <t>Link's House Korok #02</t>
  </si>
  <si>
    <t>Link's House Korok #03</t>
  </si>
  <si>
    <t>Lodge Korok</t>
  </si>
  <si>
    <t>Lodrum Headland Korok #01</t>
  </si>
  <si>
    <t>Lodrum Headland Korok #02</t>
  </si>
  <si>
    <t>Lodrum Headland Korok #03</t>
  </si>
  <si>
    <t>Lomei Labyrinth Island Korok</t>
  </si>
  <si>
    <t>Lomei Sky Labyrinth Korok</t>
  </si>
  <si>
    <t>Lookout post Korok</t>
  </si>
  <si>
    <t>Ludfo's Bog Korok #01</t>
  </si>
  <si>
    <t>Ludfo's Bog Korok #02</t>
  </si>
  <si>
    <t>Ludfo's Bog Korok #03</t>
  </si>
  <si>
    <t>Lurelin Village Korok</t>
  </si>
  <si>
    <t>Mabe Prairie Korok #01</t>
  </si>
  <si>
    <t>Mabe Prairie Korok #02</t>
  </si>
  <si>
    <t>Mable Ridge Korok</t>
  </si>
  <si>
    <t>Madorna Mountain Korok #01</t>
  </si>
  <si>
    <t>Madorna Mountain Korok #02</t>
  </si>
  <si>
    <t>Madorna Mountain Korok #03</t>
  </si>
  <si>
    <t>Malanya Spring Korok</t>
  </si>
  <si>
    <t>Malin Bay Korok</t>
  </si>
  <si>
    <t>Manhala Bridge Korok #01</t>
  </si>
  <si>
    <t>Manhala Bridge Korok #02</t>
  </si>
  <si>
    <t>Mapla Point Korok</t>
  </si>
  <si>
    <t>Marblod Plain Korok</t>
  </si>
  <si>
    <t>Martha's Landing Korok #01</t>
  </si>
  <si>
    <t>Martha's Landing Korok #02</t>
  </si>
  <si>
    <t>Maw of Death Mountain Korok #01</t>
  </si>
  <si>
    <t>Maw of Death Mountain Korok #02</t>
  </si>
  <si>
    <t>Meda Mountain Korok</t>
  </si>
  <si>
    <t>Medingo Pool Korok</t>
  </si>
  <si>
    <t>Menoat River Korok</t>
  </si>
  <si>
    <t>Military Training Camp Korok #01</t>
  </si>
  <si>
    <t>Military Training Camp Korok #02</t>
  </si>
  <si>
    <t>Military Training Camp Korok #03</t>
  </si>
  <si>
    <t>Millennio Sandbar Korok #01</t>
  </si>
  <si>
    <t>Millennio Sandbar Korok #02</t>
  </si>
  <si>
    <t>Millennio Sandbar Korok #03</t>
  </si>
  <si>
    <t>Minshi Woods Korok</t>
  </si>
  <si>
    <t>Moat Bridge Korok</t>
  </si>
  <si>
    <t>Moor Garrison Ruins Korok #01</t>
  </si>
  <si>
    <t>Moor Garrison Ruins Korok #02</t>
  </si>
  <si>
    <t>Mount Daphnes Korok #01</t>
  </si>
  <si>
    <t>Mount Daphnes Korok #02</t>
  </si>
  <si>
    <t>Mount Drena Korok #01</t>
  </si>
  <si>
    <t>Mount Drena Korok #02</t>
  </si>
  <si>
    <t>Mount Drena Korok #03</t>
  </si>
  <si>
    <t>Mount Drena Korok #04</t>
  </si>
  <si>
    <t>Mount Drena Korok #05</t>
  </si>
  <si>
    <t>Mount Faloraa Korok #01</t>
  </si>
  <si>
    <t>Mount Faloraa Korok #02</t>
  </si>
  <si>
    <t>Mount Floria Korok #01</t>
  </si>
  <si>
    <t>Mount Floria Korok #02</t>
  </si>
  <si>
    <t>Mount Floria Korok #03</t>
  </si>
  <si>
    <t>Mount Floria Cave Korok</t>
  </si>
  <si>
    <t>Mount Granajh Korok</t>
  </si>
  <si>
    <t>Mount Gustaf Korok #01</t>
  </si>
  <si>
    <t>Mount Gustaf Korok #02</t>
  </si>
  <si>
    <t>Mount Hylia Korok</t>
  </si>
  <si>
    <t>Mount Lanayru Korok #01</t>
  </si>
  <si>
    <t>Mount Lanayru Korok #02</t>
  </si>
  <si>
    <t>Mount Lanayru Korok #03</t>
  </si>
  <si>
    <t>Mount Rhoam Korok #01</t>
  </si>
  <si>
    <t>Mount Rhoam Korok #02</t>
  </si>
  <si>
    <t>Mount Rozudo Korok #01</t>
  </si>
  <si>
    <t>Mount Rozudo Korok #02</t>
  </si>
  <si>
    <t>Mount Taran Korok</t>
  </si>
  <si>
    <t>Mystathi's Shelf Korok #01</t>
  </si>
  <si>
    <t>Mystathi's Shelf Korok #02</t>
  </si>
  <si>
    <t>Nabi Lake Korok #01</t>
  </si>
  <si>
    <t>Nabi Lake Korok #02</t>
  </si>
  <si>
    <t>Naydra Snowfield Korok</t>
  </si>
  <si>
    <t>Necluda Sky Archipelago Korok #01</t>
  </si>
  <si>
    <t>Necluda Sky Archipelago Korok #02</t>
  </si>
  <si>
    <t>Nephra Hill Korok #01</t>
  </si>
  <si>
    <t>Nephra Hill Korok #02</t>
  </si>
  <si>
    <t>Nero Hill Korok #01</t>
  </si>
  <si>
    <t>Nero Hill Korok #02</t>
  </si>
  <si>
    <t>Nette Plateau Korok #01</t>
  </si>
  <si>
    <t>Nette Plateau Korok #02</t>
  </si>
  <si>
    <t>Nette Plateau Korok #03</t>
  </si>
  <si>
    <t>Nima Plain Korok #01</t>
  </si>
  <si>
    <t>Nima Plain Korok #02</t>
  </si>
  <si>
    <t>Nirvata Plateau Korok</t>
  </si>
  <si>
    <t>North Akkala Beach Korok</t>
  </si>
  <si>
    <t>North Akkala Foothill Korok #01</t>
  </si>
  <si>
    <t>North Akkala Foothill Korok #02</t>
  </si>
  <si>
    <t>North Akkala Valley Korok</t>
  </si>
  <si>
    <t>North Gerudo Ruins Korok</t>
  </si>
  <si>
    <t>North Gerudo Sky Archipelago Korok</t>
  </si>
  <si>
    <t>North Hyrule Plain Korok #01</t>
  </si>
  <si>
    <t>North Hyrule Plain Korok #02</t>
  </si>
  <si>
    <t>North Hyrule Plain Korok #03</t>
  </si>
  <si>
    <t>North Hyrule Sky Archipelago Korok</t>
  </si>
  <si>
    <t>North Lomei Castle Top Floor Korok</t>
  </si>
  <si>
    <t>North Lomei Labyrinth Korok #01</t>
  </si>
  <si>
    <t>North Lomei Labyrinth Korok #02</t>
  </si>
  <si>
    <t>North Lomei Labyrinth Korok #03</t>
  </si>
  <si>
    <t>North Necluda Sky Archipelago Korok</t>
  </si>
  <si>
    <t>North of Fort Hateno Korok</t>
  </si>
  <si>
    <t>North of Hebra's East Summit Korok</t>
  </si>
  <si>
    <t>North of Illumeni Plateau Korok</t>
  </si>
  <si>
    <t>North of Marblod Plain Korok</t>
  </si>
  <si>
    <t>North of Pico Pond Korok</t>
  </si>
  <si>
    <t>North of Pikida Stonegrove Korok</t>
  </si>
  <si>
    <t>North of Washa's Bluff Korok</t>
  </si>
  <si>
    <t>North of Zora River Korok</t>
  </si>
  <si>
    <t>North Tabantha Snowfield Korok #01</t>
  </si>
  <si>
    <t>North Tabantha Snowfield Korok #02</t>
  </si>
  <si>
    <t>North Tabantha Snowfield Korok #03</t>
  </si>
  <si>
    <t>North Tabantha Snowfield Korok #04</t>
  </si>
  <si>
    <t>Northern Icehouse Korok</t>
  </si>
  <si>
    <t>Oakle's Navel Korok #01</t>
  </si>
  <si>
    <t>Oakle's Navel Korok #02</t>
  </si>
  <si>
    <t>Octorok Lake Korok</t>
  </si>
  <si>
    <t>Ordorac Quarry Korok</t>
  </si>
  <si>
    <t>Oren Bridge Korok</t>
  </si>
  <si>
    <t>Orsedd Bridge Korok #01</t>
  </si>
  <si>
    <t>Orsedd Bridge Korok #02</t>
  </si>
  <si>
    <t>Oseira Plains Korok #01</t>
  </si>
  <si>
    <t>Oseira Plains Korok #02</t>
  </si>
  <si>
    <t>Oseira Plains Korok #03</t>
  </si>
  <si>
    <t>Oseira Plains Korok #04</t>
  </si>
  <si>
    <t>Outpost Ruins Korok #01</t>
  </si>
  <si>
    <t>Outpost Ruins Korok #02</t>
  </si>
  <si>
    <t>Outskirt Hill Korok #01</t>
  </si>
  <si>
    <t>Outskirt Hill Korok #02</t>
  </si>
  <si>
    <t>Outskirt Stable Korok #01</t>
  </si>
  <si>
    <t>Outskirt Stable Korok #02</t>
  </si>
  <si>
    <t>Outskirt Stable Korok #03</t>
  </si>
  <si>
    <t>Ovli Plain Korok #01</t>
  </si>
  <si>
    <t>Ovli Plain Korok #02</t>
  </si>
  <si>
    <t>Ovli Plain Korok #03</t>
  </si>
  <si>
    <t>Owlan Bridge Korok</t>
  </si>
  <si>
    <t>Palmorae Beach Korok</t>
  </si>
  <si>
    <t>Palmorae Ruins Korok</t>
  </si>
  <si>
    <t>Palu Wasteland Korok</t>
  </si>
  <si>
    <t>Parache Plains Korok #01</t>
  </si>
  <si>
    <t>Parache Plains Korok #02</t>
  </si>
  <si>
    <t>Parache Plains Korok #03</t>
  </si>
  <si>
    <t>Passer Hill Korok</t>
  </si>
  <si>
    <t>Passeri Greenbelt Korok #01</t>
  </si>
  <si>
    <t>Passeri Greenbelt Korok #02</t>
  </si>
  <si>
    <t>Passeri Greenbelt Korok #03</t>
  </si>
  <si>
    <t>Passeri Greenbelt Korok #04</t>
  </si>
  <si>
    <t>Peak of Awakening Korok</t>
  </si>
  <si>
    <t>Pierre Plateau Korok</t>
  </si>
  <si>
    <t>Pikida Stonegrove Korok #01</t>
  </si>
  <si>
    <t>Pikida Stonegrove Korok #02</t>
  </si>
  <si>
    <t>Piper Ridge Korok #01</t>
  </si>
  <si>
    <t>Piper Ridge Korok #02</t>
  </si>
  <si>
    <t>Piper Ridge Korok #03</t>
  </si>
  <si>
    <t>Piper Ridge Korok #04</t>
  </si>
  <si>
    <t>Piper Ridge Korok #05</t>
  </si>
  <si>
    <t>Popla Foothills Korok #01</t>
  </si>
  <si>
    <t>Popla Foothills Korok #02</t>
  </si>
  <si>
    <t>Popla Foothills Korok #03</t>
  </si>
  <si>
    <t>Proxim Bridge Korok #01</t>
  </si>
  <si>
    <t>Proxim Bridge Korok #02</t>
  </si>
  <si>
    <t>Puffer Beach Korok #01</t>
  </si>
  <si>
    <t>Puffer Beach Korok #02</t>
  </si>
  <si>
    <t>Puffer Beach Korok #03</t>
  </si>
  <si>
    <t>Purifier Lake Korok</t>
  </si>
  <si>
    <t>Quarry Ruins Korok</t>
  </si>
  <si>
    <t>Quatta's Shelf Korok</t>
  </si>
  <si>
    <t>Rabella Wetlands Korok</t>
  </si>
  <si>
    <t>Rabia Plain Korok #01</t>
  </si>
  <si>
    <t>Rabia Plain Korok #02</t>
  </si>
  <si>
    <t>Rabia Plain Korok #03</t>
  </si>
  <si>
    <t>Ralis Pond Korok #01</t>
  </si>
  <si>
    <t>Ralis Pond Korok #02</t>
  </si>
  <si>
    <t>Ranch Ruins Korok</t>
  </si>
  <si>
    <t>Rauru Settlement Ruins Korok</t>
  </si>
  <si>
    <t>Rayne Highlands Korok #01</t>
  </si>
  <si>
    <t>Rayne Highlands Korok #02</t>
  </si>
  <si>
    <t>Rebonae Bridge Korok #01</t>
  </si>
  <si>
    <t>Rebonae Bridge Korok #02</t>
  </si>
  <si>
    <t>Regencia River Korok #01</t>
  </si>
  <si>
    <t>Regencia River Korok #02</t>
  </si>
  <si>
    <t>Regencia River Korok #03</t>
  </si>
  <si>
    <t>Regencia River Korok #04</t>
  </si>
  <si>
    <t>Regencia River Korok #05</t>
  </si>
  <si>
    <t>Regencia River Korok #06</t>
  </si>
  <si>
    <t>Retsam Forest Korok</t>
  </si>
  <si>
    <t>Rimba Beach Korok</t>
  </si>
  <si>
    <t>Riola Spring Korok</t>
  </si>
  <si>
    <t>Rising Island Chain Korok #01</t>
  </si>
  <si>
    <t>Rising Island Chain Korok #02</t>
  </si>
  <si>
    <t>Risoka Snowfield Korok #01</t>
  </si>
  <si>
    <t>Risoka Snowfield Korok #02</t>
  </si>
  <si>
    <t>Risoka Snowfield Korok #03</t>
  </si>
  <si>
    <t>Risoka Snowfield Korok #04</t>
  </si>
  <si>
    <t>Risoka Snowfield Korok #05</t>
  </si>
  <si>
    <t>Rist Peninsula Korok</t>
  </si>
  <si>
    <t>Rito Village Korok #01</t>
  </si>
  <si>
    <t>Rito Village Korok #02</t>
  </si>
  <si>
    <t>Rito Village Korok #03</t>
  </si>
  <si>
    <t>River of the Dead Korok #01</t>
  </si>
  <si>
    <t>River of the Dead Korok #02</t>
  </si>
  <si>
    <t>River of the Dead Korok #03</t>
  </si>
  <si>
    <t>Riverside Stable Korok</t>
  </si>
  <si>
    <t>Robred Dropoff Korok</t>
  </si>
  <si>
    <t>Rodai Lake Korok</t>
  </si>
  <si>
    <t>Rok Woods Korok #01</t>
  </si>
  <si>
    <t>Rok Woods Korok #02</t>
  </si>
  <si>
    <t>Romani Plains Korok</t>
  </si>
  <si>
    <t>Rospro Pass Korok</t>
  </si>
  <si>
    <t>Rutala Dam Korok</t>
  </si>
  <si>
    <t>Rutala River Korok #01</t>
  </si>
  <si>
    <t>Rutala River Korok #02</t>
  </si>
  <si>
    <t>Rutala River Korok #03</t>
  </si>
  <si>
    <t>Rutile Lake Korok #01</t>
  </si>
  <si>
    <t>Rutile Lake Korok #02</t>
  </si>
  <si>
    <t>Ruto Lake Korok</t>
  </si>
  <si>
    <t>Ruto Mountain Korok</t>
  </si>
  <si>
    <t>Ruto Precipice Korok</t>
  </si>
  <si>
    <t>Safula Hill Korok #01</t>
  </si>
  <si>
    <t>Safula Hill Korok #02</t>
  </si>
  <si>
    <t>Sage Temple Ruins Korok</t>
  </si>
  <si>
    <t>Sahasra Slope Korok #01</t>
  </si>
  <si>
    <t>Sahasra Slope Korok #02</t>
  </si>
  <si>
    <t>Sahasra Slope Korok #03</t>
  </si>
  <si>
    <t>Sahasra Slope Korok #04</t>
  </si>
  <si>
    <t>Salari Hill Korok #01</t>
  </si>
  <si>
    <t>Salari Hill Korok #02</t>
  </si>
  <si>
    <t>Samasa Plain Korok #01</t>
  </si>
  <si>
    <t>Samasa Plain Korok #02</t>
  </si>
  <si>
    <t>Sanidin Park Ruins Korok</t>
  </si>
  <si>
    <t>Sapphia's Table Korok #01</t>
  </si>
  <si>
    <t>Sapphia's Table Korok #02</t>
  </si>
  <si>
    <t>Sapphia's Table Korok #03</t>
  </si>
  <si>
    <t>Sapphia's Table Korok #04</t>
  </si>
  <si>
    <t>Sarjon Bridge Korok</t>
  </si>
  <si>
    <t>Sarjon Woods Korok #01</t>
  </si>
  <si>
    <t>Sarjon Woods Korok #02</t>
  </si>
  <si>
    <t>Sarjon Woods Korok #03</t>
  </si>
  <si>
    <t>Satori Mountain Korok #01</t>
  </si>
  <si>
    <t>Satori Mountain Korok #02</t>
  </si>
  <si>
    <t>Satori Mountain Korok #03</t>
  </si>
  <si>
    <t>Satori Mountain Korok #04</t>
  </si>
  <si>
    <t>Satori Mountain Korok #05</t>
  </si>
  <si>
    <t>Satori Mountain Korok #06</t>
  </si>
  <si>
    <t>Satori Mountain Korok #07</t>
  </si>
  <si>
    <t>Satori Mountain Korok #08</t>
  </si>
  <si>
    <t>Satori Mountain Korok #09</t>
  </si>
  <si>
    <t>Scout's Hill Korok #01</t>
  </si>
  <si>
    <t>Scout's Hill Korok #02</t>
  </si>
  <si>
    <t>Scout's Hill Korok #03</t>
  </si>
  <si>
    <t>Selmie's Spot Korok</t>
  </si>
  <si>
    <t>Seres Scablands Korok #01</t>
  </si>
  <si>
    <t>Seres Scablands Korok #02</t>
  </si>
  <si>
    <t>Shadow Hamlet Ruins Korok</t>
  </si>
  <si>
    <t>Shadow Pass Korok</t>
  </si>
  <si>
    <t>Shatterback Point Korok</t>
  </si>
  <si>
    <t>Sherfin's Secret Hot Spring Korok</t>
  </si>
  <si>
    <t>Skull Lake Korok #01</t>
  </si>
  <si>
    <t>Skull Lake Korok #02</t>
  </si>
  <si>
    <t>Sky Mine Korok</t>
  </si>
  <si>
    <t>Snowfield Stable Korok</t>
  </si>
  <si>
    <t>Soka Point Korok</t>
  </si>
  <si>
    <t>Sokkala Sky Archipelago Korok</t>
  </si>
  <si>
    <t>Solewood Range Korok</t>
  </si>
  <si>
    <t>South Akkala Stable Korok</t>
  </si>
  <si>
    <t>South Eldin Sky Archipelago Korok #01</t>
  </si>
  <si>
    <t>South Eldin Sky Archipelago Korok #02</t>
  </si>
  <si>
    <t>South Hebra Sky Archipelago Korok</t>
  </si>
  <si>
    <t>South Hyrule Sky Archipelago Korok #01</t>
  </si>
  <si>
    <t>South Hyrule Sky Archipelago Korok #02</t>
  </si>
  <si>
    <t>South Lanayru Sky Archipelago Korok #01</t>
  </si>
  <si>
    <t>South Lanayru Sky Archipelago Korok #02</t>
  </si>
  <si>
    <t>South Lomei Castle Top Floor Korok</t>
  </si>
  <si>
    <t>South Lomei Labyrinth Korok</t>
  </si>
  <si>
    <t>South Nabi Lake Korok</t>
  </si>
  <si>
    <t>South of Baltrea Lake Korok</t>
  </si>
  <si>
    <t>South of Mount Agaat Korok</t>
  </si>
  <si>
    <t>South of Sapphia's Table Korok</t>
  </si>
  <si>
    <t>South Tabantha Snowfield Korok #01</t>
  </si>
  <si>
    <t>South Tabantha Snowfield Korok #02</t>
  </si>
  <si>
    <t>South Tabantha Snowfield Korok #03</t>
  </si>
  <si>
    <t>South Tabantha Snowfield Korok #04</t>
  </si>
  <si>
    <t>South Tabantha Snowfield Korok #05</t>
  </si>
  <si>
    <t>Southern Mine Korok</t>
  </si>
  <si>
    <t>Spectacle Rock Korok #01</t>
  </si>
  <si>
    <t>Spectacle Rock Korok #02</t>
  </si>
  <si>
    <t>Spectacle Rock Korok #03</t>
  </si>
  <si>
    <t>Spectacle Rock Korok #04</t>
  </si>
  <si>
    <t>Spectacle Rock Korok #05</t>
  </si>
  <si>
    <t>Spool Bight Korok #01</t>
  </si>
  <si>
    <t>Spool Bight Korok #02</t>
  </si>
  <si>
    <t>Spring of Courage Korok</t>
  </si>
  <si>
    <t>Spring of Power Korok</t>
  </si>
  <si>
    <t>Squabble River Korok #01</t>
  </si>
  <si>
    <t>Squabble River Korok #02</t>
  </si>
  <si>
    <t>Squabble River Korok #03</t>
  </si>
  <si>
    <t>Stalry Plateau Korok</t>
  </si>
  <si>
    <t>Statue of the Eighth Heroine Korok</t>
  </si>
  <si>
    <t>Stinger Cliffs Korok</t>
  </si>
  <si>
    <t>Strock Lake Korok #01</t>
  </si>
  <si>
    <t>Strock Lake Korok #02</t>
  </si>
  <si>
    <t>Strock Lake Korok #03</t>
  </si>
  <si>
    <t>Strock Lake Korok #04</t>
  </si>
  <si>
    <t>Taafei Hill Korok</t>
  </si>
  <si>
    <t>Tabahl Woods Korok #01</t>
  </si>
  <si>
    <t>Tabahl Woods Korok #02</t>
  </si>
  <si>
    <t>Tabantha Bridge Stable Korok #01</t>
  </si>
  <si>
    <t>Tabantha Bridge Stable Korok #02</t>
  </si>
  <si>
    <t>Tabantha Great Bridge Korok #01</t>
  </si>
  <si>
    <t>Tabantha Great Bridge Korok #02</t>
  </si>
  <si>
    <t>Tabantha Hills Korok #01</t>
  </si>
  <si>
    <t>Tabantha Hills Korok #02</t>
  </si>
  <si>
    <t>Tabantha Hills Korok #03</t>
  </si>
  <si>
    <t>Tabantha Hills Korok #04</t>
  </si>
  <si>
    <t>Tabantha Hills Korok #05</t>
  </si>
  <si>
    <t>Tabantha Sky Archipelago Korok</t>
  </si>
  <si>
    <t>Tabantha Village Ruins Korok</t>
  </si>
  <si>
    <t>Tal Tal Peak Korok #01</t>
  </si>
  <si>
    <t>Tal Tal Peak Korok #02</t>
  </si>
  <si>
    <t>Tal Tal Peak Korok #03</t>
  </si>
  <si>
    <t>Talonto Peak Korok #01</t>
  </si>
  <si>
    <t>Talonto Peak Korok #02</t>
  </si>
  <si>
    <t>Talus Plateau Korok #01</t>
  </si>
  <si>
    <t>Talus Plateau Korok #02</t>
  </si>
  <si>
    <t>Tamio River Korok</t>
  </si>
  <si>
    <t>Tanagar Canyon Korok #01</t>
  </si>
  <si>
    <t>Tanagar Canyon Korok #02</t>
  </si>
  <si>
    <t>Tanagar Canyon Korok #03</t>
  </si>
  <si>
    <t>Tanagar Canyon Korok #04</t>
  </si>
  <si>
    <t>Tanagar Canyon Korok #05</t>
  </si>
  <si>
    <t>Tanagar Canyon Korok #06</t>
  </si>
  <si>
    <t>Tanagar Canyon Korok #07</t>
  </si>
  <si>
    <t>Tanagar Canyon Korok #08</t>
  </si>
  <si>
    <t>Tanagar Canyon Korok #09</t>
  </si>
  <si>
    <t>Tanagar Canyon Korok #10</t>
  </si>
  <si>
    <t>Taran Pass Korok</t>
  </si>
  <si>
    <t>Tarrey Town Korok #01</t>
  </si>
  <si>
    <t>Tarrey Town Korok #02</t>
  </si>
  <si>
    <t>Tarrey Town Race Korok</t>
  </si>
  <si>
    <t>Telta Lake Korok</t>
  </si>
  <si>
    <t>Temple of Time Ruins Korok #01</t>
  </si>
  <si>
    <t>Temple of Time Ruins Korok #02</t>
  </si>
  <si>
    <t>Temple of Time Ruins Korok #03</t>
  </si>
  <si>
    <t>Temple of Time Ruins Korok #04</t>
  </si>
  <si>
    <t>Temto Hill Korok #01</t>
  </si>
  <si>
    <t>Temto Hill Korok #02</t>
  </si>
  <si>
    <t>Tenoko Island Korok #01</t>
  </si>
  <si>
    <t>Tenoko Island Korok #02</t>
  </si>
  <si>
    <t>Ternio Trail Korok</t>
  </si>
  <si>
    <t>Thims Bridge Korok</t>
  </si>
  <si>
    <t>Thunderhead Isles Korok</t>
  </si>
  <si>
    <t>Thundra Plateau Korok</t>
  </si>
  <si>
    <t>Thyphlo Ruins Korok #01</t>
  </si>
  <si>
    <t>Thyphlo Ruins Korok #02</t>
  </si>
  <si>
    <t>Thyphlo Ruins Korok #03</t>
  </si>
  <si>
    <t>Thyphlo Ruins Korok #04</t>
  </si>
  <si>
    <t>Thyphlo Ruins Korok #05</t>
  </si>
  <si>
    <t>Thyphlo Ruins Korok #06</t>
  </si>
  <si>
    <t>Thyphlo Ruins Korok #07</t>
  </si>
  <si>
    <t>Tingel Island Korok</t>
  </si>
  <si>
    <t>Tobio's Hollow Korok</t>
  </si>
  <si>
    <t>Torin Wetland Korok</t>
  </si>
  <si>
    <t>Toto Lake Korok</t>
  </si>
  <si>
    <t>Trilby Plain Korok #01</t>
  </si>
  <si>
    <t>Trilby Plain Korok #02</t>
  </si>
  <si>
    <t>Trilby Valley Korok #01</t>
  </si>
  <si>
    <t>Trilby Valley Korok #02</t>
  </si>
  <si>
    <t>Trotter's Downfall Korok</t>
  </si>
  <si>
    <t>Tuft Mountain Korok</t>
  </si>
  <si>
    <t>Tumlea Heights Korok #01</t>
  </si>
  <si>
    <t>Tumlea Heights Korok #02</t>
  </si>
  <si>
    <t>Tumlea Heights Korok #03</t>
  </si>
  <si>
    <t>Ubota Point Korok #01</t>
  </si>
  <si>
    <t>Ubota Point Korok #02</t>
  </si>
  <si>
    <t>Ubota Point Korok #03</t>
  </si>
  <si>
    <t>Ubota Point Korok #04</t>
  </si>
  <si>
    <t>Ukuku Plains Korok #01</t>
  </si>
  <si>
    <t>Ukuku Plains Korok #02</t>
  </si>
  <si>
    <t>Ulria Grotto Korok #01</t>
  </si>
  <si>
    <t>Ulria Grotto Korok #02</t>
  </si>
  <si>
    <t>Ulria Grotto Korok #03</t>
  </si>
  <si>
    <t>Ulria Grotto Korok #04</t>
  </si>
  <si>
    <t>Ulria Grotto Korok #05</t>
  </si>
  <si>
    <t>Upland Lindor Korok #01</t>
  </si>
  <si>
    <t>Upland Lindor Korok #02</t>
  </si>
  <si>
    <t>Upland Zorana Korok #01</t>
  </si>
  <si>
    <t>Upland Zorana Korok #02</t>
  </si>
  <si>
    <t>Upland Zorana Mountainside Korok</t>
  </si>
  <si>
    <t>Uten Marsh Korok</t>
  </si>
  <si>
    <t>Valor Island Korok</t>
  </si>
  <si>
    <t>Vatorsa Mesa Korok</t>
  </si>
  <si>
    <t>Vatorsa Snowfield Korok #01</t>
  </si>
  <si>
    <t>Vatorsa Snowfield Korok #02</t>
  </si>
  <si>
    <t>Vatorsa Snowfield Korok #03</t>
  </si>
  <si>
    <t>Vatorsa Snowfield Korok #04</t>
  </si>
  <si>
    <t>Vatorsa Snowfield Korok #05</t>
  </si>
  <si>
    <t>Veiled Falls Korok</t>
  </si>
  <si>
    <t>Walnot Mountain Korok</t>
  </si>
  <si>
    <t>Warbler's Nest Korok #01</t>
  </si>
  <si>
    <t>Warbler's Nest Korok #02</t>
  </si>
  <si>
    <t>Washa's Bluff Korok</t>
  </si>
  <si>
    <t>Water Reservoir Korok</t>
  </si>
  <si>
    <t>Wellspring Island Korok #01</t>
  </si>
  <si>
    <t>Wellspring Island Korok #02</t>
  </si>
  <si>
    <t>West Barrens Korok</t>
  </si>
  <si>
    <t>West Deplan Badlands Korok</t>
  </si>
  <si>
    <t>West Gerudo Ruins Korok #01</t>
  </si>
  <si>
    <t>West Gerudo Ruins Korok #02</t>
  </si>
  <si>
    <t>West Gerudo Ruins Korok #03</t>
  </si>
  <si>
    <t>West Gerudo Ruins Korok #04</t>
  </si>
  <si>
    <t>West Hebra Sky Archipelago Korok</t>
  </si>
  <si>
    <t>West Hyrule Plains Korok #01</t>
  </si>
  <si>
    <t>West Hyrule Plains Korok #02</t>
  </si>
  <si>
    <t>West Hyrule Plains Korok #03</t>
  </si>
  <si>
    <t>West Hyrule Plains Korok #04</t>
  </si>
  <si>
    <t>West Necluda Sky Archipelago Korok #01</t>
  </si>
  <si>
    <t>West Necluda Sky Archipelago Korok #02</t>
  </si>
  <si>
    <t>West of Biridia Lookout Korok</t>
  </si>
  <si>
    <t>West of Bridge of Eldin Korok</t>
  </si>
  <si>
    <t>West of Goronbi River Korok #01</t>
  </si>
  <si>
    <t>West of Goronbi River Korok #02</t>
  </si>
  <si>
    <t>West of Goronbi River Korok #03</t>
  </si>
  <si>
    <t>West of Lake Hylia Korok</t>
  </si>
  <si>
    <t>West of Lake Totori Korok</t>
  </si>
  <si>
    <t>West of Nabi Lake Korok</t>
  </si>
  <si>
    <t>West of North Gerudo Ruins Korok</t>
  </si>
  <si>
    <t>West of Scout's Hill Korok</t>
  </si>
  <si>
    <t>Wetland Stable Korok #01</t>
  </si>
  <si>
    <t>Wetland Stable Korok #02</t>
  </si>
  <si>
    <t>Wetland Stable Korok #03</t>
  </si>
  <si>
    <t>Whistling Hill Korok #01</t>
  </si>
  <si>
    <t>Whistling Hill Korok #02</t>
  </si>
  <si>
    <t>Windvane Meadow Korok #01</t>
  </si>
  <si>
    <t>Windvane Meadow Korok #02</t>
  </si>
  <si>
    <t>Windvane Meadow Korok #03</t>
  </si>
  <si>
    <t>Windvane Meadow Korok #04</t>
  </si>
  <si>
    <t>Wintre Island Korok</t>
  </si>
  <si>
    <t>Yarna Valley Korok</t>
  </si>
  <si>
    <t>YunoboCo HQ Korok</t>
  </si>
  <si>
    <t>Zelda's House Korok</t>
  </si>
  <si>
    <t>Zelo Pond Korok #01</t>
  </si>
  <si>
    <t>Zelo Pond Korok #02</t>
  </si>
  <si>
    <t>Zirco Mesa Korok #01</t>
  </si>
  <si>
    <t>Zirco Mesa Korok #02</t>
  </si>
  <si>
    <t>Zirco Mesa Korok #03</t>
  </si>
  <si>
    <t>Zodobon Highlands Korok</t>
  </si>
  <si>
    <t>Zonaite Forge Island Korok #01</t>
  </si>
  <si>
    <t>Zonaite Forge Island Korok #02</t>
  </si>
  <si>
    <t>Zonaite Forge Island Korok #03</t>
  </si>
  <si>
    <t>Zonaite Forge Island Korok #04</t>
  </si>
  <si>
    <t>Zora River Korok #01</t>
  </si>
  <si>
    <t>Zora River Korok #02</t>
  </si>
  <si>
    <t>Zora River Korok #03</t>
  </si>
  <si>
    <t>Zora River Korok #04</t>
  </si>
  <si>
    <t>Zora's Domain Korok #01</t>
  </si>
  <si>
    <t>Zora's Domain Korok #02</t>
  </si>
  <si>
    <t>Zora's Domain Korok #03</t>
  </si>
  <si>
    <t>Zora's Domain Korok #04</t>
  </si>
  <si>
    <t>Zora's Domain Korok #05</t>
  </si>
  <si>
    <t>Strock Lake South</t>
  </si>
  <si>
    <t>Hyrule Castle West</t>
  </si>
  <si>
    <t>Satori Mountain South</t>
  </si>
  <si>
    <t>Gleeok Bridge West</t>
  </si>
  <si>
    <t>Washa's Bluff East</t>
  </si>
  <si>
    <t>West Hebra</t>
  </si>
  <si>
    <t>Hebra West Summit South</t>
  </si>
  <si>
    <t>Hebra West Summit North</t>
  </si>
  <si>
    <t>Hebra East Summit North</t>
  </si>
  <si>
    <t>Lurker in the Lost Woods</t>
  </si>
  <si>
    <t>Eldin Eastern Highlands</t>
  </si>
  <si>
    <t>Goro Cave</t>
  </si>
  <si>
    <t>Goronbi River West</t>
  </si>
  <si>
    <t>South Akkala Plains West</t>
  </si>
  <si>
    <t>Lanayru Range North</t>
  </si>
  <si>
    <t>Byroad to Lanayru Wetlands</t>
  </si>
  <si>
    <t>Batrea Lake East</t>
  </si>
  <si>
    <t>Loshlo Harbor West</t>
  </si>
  <si>
    <t>Horse God Bridge West</t>
  </si>
  <si>
    <t>East Rutimala Hill</t>
  </si>
  <si>
    <t>Biridia Lookout West</t>
  </si>
  <si>
    <t>Central Hyrule Depths</t>
  </si>
  <si>
    <t>Hyrule Ridge Depths</t>
  </si>
  <si>
    <t>Crenel Road</t>
  </si>
  <si>
    <t>Death Mountain Depths</t>
  </si>
  <si>
    <t>Eldin Canyon Depths</t>
  </si>
  <si>
    <t>Eldin Depths</t>
  </si>
  <si>
    <t>Akkala Depths</t>
  </si>
  <si>
    <t>North Akkala Depths</t>
  </si>
  <si>
    <t>Lanayru Depths</t>
  </si>
  <si>
    <t>Mount Lanayru Depths</t>
  </si>
  <si>
    <t>East Necluda Depths</t>
  </si>
  <si>
    <t>Faron Depths</t>
  </si>
  <si>
    <t>Gerudo Depths</t>
  </si>
  <si>
    <t>Gerudo Highlands Depths</t>
  </si>
  <si>
    <t>South Hyrule Field Depths #01</t>
  </si>
  <si>
    <t>South Hyrule Field Depths #02</t>
  </si>
  <si>
    <t>South Hyrule Field Depths #03</t>
  </si>
  <si>
    <t>Hyrule Ridge Depths #01</t>
  </si>
  <si>
    <t>Hyrule Ridge Depths #02</t>
  </si>
  <si>
    <t>Hyrule Ridge Depths #03</t>
  </si>
  <si>
    <t>Hyrule Ridge Depths #04</t>
  </si>
  <si>
    <t>Hebra Mountains Depths #01</t>
  </si>
  <si>
    <t>Hebra Mountains Depths #02</t>
  </si>
  <si>
    <t>Hebra Mountains Depths #03</t>
  </si>
  <si>
    <t>Hebra Mountains Depths #04</t>
  </si>
  <si>
    <t>Great Hyrule Forest Depths #01</t>
  </si>
  <si>
    <t>Great Hyrule Forest Depths #02</t>
  </si>
  <si>
    <t>Eldin Depths #01</t>
  </si>
  <si>
    <t>Eldin Depths #02</t>
  </si>
  <si>
    <t>Lanayru Wetlands Depths #01</t>
  </si>
  <si>
    <t>Lanayru Wetlands Depths #02</t>
  </si>
  <si>
    <t>Mount Lanayru Depths #01</t>
  </si>
  <si>
    <t>Mount Lanayru Depths #02</t>
  </si>
  <si>
    <t>Mount Lanayru Depths #03</t>
  </si>
  <si>
    <t>Faron Depths #01</t>
  </si>
  <si>
    <t>Faron Depths #02</t>
  </si>
  <si>
    <t>Gerudo Highlands Depths #01</t>
  </si>
  <si>
    <t>Gerudo Highlands Depths #02</t>
  </si>
  <si>
    <t>Stone Talus (Luminous)</t>
  </si>
  <si>
    <t>Guardian of the Great Sky Island</t>
  </si>
  <si>
    <t>Flux Construct I</t>
  </si>
  <si>
    <t>Flux Construct III</t>
  </si>
  <si>
    <t>Flux Construct II</t>
  </si>
  <si>
    <t>Guardian of the West Hyrule Sky Archipelago</t>
  </si>
  <si>
    <t>Guardian of the Rising Island Chain</t>
  </si>
  <si>
    <t>Guardian of the South Hyrule Sky Archipelago</t>
  </si>
  <si>
    <t>Guardian of the North Hyrule Sky Archipelago</t>
  </si>
  <si>
    <t>Guardian of the North Akkala Sky Archipelago</t>
  </si>
  <si>
    <t>Guardian of the Sokkala Sky Archipelago</t>
  </si>
  <si>
    <t>Hebra Depths</t>
  </si>
  <si>
    <t>Lanayru Wetlands Depths #03</t>
  </si>
  <si>
    <t>Hinox</t>
  </si>
  <si>
    <t>Lake Totori South</t>
  </si>
  <si>
    <t>Deplian Badlands South</t>
  </si>
  <si>
    <t>Irch Plain South</t>
  </si>
  <si>
    <t>Malin Bay East</t>
  </si>
  <si>
    <t>Horwell Bridge South</t>
  </si>
  <si>
    <t>Ebon Mountain West</t>
  </si>
  <si>
    <t>Harker Lake East</t>
  </si>
  <si>
    <t>The Middle Hinox Brother</t>
  </si>
  <si>
    <t>The Youngest Hinox Brother</t>
  </si>
  <si>
    <t>The Eldest Hinox Brother</t>
  </si>
  <si>
    <t>Central Hyrule Depths #01</t>
  </si>
  <si>
    <t>Central Hyrule Depths #02</t>
  </si>
  <si>
    <t>Central Hyrule Depths #03</t>
  </si>
  <si>
    <t>North Hebra Depths</t>
  </si>
  <si>
    <t>Tabantha Tundra South Depths</t>
  </si>
  <si>
    <t>Skull Lake Depths</t>
  </si>
  <si>
    <t>South Akkala Depths</t>
  </si>
  <si>
    <t>East Necluda Depths #02</t>
  </si>
  <si>
    <t>East Necluda Depths #01</t>
  </si>
  <si>
    <t>Faron Depths #03</t>
  </si>
  <si>
    <t>Faron Depths #04</t>
  </si>
  <si>
    <t>Faron Depths #05</t>
  </si>
  <si>
    <t>Faron Depths #06</t>
  </si>
  <si>
    <t>Gerudo Depths #01</t>
  </si>
  <si>
    <t>Gerudo Depths #02</t>
  </si>
  <si>
    <t>Gerudo Canyon Depths</t>
  </si>
  <si>
    <t>Frox</t>
  </si>
  <si>
    <t>South Hyrule Field Depths #04</t>
  </si>
  <si>
    <t>Hyrule Ridge Depths #05</t>
  </si>
  <si>
    <t>Hebra Depths #01</t>
  </si>
  <si>
    <t>Hebra Depths #02</t>
  </si>
  <si>
    <t>Tabantha Tundra Depths #01</t>
  </si>
  <si>
    <t>Tabantha Tundra Depths #02</t>
  </si>
  <si>
    <t>Tabantha Tundra Depths #03</t>
  </si>
  <si>
    <t>Great Hyrule Forest Depths #03</t>
  </si>
  <si>
    <t>Lanayru Depths #01</t>
  </si>
  <si>
    <t>Lanayru Depths #02</t>
  </si>
  <si>
    <t>Gerudo Canyon Depths #01</t>
  </si>
  <si>
    <t>Gerudo Canyon Depths #02</t>
  </si>
  <si>
    <t>Gerudo Depths #03</t>
  </si>
  <si>
    <t>Gerudo Depths #04</t>
  </si>
  <si>
    <t>Gerudo Depths #05</t>
  </si>
  <si>
    <t>Gerudo Depths #06</t>
  </si>
  <si>
    <t>Scourge of Hebra Sky</t>
  </si>
  <si>
    <t>Scourge of Gerudo Sky</t>
  </si>
  <si>
    <t>Scourge of Necluda Sky</t>
  </si>
  <si>
    <t>South Akkala Plain</t>
  </si>
  <si>
    <t>Herin Lake South</t>
  </si>
  <si>
    <t>Gerudo Mountain</t>
  </si>
  <si>
    <t>Molduga</t>
  </si>
  <si>
    <t>Palu Wasteland South</t>
  </si>
  <si>
    <t>Lynel</t>
  </si>
  <si>
    <t>Armored Lynel</t>
  </si>
  <si>
    <t>Starly Plateau</t>
  </si>
  <si>
    <t>Hyrule Castle Depths</t>
  </si>
  <si>
    <t>Outskirt Stable Depths</t>
  </si>
  <si>
    <t>Floating Coliseum #01</t>
  </si>
  <si>
    <t>Floating Coliseum #02</t>
  </si>
  <si>
    <t>Floating Coliseum #03</t>
  </si>
  <si>
    <t>Floating Coliseum #04</t>
  </si>
  <si>
    <t>Floating Coliseum #05</t>
  </si>
  <si>
    <t>Riverside Stable Depths</t>
  </si>
  <si>
    <t>New Serenne Stable Depths</t>
  </si>
  <si>
    <t>Snowfield Stable Depths</t>
  </si>
  <si>
    <t>Woodland Stable Depths</t>
  </si>
  <si>
    <t>Foothill Stable Depths</t>
  </si>
  <si>
    <t>East Akkala Stable Depths</t>
  </si>
  <si>
    <t>South Akkala Stable Depths</t>
  </si>
  <si>
    <t>Wetland Stable Depths</t>
  </si>
  <si>
    <t>Dueling Peaks Stable Depths</t>
  </si>
  <si>
    <t>Highland Stable Depths</t>
  </si>
  <si>
    <t>Lakeside Stable Depths</t>
  </si>
  <si>
    <t>South Hyrule Sky #01</t>
  </si>
  <si>
    <t>South Hyrule Sky #02</t>
  </si>
  <si>
    <t>South Hyrule Sky #03</t>
  </si>
  <si>
    <t>South Hyrule Sky #04</t>
  </si>
  <si>
    <t>Tabantha Sky #01</t>
  </si>
  <si>
    <t>Tabantha Sky #02</t>
  </si>
  <si>
    <t>West Hebra Sky #01</t>
  </si>
  <si>
    <t>West Hebra Sky #02</t>
  </si>
  <si>
    <t>North Akkala Sky #01</t>
  </si>
  <si>
    <t>North Akkala Sky #02</t>
  </si>
  <si>
    <t>Wellspring Island #01</t>
  </si>
  <si>
    <t>Wellspring Island #02</t>
  </si>
  <si>
    <t>North Necluda Sky #01</t>
  </si>
  <si>
    <t>North Necluda Sky #02</t>
  </si>
  <si>
    <t>South Lanayru Sky #01</t>
  </si>
  <si>
    <t>South Lanayru Sky #02</t>
  </si>
  <si>
    <t>Thunderhead Isles #01</t>
  </si>
  <si>
    <t>Thunderhead Isles #02</t>
  </si>
  <si>
    <t>A Picture for Tabantha Bridge Stable</t>
  </si>
  <si>
    <t>A Picture for South Akkala Stable</t>
  </si>
  <si>
    <t>A Picture for Dueling Peaks Stable</t>
  </si>
  <si>
    <t>Find Princess Zelda</t>
  </si>
  <si>
    <t>The Closed Door</t>
  </si>
  <si>
    <t>To the Kingdom of Hyrule</t>
  </si>
  <si>
    <t>Crisis at Hyrule Castle</t>
  </si>
  <si>
    <t>Regional Phenomena</t>
  </si>
  <si>
    <t>Camera Work in the Depths</t>
  </si>
  <si>
    <t>Impa and the Geoglyphs</t>
  </si>
  <si>
    <t>Tulin of Rito Village</t>
  </si>
  <si>
    <t>A Mystery in the Depths</t>
  </si>
  <si>
    <t>Riju of Gerudo Town</t>
  </si>
  <si>
    <t>Yunobo of Goron City</t>
  </si>
  <si>
    <t>The Sludge-Covered Statue</t>
  </si>
  <si>
    <t>Sidon of the Zora</t>
  </si>
  <si>
    <t>The Broken Slate</t>
  </si>
  <si>
    <t>Clues to the Sky</t>
  </si>
  <si>
    <t>Restoring the Zora Armor</t>
  </si>
  <si>
    <t>The Dragon's Tears</t>
  </si>
  <si>
    <t>Find the Fifth Sage</t>
  </si>
  <si>
    <t>Secret of the Ring Ruins</t>
  </si>
  <si>
    <t>Guidance from Ages Past</t>
  </si>
  <si>
    <t>Trail of the Master Sword</t>
  </si>
  <si>
    <t>Recovering the Hero's Sword</t>
  </si>
  <si>
    <t>Destroy Ganondorf</t>
  </si>
  <si>
    <t>Talk to Steward Construct</t>
  </si>
  <si>
    <t>Talk to Rauru</t>
  </si>
  <si>
    <t>Talk to Zelda's Voice</t>
  </si>
  <si>
    <t>Talk to Purah</t>
  </si>
  <si>
    <t>Talk to Josha</t>
  </si>
  <si>
    <t>Talk to Cado</t>
  </si>
  <si>
    <t>Talk to Teba</t>
  </si>
  <si>
    <t>Talk to Riju</t>
  </si>
  <si>
    <t>Talk to Yunobo</t>
  </si>
  <si>
    <t>Talk to Yona</t>
  </si>
  <si>
    <t>Talk to Jiahto</t>
  </si>
  <si>
    <t>Talk to Impa</t>
  </si>
  <si>
    <t>Talk to Tauro</t>
  </si>
  <si>
    <t>Talk to Zonai Relic</t>
  </si>
  <si>
    <t>Talk to Mineru</t>
  </si>
  <si>
    <t>Talk to Great Deku Tree</t>
  </si>
  <si>
    <t>Approach the Zora near the statue</t>
  </si>
  <si>
    <t>Mine-Cart Land: Open For Business!</t>
  </si>
  <si>
    <t>Talk to Bludo&lt;br&gt;&lt;strong&gt;Reward:&lt;/strong&gt; Vah Rudania Divine Helm</t>
  </si>
  <si>
    <t>Talk to Pulcho&lt;br&gt;&lt;strong&gt;Reward:&lt;/strong&gt; Sundelion</t>
  </si>
  <si>
    <t>Talk to Ralera&lt;br&gt;&lt;strong&gt;Reward:&lt;/strong&gt; Lurelin Village Fabric</t>
  </si>
  <si>
    <t>Talk to Bayge&lt;br&gt;&lt;strong&gt;Reward:&lt;/strong&gt; Red Rupee</t>
  </si>
  <si>
    <t>Find Dillie in the &lt;br&gt;&lt;img src="icons/well.png" style="height: 20px; width: 20px; vertical-align: middle; margin-right: 5px;"&gt;&lt;span style="color: #86a3e6; font-weight: bold;"&gt;Rebonae Bridge Well&lt;/span&gt;&lt;br&gt;&lt;strong&gt;Reward:&lt;/strong&gt; Purple Rupee</t>
  </si>
  <si>
    <t>Talk to Karson&lt;br&gt;&lt;strong&gt;Reward:&lt;/strong&gt; Unlocked Stable</t>
  </si>
  <si>
    <t>Talk to Gralens in the&lt;br&gt;&lt;img src="icons/special-location.png" style="height: 20px; width: 20px; vertical-align: middle; margin-right: 5px;"&gt;&lt;span style="color: #c6a96a; font-weight: bold;"&gt;Emergency Shelter&lt;/span&gt;&lt;br&gt;&lt;strong&gt;Reward:&lt;/strong&gt; Silver Rupee</t>
  </si>
  <si>
    <t>Talk to Burmano in the&lt;br&gt;&lt;img src="icons/special-location.png" style="height: 20px; width: 20px; vertical-align: middle; margin-right: 5px;"&gt;&lt;span style="color: #c6a96a; font-weight: bold;"&gt;Emergency Shelter&lt;/span&gt;&lt;br&gt;&lt;strong&gt;Reward:&lt;/strong&gt; Fruit and Mushroom Mix</t>
  </si>
  <si>
    <t>Speak With Zumi&lt;br&gt;&lt;strong&gt;Reward:&lt;/strong&gt; 100 Rupees</t>
  </si>
  <si>
    <t>Speak with Toffa&lt;br&gt;&lt;strong&gt;Reward:&lt;/strong&gt; Purple Rupee, Silver Rupee, 2 Pony Points</t>
  </si>
  <si>
    <t>Talk to Parcy&lt;br&gt;&lt;strong&gt;Reward:&lt;/strong&gt; Random gems</t>
  </si>
  <si>
    <t>Speak with Ami&lt;br&gt;&lt;strong&gt;Reward:&lt;/strong&gt; Two Pony Points</t>
  </si>
  <si>
    <t>Talk to Kampo&lt;br&gt;&lt;strong&gt;Reward:&lt;/strong&gt; Mighty Fried Bananas</t>
  </si>
  <si>
    <t>Speak to Piaffe&lt;br&gt;&lt;strong&gt;Reward:&lt;/strong&gt; 1 Pony Point</t>
  </si>
  <si>
    <t>Talk to Nat&lt;br&gt;&lt;strong&gt;Reward:&lt;/strong&gt; Spicy Tomato Mushroom Stew</t>
  </si>
  <si>
    <t>Talk to Gesane After Completing &lt;img src="icons/main-quest.png" style="height: 20px; width: 20px; vertical-align: middle; margin-right: 5px;"&gt;&lt;span style="color: #fec043; font-weight: bold;"&gt;Tulin of Rito Village&lt;/span&gt;&lt;br&gt;&lt;strong&gt;Reward:&lt;/strong&gt; Silver Rupee</t>
  </si>
  <si>
    <t>Talk to Fera&lt;br&gt;&lt;strong&gt;Reward:&lt;/strong&gt; All's Well</t>
  </si>
  <si>
    <t>Speak With Verla&lt;br&gt;&lt;strong&gt;Reward:&lt;/strong&gt; 50 Rupees</t>
  </si>
  <si>
    <t>Talk to Bedoli After Completing &lt;img src="icons/main-quest.png" style="height: 20px; width: 20px; vertical-align: middle; margin-right: 5px;"&gt;&lt;span style="color: #fec043; font-weight: bold;"&gt;Tulin of Rito Village&lt;/span&gt;&lt;br&gt;&lt;strong&gt;Reward:&lt;/strong&gt; Arrows x10</t>
  </si>
  <si>
    <t>Finish &lt;img src="icons/side-quest.png" style="height: 20px; width: 20px; vertical-align: middle; margin-right: 5px;"&gt;&lt;span style="color: #c6a96a; font-weight: bold;"&gt;Hebra's Colossal Fossil&lt;/span&gt;&lt;br&gt;&lt;strong&gt;Reward:&lt;/strong&gt; Purple Rupee</t>
  </si>
  <si>
    <t>Talk to Kaneli&lt;br&gt;&lt;strong&gt;Reward:&lt;/strong&gt; Purple Rupee</t>
  </si>
  <si>
    <t>Talk to Teba After Completing &lt;img src="icons/main-quest.png" style="height: 20px; width: 20px; vertical-align: middle; margin-right: 5px;"&gt;&lt;span style="color: #fec043; font-weight: bold;"&gt;Tulin of Rito Village&lt;/span&gt;&lt;br&gt;&lt;strong&gt;Reward:&lt;/strong&gt; Great Eagle Bow</t>
  </si>
  <si>
    <t>Speak With Molli in Her Home&lt;br&gt;&lt;strong&gt;Reward:&lt;/strong&gt; Arrow x10</t>
  </si>
  <si>
    <t>Find and Talk to Mazli&lt;br&gt;&lt;strong&gt;Reward:&lt;/strong&gt; Red Rupee</t>
  </si>
  <si>
    <t>Talk to Tulin After Completing &lt;img src="icons/main-quest.png" style="height: 20px; width: 20px; vertical-align: middle; margin-right: 5px;"&gt;&lt;span style="color: #fec043; font-weight: bold;"&gt;Tulin of Rito Village&lt;/span&gt;&lt;br&gt;&lt;strong&gt;Reward:&lt;/strong&gt; Vah Medoh Divine Helm</t>
  </si>
  <si>
    <t>Talk to Russ Inside&lt;br&gt;&lt;img src="icons/location.png" style="height: 20px; width: 20px; vertical-align: middle; margin-right: 5px;"&gt;&lt;span style="color: #c6a96a; font-weight: bold;"&gt;Selmie's Spot&lt;/span&gt;&lt;br&gt;&lt;strong&gt;Reward:&lt;/strong&gt; Strong Zonaite Shield</t>
  </si>
  <si>
    <t>Complete All Requests of the &lt;img src="icons/goddess-statue.png" style="height: 20px; width: 20px; vertical-align: middle; margin-right: 5px;"&gt;&lt;span style="color: #7cc9c2; font-weight: bold;"&gt;GODDESS STATUES&lt;/span&gt;&lt;br&gt;&lt;strong&gt;Reward:&lt;/strong&gt; White Sword of the Sky</t>
  </si>
  <si>
    <t>No Specific Location - Complete All 152 &lt;img src="icons/shrine.png" style="height: 20px; width: 20px; vertical-align: middle; margin-right: 5px;"&gt;&lt;span style="color: #c6a96a; font-weight: bold;"&gt;SHRINES&lt;/span&gt;&lt;br&gt;&lt;strong&gt;Reward:&lt;/strong&gt; Ancient Hero's Aspect</t>
  </si>
  <si>
    <t>Talk to Nat and Meghyn after Completing &lt;img src="icons/side-quest.png" style="height: 20px; width: 20px; vertical-align: middle; margin-right: 5px;"&gt;&lt;span style="color: #c6a96a; font-weight: bold;"&gt;Cave Mushrooms That Glow&lt;/span&gt;&lt;br&gt;&lt;strong&gt;Reward:&lt;/strong&gt; Spicy Steamed Mushrooms</t>
  </si>
  <si>
    <t>Talk to Nat and Meghyn after Completing &lt;img src="icons/side-quest.png" style="height: 20px; width: 20px; vertical-align: middle; margin-right: 5px;"&gt;&lt;span style="color: #c6a96a; font-weight: bold;"&gt;The Captured Tent&lt;/span&gt;&lt;br&gt;&lt;strong&gt;Reward:&lt;/strong&gt; Access to a room filled with Mushrooms</t>
  </si>
  <si>
    <t>Finish &lt;img src="icons/side-quest.png" style="height: 20px; width: 20px; vertical-align: middle; margin-right: 5px;"&gt;&lt;span style="color: #c6a96a; font-weight: bold;"&gt;Eldin's Colossal Fossil&lt;/span&gt;&lt;br&gt;&lt;strong&gt;Reward:&lt;/strong&gt; Purple Rupee</t>
  </si>
  <si>
    <t>Mine-Cart Land: Quickshot Course</t>
  </si>
  <si>
    <t>Misko's Treasure: The Fierce Deity</t>
  </si>
  <si>
    <t>Finish &lt;img src="icons/side-quest.png" style="height: 20px; width: 20px; vertical-align: middle; margin-right: 5px;"&gt;&lt;span style="color: #c6a96a; font-weight: bold;"&gt;Misko's Cave of Chests &lt;/span&gt;&lt;br&gt;&lt;strong&gt;Reward:&lt;/strong&gt; Fierce Deity Mask, Fierce Deity Armor, Fierce Deity Boots, Fierce Deity Sword</t>
  </si>
  <si>
    <t>Talk to Domidak and Prissen&lt;br&gt;&lt;strong&gt;Reward:&lt;/strong&gt; Ember Trousers</t>
  </si>
  <si>
    <t>Talk to Tray after Finishing &lt;img src="icons/main-quest.png" style="height: 20px; width: 20px; vertical-align: middle; margin-right: 5px;"&gt;&lt;span style="color: #fec043; font-weight: bold;"&gt;Yunobo of Goron City&lt;/span&gt;&lt;br&gt;&lt;strong&gt;Reward:&lt;/strong&gt; 100 Rupees</t>
  </si>
  <si>
    <t>Talk to Bayge after Finishing &lt;img src="icons/side-quest.png" style="height: 20px; width: 20px; vertical-align: middle; margin-right: 5px;"&gt;&lt;span style="color: #c6a96a; font-weight: bold;"&gt;Mine-Cart Land: Open For Business!&lt;/span&gt;&lt;br&gt;&lt;strong&gt;Reward:&lt;/strong&gt; Purple Rupee</t>
  </si>
  <si>
    <t>Talk to Bayge after Finishing &lt;img src="icons/side-quest.png" style="height: 20px; width: 20px; vertical-align: middle; margin-right: 5px;"&gt;&lt;span style="color: #c6a96a; font-weight: bold;"&gt;Mine-Cart Land: Quickshot Course&lt;/span&gt;&lt;br&gt;&lt;strong&gt;Reward:&lt;/strong&gt; Goron Fabric</t>
  </si>
  <si>
    <t>Talk to Fugo After Finishing &lt;img src="icons/main-quest.png" style="height: 20px; width: 20px; vertical-align: middle; margin-right: 5px;"&gt;&lt;span style="color: #fec043; font-weight: bold;"&gt;Yunobo of Goron City&lt;/span&gt;&lt;br&gt;&lt;strong&gt;Reward:&lt;/strong&gt; Boulder Breaker</t>
  </si>
  <si>
    <t>Talk to Mota After Finishing &lt;img src="icons/main-quest.png" style="height: 20px; width: 20px; vertical-align: middle; margin-right: 5px;"&gt;&lt;span style="color: #fec043; font-weight: bold;"&gt;Yunobo of Goron City&lt;/span&gt;&lt;br&gt;&lt;strong&gt;Reward:&lt;/strong&gt; Large Zonai Charge</t>
  </si>
  <si>
    <t>Talk to the &lt;img src="icons/goddess-statue.png" style="height: 20px; width: 20px; vertical-align: middle; margin-right: 5px;"&gt;&lt;span style="color: #7cc9c2; font-weight: bold;"&gt;Goddess Statue of Power&lt;/span&gt;&lt;br&gt;&lt;strong&gt;Reward:&lt;/strong&gt; Ruby</t>
  </si>
  <si>
    <t>Talk to Fernison&lt;br&gt;&lt;strong&gt;Reward:&lt;/strong&gt; 100 Rupees, Sleepover Ticket</t>
  </si>
  <si>
    <t>Complete &lt;img src="icons/side-quest.png" style="height: 20px; width: 20px; vertical-align: middle; margin-right: 5px;"&gt;&lt;span style="color: #c6a96a; font-weight: bold;"&gt;Master The Vehicle Prototype&lt;/span&gt;&lt;br&gt;&lt;strong&gt;Reward:&lt;/strong&gt; Zonai Charges, Zonai Devices, and Racing Minigame</t>
  </si>
  <si>
    <t>Talk to Cleff after Finishing &lt;img src="icons/main-quest.png" style="height: 20px; width: 20px; vertical-align: middle; margin-right: 5px;"&gt;&lt;span style="color: #fec043; font-weight: bold;"&gt;Sidon of the Zora&lt;/span&gt;&lt;br&gt;&lt;strong&gt;Reward:&lt;/strong&gt; Sapphire x1, Trading Bright-eyed Crabs for an item</t>
  </si>
  <si>
    <t>Talk to Yona&lt;br&gt;&lt;strong&gt;Reward:&lt;/strong&gt; Zora Greaves</t>
  </si>
  <si>
    <t>Talk to Sidon after Finishing &lt;img src="icons/main-quest.png" style="height: 20px; width: 20px; vertical-align: middle; margin-right: 5px;"&gt;&lt;span style="color: #fec043; font-weight: bold;"&gt;Sidon of the Zora&lt;/span&gt;&lt;br&gt;&lt;strong&gt;Reward:&lt;/strong&gt; Vah Ruta Divine Helm</t>
  </si>
  <si>
    <t>Talk to Dento after Finishing &lt;img src="icons/main-quest.png" style="height: 20px; width: 20px; vertical-align: middle; margin-right: 5px;"&gt;&lt;span style="color: #fec043; font-weight: bold;"&gt;Sidon of the Zora&lt;/span&gt;&lt;br&gt;&lt;strong&gt;Reward:&lt;/strong&gt; Lightscale Trident</t>
  </si>
  <si>
    <t>Talk to Fronk after Finishing &lt;img src="icons/main-quest.png" style="height: 20px; width: 20px; vertical-align: middle; margin-right: 5px;"&gt;&lt;span style="color: #fec043; font-weight: bold;"&gt;Sidon of the Zora&lt;/span&gt;&lt;br&gt;&lt;strong&gt;Reward:&lt;/strong&gt; Hearty Fish Skewer</t>
  </si>
  <si>
    <t>Talk to Bazz&lt;br&gt;&lt;strong&gt;Reward:&lt;/strong&gt; Zora Spear</t>
  </si>
  <si>
    <t>Talk to Ledo&lt;br&gt;&lt;strong&gt;Reward:&lt;/strong&gt; Zora Fabric</t>
  </si>
  <si>
    <t>Talk to Gaddison after Finishing &lt;img src="icons/main-quest.png" style="height: 20px; width: 20px; vertical-align: middle; margin-right: 5px;"&gt;&lt;span style="color: #fec043; font-weight: bold;"&gt;Sidon of the Zora&lt;/span&gt;&lt;br&gt;&lt;strong&gt;Reward:&lt;/strong&gt; 100 Rupees</t>
  </si>
  <si>
    <t>Talk to Seggin after Finishing &lt;img src="icons/main-quest.png" style="height: 20px; width: 20px; vertical-align: middle; margin-right: 5px;"&gt;&lt;span style="color: #fec043; font-weight: bold;"&gt;Sidon of the Zora&lt;/span&gt;&lt;br&gt;&lt;strong&gt;Reward:&lt;/strong&gt; Zora Sword</t>
  </si>
  <si>
    <t>Talk to Chroma&lt;br&gt;&lt;strong&gt;Reward:&lt;/strong&gt; Zora Helm</t>
  </si>
  <si>
    <t>Talk to Kodah after Finishing &lt;img src="icons/main-quest.png" style="height: 20px; width: 20px; vertical-align: middle; margin-right: 5px;"&gt;&lt;span style="color: #fec043; font-weight: bold;"&gt;Sidon of the Zora&lt;/span&gt;&lt;br&gt;&lt;strong&gt;Reward:&lt;/strong&gt; Opal x2, Access to Yomizuk Shrine</t>
  </si>
  <si>
    <t>Talk to Bugut&lt;br&gt;&lt;strong&gt;Reward:&lt;/strong&gt; Thunderwing Butterfly x3</t>
  </si>
  <si>
    <t>Speak with Lasli&lt;br&gt;&lt;strong&gt;Reward:&lt;/strong&gt; Energizing Veggie Porridge</t>
  </si>
  <si>
    <t>Talk to Dai&lt;br&gt;&lt;strong&gt;Reward:&lt;/strong&gt; Sticky Elixir</t>
  </si>
  <si>
    <t>Talk to Moza&lt;br&gt;&lt;strong&gt;Reward:&lt;/strong&gt; Monster Stew</t>
  </si>
  <si>
    <t>Talk to the &lt;img src="icons/goddess-statue.png" style="height: 20px; width: 20px; vertical-align: middle; margin-right: 5px;"&gt;&lt;span style="color: #7cc9c2; font-weight: bold;"&gt;Goddess Statue of Wisdom&lt;/span&gt;&lt;br&gt;&lt;strong&gt;Reward:&lt;/strong&gt; Sapphire</t>
  </si>
  <si>
    <t>Talk to Reede After Finishing &lt;img src="icons/side-adventure.png" style="height: 20px; width: 20px; vertical-align: middle; margin-right: 5px;"&gt;&lt;span style="color: #86a3e6; font-weight: bold;"&gt;The Mayoral Election&lt;/span&gt;&lt;br&gt;&lt;strong&gt;Reward:&lt;/strong&gt; Sun Pumpkin x5</t>
  </si>
  <si>
    <t>Talk to Manny&lt;br&gt;&lt;strong&gt;Reward:&lt;/strong&gt; Rushroom</t>
  </si>
  <si>
    <t>Talk to Sayge&lt;br&gt;&lt;strong&gt;Reward:&lt;/strong&gt; Chuchu Fabric</t>
  </si>
  <si>
    <t>Talk to Bolson After Restoring &lt;img src="icons/village.png" style="height: 20px; width: 20px; vertical-align: middle; margin-right: 5px;"&gt;&lt;span style="color: #c6a96a; font-weight: bold;"&gt;Lurelin Village&lt;/span&gt;&lt;br&gt;&lt;strong&gt;Reward:&lt;/strong&gt; Access to Lurelin Water Rally</t>
  </si>
  <si>
    <t>Talk to Garini After Restoring &lt;img src="icons/village.png" style="height: 20px; width: 20px; vertical-align: middle; margin-right: 5px;"&gt;&lt;span style="color: #c6a96a; font-weight: bold;"&gt;Lurelin Village&lt;/span&gt;&lt;br&gt;&lt;strong&gt;Reward:&lt;/strong&gt; Star Fragment</t>
  </si>
  <si>
    <t>Talk to Sesami&lt;br&gt;&lt;strong&gt;Reward:&lt;/strong&gt; Blue-Maned Lynel Saber Horn</t>
  </si>
  <si>
    <t>Talk to the &lt;img src="icons/goddess-statue.png" style="height: 20px; width: 20px; vertical-align: middle; margin-right: 5px;"&gt;&lt;span style="color: #7cc9c2; font-weight: bold;"&gt;Goddess Statue of Courage&lt;/span&gt;&lt;br&gt;&lt;strong&gt;Reward:&lt;/strong&gt; Topaz</t>
  </si>
  <si>
    <t>Talk to Rahdo&lt;br&gt;&lt;strong&gt;Reward:&lt;/strong&gt; Silver Rupee</t>
  </si>
  <si>
    <t>Speak with Dalia&lt;br&gt;&lt;strong&gt;Reward:&lt;/strong&gt; An Orb related to The Mysterious Eighth side quest</t>
  </si>
  <si>
    <t>Talk to Rahdo after Finishing &lt;img src="icons/side-quest.png" style="height: 20px; width: 20px; vertical-align: middle; margin-right: 5px;"&gt;&lt;span style="color: #c6a96a; font-weight: bold;"&gt;Cold-Endurance Contest&lt;/span&gt;&lt;br&gt;&lt;strong&gt;Reward:&lt;/strong&gt; Gold Rupee</t>
  </si>
  <si>
    <t>Speak with Banja&lt;br&gt;&lt;strong&gt;Reward:&lt;/strong&gt; An Orb related to The Mysterious Eighth side quest</t>
  </si>
  <si>
    <t>Talk to Isha&lt;br&gt;&lt;strong&gt;Reward:&lt;/strong&gt; Scimitar of the Seven, Daybreaker</t>
  </si>
  <si>
    <t>Speak With Cara&lt;br&gt;&lt;strong&gt;Reward:&lt;/strong&gt; Diamond</t>
  </si>
  <si>
    <t>Speak with Rotana After Finishing &lt;img src="icons/side-quest.png" style="height: 20px; width: 20px; vertical-align: middle; margin-right: 5px;"&gt;&lt;span style="color: #c6a96a; font-weight: bold;"&gt;The Heroines' Secret&lt;/span&gt;&lt;br&gt;&lt;strong&gt;Reward:&lt;/strong&gt; Diamond</t>
  </si>
  <si>
    <t>Talk to Pokki after Finishing &lt;img src="icons/main-quest.png" style="height: 20px; width: 20px; vertical-align: middle; margin-right: 5px;"&gt;&lt;span style="color: #fec043; font-weight: bold;"&gt;Riju of Gerudo Town&lt;/span&gt;&lt;br&gt;&lt;strong&gt;Reward:&lt;/strong&gt; Silver Rupee</t>
  </si>
  <si>
    <t>Talk to Riju after Finishing &lt;img src="icons/main-quest.png" style="height: 20px; width: 20px; vertical-align: middle; margin-right: 5px;"&gt;&lt;span style="color: #fec043; font-weight: bold;"&gt;Riju of Gerudo Town&lt;/span&gt;&lt;br&gt;&lt;strong&gt;Reward:&lt;/strong&gt; Vah Naboris Divine Helm</t>
  </si>
  <si>
    <t>Complete &lt;img src="icons/main-quest.png" style="height: 20px; width: 20px; vertical-align: middle; margin-right: 5px;"&gt;&lt;span style="color: #fec043; font-weight: bold;"&gt;Mystery in the Depths&lt;/span&gt;</t>
  </si>
  <si>
    <t>Found in the &lt;img src="icons/location.png" style="height: 20px; width: 20px; vertical-align: middle; margin-right: 5px;"&gt;&lt;span style="color: #c6a96a; font-weight: bold;"&gt;Cave of Resurrection&lt;/span&gt;</t>
  </si>
  <si>
    <t>Complete &lt;img src="icons/side-quest.png" style="height: 20px; width: 20px; vertical-align: middle; margin-right: 5px;"&gt;&lt;span style="color: #c6a96a; font-weight: bold;"&gt;A Call from the Depths&lt;/span&gt;</t>
  </si>
  <si>
    <t>{ name: "Great Central Mine", landmark: "Statue", type: "Bargainer Statue", region: 2, level: "Depths", x: -778, y: -1901, z: -565, details: `Complete &lt;img src="icons/side-quest.png" style="height: 20px; width: 20px; vertical-align: middle; margin-right: 5px;"&gt;&lt;span style="color: #c6a96a; font-weight: bold;"&gt;A Call from the Depths&lt;/span&gt;` },</t>
  </si>
  <si>
    <t>Hateno Village Research Lab</t>
  </si>
  <si>
    <t>Filling Out The Compendium</t>
  </si>
  <si>
    <t>Presenting: The Travel Medallion!</t>
  </si>
  <si>
    <t>Presenting: Hero's Path Mode!</t>
  </si>
  <si>
    <t>Presenting: Sensor +!</t>
  </si>
  <si>
    <t>A Letter To Koyin</t>
  </si>
  <si>
    <t>A New Signature Food</t>
  </si>
  <si>
    <t>Team Cece Or Team Reede?</t>
  </si>
  <si>
    <t>The Mayoral Election</t>
  </si>
  <si>
    <t>Ruffian-Infested Village</t>
  </si>
  <si>
    <t>Lurelin Village Restoration Project</t>
  </si>
  <si>
    <t>Potential Princess Sightings!</t>
  </si>
  <si>
    <t>Gourmets Gone Missing</t>
  </si>
  <si>
    <t>The Beast And The Princess</t>
  </si>
  <si>
    <t>White Goats Gone Missing</t>
  </si>
  <si>
    <t>For Our Princess!</t>
  </si>
  <si>
    <t>The All-Clucking Cucco</t>
  </si>
  <si>
    <t>The Missing Farm Tools</t>
  </si>
  <si>
    <t>Princess Zelda Kidnapped?!</t>
  </si>
  <si>
    <t>An Eerie Voice</t>
  </si>
  <si>
    <t>The Blocked Well</t>
  </si>
  <si>
    <t>Honey, Bee Mine</t>
  </si>
  <si>
    <t>The Hornist's Dramatic Escape</t>
  </si>
  <si>
    <t>Serenade To A Great Fairy</t>
  </si>
  <si>
    <t>Serenade to Kaysa</t>
  </si>
  <si>
    <t>Serenade To Cotera</t>
  </si>
  <si>
    <t>Serenade To Mija</t>
  </si>
  <si>
    <t>Bring Peace To Hyrule Field!</t>
  </si>
  <si>
    <t>Bring Peace To Necluda!</t>
  </si>
  <si>
    <t>Bring Peace To Eldin!</t>
  </si>
  <si>
    <t>Bring Peace To Akkala!</t>
  </si>
  <si>
    <t>Bring Peace To Faron!</t>
  </si>
  <si>
    <t>Bring Peace To Hebra!</t>
  </si>
  <si>
    <t>The Hunt For Bubbul Gems!</t>
  </si>
  <si>
    <t>The Search For Koltin</t>
  </si>
  <si>
    <t>A Monstrous Collection I</t>
  </si>
  <si>
    <t>A Monstrous Collection II</t>
  </si>
  <si>
    <t>A Monstrous Collection III</t>
  </si>
  <si>
    <t>A Monstrous Collection IV</t>
  </si>
  <si>
    <t>A Monstrous Collection V</t>
  </si>
  <si>
    <t>Investigate The Thyphlo Ruins</t>
  </si>
  <si>
    <t>The Owl Protected By Dragons</t>
  </si>
  <si>
    <t>The Corridor Between Two Dragons</t>
  </si>
  <si>
    <t>The Six Dragons</t>
  </si>
  <si>
    <t>The Long Dragon</t>
  </si>
  <si>
    <t>Legend of the Great Sky Island</t>
  </si>
  <si>
    <t>Messages From An Ancient Era</t>
  </si>
  <si>
    <t>A Deal With The Statue</t>
  </si>
  <si>
    <t>Who Goes There?</t>
  </si>
  <si>
    <t>A Call From The Depths</t>
  </si>
  <si>
    <t>Temple Of Time Ruins</t>
  </si>
  <si>
    <t>Infiltrating The Yiga Clan</t>
  </si>
  <si>
    <t>The Yiga Clan Exam</t>
  </si>
  <si>
    <t>Master Kohga Of The Yiga Clan</t>
  </si>
  <si>
    <t>Mattison's Independence</t>
  </si>
  <si>
    <t>Reede's Secret</t>
  </si>
  <si>
    <t>Cece's Secret</t>
  </si>
  <si>
    <t>Zelda's Golden Horse</t>
  </si>
  <si>
    <t>The Flute Player's Plan</t>
  </si>
  <si>
    <t>Hestu's Concerns</t>
  </si>
  <si>
    <t>The Beckoning Woman</t>
  </si>
  <si>
    <t>&lt;strong&gt;Requires:&lt;/strong&gt; Finishing &lt;img src="icons/main-quest.png" style="height: 20px; width: 20px; vertical-align: middle; margin-right: 5px;"&gt;&lt;span style="color: #fec043; font-weight: bold;"&gt;A Mystery In The Depths&lt;/span&gt;&lt;br&gt;&lt;strong&gt;Start:&lt;/strong&gt; Talk to Robbie&lt;br&gt;&lt;strong&gt;Reward:&lt;/strong&gt; Shrine Sensor</t>
  </si>
  <si>
    <t>&lt;strong&gt;Requires:&lt;/strong&gt; Finishing &lt;img src="icons/side-adventures.png" style="height: 20px; width: 20px; vertical-align: middle; margin-right: 5px;"&gt;&lt;span style="color: #86a3e6; font-weight: bold;"&gt;Hateno Village Research Lab&lt;/span&gt;&lt;br&gt;&lt;strong&gt;Start:&lt;/strong&gt; Talk to Robbie&lt;br&gt;&lt;strong&gt;Reward:&lt;/strong&gt; Robbie's Fabric</t>
  </si>
  <si>
    <t>&lt;strong&gt;Requires:&lt;/strong&gt; Finishing &lt;img src="icons/side-adventures.png" style="height: 20px; width: 20px; vertical-align: middle; margin-right: 5px;"&gt;&lt;span style="color: #86a3e6; font-weight: bold;"&gt;Hateno Village Research Lab&lt;/span&gt;&lt;br&gt;&lt;strong&gt;Start:&lt;/strong&gt; Talk to Robbie&lt;br&gt;&lt;strong&gt;Reward:&lt;/strong&gt; Travel Medallion</t>
  </si>
  <si>
    <t>&lt;strong&gt;Requires:&lt;/strong&gt; Finishing &lt;img src="icons/side-adventures.png" style="height: 20px; width: 20px; vertical-align: middle; margin-right: 5px;"&gt;&lt;span style="color: #86a3e6; font-weight: bold;"&gt;Hateno Village Research Lab&lt;/span&gt;&lt;br&gt;&lt;strong&gt;Start:&lt;/strong&gt; Talk to Robbie&lt;br&gt;&lt;strong&gt;Reward:&lt;/strong&gt; Hero's Path Mode</t>
  </si>
  <si>
    <t>&lt;strong&gt;Requires:&lt;/strong&gt; Finishing &lt;img src="icons/side-adventures.png" style="height: 20px; width: 20px; vertical-align: middle; margin-right: 5px;"&gt;&lt;span style="color: #86a3e6; font-weight: bold;"&gt;Hateno Village Research Lab&lt;/span&gt;&lt;br&gt;&lt;strong&gt;Start:&lt;/strong&gt; Talk to Robbie&lt;br&gt;&lt;strong&gt;Reward:&lt;/strong&gt; Sensor +</t>
  </si>
  <si>
    <t>&lt;strong&gt;Start:&lt;/strong&gt; Talk to Hudson&lt;br&gt;&lt;strong&gt;Reward:&lt;/strong&gt; 200 Rupees</t>
  </si>
  <si>
    <t>&lt;strong&gt;Start:&lt;/strong&gt; Talk to Koyin&lt;br&gt;&lt;strong&gt;Reward:&lt;/strong&gt; Hateno Cheese</t>
  </si>
  <si>
    <t>&lt;strong&gt;Requires:&lt;/strong&gt; Finishing &lt;img src="icons/side-adventures.png" style="height: 20px; width: 20px; vertical-align: middle; margin-right: 5px;"&gt;&lt;span style="color: #86a3e6; font-weight: bold;"&gt;A Letter to Koyin&lt;/span&gt;&lt;br&gt;&lt;strong&gt;Start:&lt;/strong&gt; Talk to Reede&lt;br&gt;&lt;strong&gt;Reward:&lt;/strong&gt; 100 Rupees</t>
  </si>
  <si>
    <t>&lt;strong&gt;Start:&lt;/strong&gt; Talk to Cece&lt;br&gt;&lt;strong&gt;Reward:&lt;/strong&gt; Use of Clothing Shop</t>
  </si>
  <si>
    <t>&lt;strong&gt;Requires:&lt;/strong&gt; Finishing &lt;img src="icons/side-adventures.png" style="height: 20px; width: 20px; vertical-align: middle; margin-right: 5px;"&gt;&lt;span style="color: #86a3e6; font-weight: bold;"&gt;Team Cece or Team Reede?&lt;/span&gt;&lt;br&gt;&lt;strong&gt;Start:&lt;/strong&gt; Talk to Cece&lt;br&gt;&lt;strong&gt;Reward:&lt;/strong&gt; Cece hat</t>
  </si>
  <si>
    <t>&lt;strong&gt;Start:&lt;/strong&gt; Talk to Rozel&lt;br&gt;&lt;strong&gt;Reward:&lt;/strong&gt; Lurelin Village Restored</t>
  </si>
  <si>
    <t>&lt;strong&gt;Start:&lt;/strong&gt; Talk to Bolson&lt;br&gt;&lt;strong&gt;Reward:&lt;/strong&gt; Free Village Services</t>
  </si>
  <si>
    <t>&lt;strong&gt;Start:&lt;/strong&gt; Talk to Penn&lt;br&gt;&lt;strong&gt;Reward:&lt;/strong&gt; Rupees</t>
  </si>
  <si>
    <t>&lt;strong&gt;Start:&lt;/strong&gt; Talk to Penn&lt;br&gt;&lt;strong&gt;Reward:&lt;/strong&gt; Zelda's Golden Horse, Royal Bridle, Royal Saddle</t>
  </si>
  <si>
    <t>&lt;strong&gt;Start:&lt;/strong&gt; Talk to Pyper&lt;br&gt;&lt;strong&gt;Reward:&lt;/strong&gt; Big Hearty Truffle</t>
  </si>
  <si>
    <t>&lt;strong&gt;Start:&lt;/strong&gt; Talk to Beetz&lt;br&gt;&lt;strong&gt;Reward:&lt;/strong&gt; 100 Rupees</t>
  </si>
  <si>
    <t>&lt;strong&gt;Start:&lt;/strong&gt; Talk to Penn&lt;br&gt;&lt;strong&gt;Reward:&lt;/strong&gt; 100 Rupees</t>
  </si>
  <si>
    <t>&lt;strong&gt;Requires:&lt;/strong&gt; Finishing &lt;img src="icons/side-adventures.png" style="height: 20px; width: 20px; vertical-align: middle; margin-right: 5px;"&gt;&lt;span style="color: #86a3e6; font-weight: bold;"&gt;A Letter to Koyin&lt;/span&gt;&lt;br&gt;&lt;strong&gt;Start:&lt;/strong&gt; Talk to Mastro&lt;br&gt;&lt;strong&gt;Reward:&lt;/strong&gt; 100 Rupees</t>
  </si>
  <si>
    <t>&lt;strong&gt;Requires:&lt;/strong&gt; Finishing &lt;img src="icons/side-adventures.png" style="height: 20px; width: 20px; vertical-align: middle; margin-right: 5px;"&gt;&lt;span style="color: #86a3e6; font-weight: bold;"&gt;Honey, Bee Mine&lt;/span&gt;&lt;br&gt;&lt;strong&gt;Start:&lt;/strong&gt; Talk to Mastro&lt;br&gt;&lt;strong&gt;Reward:&lt;/strong&gt; 100 Rupees</t>
  </si>
  <si>
    <t>&lt;strong&gt;Requires:&lt;/strong&gt; Finishing &lt;img src="icons/side-adventures.png" style="height: 20px; width: 20px; vertical-align: middle; margin-right: 5px;"&gt;&lt;span style="color: #86a3e6; font-weight: bold;"&gt;The Hornist's Dramatic Escape&lt;/span&gt;&lt;br&gt;&lt;strong&gt;Start:&lt;/strong&gt; Talk to Mastro&lt;br&gt;&lt;strong&gt;Reward:&lt;/strong&gt; 100 Rupees</t>
  </si>
  <si>
    <t>&lt;strong&gt;Requires:&lt;/strong&gt; Starting &lt;img src="icons/side-adventures.png" style="height: 20px; width: 20px; vertical-align: middle; margin-right: 5px;"&gt;&lt;span style="color: #86a3e6; font-weight: bold;"&gt;The Hunt for Bubbul Gems!&lt;/span&gt;&lt;br&gt;&lt;strong&gt;Start:&lt;/strong&gt; Talk to Koltin&lt;br&gt;&lt;strong&gt;Reward:&lt;/strong&gt; Koltin's Shop</t>
  </si>
  <si>
    <t>&lt;strong&gt;Start:&lt;/strong&gt; Talk to Kilton&lt;br&gt;&lt;strong&gt;Reward:&lt;/strong&gt; Monster Extract</t>
  </si>
  <si>
    <t>&lt;strong&gt;Start:&lt;/strong&gt; Talk to Kilton&lt;br&gt;&lt;strong&gt;Reward:&lt;/strong&gt; Sneaky Monster Soup, Monster Extract</t>
  </si>
  <si>
    <t>&lt;strong&gt;Start:&lt;/strong&gt; Talk to Kilton&lt;br&gt;&lt;strong&gt;Reward:&lt;/strong&gt; Monster Bridle, Monster Extract</t>
  </si>
  <si>
    <t>&lt;strong&gt;Start:&lt;/strong&gt; Talk to Kilton&lt;br&gt;&lt;strong&gt;Reward:&lt;/strong&gt; Monster Saddle, Monster Extract</t>
  </si>
  <si>
    <t>&lt;strong&gt;Start:&lt;/strong&gt; Talk to Kilton&lt;br&gt;&lt;strong&gt;Reward:&lt;/strong&gt; Diamond, Monster Extract</t>
  </si>
  <si>
    <t>&lt;strong&gt;Requires:&lt;/strong&gt; Finishing &lt;img src="icons/main-quest.png" style="height: 20px; width: 20px; vertical-align: middle; margin-right: 5px;"&gt;&lt;span style="color: #fec043; font-weight: bold;"&gt;Regional Phenomena&lt;/span&gt;&lt;br&gt;&lt;strong&gt;Start:&lt;/strong&gt; Talk to Kazul&lt;br&gt;&lt;strong&gt;Reward:&lt;/strong&gt; Large Zonai Charge, Big Battery, Diamond</t>
  </si>
  <si>
    <t>&lt;strong&gt;Start:&lt;/strong&gt; Talk to Steward Construct&lt;br&gt;&lt;strong&gt;Reward:&lt;/strong&gt; Zonai Fabric</t>
  </si>
  <si>
    <t>&lt;strong&gt;Start:&lt;/strong&gt; Talk to Wortsworth&lt;br&gt;&lt;strong&gt;Reward:&lt;/strong&gt; Rupees, Zonai Survey Team Paraglider Fabric</t>
  </si>
  <si>
    <t>&lt;strong&gt;Start:&lt;/strong&gt; Talk to Horned Statue&lt;br&gt;&lt;strong&gt;Reward:&lt;/strong&gt; Ability to swap Stamina and Heart containers</t>
  </si>
  <si>
    <t>&lt;strong&gt;Start:&lt;/strong&gt; Talk to Statue&lt;br&gt;&lt;strong&gt;Reward:&lt;/strong&gt; 1 Heart Container or Stamina Essence</t>
  </si>
  <si>
    <t>&lt;strong&gt;Start:&lt;/strong&gt; Talk to Mimos&lt;br&gt;&lt;strong&gt;Reward:&lt;/strong&gt; Access to the Yiga Clan Hideout, Earthwake Technique, Thunder Helm</t>
  </si>
  <si>
    <t>&lt;strong&gt;Start:&lt;/strong&gt; Talk to Yiga Blademaster&lt;br&gt;&lt;strong&gt;Reward:&lt;/strong&gt; Ruby, Eightfold Longblade (Untarnished)</t>
  </si>
  <si>
    <t>&lt;strong&gt;Start:&lt;/strong&gt; Talk to Kohga&lt;br&gt;&lt;strong&gt;Reward:&lt;/strong&gt; Schema Stones</t>
  </si>
  <si>
    <t>&lt;strong&gt;Start:&lt;/strong&gt; Talk to Jerrin&lt;br&gt;&lt;strong&gt;Reward:&lt;/strong&gt; Red Rupee</t>
  </si>
  <si>
    <t>&lt;strong&gt;Start:&lt;/strong&gt; Talk to Clavia&lt;br&gt;&lt;strong&gt;Reward:&lt;/strong&gt; 10x Hylian Tomatoes</t>
  </si>
  <si>
    <t>&lt;strong&gt;Start:&lt;/strong&gt; Talk to Sophie&lt;br&gt;&lt;strong&gt;Reward:&lt;/strong&gt; 10x Ironshrooms</t>
  </si>
  <si>
    <t>&lt;strong&gt;Start:&lt;/strong&gt; Talk to Traysi&lt;br&gt;&lt;strong&gt;Reward:&lt;/strong&gt; Froggy Armor, Lucky Clover Gazette Fabric</t>
  </si>
  <si>
    <t>&lt;strong&gt;Start:&lt;/strong&gt; Talk to Eustus&lt;br&gt;&lt;strong&gt;Reward:&lt;/strong&gt; 3x Courser Bee Honey</t>
  </si>
  <si>
    <t>{ name: "Typhlo Ruins", landmark: "Tower", type: "Skyview Tower", region: 6, level: "Surface", x: 345, y: 3142, z: 180, details: "" },</t>
  </si>
  <si>
    <t>Examine the Empty Frame in&lt;img src="icons/stable.png" style="height: 20px; width: 20px; vertical-align: middle; margin-right: 5px;"&gt;&lt;span style="color: #c6a96a; font-weight: bold;"&gt;Outskirt Stable&lt;/span&gt;&lt;br&gt;&lt;strong&gt;Reward:&lt;/strong&gt; 1 Pony Point, Egg Tart</t>
  </si>
  <si>
    <t>Examine the Empty Frame in&lt;img src="icons/stable.png" style="height: 20px; width: 20px; vertical-align: middle; margin-right: 5px;"&gt;&lt;span style="color: #c6a96a; font-weight: bold;"&gt;Riverside Stable&lt;/span&gt;&lt;br&gt;&lt;strong&gt;Reward:&lt;/strong&gt; 1 Pony Point, Energizing Crab Stir-Fry</t>
  </si>
  <si>
    <t>Examine the Empty Frame in&lt;img src="icons/stable.png" style="height: 20px; width: 20px; vertical-align: middle; margin-right: 5px;"&gt;&lt;span style="color: #c6a96a; font-weight: bold;"&gt;New Serenne Stable&lt;/span&gt;&lt;br&gt;&lt;strong&gt;Reward:&lt;/strong&gt; 1 Pony Point</t>
  </si>
  <si>
    <t>Examine the Empty Frame in&lt;img src="icons/stable.png" style="height: 20px; width: 20px; vertical-align: middle; margin-right: 5px;"&gt;&lt;span style="color: #c6a96a; font-weight: bold;"&gt;Tabantha Bridge Stable&lt;/span&gt;&lt;br&gt;&lt;strong&gt;Reward:&lt;/strong&gt; 1 Pony Point, Hasty Elixir</t>
  </si>
  <si>
    <t>Examine the Empty Frame in&lt;img src="icons/stable.png" style="height: 20px; width: 20px; vertical-align: middle; margin-right: 5px;"&gt;&lt;span style="color: #c6a96a; font-weight: bold;"&gt;Snowfield Stable&lt;/span&gt;&lt;br&gt;&lt;strong&gt;Reward:&lt;/strong&gt; 1 Pony Point, Spicy Meat Stew</t>
  </si>
  <si>
    <t>Examine the Empty Frame in&lt;img src="icons/stable.png" style="height: 20px; width: 20px; vertical-align: middle; margin-right: 5px;"&gt;&lt;span style="color: #c6a96a; font-weight: bold;"&gt;Foothill Stable&lt;/span&gt;&lt;br&gt;&lt;strong&gt;Reward:&lt;/strong&gt; 1 Pony Point, Fireproof Elixir</t>
  </si>
  <si>
    <t>Examine the Empty Frame in&lt;img src="icons/stable.png" style="height: 20px; width: 20px; vertical-align: middle; margin-right: 5px;"&gt;&lt;span style="color: #c6a96a; font-weight: bold;"&gt;Woodland Stable&lt;/span&gt;&lt;br&gt;&lt;strong&gt;Reward:&lt;/strong&gt; 1 Pony Point, Hasty Vegetable Curry</t>
  </si>
  <si>
    <t>Examine the Empty Frame in&lt;img src="icons/stable.png" style="height: 20px; width: 20px; vertical-align: middle; margin-right: 5px;"&gt;&lt;span style="color: #c6a96a; font-weight: bold;"&gt;East Akkala Stable&lt;/span&gt;&lt;br&gt;&lt;strong&gt;Reward:&lt;/strong&gt; 1 Pony Point, Meat and Rice Bowl</t>
  </si>
  <si>
    <t>Examine the Empty Frame in&lt;img src="icons/stable.png" style="height: 20px; width: 20px; vertical-align: middle; margin-right: 5px;"&gt;&lt;span style="color: #c6a96a; font-weight: bold;"&gt;South Akkala Stable&lt;/span&gt;&lt;br&gt;&lt;strong&gt;Reward:&lt;/strong&gt; 1 Pony Point, Prime Meat Stew</t>
  </si>
  <si>
    <t>Examine the Empty Frame in&lt;img src="icons/stable.png" style="height: 20px; width: 20px; vertical-align: middle; margin-right: 5px;"&gt;&lt;span style="color: #c6a96a; font-weight: bold;"&gt;Wetland Stable&lt;/span&gt;&lt;br&gt;&lt;strong&gt;Reward:&lt;/strong&gt; 1 Pony Point, Electro Elixir</t>
  </si>
  <si>
    <t>Examine the Empty Frame in&lt;img src="icons/stable.png" style="height: 20px; width: 20px; vertical-align: middle; margin-right: 5px;"&gt;&lt;span style="color: #c6a96a; font-weight: bold;"&gt;Dueling Peaks Stable&lt;/span&gt;&lt;br&gt;&lt;strong&gt;Reward:&lt;/strong&gt; 1 Pony Point, Hasty Apple Pie</t>
  </si>
  <si>
    <t>Examine the Empty Frame in&lt;img src="icons/stable.png" style="height: 20px; width: 20px; vertical-align: middle; margin-right: 5px;"&gt;&lt;span style="color: #c6a96a; font-weight: bold;"&gt;Highland Stable&lt;/span&gt;&lt;br&gt;&lt;strong&gt;Reward:&lt;/strong&gt; 1 Pony Point, Energizing Honey Crepe</t>
  </si>
  <si>
    <t>Examine the Empty Frame in&lt;img src="icons/stable.png" style="height: 20px; width: 20px; vertical-align: middle; margin-right: 5px;"&gt;&lt;span style="color: #c6a96a; font-weight: bold;"&gt;Lakeside Stable&lt;/span&gt;&lt;br&gt;&lt;strong&gt;Reward:&lt;/strong&gt; 1 Pony Point, Tough Tomato Seafood Soup</t>
  </si>
  <si>
    <t>Examine the Empty Frame in&lt;img src="icons/stable.png" style="height: 20px; width: 20px; vertical-align: middle; margin-right: 5px;"&gt;&lt;span style="color: #c6a96a; font-weight: bold;"&gt;Gerudo Canyon Stable&lt;/span&gt;&lt;br&gt;&lt;strong&gt;Reward:&lt;/strong&gt; Chilly Mushroom Risotto, Spicy Mushroom Risotto</t>
  </si>
  <si>
    <t>&lt;strong&gt;Start:&lt;/strong&gt; Talk to Hoz&lt;br&gt;&lt;strong&gt;Reward:&lt;/strong&gt; 100 Rupees</t>
  </si>
  <si>
    <t>&lt;strong&gt;Start:&lt;/strong&gt; Talk to Toren&lt;br&gt;&lt;strong&gt;Reward:&lt;/strong&gt; 100 Rupees</t>
  </si>
  <si>
    <t>&lt;strong&gt;Start:&lt;/strong&gt; Talk to Flaxel&lt;br&gt;&lt;strong&gt;Reward:&lt;/strong&gt; 100 Rupees</t>
  </si>
  <si>
    <t>&lt;strong&gt;Start:&lt;/strong&gt; Talk to Hyrule Ridge&lt;br&gt;&lt;strong&gt;Reward:&lt;/strong&gt; Inventory Expansion</t>
  </si>
  <si>
    <t>&lt;strong&gt;Start:&lt;/strong&gt; Talk to Koltin&lt;br&gt;&lt;strong&gt;Reward:&lt;/strong&gt; Bokoblin Mask</t>
  </si>
  <si>
    <t>&lt;strong&gt;Start:&lt;/strong&gt; Talk to Kazul&lt;br&gt;&lt;strong&gt;Reward:&lt;/strong&gt; Sapphire x3</t>
  </si>
  <si>
    <t>&lt;strong&gt;Start:&lt;/strong&gt; Talk to Kazul&lt;br&gt;&lt;strong&gt;Reward:&lt;/strong&gt; Ruby x3</t>
  </si>
  <si>
    <t>&lt;strong&gt;Start:&lt;/strong&gt; Talk to Kazul&lt;br&gt;&lt;strong&gt;Reward:&lt;/strong&gt; Opal x5</t>
  </si>
  <si>
    <t>&lt;strong&gt;Start:&lt;/strong&gt; Talk to Kazul&lt;br&gt;&lt;strong&gt;Reward:&lt;/strong&gt; Topaz x3</t>
  </si>
  <si>
    <t>The Satori Mountain Crystal</t>
  </si>
  <si>
    <t>The White Bird's Guidance</t>
  </si>
  <si>
    <t>The Gisa Crater Crystal</t>
  </si>
  <si>
    <t>The North Hebra Mountains Crystal</t>
  </si>
  <si>
    <t>The Northwest Hebra Cave Crystal</t>
  </si>
  <si>
    <t>A Pretty Stone and Five Golden Apples</t>
  </si>
  <si>
    <t>None Shall Pass</t>
  </si>
  <si>
    <t>Maca's Special Place</t>
  </si>
  <si>
    <t>The Death Caldera Crystal</t>
  </si>
  <si>
    <t>The Lake Intenoch Cave Crystal</t>
  </si>
  <si>
    <t>Rock for Sale</t>
  </si>
  <si>
    <t>Dyeing to Find It</t>
  </si>
  <si>
    <t>The High Spring and the Light Rings</t>
  </si>
  <si>
    <t>The Lanayru Road Crystal</t>
  </si>
  <si>
    <t>The Ralis Channel Crystal</t>
  </si>
  <si>
    <t>Keys Born of Water</t>
  </si>
  <si>
    <t>The Oakle's Navel Cave Crystal</t>
  </si>
  <si>
    <t>Ride the Giant Horse</t>
  </si>
  <si>
    <t>The Lake Hylia Crystal</t>
  </si>
  <si>
    <t>Legend of the Soaring Spear</t>
  </si>
  <si>
    <t>The Gerudo Canyon Crystal</t>
  </si>
  <si>
    <t>The North Hyrule Sky Crystal</t>
  </si>
  <si>
    <t>The South Hyrule Sky Crystal</t>
  </si>
  <si>
    <t>The Tabantha Sky Crystal</t>
  </si>
  <si>
    <t>The East Hebra Sky Crystal</t>
  </si>
  <si>
    <t>Tauninoud Shrine</t>
  </si>
  <si>
    <t>The Sky Mine Crystal</t>
  </si>
  <si>
    <t>The Sokkala Sky Crystal</t>
  </si>
  <si>
    <t>The South Lanayru Sky Crystal</t>
  </si>
  <si>
    <t>The North Necluda Sky Crystal</t>
  </si>
  <si>
    <t>The West Necluda Sky Crystal</t>
  </si>
  <si>
    <t>The Necluda Sky Crystal</t>
  </si>
  <si>
    <t>Guardian of the Tabantha Sky Archipelago</t>
  </si>
  <si>
    <t>Guardian of the West Hebra Sky Archipelago</t>
  </si>
  <si>
    <t>Guardian of the Wellspring Island</t>
  </si>
  <si>
    <t>Guardian of the Lanayru Sky Archipelago</t>
  </si>
  <si>
    <t>Guardian of the Necluda Sky Archipelago</t>
  </si>
  <si>
    <t>Guardian of the South Necluda Sky Archipelago</t>
  </si>
  <si>
    <t>Guardian of the Faron Sky Archipelago</t>
  </si>
  <si>
    <t>Guardian of the Thunderhead Isles</t>
  </si>
  <si>
    <t>&lt;strong&gt;Task:&lt;/strong&gt; Retrieve the shrine crystal from the Hinox in &lt;img src="icons/cave.png" style="height: 20px; width: 20px; vertical-align: middle; margin-right: 5px;"&gt;&lt;span style="color: #a784e5; font-weight: bold;"&gt;Satori Mountain Foothill Cave&lt;/span&gt;&lt;br&gt;&lt;strong&gt;Reward:&lt;/strong&gt; Access to &lt;img src="icons/shrine.png" style="height: 20px; width: 20px; vertical-align: middle; margin-right: 5px;"&gt;&lt;span style="color: #7cc9c2; font-weight: bold;"&gt;Usazum Shrine&lt;/span&gt;</t>
  </si>
  <si>
    <t>&lt;strong&gt;Task:&lt;/strong&gt; Talk to Laissa to start the quest, then find the bird-shaped snow patch that is to the West North West of &lt;img src="icons/village.png" style="height: 20px; width: 20px; vertical-align: middle; margin-right: 5px;"&gt;&lt;span style="color: #c6a96a; font-weight: bold;"&gt;Rito Village&lt;/span&gt;&lt;br&gt;&lt;strong&gt;Reward:&lt;/strong&gt; Access to &lt;img src="icons/shrine.png" style="height: 20px; width: 20px; vertical-align: middle; margin-right: 5px;"&gt;&lt;span style="color: #7cc9c2; font-weight: bold;"&gt;Wao-os Shrine&lt;/span&gt;</t>
  </si>
  <si>
    <t>&lt;strong&gt;Task:&lt;/strong&gt; Retrieve the shrine crystal from &lt;img src="icons/cave.png" style="height: 20px; width: 20px; vertical-align: middle; margin-right: 5px;"&gt;&lt;span style="color: #a784e5; font-weight: bold;"&gt;Gisa Crater Cave&lt;/span&gt;&lt;br&gt;&lt;strong&gt;Reward:&lt;/strong&gt; Access to &lt;img src="icons/shrine.png" style="height: 20px; width: 20px; vertical-align: middle; margin-right: 5px;"&gt;&lt;span style="color: #7cc9c2; font-weight: bold;"&gt;Ikatak Shrine&lt;/span&gt;</t>
  </si>
  <si>
    <t>&lt;strong&gt;Task:&lt;/strong&gt; Retrieve the shrine crystal from &lt;img src="icons/talus.png" style="height: 20px; width: 20px; vertical-align: middle; margin-right: 5px;"&gt;&lt;span style="color: #d0d0d0; font-weight: bold;"&gt;Frost Talus&lt;/span&gt;&lt;br&gt;&lt;strong&gt;Reward:&lt;/strong&gt; Access to &lt;img src="icons/shrine.png" style="height: 20px; width: 20px; vertical-align: middle; margin-right: 5px;"&gt;&lt;span style="color: #7cc9c2; font-weight: bold;"&gt;Sisuran Shrine&lt;/span&gt;</t>
  </si>
  <si>
    <t>&lt;strong&gt;Task:&lt;/strong&gt; Retrieve the shrine crystal from &lt;img src="icons/cave.png" style="height: 20px; width: 20px; vertical-align: middle; margin-right: 5px;"&gt;&lt;span style="color: #a784e5; font-weight: bold;"&gt;Hebra Mountains Northwest Cave&lt;/span&gt;&lt;br&gt;&lt;strong&gt;Reward:&lt;/strong&gt; Access to &lt;img src="icons/shrine.png" style="height: 20px; width: 20px; vertical-align: middle; margin-right: 5px;"&gt;&lt;span style="color: #7cc9c2; font-weight: bold;"&gt;Rutafu-um Shrine&lt;/span&gt;</t>
  </si>
  <si>
    <t>&lt;strong&gt;Task:&lt;/strong&gt; Talk to the korok, Damia, and trade 5 golden apples for the shrine crystal&lt;br&gt;&lt;strong&gt;Reward:&lt;/strong&gt; Access to &lt;img src="icons/shrine.png" style="height: 20px; width: 20px; vertical-align: middle; margin-right: 5px;"&gt;&lt;span style="color: #7cc9c2; font-weight: bold;"&gt;Pupunke Shrine&lt;/span&gt;</t>
  </si>
  <si>
    <t>&lt;strong&gt;Task:&lt;/strong&gt; Retrieve the shrine crystal from the Stone Talus near the shrine&lt;br&gt;&lt;strong&gt;Reward:&lt;/strong&gt; Access to &lt;img src="icons/shrine.png" style="height: 20px; width: 20px; vertical-align: middle; margin-right: 5px;"&gt;&lt;span style="color: #7cc9c2; font-weight: bold;"&gt;Sakunbomar Shrine&lt;/span&gt;</t>
  </si>
  <si>
    <t>&lt;strong&gt;Task:&lt;/strong&gt; Talk to the korok, Maca, to receive the quest then dive into &lt;img src="icons/location.png" style="height: 20px; width: 20px; vertical-align: middle; margin-right: 5px;"&gt;&lt;span style="color: #c6a96a; font-weight: bold;"&gt;Great Hyrule Forest&lt;/span&gt; from above to reach the shrine&lt;br&gt;&lt;strong&gt;Reward:&lt;/strong&gt; Access to &lt;img src="icons/shrine.png" style="height: 20px; width: 20px; vertical-align: middle; margin-right: 5px;"&gt;&lt;span style="color: #7cc9c2; font-weight: bold;"&gt;Ninjis Shrine&lt;/span&gt;</t>
  </si>
  <si>
    <t>&lt;strong&gt;Task:&lt;/strong&gt; Retrieve the shrine crystal from the Igneo Talus in &lt;img src="icons/cave.png" style="height: 20px; width: 20px; vertical-align: middle; margin-right: 5px;"&gt;&lt;span style="color: #a784e5; font-weight: bold;"&gt;Death Mountain East Tunnel&lt;/span&gt;&lt;br&gt;&lt;strong&gt;Reward:&lt;/strong&gt; Access to &lt;img src="icons/shrine.png" style="height: 20px; width: 20px; vertical-align: middle; margin-right: 5px;"&gt;&lt;span style="color: #7cc9c2; font-weight: bold;"&gt;Momosik Shrine&lt;/span&gt;</t>
  </si>
  <si>
    <t>&lt;strong&gt;Task:&lt;/strong&gt; Retrieve the shrine crystal from &lt;img src="icons/cave.png" style="height: 20px; width: 20px; vertical-align: middle; margin-right: 5px;"&gt;&lt;span style="color: #a784e5; font-weight: bold;"&gt;Lake Intenoch Cave&lt;/span&gt;&lt;br&gt;&lt;strong&gt;Reward:&lt;/strong&gt; Access to &lt;img src="icons/shrine.png" style="height: 20px; width: 20px; vertical-align: middle; margin-right: 5px;"&gt;&lt;span style="color: #7cc9c2; font-weight: bold;"&gt;Moshapin Shrine&lt;/span&gt;</t>
  </si>
  <si>
    <t>&lt;strong&gt;Task:&lt;/strong&gt; Talk to Hagie then pay 50 rupees to receive the shrine crystal from him&lt;br&gt;&lt;strong&gt;Reward:&lt;/strong&gt; Access to &lt;img src="icons/shrine.png" style="height: 20px; width: 20px; vertical-align: middle; margin-right: 5px;"&gt;&lt;span style="color: #7cc9c2; font-weight: bold;"&gt;Jochi-ihiga Shrine&lt;/span&gt;</t>
  </si>
  <si>
    <t>&lt;strong&gt;Task:&lt;/strong&gt; Talk to Steward Construct to start the quest then manipulate the nearby stone block to cast the correct shadow at dawn&lt;br&gt;&lt;strong&gt;Reward:&lt;/strong&gt; Access to &lt;img src="icons/shrine.png" style="height: 20px; width: 20px; vertical-align: middle; margin-right: 5px;"&gt;&lt;span style="color: #7cc9c2; font-weight: bold;"&gt;Kurakat Shrine&lt;/span&gt;</t>
  </si>
  <si>
    <t>&lt;strong&gt;Task:&lt;/strong&gt; Talk to Nazbi to start the quest then use the tower to jump to the sky island above and start the shield surfing challenge&lt;br&gt;&lt;strong&gt;Reward:&lt;/strong&gt; Access to &lt;img src="icons/shrine.png" style="height: 20px; width: 20px; vertical-align: middle; margin-right: 5px;"&gt;&lt;span style="color: #7cc9c2; font-weight: bold;"&gt;Zakusu Shrine&lt;/span&gt;</t>
  </si>
  <si>
    <t>&lt;strong&gt;Task:&lt;/strong&gt; Retrieve the shrine crystal from &lt;img src="icons/cave.png" style="height: 20px; width: 20px; vertical-align: middle; margin-right: 5px;"&gt;&lt;span style="color: #a784e5; font-weight: bold;"&gt;Lanayru Road South Cave&lt;/span&gt;&lt;br&gt;&lt;strong&gt;Reward:&lt;/strong&gt; Access to &lt;img src="icons/shrine.png" style="height: 20px; width: 20px; vertical-align: middle; margin-right: 5px;"&gt;&lt;span style="color: #7cc9c2; font-weight: bold;"&gt;O-ogim Shrine&lt;/span&gt;</t>
  </si>
  <si>
    <t>&lt;strong&gt;Task:&lt;/strong&gt; Retrieve the shrine crystal from &lt;img src="icons/cave.png" style="height: 20px; width: 20px; vertical-align: middle; margin-right: 5px;"&gt;&lt;span style="color: #a784e5; font-weight: bold;"&gt;Ralis Channel&lt;/span&gt;&lt;br&gt;&lt;strong&gt;Reward:&lt;/strong&gt; Access to &lt;img src="icons/shrine.png" style="height: 20px; width: 20px; vertical-align: middle; margin-right: 5px;"&gt;&lt;span style="color: #7cc9c2; font-weight: bold;"&gt;Joniu Shrine&lt;/span&gt;</t>
  </si>
  <si>
    <t>&lt;strong&gt;Task:&lt;/strong&gt; Talk to Steward Construct to start the quest then freeze and melt ice blocks from the river to fit the diamnods&lt;br&gt;&lt;strong&gt;Reward:&lt;/strong&gt; Access to &lt;img src="icons/shrine.png" style="height: 20px; width: 20px; vertical-align: middle; margin-right: 5px;"&gt;&lt;span style="color: #7cc9c2; font-weight: bold;"&gt;Jochisiu Shrine&lt;/span&gt;</t>
  </si>
  <si>
    <t>&lt;strong&gt;Task:&lt;/strong&gt; Retrieve the shrine crystal from &lt;img src="icons/cave.png" style="height: 20px; width: 20px; vertical-align: middle; margin-right: 5px;"&gt;&lt;span style="color: #a784e5; font-weight: bold;"&gt;Oakle’s Navel Cave&lt;/span&gt;&lt;br&gt;&lt;strong&gt;Reward:&lt;/strong&gt; Access to &lt;img src="icons/shrine.png" style="height: 20px; width: 20px; vertical-align: middle; margin-right: 5px;"&gt;&lt;span style="color: #7cc9c2; font-weight: bold;"&gt;Tokiy Shrine&lt;/span&gt;</t>
  </si>
  <si>
    <t>&lt;strong&gt;Task:&lt;/strong&gt; Retrieve the shrine crystal from the sky island above the shrine in &lt;img src="icons/location.png" style="height: 20px; width: 20px; vertical-align: middle; margin-right: 5px;"&gt;&lt;span style="color: #c6a96a; font-weight: bold;"&gt;Faron Sky Archipelago&lt;/span&gt;&lt;br&gt;&lt;strong&gt;Reward:&lt;/strong&gt; Access to &lt;img src="icons/shrine.png" style="height: 20px; width: 20px; vertical-align: middle; margin-right: 5px;"&gt;&lt;span style="color: #7cc9c2; font-weight: bold;"&gt;En-oma Shrine&lt;/span&gt;</t>
  </si>
  <si>
    <t>&lt;strong&gt;Task:&lt;/strong&gt; Read the tattered notebook in &lt;img src="icons/cave.png" style="height: 20px; width: 20px; vertical-align: middle; margin-right: 5px;"&gt;&lt;span style="color: #a784e5; font-weight: bold;"&gt;Tobio’s Hollow Cave&lt;/span&gt; to start the quest then throw a Zonai spear through the ring in the cave&lt;br&gt;&lt;strong&gt;Reward:&lt;/strong&gt; Access to &lt;img src="icons/shrine.png" style="height: 20px; width: 20px; vertical-align: middle; margin-right: 5px;"&gt;&lt;span style="color: #7cc9c2; font-weight: bold;"&gt;Utojis Shrine&lt;/span&gt;</t>
  </si>
  <si>
    <t>&lt;strong&gt;Task:&lt;/strong&gt; Retrieve the shrine crystal from downstream of the shrine in Gerudo Canyon&lt;br&gt;&lt;strong&gt;Reward:&lt;/strong&gt; Access to &lt;img src="icons/shrine.png" style="height: 20px; width: 20px; vertical-align: middle; margin-right: 5px;"&gt;&lt;span style="color: #7cc9c2; font-weight: bold;"&gt;Rakakudaj Shrine&lt;/span&gt;</t>
  </si>
  <si>
    <t>&lt;strong&gt;Task:&lt;/strong&gt; Retrieve the shrine crystal from sky island near the shrine&lt;br&gt;&lt;strong&gt;Reward:&lt;/strong&gt; Access to &lt;img src="icons/shrine.png" style="height: 20px; width: 20px; vertical-align: middle; margin-right: 5px;"&gt;&lt;span style="color: #7cc9c2; font-weight: bold;"&gt;Jinodok Shrine&lt;/span&gt;</t>
  </si>
  <si>
    <t>&lt;strong&gt;Task:&lt;/strong&gt; Retrieve the shrine crystal from the Flux Construct III in &lt;img src="icons/flux-construct.png" style="height: 20px; width: 20px; vertical-align: middle; margin-right: 5px;"&gt;&lt;span style="color: #7cc9c2; font-weight: bold;"&gt;Tabantha Sky Archipelago&lt;/span&gt;&lt;br&gt;&lt;strong&gt;Reward:&lt;/strong&gt; Access to &lt;img src="icons/shrine.png" style="height: 20px; width: 20px; vertical-align: middle; margin-right: 5px;"&gt;&lt;span style="color: #7cc9c2; font-weight: bold;"&gt;Ganos Shrine&lt;/span&gt;</t>
  </si>
  <si>
    <t>&lt;strong&gt;Task:&lt;/strong&gt; Retrieve the shrine crystal from inside the sky island near the shrine&lt;br&gt;&lt;strong&gt;Reward:&lt;/strong&gt; Access to &lt;img src="icons/shrine.png" style="height: 20px; width: 20px; vertical-align: middle; margin-right: 5px;"&gt;&lt;span style="color: #7cc9c2; font-weight: bold;"&gt;Tauninoud Shrine&lt;/span&gt;</t>
  </si>
  <si>
    <t>&lt;strong&gt;Task:&lt;/strong&gt; Retrieve the shrine crystal from the sky island above the shrine&lt;br&gt;&lt;strong&gt;Reward:&lt;/strong&gt; Access to &lt;img src="icons/shrine.png" style="height: 20px; width: 20px; vertical-align: middle; margin-right: 5px;"&gt;&lt;span style="color: #7cc9c2; font-weight: bold;"&gt;Gikaku Shrine&lt;/span&gt;</t>
  </si>
  <si>
    <t>&lt;strong&gt;Task:&lt;/strong&gt; Retrieve the shrine crystal from the sphere-shaped sky island near the shrine&lt;br&gt;&lt;strong&gt;Reward:&lt;/strong&gt; Access to &lt;img src="icons/shrine.png" style="height: 20px; width: 20px; vertical-align: middle; margin-right: 5px;"&gt;&lt;span style="color: #7cc9c2; font-weight: bold;"&gt;Natak Shrine&lt;/span&gt;</t>
  </si>
  <si>
    <t>&lt;strong&gt;Task:&lt;/strong&gt; Retrieve the shrine crystal from the vine-covered sky island near the shrine&lt;br&gt;&lt;strong&gt;Reward:&lt;/strong&gt; Access to &lt;img src="icons/shrine.png" style="height: 20px; width: 20px; vertical-align: middle; margin-right: 5px;"&gt;&lt;span style="color: #7cc9c2; font-weight: bold;"&gt;Mayanas Shrine&lt;/span&gt;</t>
  </si>
  <si>
    <t>&lt;strong&gt;Task:&lt;/strong&gt; Retrieve the shrine crystal from inside the sky island near the shrine&lt;br&gt;&lt;strong&gt;Reward:&lt;/strong&gt; Access to &lt;img src="icons/shrine.png" style="height: 20px; width: 20px; vertical-align: middle; margin-right: 5px;"&gt;&lt;span style="color: #7cc9c2; font-weight: bold;"&gt;Josiu Shrine&lt;/span&gt;</t>
  </si>
  <si>
    <t>&lt;strong&gt;Task:&lt;/strong&gt; Talk to Baddek to start the quest then find and tame the giant horse near the &lt;img src="icons/location.png" style="height: 20px; width: 20px; vertical-align: middle; margin-right: 5px;"&gt;&lt;span style="color: #c6a96a; font-weight: bold;"&gt;Horse God Bridge&lt;/span&gt;&lt;br&gt;&lt;strong&gt;Reward:&lt;/strong&gt; Access to &lt;img src="icons/shrine.png" style="height: 20px; width: 20px; vertical-align: middle; margin-right: 5px;"&gt;&lt;span style="color: #7cc9c2; font-weight: bold;"&gt;Ishokin Shrine&lt;/span&gt;</t>
  </si>
  <si>
    <t>&lt;strong&gt;Task:&lt;/strong&gt; Retrieve the shrine crystal from the Flux Construct I nearby&lt;br&gt;&lt;strong&gt;Reward:&lt;/strong&gt; Access to &lt;img src="icons/shrine.png" style="height: 20px; width: 20px; vertical-align: middle; margin-right: 5px;"&gt;&lt;span style="color: #7cc9c2; font-weight: bold;"&gt;Mayam Shrine&lt;/span&gt;</t>
  </si>
  <si>
    <t>&lt;strong&gt;Task:&lt;/strong&gt; Retrieve the shrine crystal from the vine-covered sky island North North East of the shrine&lt;br&gt;&lt;strong&gt;Reward:&lt;/strong&gt; Access to &lt;img src="icons/shrine.png" style="height: 20px; width: 20px; vertical-align: middle; margin-right: 5px;"&gt;&lt;span style="color: #7cc9c2; font-weight: bold;"&gt;Ukoojisi Shrine&lt;/span&gt;</t>
  </si>
  <si>
    <t>&lt;strong&gt;Task:&lt;/strong&gt; Retrieve the shrine crystal from the Flux Construct III nearby&lt;br&gt;&lt;strong&gt;Reward:&lt;/strong&gt; Access to &lt;img src="icons/shrine.png" style="height: 20px; width: 20px; vertical-align: middle; margin-right: 5px;"&gt;&lt;span style="color: #7cc9c2; font-weight: bold;"&gt;Kumamayn Shrine&lt;/span&gt;</t>
  </si>
  <si>
    <t>&lt;strong&gt;First:&lt;/strong&gt; Complete &lt;img src="icons/shrine-quest.png" style="height: 20px; width: 20px; vertical-align: middle; margin-right: 5px;"&gt;&lt;span style="color: #7cc9c2; font-weight: bold;"&gt;The South Hyrule Sky Crystal&lt;/span&gt; shrine quest</t>
  </si>
  <si>
    <t>&lt;strong&gt;First:&lt;/strong&gt; Complete &lt;img src="icons/shrine-quest.png" style="height: 20px; width: 20px; vertical-align: middle; margin-right: 5px;"&gt;&lt;span style="color: #7cc9c2; font-weight: bold;"&gt;The Satori Mountain Crystal&lt;/span&gt; shrine quest</t>
  </si>
  <si>
    <t>&lt;strong&gt;First:&lt;/strong&gt; Complete &lt;img src="icons/shrine-quest.png" style="height: 20px; width: 20px; vertical-align: middle; margin-right: 5px;"&gt;&lt;span style="color: #7cc9c2; font-weight: bold;"&gt;The Tabantha Sky Crystal&lt;/span&gt; shrine quest</t>
  </si>
  <si>
    <t>&lt;strong&gt;First:&lt;/strong&gt; Complete &lt;img src="icons/shrine-quest.png" style="height: 20px; width: 20px; vertical-align: middle; margin-right: 5px;"&gt;&lt;span style="color: #7cc9c2; font-weight: bold;"&gt;The Gisa Crater Crystal&lt;/span&gt; shrine quest</t>
  </si>
  <si>
    <t>&lt;strong&gt;First:&lt;/strong&gt; Complete &lt;img src="icons/shrine-quest.png" style="height: 20px; width: 20px; vertical-align: middle; margin-right: 5px;"&gt;&lt;span style="color: #7cc9c2; font-weight: bold;"&gt;The Northwest Hebra Cave Crystal&lt;/span&gt; shrine quest</t>
  </si>
  <si>
    <t>&lt;strong&gt;First:&lt;/strong&gt; Complete &lt;img src="icons/shrine-quest.png" style="height: 20px; width: 20px; vertical-align: middle; margin-right: 5px;"&gt;&lt;span style="color: #7cc9c2; font-weight: bold;"&gt;The North Hebra Mountains Crystal&lt;/span&gt; shrine quest</t>
  </si>
  <si>
    <t>&lt;strong&gt;First:&lt;/strong&gt; Complete &lt;img src="icons/shrine-quest.png" style="height: 20px; width: 20px; vertical-align: middle; margin-right: 5px;"&gt;&lt;span style="color: #7cc9c2; font-weight: bold;"&gt;The White Bird's Guidance&lt;/span&gt; shrine quest</t>
  </si>
  <si>
    <t>&lt;strong&gt;First:&lt;/strong&gt; Complete &lt;img src="icons/shrine-quest.png" style="height: 20px; width: 20px; vertical-align: middle; margin-right: 5px;"&gt;&lt;span style="color: #7cc9c2; font-weight: bold;"&gt;The North Hyrule Sky Crystal&lt;/span&gt; shrine quest</t>
  </si>
  <si>
    <t>&lt;strong&gt;First:&lt;/strong&gt; Complete &lt;img src="icons/shrine-quest.png" style="height: 20px; width: 20px; vertical-align: middle; margin-right: 5px;"&gt;&lt;span style="color: #7cc9c2; font-weight: bold;"&gt;Maca's Special Place&lt;/span&gt; shrine quest</t>
  </si>
  <si>
    <t>&lt;strong&gt;First:&lt;/strong&gt; Complete &lt;img src="icons/shrine-quest.png" style="height: 20px; width: 20px; vertical-align: middle; margin-right: 5px;"&gt;&lt;span style="color: #7cc9c2; font-weight: bold;"&gt;A Pretty Stone and Five Golden Apples&lt;/span&gt; shrine quest</t>
  </si>
  <si>
    <t>&lt;strong&gt;First:&lt;/strong&gt; Complete &lt;img src="icons/shrine-quest.png" style="height: 20px; width: 20px; vertical-align: middle; margin-right: 5px;"&gt;&lt;span style="color: #7cc9c2; font-weight: bold;"&gt;None Shall Pass&lt;/span&gt; shrine quest</t>
  </si>
  <si>
    <t>&lt;strong&gt;First:&lt;/strong&gt; Complete &lt;img src="icons/shrine-quest.png" style="height: 20px; width: 20px; vertical-align: middle; margin-right: 5px;"&gt;&lt;span style="color: #7cc9c2; font-weight: bold;"&gt;The Death Caldera Crystal&lt;/span&gt; shrine quest</t>
  </si>
  <si>
    <t>&lt;strong&gt;First:&lt;/strong&gt; Complete &lt;img src="icons/shrine-quest.png" style="height: 20px; width: 20px; vertical-align: middle; margin-right: 5px;"&gt;&lt;span style="color: #7cc9c2; font-weight: bold;"&gt;The Lake Intenoch Cave Crystal&lt;/span&gt; shrine quest</t>
  </si>
  <si>
    <t>&lt;strong&gt;First:&lt;/strong&gt; Complete &lt;img src="icons/shrine-quest.png" style="height: 20px; width: 20px; vertical-align: middle; margin-right: 5px;"&gt;&lt;span style="color: #7cc9c2; font-weight: bold;"&gt;The Sky Mine Crystal&lt;/span&gt; shrine quest</t>
  </si>
  <si>
    <t>&lt;strong&gt;First:&lt;/strong&gt; Complete &lt;img src="icons/shrine-quest.png" style="height: 20px; width: 20px; vertical-align: middle; margin-right: 5px;"&gt;&lt;span style="color: #7cc9c2; font-weight: bold;"&gt;The Sokkala Sky Crystal&lt;/span&gt; shrine quest</t>
  </si>
  <si>
    <t>&lt;strong&gt;First:&lt;/strong&gt; Complete &lt;img src="icons/shrine-quest.png" style="height: 20px; width: 20px; vertical-align: middle; margin-right: 5px;"&gt;&lt;span style="color: #7cc9c2; font-weight: bold;"&gt;Rock for Sale&lt;/span&gt; shrine quest</t>
  </si>
  <si>
    <t>&lt;strong&gt;First:&lt;/strong&gt; Complete &lt;img src="icons/shrine-quest.png" style="height: 20px; width: 20px; vertical-align: middle; margin-right: 5px;"&gt;&lt;span style="color: #7cc9c2; font-weight: bold;"&gt;The Ralis Channel Crystal&lt;/span&gt; shrine quest</t>
  </si>
  <si>
    <t>&lt;strong&gt;First:&lt;/strong&gt; Complete &lt;img src="icons/shrine-quest.png" style="height: 20px; width: 20px; vertical-align: middle; margin-right: 5px;"&gt;&lt;span style="color: #7cc9c2; font-weight: bold;"&gt;The North Necluda Sky Crystal&lt;/span&gt; shrine quest</t>
  </si>
  <si>
    <t>&lt;strong&gt;First:&lt;/strong&gt; Complete &lt;img src="icons/shrine-quest.png" style="height: 20px; width: 20px; vertical-align: middle; margin-right: 5px;"&gt;&lt;span style="color: #7cc9c2; font-weight: bold;"&gt;The West Necluda Sky Crystal&lt;/span&gt; shrine quest</t>
  </si>
  <si>
    <t>&lt;strong&gt;First:&lt;/strong&gt; Complete &lt;img src="icons/shrine-quest.png" style="height: 20px; width: 20px; vertical-align: middle; margin-right: 5px;"&gt;&lt;span style="color: #7cc9c2; font-weight: bold;"&gt;Dyeing to Find It&lt;/span&gt; shrine quest</t>
  </si>
  <si>
    <t>&lt;strong&gt;First:&lt;/strong&gt; Complete &lt;img src="icons/shrine-quest.png" style="height: 20px; width: 20px; vertical-align: middle; margin-right: 5px;"&gt;&lt;span style="color: #7cc9c2; font-weight: bold;"&gt;The Lanayru Road Crystal&lt;/span&gt; shrine quest</t>
  </si>
  <si>
    <t>&lt;strong&gt;First:&lt;/strong&gt; Complete &lt;img src="icons/shrine-quest.png" style="height: 20px; width: 20px; vertical-align: middle; margin-right: 5px;"&gt;&lt;span style="color: #7cc9c2; font-weight: bold;"&gt;The South Lanayru Sky Crystal&lt;/span&gt; shrine quest</t>
  </si>
  <si>
    <t>&lt;strong&gt;First:&lt;/strong&gt; Complete &lt;img src="icons/shrine-quest.png" style="height: 20px; width: 20px; vertical-align: middle; margin-right: 5px;"&gt;&lt;span style="color: #7cc9c2; font-weight: bold;"&gt;The High Spring and the Light Rings&lt;/span&gt; shrine quest</t>
  </si>
  <si>
    <t>&lt;strong&gt;First:&lt;/strong&gt; Complete &lt;img src="icons/shrine-quest.png" style="height: 20px; width: 20px; vertical-align: middle; margin-right: 5px;"&gt;&lt;span style="color: #7cc9c2; font-weight: bold;"&gt;The Necluda Sky Crystal&lt;/span&gt; shrine quest</t>
  </si>
  <si>
    <t>&lt;strong&gt;First:&lt;/strong&gt; Complete &lt;img src="icons/shrine-quest.png" style="height: 20px; width: 20px; vertical-align: middle; margin-right: 5px;"&gt;&lt;span style="color: #7cc9c2; font-weight: bold;"&gt;The Oakle's Navel Cave Crystal&lt;/span&gt; shrine quest</t>
  </si>
  <si>
    <t>&lt;strong&gt;First:&lt;/strong&gt; Complete &lt;img src="icons/shrine-quest.png" style="height: 20px; width: 20px; vertical-align: middle; margin-right: 5px;"&gt;&lt;span style="color: #7cc9c2; font-weight: bold;"&gt;The Lake Hylia Crystal&lt;/span&gt; shrine quest</t>
  </si>
  <si>
    <t>&lt;strong&gt;First:&lt;/strong&gt; Complete &lt;img src="icons/shrine-quest.png" style="height: 20px; width: 20px; vertical-align: middle; margin-right: 5px;"&gt;&lt;span style="color: #7cc9c2; font-weight: bold;"&gt;Ride the Giant Horse&lt;/span&gt; shrine quest</t>
  </si>
  <si>
    <t>&lt;strong&gt;First:&lt;/strong&gt; Complete &lt;img src="icons/shrine-quest.png" style="height: 20px; width: 20px; vertical-align: middle; margin-right: 5px;"&gt;&lt;span style="color: #7cc9c2; font-weight: bold;"&gt;Keys Born of Water&lt;/span&gt; shrine quest</t>
  </si>
  <si>
    <t>&lt;strong&gt;First:&lt;/strong&gt; Complete &lt;img src="icons/shrine-quest.png" style="height: 20px; width: 20px; vertical-align: middle; margin-right: 5px;"&gt;&lt;span style="color: #7cc9c2; font-weight: bold;"&gt;Legend of the Soaring Spear&lt;/span&gt; shrine quest</t>
  </si>
  <si>
    <t>&lt;strong&gt;First:&lt;/strong&gt; Complete &lt;img src="icons/shrine-quest.png" style="height: 20px; width: 20px; vertical-align: middle; margin-right: 5px;"&gt;&lt;span style="color: #7cc9c2; font-weight: bold;"&gt;The Gerudo Canyon Crystal&lt;/span&gt; shrine quest</t>
  </si>
  <si>
    <t>&lt;strong&gt;Leads to:&lt;/strong&gt; &lt;img src="icons/treasure.png" style="height: 20px; width: 20px; vertical-align: middle; margin-right: 5px;"&gt;&lt;span style="color: #c6a96a; font-weight: bold;"&gt;Trousers of the Hero&lt;/span&gt;</t>
  </si>
  <si>
    <t>&lt;strong&gt;Leads to:&lt;/strong&gt; &lt;img src="icons/treasure.png" style="height: 20px; width: 20px; vertical-align: middle; margin-right: 5px;"&gt;&lt;span style="color: #c6a96a; font-weight: bold;"&gt;Tunic of the Hero&lt;/span&gt;</t>
  </si>
  <si>
    <t>&lt;strong&gt;Leads to:&lt;/strong&gt; &lt;img src="icons/treasure.png" style="height: 20px; width: 20px; vertical-align: middle; margin-right: 5px;"&gt;&lt;span style="color: #c6a96a; font-weight: bold;"&gt;Cap of the Hero&lt;/span&gt;</t>
  </si>
  <si>
    <t>&lt;strong&gt;Leads to:&lt;/strong&gt; &lt;img src="icons/treasure.png" style="height: 20px; width: 20px; vertical-align: middle; margin-right: 5px;"&gt;&lt;span style="color: #c6a96a; font-weight: bold;"&gt;Sheik's Mask&lt;/span&gt;</t>
  </si>
  <si>
    <t>&lt;strong&gt;Leads to:&lt;/strong&gt; &lt;img src="icons/treasure.png" style="height: 20px; width: 20px; vertical-align: middle; margin-right: 5px;"&gt;&lt;span style="color: #c6a96a; font-weight: bold;"&gt;Tunic of the Wild&lt;/span&gt;</t>
  </si>
  <si>
    <t>&lt;strong&gt;Leads to:&lt;/strong&gt; &lt;img src="icons/treasure.png" style="height: 20px; width: 20px; vertical-align: middle; margin-right: 5px;"&gt;&lt;span style="color: #c6a96a; font-weight: bold;"&gt;Trousers of the Wild&lt;/span&gt;</t>
  </si>
  <si>
    <t>&lt;strong&gt;Leads to:&lt;/strong&gt; &lt;img src="icons/treasure.png" style="height: 20px; width: 20px; vertical-align: middle; margin-right: 5px;"&gt;&lt;span style="color: #c6a96a; font-weight: bold;"&gt;Cap of the Wild&lt;/span&gt;</t>
  </si>
  <si>
    <t>&lt;strong&gt;Leads to:&lt;/strong&gt; &lt;img src="icons/treasure.png" style="height: 20px; width: 20px; vertical-align: middle; margin-right: 5px;"&gt;&lt;span style="color: #c6a96a; font-weight: bold;"&gt;Miner's Mask&lt;/span&gt;</t>
  </si>
  <si>
    <t>&lt;strong&gt;Leads to:&lt;/strong&gt; &lt;img src="icons/treasure.png" style="height: 20px; width: 20px; vertical-align: middle; margin-right: 5px;"&gt;&lt;span style="color: #c6a96a; font-weight: bold;"&gt;Miner's Top&lt;/span&gt;</t>
  </si>
  <si>
    <t>&lt;strong&gt;Leads to:&lt;/strong&gt; &lt;img src="icons/treasure.png" style="height: 20px; width: 20px; vertical-align: middle; margin-right: 5px;"&gt;&lt;span style="color: #c6a96a; font-weight: bold;"&gt;Miner's Trousers&lt;/span&gt;</t>
  </si>
  <si>
    <t>&lt;strong&gt;Leads to:&lt;/strong&gt; &lt;img src="icons/treasure.png" style="height: 20px; width: 20px; vertical-align: middle; margin-right: 5px;"&gt;&lt;span style="color: #c6a96a; font-weight: bold;"&gt;Ravio's Hood&lt;/span&gt;</t>
  </si>
  <si>
    <t>&lt;strong&gt;Leads to:&lt;/strong&gt; &lt;img src="icons/treasure.png" style="height: 20px; width: 20px; vertical-align: middle; margin-right: 5px;"&gt;&lt;span style="color: #c6a96a; font-weight: bold;"&gt;Korok Mask&lt;/span&gt;</t>
  </si>
  <si>
    <t>&lt;strong&gt;Leads to:&lt;/strong&gt; &lt;img src="icons/treasure.png" style="height: 20px; width: 20px; vertical-align: middle; margin-right: 5px;"&gt;&lt;span style="color: #c6a96a; font-weight: bold;"&gt;Biggoron's Sword&lt;/span&gt;</t>
  </si>
  <si>
    <t>&lt;strong&gt;Leads to:&lt;/strong&gt; &lt;img src="icons/treasure.png" style="height: 20px; width: 20px; vertical-align: middle; margin-right: 5px;"&gt;&lt;span style="color: #c6a96a; font-weight: bold;"&gt;Trousers of Twilight&lt;/span&gt;</t>
  </si>
  <si>
    <t>&lt;strong&gt;Leads to:&lt;/strong&gt; &lt;img src="icons/treasure.png" style="height: 20px; width: 20px; vertical-align: middle; margin-right: 5px;"&gt;&lt;span style="color: #c6a96a; font-weight: bold;"&gt;Cap of Twilight&lt;/span&gt;</t>
  </si>
  <si>
    <t>&lt;strong&gt;Leads to:&lt;/strong&gt; &lt;img src="icons/treasure.png" style="height: 20px; width: 20px; vertical-align: middle; margin-right: 5px;"&gt;&lt;span style="color: #c6a96a; font-weight: bold;"&gt;Tunic of Twilight&lt;/span&gt;</t>
  </si>
  <si>
    <t>&lt;strong&gt;Leads to:&lt;/strong&gt; &lt;img src="icons/treasure.png" style="height: 20px; width: 20px; vertical-align: middle; margin-right: 5px;"&gt;&lt;span style="color: #c6a96a; font-weight: bold;"&gt;Trousers of the Wind&lt;/span&gt;</t>
  </si>
  <si>
    <t>&lt;strong&gt;Leads to:&lt;/strong&gt; &lt;img src="icons/treasure.png" style="height: 20px; width: 20px; vertical-align: middle; margin-right: 5px;"&gt;&lt;span style="color: #c6a96a; font-weight: bold;"&gt;Cap of the Wind&lt;/span&gt;</t>
  </si>
  <si>
    <t>&lt;strong&gt;Leads to:&lt;/strong&gt; &lt;img src="icons/treasure.png" style="height: 20px; width: 20px; vertical-align: middle; margin-right: 5px;"&gt;&lt;span style="color: #c6a96a; font-weight: bold;"&gt;Tunic of the Wind&lt;/span&gt;</t>
  </si>
  <si>
    <t>&lt;strong&gt;Leads to:&lt;/strong&gt; &lt;img src="icons/treasure.png" style="height: 20px; width: 20px; vertical-align: middle; margin-right: 5px;"&gt;&lt;span style="color: #c6a96a; font-weight: bold;"&gt;Cap of Time&lt;/span&gt;</t>
  </si>
  <si>
    <t>&lt;strong&gt;Leads to:&lt;/strong&gt; &lt;img src="icons/treasure.png" style="height: 20px; width: 20px; vertical-align: middle; margin-right: 5px;"&gt;&lt;span style="color: #c6a96a; font-weight: bold;"&gt;Tunic of Time&lt;/span&gt;</t>
  </si>
  <si>
    <t>&lt;strong&gt;Leads to:&lt;/strong&gt; &lt;img src="icons/treasure.png" style="height: 20px; width: 20px; vertical-align: middle; margin-right: 5px;"&gt;&lt;span style="color: #c6a96a; font-weight: bold;"&gt;Trousers of Time&lt;/span&gt;</t>
  </si>
  <si>
    <t>&lt;strong&gt;Leads to:&lt;/strong&gt; &lt;img src="icons/treasure.png" style="height: 20px; width: 20px; vertical-align: middle; margin-right: 5px;"&gt;&lt;span style="color: #c6a96a; font-weight: bold;"&gt;Sea-Breeze Shield&lt;/span&gt;</t>
  </si>
  <si>
    <t>&lt;strong&gt;Leads to:&lt;/strong&gt; &lt;img src="icons/treasure.png" style="height: 20px; width: 20px; vertical-align: middle; margin-right: 5px;"&gt;&lt;span style="color: #c6a96a; font-weight: bold;"&gt;Tunic of the Sky&lt;/span&gt;</t>
  </si>
  <si>
    <t>&lt;strong&gt;Leads to:&lt;/strong&gt; &lt;img src="icons/treasure.png" style="height: 20px; width: 20px; vertical-align: middle; margin-right: 5px;"&gt;&lt;span style="color: #c6a96a; font-weight: bold;"&gt;Midna's Helmet&lt;/span&gt;</t>
  </si>
  <si>
    <t>&lt;strong&gt;Leads to:&lt;/strong&gt; &lt;img src="icons/treasure.png" style="height: 20px; width: 20px; vertical-align: middle; margin-right: 5px;"&gt;&lt;span style="color: #c6a96a; font-weight: bold;"&gt;Zant's Helmet&lt;/span&gt;</t>
  </si>
  <si>
    <t>&lt;strong&gt;Leads to:&lt;/strong&gt; &lt;img src="icons/treasure.png" style="height: 20px; width: 20px; vertical-align: middle; margin-right: 5px;"&gt;&lt;span style="color: #c6a96a; font-weight: bold;"&gt;Sea-Breeze Boomerang&lt;/span&gt;</t>
  </si>
  <si>
    <t>&lt;strong&gt;Leads to:&lt;/strong&gt; &lt;img src="icons/treasure.png" style="height: 20px; width: 20px; vertical-align: middle; margin-right: 5px;"&gt;&lt;span style="color: #c6a96a; font-weight: bold;"&gt;Trousers of the Sky&lt;/span&gt;</t>
  </si>
  <si>
    <t>&lt;strong&gt;Leads to:&lt;/strong&gt; &lt;img src="icons/treasure.png" style="height: 20px; width: 20px; vertical-align: middle; margin-right: 5px;"&gt;&lt;span style="color: #c6a96a; font-weight: bold;"&gt;Cap of the Sky&lt;/span&gt;</t>
  </si>
  <si>
    <t>&lt;strong&gt;Leads to:&lt;/strong&gt; &lt;img src="icons/treasure.png" style="height: 20px; width: 20px; vertical-align: middle; margin-right: 5px;"&gt;&lt;span style="color: #c6a96a; font-weight: bold;"&gt;Sword of the Hero&lt;/span&gt;</t>
  </si>
  <si>
    <t>&lt;strong&gt;Leads to:&lt;/strong&gt; &lt;img src="icons/treasure.png" style="height: 20px; width: 20px; vertical-align: middle; margin-right: 5px;"&gt;&lt;span style="color: #c6a96a; font-weight: bold;"&gt;Majora's Mask&lt;/span&gt;</t>
  </si>
  <si>
    <t>&lt;strong&gt;Shown on:&lt;/strong&gt; &lt;img src="icons/old-map.png" style="height: 20px; width: 20px; vertical-align: middle; margin-right: 5px;"&gt;&lt;span style="color: #dd88d3; font-weight: bold;"&gt;West Hebra Sky Map #1&lt;/span&gt;</t>
  </si>
  <si>
    <t>&lt;strong&gt;Shown on:&lt;/strong&gt; &lt;img src="icons/old-map.png" style="height: 20px; width: 20px; vertical-align: middle; margin-right: 5px;"&gt;&lt;span style="color: #dd88d3; font-weight: bold;"&gt;North Gerudo Sky&lt;/span&gt;</t>
  </si>
  <si>
    <t>&lt;strong&gt;Shown on:&lt;/strong&gt; &lt;img src="icons/old-map.png" style="height: 20px; width: 20px; vertical-align: middle; margin-right: 5px;"&gt;&lt;span style="color: #dd88d3; font-weight: bold;"&gt;West Hebra Sky Map #2&lt;/span&gt;</t>
  </si>
  <si>
    <t>&lt;strong&gt;Shown on:&lt;/strong&gt; &lt;img src="icons/old-map.png" style="height: 20px; width: 20px; vertical-align: middle; margin-right: 5px;"&gt;&lt;span style="color: #dd88d3; font-weight: bold;"&gt;East Gerudo Sky&lt;/span&gt;</t>
  </si>
  <si>
    <t>&lt;strong&gt;Shown on:&lt;/strong&gt; &lt;img src="icons/old-map.png" style="height: 20px; width: 20px; vertical-align: middle; margin-right: 5px;"&gt;&lt;span style="color: #dd88d3; font-weight: bold;"&gt;Lanayru Sky&lt;/span&gt;</t>
  </si>
  <si>
    <t>&lt;strong&gt;Shown on:&lt;/strong&gt; &lt;img src="icons/old-map.png" style="height: 20px; width: 20px; vertical-align: middle; margin-right: 5px;"&gt;&lt;span style="color: #dd88d3; font-weight: bold;"&gt;North Necluda Sky Map #1&lt;/span&gt;</t>
  </si>
  <si>
    <t>&lt;strong&gt;Shown on:&lt;/strong&gt; &lt;img src="icons/old-map.png" style="height: 20px; width: 20px; vertical-align: middle; margin-right: 5px;"&gt;&lt;span style="color: #dd88d3; font-weight: bold;"&gt;Tabantha Sky Map #2&lt;/span&gt;</t>
  </si>
  <si>
    <t>&lt;strong&gt;Shown on:&lt;/strong&gt; &lt;img src="icons/old-map.png" style="height: 20px; width: 20px; vertical-align: middle; margin-right: 5px;"&gt;&lt;span style="color: #dd88d3; font-weight: bold;"&gt;Central Hyrule Sky&lt;/span&gt;</t>
  </si>
  <si>
    <t>&lt;strong&gt;Shown on:&lt;/strong&gt; &lt;img src="icons/old-map.png" style="height: 20px; width: 20px; vertical-align: middle; margin-right: 5px;"&gt;&lt;span style="color: #dd88d3; font-weight: bold;"&gt;Necluda Sky&lt;/span&gt;</t>
  </si>
  <si>
    <t>&lt;strong&gt;Shown on:&lt;/strong&gt; &lt;img src="icons/old-map.png" style="height: 20px; width: 20px; vertical-align: middle; margin-right: 5px;"&gt;&lt;span style="color: #dd88d3; font-weight: bold;"&gt;South Hyrule Sky Map #1&lt;/span&gt;</t>
  </si>
  <si>
    <t>&lt;strong&gt;Shown on:&lt;/strong&gt; &lt;img src="icons/old-map.png" style="height: 20px; width: 20px; vertical-align: middle; margin-right: 5px;"&gt;&lt;span style="color: #dd88d3; font-weight: bold;"&gt;North Akkala Sky Map #2&lt;/span&gt;</t>
  </si>
  <si>
    <t>&lt;strong&gt;Shown on:&lt;/strong&gt; &lt;img src="icons/old-map.png" style="height: 20px; width: 20px; vertical-align: middle; margin-right: 5px;"&gt;&lt;span style="color: #dd88d3; font-weight: bold;"&gt;North Hyrule Sky&lt;/span&gt;</t>
  </si>
  <si>
    <t>&lt;strong&gt;Shown on:&lt;/strong&gt; &lt;img src="icons/old-map.png" style="height: 20px; width: 20px; vertical-align: middle; margin-right: 5px;"&gt;&lt;span style="color: #dd88d3; font-weight: bold;"&gt;Tabantha Sky Map #1&lt;/span&gt;</t>
  </si>
  <si>
    <t>&lt;strong&gt;Shown on:&lt;/strong&gt; &lt;img src="icons/old-map.png" style="height: 20px; width: 20px; vertical-align: middle; margin-right: 5px;"&gt;&lt;span style="color: #dd88d3; font-weight: bold;"&gt;West Necluda Sky&lt;/span&gt;</t>
  </si>
  <si>
    <t>&lt;strong&gt;Shown on:&lt;/strong&gt; &lt;img src="icons/old-map.png" style="height: 20px; width: 20px; vertical-align: middle; margin-right: 5px;"&gt;&lt;span style="color: #dd88d3; font-weight: bold;"&gt;South Lanayru Sky Map #2&lt;/span&gt;</t>
  </si>
  <si>
    <t>&lt;strong&gt;Shown on:&lt;/strong&gt; &lt;img src="icons/old-map.png" style="height: 20px; width: 20px; vertical-align: middle; margin-right: 5px;"&gt;&lt;span style="color: #dd88d3; font-weight: bold;"&gt;South Eldin Sky&lt;/span&gt;</t>
  </si>
  <si>
    <t>&lt;strong&gt;Shown on:&lt;/strong&gt; &lt;img src="icons/old-map.png" style="height: 20px; width: 20px; vertical-align: middle; margin-right: 5px;"&gt;&lt;span style="color: #dd88d3; font-weight: bold;"&gt;North Akkala Sky Map #1&lt;/span&gt;</t>
  </si>
  <si>
    <t>&lt;strong&gt;Shown on:&lt;/strong&gt; &lt;img src="icons/old-map.png" style="height: 20px; width: 20px; vertical-align: middle; margin-right: 5px;"&gt;&lt;span style="color: #dd88d3; font-weight: bold;"&gt;Sokkala Sky&lt;/span&gt;</t>
  </si>
  <si>
    <t>&lt;strong&gt;Shown on:&lt;/strong&gt; &lt;img src="icons/old-map.png" style="height: 20px; width: 20px; vertical-align: middle; margin-right: 5px;"&gt;&lt;span style="color: #dd88d3; font-weight: bold;"&gt;Wellspring Island Map #2&lt;/span&gt;</t>
  </si>
  <si>
    <t>&lt;strong&gt;Shown on:&lt;/strong&gt; &lt;img src="icons/old-map.png" style="height: 20px; width: 20px; vertical-align: middle; margin-right: 5px;"&gt;&lt;span style="color: #dd88d3; font-weight: bold;"&gt;East Necluda Sky&lt;/span&gt;</t>
  </si>
  <si>
    <t>&lt;strong&gt;Shown on:&lt;/strong&gt; &lt;img src="icons/old-map.png" style="height: 20px; width: 20px; vertical-align: middle; margin-right: 5px;"&gt;&lt;span style="color: #dd88d3; font-weight: bold;"&gt;Thunderhead Isles Map #1&lt;/span&gt;</t>
  </si>
  <si>
    <t>&lt;strong&gt;Shown on:&lt;/strong&gt; &lt;img src="icons/old-map.png" style="height: 20px; width: 20px; vertical-align: middle; margin-right: 5px;"&gt;&lt;span style="color: #dd88d3; font-weight: bold;"&gt;South Hyrule Sky Map #2&lt;/span&gt;</t>
  </si>
  <si>
    <t>&lt;strong&gt;Shown on:&lt;/strong&gt; &lt;img src="icons/old-map.png" style="height: 20px; width: 20px; vertical-align: middle; margin-right: 5px;"&gt;&lt;span style="color: #dd88d3; font-weight: bold;"&gt;Thunderhead Isles Map #2&lt;/span&gt;</t>
  </si>
  <si>
    <t>&lt;strong&gt;Shown on:&lt;/strong&gt; &lt;img src="icons/old-map.png" style="height: 20px; width: 20px; vertical-align: middle; margin-right: 5px;"&gt;&lt;span style="color: #dd88d3; font-weight: bold;"&gt;South Hyrule Sky Map #3&lt;/span&gt;</t>
  </si>
  <si>
    <t>&lt;strong&gt;Shown on:&lt;/strong&gt; &lt;img src="icons/old-map.png" style="height: 20px; width: 20px; vertical-align: middle; margin-right: 5px;"&gt;&lt;span style="color: #dd88d3; font-weight: bold;"&gt;South Lanayru Sky Map #1&lt;/span&gt;</t>
  </si>
  <si>
    <t>&lt;strong&gt;Shown on:&lt;/strong&gt; &lt;img src="icons/old-map.png" style="height: 20px; width: 20px; vertical-align: middle; margin-right: 5px;"&gt;&lt;span style="color: #dd88d3; font-weight: bold;"&gt;East Hebra Sky&lt;/span&gt;</t>
  </si>
  <si>
    <t>&lt;strong&gt;Shown on:&lt;/strong&gt; &lt;img src="icons/old-map.png" style="height: 20px; width: 20px; vertical-align: middle; margin-right: 5px;"&gt;&lt;span style="color: #dd88d3; font-weight: bold;"&gt;Wellspring Island Map #1&lt;/span&gt;</t>
  </si>
  <si>
    <t>&lt;strong&gt;Shown on:&lt;/strong&gt; &lt;img src="icons/old-map.png" style="height: 20px; width: 20px; vertical-align: middle; margin-right: 5px;"&gt;&lt;span style="color: #dd88d3; font-weight: bold;"&gt;Rising Island Chain&lt;/span&gt;</t>
  </si>
  <si>
    <t>&lt;strong&gt;Shown on:&lt;/strong&gt; &lt;img src="icons/old-map.png" style="height: 20px; width: 20px; vertical-align: middle; margin-right: 5px;"&gt;&lt;span style="color: #dd88d3; font-weight: bold;"&gt;South Hyrule Sky Map #4&lt;/span&gt;</t>
  </si>
  <si>
    <t>&lt;strong&gt;Shown on:&lt;/strong&gt; &lt;img src="icons/old-map.png" style="height: 20px; width: 20px; vertical-align: middle; margin-right: 5px;"&gt;&lt;span style="color: #dd88d3; font-weight: bold;"&gt;North Tabantha Sky&lt;/span&gt;</t>
  </si>
  <si>
    <t>&lt;strong&gt;Shown on:&lt;/strong&gt; &lt;img src="icons/old-map.png" style="height: 20px; width: 20px; vertical-align: middle; margin-right: 5px;"&gt;&lt;span style="color: #dd88d3; font-weight: bold;"&gt;North Necluda Sky Map #2&lt;/span&gt;</t>
  </si>
  <si>
    <t>Defeat &lt;img src="icons/gleeok.png" style="height: 20px; width: 20px; vertical-align: middle; margin-right: 5px;"&gt;&lt;span style="color: #de878b; font-weight: bold;"&gt;King Gleeok&lt;/span&gt;</t>
  </si>
  <si>
    <t>Defeat &lt;img src="icons/flux-construct.png" style="height: 20px; width: 20px; vertical-align: middle; margin-right: 5px;"&gt;&lt;span style="color: #7cc9c2; font-weight: bold;"&gt;Flux Construct II&lt;/span&gt;</t>
  </si>
  <si>
    <t>Defeat &lt;img src="icons/flux-construct.png" style="height: 20px; width: 20px; vertical-align: middle; margin-right: 5px;"&gt;&lt;span style="color: #7cc9c2; font-weight: bold;"&gt;Flux Construct III&lt;/span&gt;</t>
  </si>
  <si>
    <t>Talk to Trissa After Finishing &lt;img src="icons/side-quest.png" style="height: 20px; width: 20px; vertical-align: middle; margin-right: 5px;"&gt;&lt;span style="color: #c6a96a; font-weight: bold;"&gt;Codgers' Quarrel&lt;/span&gt;&lt;br&gt;&lt;strong&gt;Reward:&lt;/strong&gt; Purple Rupee</t>
  </si>
  <si>
    <t>hylian1, hylian2, hylian3, royalguard1, royalguard2, royalguard3, cecehat</t>
  </si>
  <si>
    <t>Afromsia Coast Korok #01</t>
  </si>
  <si>
    <t>boots1, boots2, desertvoe2, desertvoe3</t>
  </si>
  <si>
    <t>Kaneli’s Flight Training</t>
  </si>
  <si>
    <t>The Ancient City Gorondia!</t>
  </si>
  <si>
    <t>North of Goron City</t>
  </si>
  <si>
    <t>The Ancient City Gorondia?</t>
  </si>
  <si>
    <t>The Hidden Treasure at Lizard Lakes</t>
  </si>
  <si>
    <t>Misko's Treasure: Twins Manuscript</t>
  </si>
  <si>
    <t>Misko's Treasure: Pirate Manuscript</t>
  </si>
  <si>
    <t>Misko's Treasure: Heroines Manuscript</t>
  </si>
  <si>
    <t>Misko's Treasure of Awakening I</t>
  </si>
  <si>
    <t>Misko's Treasure of Awakening II</t>
  </si>
  <si>
    <t>Misko's Treasure of Awakening III</t>
  </si>
  <si>
    <t>One-Hit Wonder!</t>
  </si>
  <si>
    <t>Secret Treasure Under the Great Fish</t>
  </si>
  <si>
    <t>The Ultimate Dish?</t>
  </si>
  <si>
    <t>Teach Me a Lesson I</t>
  </si>
  <si>
    <t>Teach Me a Lesson II</t>
  </si>
  <si>
    <t>To the Ruins!</t>
  </si>
  <si>
    <t>A Picture for Closed Stable I</t>
  </si>
  <si>
    <t>A Picture for Closed Stable II</t>
  </si>
  <si>
    <t>Heat-Endurance Contest!</t>
  </si>
  <si>
    <t>Cold-Endurance Contest!</t>
  </si>
  <si>
    <t>Where Are the Wells?</t>
  </si>
  <si>
    <t>The Lomei Labyrinth Island Prophecy</t>
  </si>
  <si>
    <t>Shrine of Light</t>
  </si>
  <si>
    <t>East Resevoir Lake</t>
  </si>
  <si>
    <t>Hateno Village's Lake Sumac</t>
  </si>
  <si>
    <t>Fell Into a Well!</t>
  </si>
  <si>
    <t>Wanted: Hinox</t>
  </si>
  <si>
    <t>Wanted: Molduga</t>
  </si>
  <si>
    <t>Wanted: Stone Talus</t>
  </si>
  <si>
    <t>Talk to Dugby&lt;br&gt;&lt;strong&gt;Reward:&lt;/strong&gt; Zonai Charge</t>
  </si>
  <si>
    <t>Talk to Dugby&lt;br&gt;&lt;strong&gt;Reward:&lt;/strong&gt; Large Zonai Charge</t>
  </si>
  <si>
    <t>The Tarrey Town Race is On!</t>
  </si>
  <si>
    <t>Talk to Symin During Class&lt;br&gt;&lt;strong&gt;Reward:&lt;/strong&gt; Access to the school's field for planting</t>
  </si>
  <si>
    <t>Speak with Domidak and Prissen&lt;br&gt;&lt;strong&gt;Reward:&lt;/strong&gt; Tingle's Shirt</t>
  </si>
  <si>
    <t>Speak with Domidak and Prissen&lt;br&gt;&lt;strong&gt;Reward:&lt;/strong&gt; Tingle's Tights</t>
  </si>
  <si>
    <t>Speak with Domidak and Prissen&lt;br&gt;&lt;strong&gt;Reward:&lt;/strong&gt; Tingle's Hood</t>
  </si>
  <si>
    <t>Find Misko's Letter&lt;br&gt;&lt;strong&gt;Reward:&lt;/strong&gt; Tunic of Awakening</t>
  </si>
  <si>
    <t>Read the sign next to where you found the Tunic of Awakening&lt;br&gt;&lt;strong&gt;Reward:&lt;/strong&gt; Trousers of Awakening</t>
  </si>
  <si>
    <t>Read the sign next to where you found the Trousers of Awakening&lt;br&gt;&lt;strong&gt;Reward:&lt;/strong&gt; Mask of Awakening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</si>
</sst>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1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theme="1"/>
      <name val="Aptos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2"/>
      <color theme="1"/>
      <name val="Aptos Narrow"/>
    </font>
    <font>
      <b/>
      <sz val="12"/>
      <color rgb="FFFF0000"/>
      <name val="Aptos Narrow"/>
    </font>
    <font>
      <sz val="12"/>
      <color rgb="FF000000"/>
      <name val="Aptos Narrow"/>
      <family val="2"/>
      <scheme val="minor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sz val="12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39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0" fontId="4" fillId="0" borderId="0" xfId="0" applyFont="1"/>
    <xf numFmtId="0" fontId="0" fillId="0" borderId="0" xfId="0" applyAlignment="1">
      <alignment horizontal="left"/>
    </xf>
    <xf numFmtId="0" fontId="5" fillId="0" borderId="0" xfId="0" applyFont="1" applyAlignment="1">
      <alignment horizontal="center"/>
    </xf>
    <xf numFmtId="0" fontId="6" fillId="0" borderId="0" xfId="2"/>
    <xf numFmtId="0" fontId="7" fillId="0" borderId="0" xfId="0" applyFont="1"/>
    <xf numFmtId="0" fontId="8" fillId="0" borderId="0" xfId="0" applyFont="1"/>
    <xf numFmtId="0" fontId="4" fillId="0" borderId="0" xfId="0" applyFont="1" applyAlignment="1">
      <alignment horizontal="left"/>
    </xf>
    <xf numFmtId="10" fontId="4" fillId="0" borderId="0" xfId="1" applyNumberFormat="1" applyFont="1" applyAlignment="1">
      <alignment horizontal="center"/>
    </xf>
    <xf numFmtId="10" fontId="0" fillId="0" borderId="0" xfId="1" applyNumberFormat="1" applyFont="1" applyAlignment="1">
      <alignment horizontal="center"/>
    </xf>
    <xf numFmtId="0" fontId="0" fillId="2" borderId="0" xfId="0" applyFill="1" applyAlignment="1">
      <alignment horizont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 applyAlignment="1">
      <alignment wrapText="1"/>
    </xf>
    <xf numFmtId="0" fontId="0" fillId="3" borderId="0" xfId="0" applyFill="1"/>
    <xf numFmtId="10" fontId="0" fillId="0" borderId="0" xfId="1" applyNumberFormat="1" applyFont="1"/>
    <xf numFmtId="0" fontId="0" fillId="3" borderId="0" xfId="0" applyFill="1" applyAlignment="1">
      <alignment horizontal="center"/>
    </xf>
    <xf numFmtId="0" fontId="12" fillId="0" borderId="0" xfId="0" applyFont="1"/>
    <xf numFmtId="0" fontId="14" fillId="0" borderId="0" xfId="0" applyFont="1"/>
    <xf numFmtId="0" fontId="0" fillId="4" borderId="0" xfId="0" applyFill="1"/>
    <xf numFmtId="0" fontId="11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0" fontId="4" fillId="0" borderId="0" xfId="0" applyNumberFormat="1" applyFont="1" applyAlignment="1">
      <alignment horizontal="center"/>
    </xf>
    <xf numFmtId="0" fontId="12" fillId="5" borderId="0" xfId="0" applyFont="1" applyFill="1"/>
    <xf numFmtId="0" fontId="12" fillId="6" borderId="0" xfId="0" applyFont="1" applyFill="1"/>
    <xf numFmtId="0" fontId="0" fillId="6" borderId="0" xfId="0" applyFill="1"/>
    <xf numFmtId="0" fontId="0" fillId="0" borderId="0" xfId="0" applyAlignment="1">
      <alignment horizontal="left" indent="3"/>
    </xf>
    <xf numFmtId="164" fontId="0" fillId="0" borderId="0" xfId="1" applyNumberFormat="1" applyFont="1"/>
    <xf numFmtId="0" fontId="0" fillId="2" borderId="0" xfId="0" applyFill="1"/>
    <xf numFmtId="0" fontId="5" fillId="0" borderId="0" xfId="0" applyFont="1"/>
    <xf numFmtId="0" fontId="0" fillId="0" borderId="0" xfId="0" applyFill="1"/>
    <xf numFmtId="0" fontId="4" fillId="0" borderId="0" xfId="0" applyFont="1" applyAlignment="1">
      <alignment wrapText="1"/>
    </xf>
    <xf numFmtId="0" fontId="0" fillId="5" borderId="0" xfId="0" applyFill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BDCB5-C3D8-824B-9479-5BE47318D9F1}">
  <sheetPr codeName="Sheet1"/>
  <dimension ref="A1:K155"/>
  <sheetViews>
    <sheetView workbookViewId="0">
      <selection activeCell="J24" sqref="J24"/>
    </sheetView>
  </sheetViews>
  <sheetFormatPr baseColWidth="10" defaultRowHeight="16" x14ac:dyDescent="0.2"/>
  <cols>
    <col min="1" max="1" width="30.5" bestFit="1" customWidth="1"/>
    <col min="2" max="5" width="10.83203125" style="2"/>
    <col min="6" max="6" width="10.83203125" style="14"/>
  </cols>
  <sheetData>
    <row r="1" spans="1:7" x14ac:dyDescent="0.2">
      <c r="A1" s="6" t="s">
        <v>850</v>
      </c>
      <c r="B1" s="4" t="s">
        <v>2053</v>
      </c>
      <c r="C1" s="4"/>
      <c r="D1" s="4"/>
      <c r="E1" s="4" t="s">
        <v>2408</v>
      </c>
      <c r="F1" s="13" t="s">
        <v>2049</v>
      </c>
    </row>
    <row r="2" spans="1:7" x14ac:dyDescent="0.2">
      <c r="A2" t="s">
        <v>2048</v>
      </c>
      <c r="B2" s="2">
        <v>900</v>
      </c>
      <c r="C2" s="14">
        <f>B2*0.0004</f>
        <v>0.36000000000000004</v>
      </c>
      <c r="E2" s="2">
        <v>900</v>
      </c>
      <c r="F2" s="14">
        <f>E2*0.0004</f>
        <v>0.36000000000000004</v>
      </c>
    </row>
    <row r="3" spans="1:7" x14ac:dyDescent="0.2">
      <c r="A3" t="s">
        <v>2050</v>
      </c>
      <c r="B3" s="2">
        <f>COUNTA('Named Locations'!A:A)-1</f>
        <v>662</v>
      </c>
      <c r="C3" s="14">
        <f t="shared" ref="C3:C21" si="0">B3*0.0004</f>
        <v>0.26480000000000004</v>
      </c>
      <c r="E3" s="2">
        <v>700</v>
      </c>
      <c r="F3" s="14">
        <f t="shared" ref="F3:F21" si="1">E3*0.0004</f>
        <v>0.28000000000000003</v>
      </c>
      <c r="G3" t="s">
        <v>2409</v>
      </c>
    </row>
    <row r="4" spans="1:7" x14ac:dyDescent="0.2">
      <c r="A4" s="32" t="s">
        <v>2831</v>
      </c>
      <c r="B4" s="2">
        <f>SUM('Named Locations'!J:J)-B3</f>
        <v>85</v>
      </c>
      <c r="C4" s="14">
        <f t="shared" si="0"/>
        <v>3.4000000000000002E-2</v>
      </c>
    </row>
    <row r="5" spans="1:7" x14ac:dyDescent="0.2">
      <c r="A5" s="32" t="s">
        <v>2593</v>
      </c>
      <c r="B5" s="2">
        <v>6</v>
      </c>
      <c r="C5" s="14">
        <f t="shared" si="0"/>
        <v>2.4000000000000002E-3</v>
      </c>
    </row>
    <row r="6" spans="1:7" x14ac:dyDescent="0.2">
      <c r="A6" s="32" t="s">
        <v>2411</v>
      </c>
      <c r="B6" s="15">
        <v>34</v>
      </c>
      <c r="C6" s="14">
        <f>B6*0.0004</f>
        <v>1.3600000000000001E-2</v>
      </c>
    </row>
    <row r="7" spans="1:7" x14ac:dyDescent="0.2">
      <c r="A7" s="32" t="s">
        <v>2592</v>
      </c>
      <c r="B7" s="15">
        <v>10</v>
      </c>
      <c r="C7" s="14">
        <f>B7*0.0004</f>
        <v>4.0000000000000001E-3</v>
      </c>
    </row>
    <row r="8" spans="1:7" x14ac:dyDescent="0.2">
      <c r="A8" s="32" t="s">
        <v>2591</v>
      </c>
      <c r="B8" s="15">
        <v>11</v>
      </c>
      <c r="C8" s="14">
        <f>B8*0.0004</f>
        <v>4.4000000000000003E-3</v>
      </c>
    </row>
    <row r="9" spans="1:7" x14ac:dyDescent="0.2">
      <c r="A9" t="s">
        <v>848</v>
      </c>
      <c r="B9" s="22">
        <v>197</v>
      </c>
      <c r="C9" s="14">
        <f t="shared" si="0"/>
        <v>7.8800000000000009E-2</v>
      </c>
      <c r="E9" s="22">
        <v>194</v>
      </c>
      <c r="F9" s="14">
        <f t="shared" si="1"/>
        <v>7.7600000000000002E-2</v>
      </c>
    </row>
    <row r="10" spans="1:7" x14ac:dyDescent="0.2">
      <c r="A10" t="s">
        <v>2051</v>
      </c>
      <c r="B10" s="15">
        <v>152</v>
      </c>
      <c r="C10" s="14">
        <f t="shared" si="0"/>
        <v>6.08E-2</v>
      </c>
      <c r="E10" s="15">
        <v>152</v>
      </c>
      <c r="F10" s="14">
        <f t="shared" si="1"/>
        <v>6.08E-2</v>
      </c>
    </row>
    <row r="11" spans="1:7" x14ac:dyDescent="0.2">
      <c r="A11" t="s">
        <v>2052</v>
      </c>
      <c r="B11" s="15">
        <v>120</v>
      </c>
      <c r="C11" s="14">
        <f t="shared" si="0"/>
        <v>4.8000000000000001E-2</v>
      </c>
      <c r="E11" s="15">
        <v>120</v>
      </c>
      <c r="F11" s="14">
        <f t="shared" si="1"/>
        <v>4.8000000000000001E-2</v>
      </c>
    </row>
    <row r="12" spans="1:7" x14ac:dyDescent="0.2">
      <c r="A12" t="s">
        <v>2054</v>
      </c>
      <c r="B12" s="15">
        <v>58</v>
      </c>
      <c r="C12" s="14">
        <f t="shared" si="0"/>
        <v>2.3200000000000002E-2</v>
      </c>
      <c r="E12" s="15">
        <v>58</v>
      </c>
      <c r="F12" s="14">
        <f t="shared" si="1"/>
        <v>2.3200000000000002E-2</v>
      </c>
    </row>
    <row r="13" spans="1:7" x14ac:dyDescent="0.2">
      <c r="A13" t="s">
        <v>2055</v>
      </c>
      <c r="B13" s="22">
        <v>36</v>
      </c>
      <c r="C13" s="14">
        <f t="shared" si="0"/>
        <v>1.4400000000000001E-2</v>
      </c>
      <c r="E13" s="22">
        <v>35</v>
      </c>
      <c r="F13" s="14">
        <f t="shared" si="1"/>
        <v>1.4E-2</v>
      </c>
    </row>
    <row r="14" spans="1:7" x14ac:dyDescent="0.2">
      <c r="A14" s="24" t="s">
        <v>2558</v>
      </c>
      <c r="B14" s="15">
        <f>11+16</f>
        <v>27</v>
      </c>
      <c r="C14" s="14">
        <f t="shared" si="0"/>
        <v>1.0800000000000001E-2</v>
      </c>
      <c r="E14" s="15">
        <v>35</v>
      </c>
      <c r="F14" s="14">
        <f t="shared" si="1"/>
        <v>1.4E-2</v>
      </c>
    </row>
    <row r="15" spans="1:7" x14ac:dyDescent="0.2">
      <c r="A15" t="s">
        <v>2410</v>
      </c>
      <c r="B15" s="22">
        <f>38+7</f>
        <v>45</v>
      </c>
      <c r="C15" s="14">
        <f t="shared" si="0"/>
        <v>1.8000000000000002E-2</v>
      </c>
      <c r="E15" s="22">
        <v>43</v>
      </c>
      <c r="F15" s="14">
        <f t="shared" si="1"/>
        <v>1.72E-2</v>
      </c>
    </row>
    <row r="16" spans="1:7" x14ac:dyDescent="0.2">
      <c r="A16" t="s">
        <v>2056</v>
      </c>
      <c r="B16" s="15">
        <v>30</v>
      </c>
      <c r="C16" s="14">
        <f t="shared" si="0"/>
        <v>1.2E-2</v>
      </c>
      <c r="E16" s="15">
        <v>30</v>
      </c>
      <c r="F16" s="14">
        <f t="shared" si="1"/>
        <v>1.2E-2</v>
      </c>
    </row>
    <row r="17" spans="1:11" x14ac:dyDescent="0.2">
      <c r="A17" t="s">
        <v>2057</v>
      </c>
      <c r="B17" s="15">
        <v>15</v>
      </c>
      <c r="C17" s="14">
        <f t="shared" si="0"/>
        <v>6.0000000000000001E-3</v>
      </c>
      <c r="E17" s="15">
        <v>15</v>
      </c>
      <c r="F17" s="14">
        <f t="shared" si="1"/>
        <v>6.0000000000000001E-3</v>
      </c>
    </row>
    <row r="18" spans="1:11" x14ac:dyDescent="0.2">
      <c r="A18" t="s">
        <v>2058</v>
      </c>
      <c r="B18" s="22">
        <v>15</v>
      </c>
      <c r="C18" s="14">
        <f t="shared" si="0"/>
        <v>6.0000000000000001E-3</v>
      </c>
      <c r="E18" s="22">
        <v>14</v>
      </c>
      <c r="F18" s="14">
        <f t="shared" si="1"/>
        <v>5.5999999999999999E-3</v>
      </c>
    </row>
    <row r="19" spans="1:11" x14ac:dyDescent="0.2">
      <c r="A19" t="s">
        <v>2059</v>
      </c>
      <c r="B19" s="15">
        <v>12</v>
      </c>
      <c r="C19" s="14">
        <f t="shared" si="0"/>
        <v>4.8000000000000004E-3</v>
      </c>
      <c r="E19" s="15">
        <v>12</v>
      </c>
      <c r="F19" s="14">
        <f t="shared" si="1"/>
        <v>4.8000000000000004E-3</v>
      </c>
      <c r="I19">
        <v>2420</v>
      </c>
      <c r="J19" s="33">
        <f t="shared" ref="J19:J32" si="2">I19/2433</f>
        <v>0.99465680230168518</v>
      </c>
      <c r="K19" s="21">
        <f>I19*0.0004</f>
        <v>0.96800000000000008</v>
      </c>
    </row>
    <row r="20" spans="1:11" x14ac:dyDescent="0.2">
      <c r="A20" t="s">
        <v>2060</v>
      </c>
      <c r="B20" s="15">
        <v>12</v>
      </c>
      <c r="C20" s="14">
        <f t="shared" si="0"/>
        <v>4.8000000000000004E-3</v>
      </c>
      <c r="E20" s="15">
        <v>12</v>
      </c>
      <c r="F20" s="14">
        <f t="shared" si="1"/>
        <v>4.8000000000000004E-3</v>
      </c>
      <c r="I20">
        <v>2421</v>
      </c>
      <c r="J20" s="33">
        <f t="shared" si="2"/>
        <v>0.99506781750924789</v>
      </c>
      <c r="K20" s="21">
        <f t="shared" ref="K20:K47" si="3">I20*0.0004</f>
        <v>0.96840000000000004</v>
      </c>
    </row>
    <row r="21" spans="1:11" x14ac:dyDescent="0.2">
      <c r="A21" t="s">
        <v>2061</v>
      </c>
      <c r="B21" s="15">
        <v>5</v>
      </c>
      <c r="C21" s="14">
        <f t="shared" si="0"/>
        <v>2E-3</v>
      </c>
      <c r="E21" s="15">
        <v>5</v>
      </c>
      <c r="F21" s="14">
        <f t="shared" si="1"/>
        <v>2E-3</v>
      </c>
      <c r="I21">
        <v>2422</v>
      </c>
      <c r="J21" s="33">
        <f t="shared" si="2"/>
        <v>0.99547883271681048</v>
      </c>
      <c r="K21" s="21">
        <f t="shared" si="3"/>
        <v>0.96879999999999999</v>
      </c>
    </row>
    <row r="22" spans="1:11" s="6" customFormat="1" x14ac:dyDescent="0.2">
      <c r="B22" s="4">
        <f>SUM(B2:B21)</f>
        <v>2432</v>
      </c>
      <c r="C22" s="28">
        <f>SUM(C2:C21)</f>
        <v>0.97280000000000011</v>
      </c>
      <c r="D22" s="4"/>
      <c r="E22" s="4">
        <f>SUM(E2:E21)</f>
        <v>2325</v>
      </c>
      <c r="F22" s="13">
        <f>SUM(F2:F21)</f>
        <v>0.93000000000000027</v>
      </c>
      <c r="I22">
        <v>2423</v>
      </c>
      <c r="J22" s="33">
        <f t="shared" si="2"/>
        <v>0.99588984792437318</v>
      </c>
      <c r="K22" s="21">
        <f t="shared" si="3"/>
        <v>0.96920000000000006</v>
      </c>
    </row>
    <row r="23" spans="1:11" x14ac:dyDescent="0.2">
      <c r="I23">
        <v>2424</v>
      </c>
      <c r="J23" s="33">
        <f t="shared" si="2"/>
        <v>0.99630086313193589</v>
      </c>
      <c r="K23" s="21">
        <f t="shared" si="3"/>
        <v>0.96960000000000002</v>
      </c>
    </row>
    <row r="24" spans="1:11" x14ac:dyDescent="0.2">
      <c r="I24">
        <v>2425</v>
      </c>
      <c r="J24" s="33">
        <f t="shared" si="2"/>
        <v>0.99671187833949859</v>
      </c>
      <c r="K24" s="21">
        <f t="shared" si="3"/>
        <v>0.97000000000000008</v>
      </c>
    </row>
    <row r="25" spans="1:11" x14ac:dyDescent="0.2">
      <c r="I25">
        <v>2426</v>
      </c>
      <c r="J25" s="33">
        <f t="shared" si="2"/>
        <v>0.9971228935470613</v>
      </c>
      <c r="K25" s="21">
        <f t="shared" si="3"/>
        <v>0.97040000000000004</v>
      </c>
    </row>
    <row r="26" spans="1:11" x14ac:dyDescent="0.2">
      <c r="I26">
        <v>2427</v>
      </c>
      <c r="J26" s="33">
        <f t="shared" si="2"/>
        <v>0.99753390875462389</v>
      </c>
      <c r="K26" s="21">
        <f t="shared" si="3"/>
        <v>0.9708</v>
      </c>
    </row>
    <row r="27" spans="1:11" x14ac:dyDescent="0.2">
      <c r="I27">
        <v>2428</v>
      </c>
      <c r="J27" s="33">
        <f t="shared" si="2"/>
        <v>0.99794492396218659</v>
      </c>
      <c r="K27" s="21">
        <f t="shared" si="3"/>
        <v>0.97120000000000006</v>
      </c>
    </row>
    <row r="28" spans="1:11" x14ac:dyDescent="0.2">
      <c r="A28" t="s">
        <v>2829</v>
      </c>
      <c r="I28">
        <v>2429</v>
      </c>
      <c r="J28" s="33">
        <f t="shared" si="2"/>
        <v>0.9983559391697493</v>
      </c>
      <c r="K28" s="21">
        <f t="shared" si="3"/>
        <v>0.97160000000000002</v>
      </c>
    </row>
    <row r="29" spans="1:11" x14ac:dyDescent="0.2">
      <c r="I29">
        <v>2430</v>
      </c>
      <c r="J29" s="33">
        <f t="shared" si="2"/>
        <v>0.998766954377312</v>
      </c>
      <c r="K29" s="21">
        <f t="shared" si="3"/>
        <v>0.97200000000000009</v>
      </c>
    </row>
    <row r="30" spans="1:11" x14ac:dyDescent="0.2">
      <c r="I30">
        <v>2431</v>
      </c>
      <c r="J30" s="33">
        <f t="shared" si="2"/>
        <v>0.99917796958487459</v>
      </c>
      <c r="K30" s="21">
        <f t="shared" si="3"/>
        <v>0.97240000000000004</v>
      </c>
    </row>
    <row r="31" spans="1:11" x14ac:dyDescent="0.2">
      <c r="I31">
        <v>2432</v>
      </c>
      <c r="J31" s="33">
        <f t="shared" si="2"/>
        <v>0.9995889847924373</v>
      </c>
      <c r="K31" s="21">
        <f t="shared" si="3"/>
        <v>0.9728</v>
      </c>
    </row>
    <row r="32" spans="1:11" x14ac:dyDescent="0.2">
      <c r="I32">
        <v>2433</v>
      </c>
      <c r="J32" s="33">
        <f t="shared" si="2"/>
        <v>1</v>
      </c>
      <c r="K32" s="21">
        <f t="shared" si="3"/>
        <v>0.97320000000000007</v>
      </c>
    </row>
    <row r="33" spans="9:11" x14ac:dyDescent="0.2">
      <c r="I33">
        <v>1</v>
      </c>
      <c r="J33" s="33">
        <f>I33/2433</f>
        <v>4.1101520756267981E-4</v>
      </c>
      <c r="K33" s="21">
        <f t="shared" si="3"/>
        <v>4.0000000000000002E-4</v>
      </c>
    </row>
    <row r="34" spans="9:11" x14ac:dyDescent="0.2">
      <c r="I34" s="6">
        <v>2</v>
      </c>
      <c r="J34" s="33">
        <f t="shared" ref="J34:J57" si="4">I34/2433</f>
        <v>8.2203041512535961E-4</v>
      </c>
      <c r="K34" s="21">
        <f t="shared" si="3"/>
        <v>8.0000000000000004E-4</v>
      </c>
    </row>
    <row r="35" spans="9:11" x14ac:dyDescent="0.2">
      <c r="I35">
        <v>3</v>
      </c>
      <c r="J35" s="33">
        <f t="shared" si="4"/>
        <v>1.2330456226880395E-3</v>
      </c>
      <c r="K35" s="21">
        <f t="shared" si="3"/>
        <v>1.2000000000000001E-3</v>
      </c>
    </row>
    <row r="36" spans="9:11" x14ac:dyDescent="0.2">
      <c r="I36">
        <v>4</v>
      </c>
      <c r="J36" s="33">
        <f t="shared" si="4"/>
        <v>1.6440608302507192E-3</v>
      </c>
      <c r="K36" s="21">
        <f t="shared" si="3"/>
        <v>1.6000000000000001E-3</v>
      </c>
    </row>
    <row r="37" spans="9:11" x14ac:dyDescent="0.2">
      <c r="I37" s="6">
        <v>5</v>
      </c>
      <c r="J37" s="33">
        <f t="shared" si="4"/>
        <v>2.055076037813399E-3</v>
      </c>
      <c r="K37" s="21">
        <f t="shared" si="3"/>
        <v>2E-3</v>
      </c>
    </row>
    <row r="38" spans="9:11" x14ac:dyDescent="0.2">
      <c r="I38">
        <v>6</v>
      </c>
      <c r="J38" s="33">
        <f t="shared" si="4"/>
        <v>2.4660912453760789E-3</v>
      </c>
      <c r="K38" s="21">
        <f t="shared" si="3"/>
        <v>2.4000000000000002E-3</v>
      </c>
    </row>
    <row r="39" spans="9:11" x14ac:dyDescent="0.2">
      <c r="I39">
        <v>7</v>
      </c>
      <c r="J39" s="33">
        <f t="shared" si="4"/>
        <v>2.8771064529387589E-3</v>
      </c>
      <c r="K39" s="21">
        <f t="shared" si="3"/>
        <v>2.8E-3</v>
      </c>
    </row>
    <row r="40" spans="9:11" x14ac:dyDescent="0.2">
      <c r="I40" s="6">
        <v>8</v>
      </c>
      <c r="J40" s="33">
        <f t="shared" si="4"/>
        <v>3.2881216605014385E-3</v>
      </c>
      <c r="K40" s="21">
        <f t="shared" si="3"/>
        <v>3.2000000000000002E-3</v>
      </c>
    </row>
    <row r="41" spans="9:11" x14ac:dyDescent="0.2">
      <c r="I41">
        <v>9</v>
      </c>
      <c r="J41" s="33">
        <f t="shared" si="4"/>
        <v>3.6991368680641184E-3</v>
      </c>
      <c r="K41" s="21">
        <f t="shared" si="3"/>
        <v>3.6000000000000003E-3</v>
      </c>
    </row>
    <row r="42" spans="9:11" x14ac:dyDescent="0.2">
      <c r="I42">
        <v>10</v>
      </c>
      <c r="J42" s="33">
        <f t="shared" si="4"/>
        <v>4.110152075626798E-3</v>
      </c>
      <c r="K42" s="21">
        <f t="shared" si="3"/>
        <v>4.0000000000000001E-3</v>
      </c>
    </row>
    <row r="43" spans="9:11" x14ac:dyDescent="0.2">
      <c r="I43" s="6">
        <v>11</v>
      </c>
      <c r="J43" s="33">
        <f t="shared" si="4"/>
        <v>4.5211672831894784E-3</v>
      </c>
      <c r="K43" s="21">
        <f t="shared" si="3"/>
        <v>4.4000000000000003E-3</v>
      </c>
    </row>
    <row r="44" spans="9:11" x14ac:dyDescent="0.2">
      <c r="I44">
        <v>12</v>
      </c>
      <c r="J44" s="33">
        <f t="shared" si="4"/>
        <v>4.9321824907521579E-3</v>
      </c>
      <c r="K44" s="21">
        <f t="shared" si="3"/>
        <v>4.8000000000000004E-3</v>
      </c>
    </row>
    <row r="45" spans="9:11" x14ac:dyDescent="0.2">
      <c r="I45">
        <v>13</v>
      </c>
      <c r="J45" s="33">
        <f t="shared" si="4"/>
        <v>5.3431976983148374E-3</v>
      </c>
      <c r="K45" s="21">
        <f t="shared" si="3"/>
        <v>5.2000000000000006E-3</v>
      </c>
    </row>
    <row r="46" spans="9:11" x14ac:dyDescent="0.2">
      <c r="I46" s="6">
        <v>14</v>
      </c>
      <c r="J46" s="33">
        <f t="shared" si="4"/>
        <v>5.7542129058775178E-3</v>
      </c>
      <c r="K46" s="21">
        <f t="shared" si="3"/>
        <v>5.5999999999999999E-3</v>
      </c>
    </row>
    <row r="47" spans="9:11" x14ac:dyDescent="0.2">
      <c r="I47">
        <v>15</v>
      </c>
      <c r="J47" s="33">
        <f t="shared" si="4"/>
        <v>6.1652281134401974E-3</v>
      </c>
      <c r="K47" s="21">
        <f t="shared" si="3"/>
        <v>6.0000000000000001E-3</v>
      </c>
    </row>
    <row r="48" spans="9:11" x14ac:dyDescent="0.2">
      <c r="I48">
        <v>16</v>
      </c>
      <c r="J48" s="33">
        <f t="shared" si="4"/>
        <v>6.5762433210028769E-3</v>
      </c>
      <c r="K48" s="21">
        <f t="shared" ref="K48:K57" si="5">I48*0.0004</f>
        <v>6.4000000000000003E-3</v>
      </c>
    </row>
    <row r="49" spans="9:11" x14ac:dyDescent="0.2">
      <c r="I49" s="6">
        <v>17</v>
      </c>
      <c r="J49" s="33">
        <f t="shared" si="4"/>
        <v>6.9872585285655573E-3</v>
      </c>
      <c r="K49" s="21">
        <f t="shared" si="5"/>
        <v>6.8000000000000005E-3</v>
      </c>
    </row>
    <row r="50" spans="9:11" x14ac:dyDescent="0.2">
      <c r="I50">
        <v>18</v>
      </c>
      <c r="J50" s="33">
        <f t="shared" si="4"/>
        <v>7.3982737361282368E-3</v>
      </c>
      <c r="K50" s="21">
        <f t="shared" si="5"/>
        <v>7.2000000000000007E-3</v>
      </c>
    </row>
    <row r="51" spans="9:11" x14ac:dyDescent="0.2">
      <c r="I51">
        <v>19</v>
      </c>
      <c r="J51" s="33">
        <f t="shared" si="4"/>
        <v>7.8092889436909164E-3</v>
      </c>
      <c r="K51" s="21">
        <f t="shared" si="5"/>
        <v>7.6E-3</v>
      </c>
    </row>
    <row r="52" spans="9:11" x14ac:dyDescent="0.2">
      <c r="I52" s="6">
        <v>20</v>
      </c>
      <c r="J52" s="33">
        <f t="shared" si="4"/>
        <v>8.2203041512535959E-3</v>
      </c>
      <c r="K52" s="21">
        <f t="shared" si="5"/>
        <v>8.0000000000000002E-3</v>
      </c>
    </row>
    <row r="53" spans="9:11" x14ac:dyDescent="0.2">
      <c r="I53">
        <v>21</v>
      </c>
      <c r="J53" s="33">
        <f t="shared" si="4"/>
        <v>8.6313193588162754E-3</v>
      </c>
      <c r="K53" s="21">
        <f t="shared" si="5"/>
        <v>8.4000000000000012E-3</v>
      </c>
    </row>
    <row r="54" spans="9:11" x14ac:dyDescent="0.2">
      <c r="I54">
        <v>22</v>
      </c>
      <c r="J54" s="33">
        <f t="shared" si="4"/>
        <v>9.0423345663789567E-3</v>
      </c>
      <c r="K54" s="21">
        <f t="shared" si="5"/>
        <v>8.8000000000000005E-3</v>
      </c>
    </row>
    <row r="55" spans="9:11" x14ac:dyDescent="0.2">
      <c r="I55" s="6">
        <v>23</v>
      </c>
      <c r="J55" s="33">
        <f t="shared" si="4"/>
        <v>9.4533497739416363E-3</v>
      </c>
      <c r="K55" s="21">
        <f t="shared" si="5"/>
        <v>9.1999999999999998E-3</v>
      </c>
    </row>
    <row r="56" spans="9:11" x14ac:dyDescent="0.2">
      <c r="I56">
        <v>24</v>
      </c>
      <c r="J56" s="33">
        <f t="shared" si="4"/>
        <v>9.8643649815043158E-3</v>
      </c>
      <c r="K56" s="21">
        <f t="shared" si="5"/>
        <v>9.6000000000000009E-3</v>
      </c>
    </row>
    <row r="57" spans="9:11" x14ac:dyDescent="0.2">
      <c r="I57">
        <v>25</v>
      </c>
      <c r="J57" s="33">
        <f t="shared" si="4"/>
        <v>1.0275380189066995E-2</v>
      </c>
      <c r="K57" s="21">
        <f t="shared" si="5"/>
        <v>0.01</v>
      </c>
    </row>
    <row r="58" spans="9:11" x14ac:dyDescent="0.2">
      <c r="I58" s="6"/>
      <c r="J58" s="33"/>
      <c r="K58" s="21"/>
    </row>
    <row r="59" spans="9:11" x14ac:dyDescent="0.2">
      <c r="J59" s="33"/>
      <c r="K59" s="21"/>
    </row>
    <row r="60" spans="9:11" x14ac:dyDescent="0.2">
      <c r="J60" s="33"/>
      <c r="K60" s="21"/>
    </row>
    <row r="61" spans="9:11" x14ac:dyDescent="0.2">
      <c r="I61" s="6"/>
      <c r="J61" s="33"/>
      <c r="K61" s="21"/>
    </row>
    <row r="62" spans="9:11" x14ac:dyDescent="0.2">
      <c r="J62" s="33"/>
      <c r="K62" s="21"/>
    </row>
    <row r="63" spans="9:11" x14ac:dyDescent="0.2">
      <c r="J63" s="33"/>
      <c r="K63" s="21"/>
    </row>
    <row r="64" spans="9:11" x14ac:dyDescent="0.2">
      <c r="I64" s="6"/>
      <c r="J64" s="33"/>
      <c r="K64" s="21"/>
    </row>
    <row r="65" spans="9:11" x14ac:dyDescent="0.2">
      <c r="J65" s="33"/>
      <c r="K65" s="21"/>
    </row>
    <row r="66" spans="9:11" x14ac:dyDescent="0.2">
      <c r="J66" s="33"/>
      <c r="K66" s="21"/>
    </row>
    <row r="67" spans="9:11" x14ac:dyDescent="0.2">
      <c r="I67" s="6"/>
      <c r="J67" s="33"/>
      <c r="K67" s="21"/>
    </row>
    <row r="68" spans="9:11" x14ac:dyDescent="0.2">
      <c r="J68" s="33"/>
      <c r="K68" s="21"/>
    </row>
    <row r="69" spans="9:11" x14ac:dyDescent="0.2">
      <c r="I69" s="6"/>
      <c r="J69" s="33"/>
      <c r="K69" s="21"/>
    </row>
    <row r="70" spans="9:11" x14ac:dyDescent="0.2">
      <c r="J70" s="33"/>
      <c r="K70" s="21"/>
    </row>
    <row r="71" spans="9:11" x14ac:dyDescent="0.2">
      <c r="J71" s="33"/>
      <c r="K71" s="21"/>
    </row>
    <row r="72" spans="9:11" x14ac:dyDescent="0.2">
      <c r="I72" s="6"/>
      <c r="J72" s="33"/>
      <c r="K72" s="21"/>
    </row>
    <row r="73" spans="9:11" x14ac:dyDescent="0.2">
      <c r="J73" s="33"/>
      <c r="K73" s="21"/>
    </row>
    <row r="74" spans="9:11" x14ac:dyDescent="0.2">
      <c r="J74" s="33"/>
      <c r="K74" s="21"/>
    </row>
    <row r="75" spans="9:11" x14ac:dyDescent="0.2">
      <c r="I75" s="6"/>
      <c r="J75" s="33"/>
      <c r="K75" s="21"/>
    </row>
    <row r="76" spans="9:11" x14ac:dyDescent="0.2">
      <c r="J76" s="33"/>
      <c r="K76" s="21"/>
    </row>
    <row r="77" spans="9:11" x14ac:dyDescent="0.2">
      <c r="J77" s="33"/>
      <c r="K77" s="21"/>
    </row>
    <row r="78" spans="9:11" x14ac:dyDescent="0.2">
      <c r="I78" s="6"/>
      <c r="J78" s="33"/>
      <c r="K78" s="21"/>
    </row>
    <row r="79" spans="9:11" x14ac:dyDescent="0.2">
      <c r="J79" s="33"/>
      <c r="K79" s="21"/>
    </row>
    <row r="80" spans="9:11" x14ac:dyDescent="0.2">
      <c r="J80" s="33"/>
      <c r="K80" s="21"/>
    </row>
    <row r="81" spans="9:11" x14ac:dyDescent="0.2">
      <c r="I81" s="6"/>
      <c r="J81" s="33"/>
      <c r="K81" s="21"/>
    </row>
    <row r="82" spans="9:11" x14ac:dyDescent="0.2">
      <c r="J82" s="33"/>
      <c r="K82" s="21"/>
    </row>
    <row r="83" spans="9:11" x14ac:dyDescent="0.2">
      <c r="J83" s="33"/>
      <c r="K83" s="21"/>
    </row>
    <row r="84" spans="9:11" x14ac:dyDescent="0.2">
      <c r="I84" s="6"/>
      <c r="J84" s="33"/>
      <c r="K84" s="21"/>
    </row>
    <row r="85" spans="9:11" x14ac:dyDescent="0.2">
      <c r="J85" s="33"/>
      <c r="K85" s="21"/>
    </row>
    <row r="86" spans="9:11" x14ac:dyDescent="0.2">
      <c r="J86" s="33"/>
      <c r="K86" s="21"/>
    </row>
    <row r="87" spans="9:11" x14ac:dyDescent="0.2">
      <c r="I87" s="6"/>
      <c r="J87" s="33"/>
      <c r="K87" s="21"/>
    </row>
    <row r="88" spans="9:11" x14ac:dyDescent="0.2">
      <c r="J88" s="33"/>
      <c r="K88" s="21"/>
    </row>
    <row r="89" spans="9:11" x14ac:dyDescent="0.2">
      <c r="J89" s="33"/>
      <c r="K89" s="21"/>
    </row>
    <row r="90" spans="9:11" x14ac:dyDescent="0.2">
      <c r="I90" s="6"/>
      <c r="J90" s="33"/>
      <c r="K90" s="21"/>
    </row>
    <row r="91" spans="9:11" x14ac:dyDescent="0.2">
      <c r="J91" s="33"/>
      <c r="K91" s="21"/>
    </row>
    <row r="92" spans="9:11" x14ac:dyDescent="0.2">
      <c r="I92" s="6"/>
      <c r="J92" s="33"/>
      <c r="K92" s="21"/>
    </row>
    <row r="93" spans="9:11" x14ac:dyDescent="0.2">
      <c r="J93" s="33"/>
      <c r="K93" s="21"/>
    </row>
    <row r="94" spans="9:11" x14ac:dyDescent="0.2">
      <c r="J94" s="33"/>
      <c r="K94" s="21"/>
    </row>
    <row r="95" spans="9:11" x14ac:dyDescent="0.2">
      <c r="J95" s="33"/>
      <c r="K95" s="21"/>
    </row>
    <row r="96" spans="9:11" x14ac:dyDescent="0.2">
      <c r="I96" s="6"/>
      <c r="J96" s="33"/>
      <c r="K96" s="21"/>
    </row>
    <row r="97" spans="9:11" x14ac:dyDescent="0.2">
      <c r="J97" s="33"/>
      <c r="K97" s="21"/>
    </row>
    <row r="98" spans="9:11" x14ac:dyDescent="0.2">
      <c r="J98" s="33"/>
      <c r="K98" s="21"/>
    </row>
    <row r="99" spans="9:11" x14ac:dyDescent="0.2">
      <c r="I99" s="6"/>
      <c r="J99" s="33"/>
      <c r="K99" s="21"/>
    </row>
    <row r="100" spans="9:11" x14ac:dyDescent="0.2">
      <c r="J100" s="33"/>
      <c r="K100" s="21"/>
    </row>
    <row r="101" spans="9:11" x14ac:dyDescent="0.2">
      <c r="J101" s="33"/>
      <c r="K101" s="21"/>
    </row>
    <row r="102" spans="9:11" x14ac:dyDescent="0.2">
      <c r="I102" s="6"/>
      <c r="J102" s="33"/>
      <c r="K102" s="21"/>
    </row>
    <row r="103" spans="9:11" x14ac:dyDescent="0.2">
      <c r="J103" s="33"/>
      <c r="K103" s="21"/>
    </row>
    <row r="104" spans="9:11" x14ac:dyDescent="0.2">
      <c r="J104" s="33"/>
      <c r="K104" s="21"/>
    </row>
    <row r="105" spans="9:11" x14ac:dyDescent="0.2">
      <c r="I105" s="6"/>
      <c r="J105" s="33"/>
      <c r="K105" s="21"/>
    </row>
    <row r="106" spans="9:11" x14ac:dyDescent="0.2">
      <c r="J106" s="33"/>
      <c r="K106" s="21"/>
    </row>
    <row r="107" spans="9:11" x14ac:dyDescent="0.2">
      <c r="J107" s="33"/>
      <c r="K107" s="21"/>
    </row>
    <row r="108" spans="9:11" x14ac:dyDescent="0.2">
      <c r="I108" s="6"/>
      <c r="J108" s="33"/>
      <c r="K108" s="21"/>
    </row>
    <row r="109" spans="9:11" x14ac:dyDescent="0.2">
      <c r="J109" s="33"/>
      <c r="K109" s="21"/>
    </row>
    <row r="110" spans="9:11" x14ac:dyDescent="0.2">
      <c r="J110" s="33"/>
      <c r="K110" s="21"/>
    </row>
    <row r="111" spans="9:11" x14ac:dyDescent="0.2">
      <c r="I111" s="6"/>
      <c r="J111" s="33"/>
      <c r="K111" s="21"/>
    </row>
    <row r="112" spans="9:11" x14ac:dyDescent="0.2">
      <c r="J112" s="33"/>
      <c r="K112" s="21"/>
    </row>
    <row r="113" spans="9:11" x14ac:dyDescent="0.2">
      <c r="J113" s="33"/>
      <c r="K113" s="21"/>
    </row>
    <row r="114" spans="9:11" x14ac:dyDescent="0.2">
      <c r="I114" s="6"/>
      <c r="J114" s="33"/>
      <c r="K114" s="21"/>
    </row>
    <row r="115" spans="9:11" x14ac:dyDescent="0.2">
      <c r="J115" s="33"/>
      <c r="K115" s="21"/>
    </row>
    <row r="116" spans="9:11" x14ac:dyDescent="0.2">
      <c r="J116" s="33"/>
      <c r="K116" s="21"/>
    </row>
    <row r="117" spans="9:11" x14ac:dyDescent="0.2">
      <c r="I117" s="6"/>
      <c r="J117" s="33"/>
      <c r="K117" s="21"/>
    </row>
    <row r="118" spans="9:11" x14ac:dyDescent="0.2">
      <c r="J118" s="33"/>
      <c r="K118" s="21"/>
    </row>
    <row r="119" spans="9:11" x14ac:dyDescent="0.2">
      <c r="I119" s="6"/>
      <c r="J119" s="33"/>
      <c r="K119" s="21"/>
    </row>
    <row r="120" spans="9:11" x14ac:dyDescent="0.2">
      <c r="J120" s="33"/>
      <c r="K120" s="21"/>
    </row>
    <row r="121" spans="9:11" x14ac:dyDescent="0.2">
      <c r="J121" s="33"/>
      <c r="K121" s="21"/>
    </row>
    <row r="122" spans="9:11" x14ac:dyDescent="0.2">
      <c r="I122" s="6"/>
      <c r="J122" s="33"/>
      <c r="K122" s="21"/>
    </row>
    <row r="123" spans="9:11" x14ac:dyDescent="0.2">
      <c r="J123" s="33"/>
      <c r="K123" s="21"/>
    </row>
    <row r="124" spans="9:11" x14ac:dyDescent="0.2">
      <c r="J124" s="33"/>
      <c r="K124" s="21"/>
    </row>
    <row r="125" spans="9:11" x14ac:dyDescent="0.2">
      <c r="I125" s="6"/>
      <c r="J125" s="33"/>
      <c r="K125" s="21"/>
    </row>
    <row r="126" spans="9:11" x14ac:dyDescent="0.2">
      <c r="J126" s="33"/>
      <c r="K126" s="21"/>
    </row>
    <row r="127" spans="9:11" x14ac:dyDescent="0.2">
      <c r="J127" s="33"/>
      <c r="K127" s="21"/>
    </row>
    <row r="128" spans="9:11" x14ac:dyDescent="0.2">
      <c r="I128" s="6"/>
      <c r="J128" s="33"/>
      <c r="K128" s="21"/>
    </row>
    <row r="129" spans="9:11" x14ac:dyDescent="0.2">
      <c r="J129" s="33"/>
      <c r="K129" s="21"/>
    </row>
    <row r="130" spans="9:11" x14ac:dyDescent="0.2">
      <c r="J130" s="33"/>
      <c r="K130" s="21"/>
    </row>
    <row r="131" spans="9:11" x14ac:dyDescent="0.2">
      <c r="I131" s="6"/>
      <c r="J131" s="33"/>
      <c r="K131" s="21"/>
    </row>
    <row r="132" spans="9:11" x14ac:dyDescent="0.2">
      <c r="J132" s="33"/>
      <c r="K132" s="21"/>
    </row>
    <row r="133" spans="9:11" x14ac:dyDescent="0.2">
      <c r="J133" s="33"/>
      <c r="K133" s="21"/>
    </row>
    <row r="134" spans="9:11" x14ac:dyDescent="0.2">
      <c r="I134" s="6"/>
      <c r="J134" s="33"/>
      <c r="K134" s="21"/>
    </row>
    <row r="135" spans="9:11" x14ac:dyDescent="0.2">
      <c r="J135" s="33"/>
      <c r="K135" s="21"/>
    </row>
    <row r="136" spans="9:11" x14ac:dyDescent="0.2">
      <c r="J136" s="33"/>
      <c r="K136" s="21"/>
    </row>
    <row r="137" spans="9:11" x14ac:dyDescent="0.2">
      <c r="I137" s="6"/>
      <c r="J137" s="33"/>
      <c r="K137" s="21"/>
    </row>
    <row r="138" spans="9:11" x14ac:dyDescent="0.2">
      <c r="J138" s="33"/>
      <c r="K138" s="21"/>
    </row>
    <row r="139" spans="9:11" x14ac:dyDescent="0.2">
      <c r="J139" s="33"/>
      <c r="K139" s="21"/>
    </row>
    <row r="140" spans="9:11" x14ac:dyDescent="0.2">
      <c r="I140" s="6"/>
      <c r="J140" s="33"/>
      <c r="K140" s="21"/>
    </row>
    <row r="141" spans="9:11" x14ac:dyDescent="0.2">
      <c r="J141" s="33"/>
      <c r="K141" s="21"/>
    </row>
    <row r="142" spans="9:11" x14ac:dyDescent="0.2">
      <c r="I142" s="6"/>
      <c r="J142" s="33"/>
      <c r="K142" s="21"/>
    </row>
    <row r="143" spans="9:11" x14ac:dyDescent="0.2">
      <c r="J143" s="33"/>
      <c r="K143" s="21"/>
    </row>
    <row r="144" spans="9:11" x14ac:dyDescent="0.2">
      <c r="J144" s="33"/>
      <c r="K144" s="21"/>
    </row>
    <row r="145" spans="9:11" x14ac:dyDescent="0.2">
      <c r="J145" s="33"/>
      <c r="K145" s="21"/>
    </row>
    <row r="146" spans="9:11" x14ac:dyDescent="0.2">
      <c r="I146" s="6"/>
      <c r="J146" s="33"/>
      <c r="K146" s="21"/>
    </row>
    <row r="147" spans="9:11" x14ac:dyDescent="0.2">
      <c r="J147" s="33"/>
      <c r="K147" s="21"/>
    </row>
    <row r="148" spans="9:11" x14ac:dyDescent="0.2">
      <c r="J148" s="33"/>
      <c r="K148" s="21"/>
    </row>
    <row r="149" spans="9:11" x14ac:dyDescent="0.2">
      <c r="I149" s="6"/>
      <c r="J149" s="33"/>
      <c r="K149" s="21"/>
    </row>
    <row r="150" spans="9:11" x14ac:dyDescent="0.2">
      <c r="J150" s="33"/>
      <c r="K150" s="21"/>
    </row>
    <row r="151" spans="9:11" x14ac:dyDescent="0.2">
      <c r="J151" s="33"/>
      <c r="K151" s="21"/>
    </row>
    <row r="152" spans="9:11" x14ac:dyDescent="0.2">
      <c r="I152" s="6"/>
      <c r="J152" s="33"/>
      <c r="K152" s="21"/>
    </row>
    <row r="153" spans="9:11" x14ac:dyDescent="0.2">
      <c r="J153" s="33"/>
      <c r="K153" s="21"/>
    </row>
    <row r="154" spans="9:11" x14ac:dyDescent="0.2">
      <c r="J154" s="33"/>
      <c r="K154" s="21"/>
    </row>
    <row r="155" spans="9:11" x14ac:dyDescent="0.2">
      <c r="I155" s="6"/>
      <c r="J155" s="33"/>
      <c r="K155" s="21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0026F-AD3F-074A-B634-2DFD281C9216}">
  <dimension ref="A2:D796"/>
  <sheetViews>
    <sheetView topLeftCell="A79" workbookViewId="0">
      <selection activeCell="A79" sqref="A1:A1048576"/>
    </sheetView>
  </sheetViews>
  <sheetFormatPr baseColWidth="10" defaultRowHeight="16" x14ac:dyDescent="0.2"/>
  <cols>
    <col min="1" max="1" width="25.1640625" bestFit="1" customWidth="1"/>
    <col min="2" max="2" width="26.33203125" bestFit="1" customWidth="1"/>
    <col min="3" max="3" width="19.33203125" style="2" bestFit="1" customWidth="1"/>
  </cols>
  <sheetData>
    <row r="2" spans="1:4" x14ac:dyDescent="0.2">
      <c r="A2" s="23"/>
      <c r="D2" s="2"/>
    </row>
    <row r="3" spans="1:4" x14ac:dyDescent="0.2">
      <c r="A3" s="23"/>
      <c r="D3" s="2"/>
    </row>
    <row r="4" spans="1:4" x14ac:dyDescent="0.2">
      <c r="A4" s="23"/>
      <c r="D4" s="2"/>
    </row>
    <row r="5" spans="1:4" x14ac:dyDescent="0.2">
      <c r="A5" s="23"/>
      <c r="D5" s="2"/>
    </row>
    <row r="6" spans="1:4" x14ac:dyDescent="0.2">
      <c r="A6" s="23"/>
      <c r="D6" s="2"/>
    </row>
    <row r="7" spans="1:4" x14ac:dyDescent="0.2">
      <c r="A7" s="23"/>
      <c r="D7" s="2"/>
    </row>
    <row r="8" spans="1:4" x14ac:dyDescent="0.2">
      <c r="A8" s="23"/>
      <c r="D8" s="2"/>
    </row>
    <row r="9" spans="1:4" x14ac:dyDescent="0.2">
      <c r="A9" s="23"/>
      <c r="D9" s="2"/>
    </row>
    <row r="10" spans="1:4" x14ac:dyDescent="0.2">
      <c r="A10" s="23"/>
      <c r="D10" s="2"/>
    </row>
    <row r="11" spans="1:4" x14ac:dyDescent="0.2">
      <c r="A11" s="23"/>
      <c r="D11" s="2"/>
    </row>
    <row r="12" spans="1:4" x14ac:dyDescent="0.2">
      <c r="A12" s="23"/>
      <c r="D12" s="2"/>
    </row>
    <row r="13" spans="1:4" x14ac:dyDescent="0.2">
      <c r="A13" s="23"/>
      <c r="D13" s="2"/>
    </row>
    <row r="14" spans="1:4" x14ac:dyDescent="0.2">
      <c r="A14" s="23"/>
      <c r="D14" s="2"/>
    </row>
    <row r="15" spans="1:4" x14ac:dyDescent="0.2">
      <c r="A15" s="23"/>
      <c r="D15" s="2"/>
    </row>
    <row r="16" spans="1:4" x14ac:dyDescent="0.2">
      <c r="A16" s="23"/>
      <c r="D16" s="2"/>
    </row>
    <row r="17" spans="1:4" x14ac:dyDescent="0.2">
      <c r="A17" s="23"/>
      <c r="D17" s="2"/>
    </row>
    <row r="18" spans="1:4" x14ac:dyDescent="0.2">
      <c r="A18" s="23"/>
      <c r="D18" s="2"/>
    </row>
    <row r="19" spans="1:4" x14ac:dyDescent="0.2">
      <c r="A19" s="23"/>
      <c r="D19" s="2"/>
    </row>
    <row r="20" spans="1:4" x14ac:dyDescent="0.2">
      <c r="A20" s="23"/>
      <c r="D20" s="2"/>
    </row>
    <row r="21" spans="1:4" x14ac:dyDescent="0.2">
      <c r="A21" s="23"/>
      <c r="D21" s="2"/>
    </row>
    <row r="22" spans="1:4" x14ac:dyDescent="0.2">
      <c r="A22" s="23"/>
      <c r="D22" s="2"/>
    </row>
    <row r="23" spans="1:4" x14ac:dyDescent="0.2">
      <c r="A23" s="23"/>
      <c r="D23" s="2"/>
    </row>
    <row r="24" spans="1:4" x14ac:dyDescent="0.2">
      <c r="A24" s="23"/>
      <c r="D24" s="2"/>
    </row>
    <row r="25" spans="1:4" x14ac:dyDescent="0.2">
      <c r="A25" s="23"/>
      <c r="D25" s="2"/>
    </row>
    <row r="26" spans="1:4" x14ac:dyDescent="0.2">
      <c r="A26" s="23"/>
      <c r="D26" s="2"/>
    </row>
    <row r="27" spans="1:4" x14ac:dyDescent="0.2">
      <c r="A27" s="23"/>
      <c r="D27" s="2"/>
    </row>
    <row r="28" spans="1:4" x14ac:dyDescent="0.2">
      <c r="A28" s="23"/>
      <c r="D28" s="2"/>
    </row>
    <row r="29" spans="1:4" x14ac:dyDescent="0.2">
      <c r="A29" s="23"/>
      <c r="D29" s="2"/>
    </row>
    <row r="30" spans="1:4" x14ac:dyDescent="0.2">
      <c r="A30" s="23"/>
      <c r="D30" s="2"/>
    </row>
    <row r="31" spans="1:4" x14ac:dyDescent="0.2">
      <c r="A31" s="23"/>
      <c r="D31" s="2"/>
    </row>
    <row r="32" spans="1:4" x14ac:dyDescent="0.2">
      <c r="A32" s="23"/>
      <c r="D32" s="2"/>
    </row>
    <row r="33" spans="1:4" x14ac:dyDescent="0.2">
      <c r="A33" s="23"/>
      <c r="D33" s="2"/>
    </row>
    <row r="34" spans="1:4" x14ac:dyDescent="0.2">
      <c r="A34" s="23"/>
      <c r="D34" s="2"/>
    </row>
    <row r="35" spans="1:4" x14ac:dyDescent="0.2">
      <c r="A35" s="23"/>
      <c r="D35" s="2"/>
    </row>
    <row r="36" spans="1:4" x14ac:dyDescent="0.2">
      <c r="A36" s="23"/>
      <c r="D36" s="2"/>
    </row>
    <row r="37" spans="1:4" x14ac:dyDescent="0.2">
      <c r="A37" s="23"/>
      <c r="D37" s="2"/>
    </row>
    <row r="38" spans="1:4" x14ac:dyDescent="0.2">
      <c r="A38" s="23"/>
      <c r="D38" s="2"/>
    </row>
    <row r="39" spans="1:4" x14ac:dyDescent="0.2">
      <c r="A39" s="23"/>
      <c r="D39" s="2"/>
    </row>
    <row r="40" spans="1:4" x14ac:dyDescent="0.2">
      <c r="A40" s="23"/>
      <c r="D40" s="2"/>
    </row>
    <row r="41" spans="1:4" x14ac:dyDescent="0.2">
      <c r="A41" s="23"/>
      <c r="D41" s="2"/>
    </row>
    <row r="42" spans="1:4" x14ac:dyDescent="0.2">
      <c r="A42" s="23"/>
      <c r="D42" s="2"/>
    </row>
    <row r="43" spans="1:4" x14ac:dyDescent="0.2">
      <c r="A43" s="23"/>
      <c r="D43" s="2"/>
    </row>
    <row r="44" spans="1:4" x14ac:dyDescent="0.2">
      <c r="A44" s="23"/>
      <c r="D44" s="2"/>
    </row>
    <row r="45" spans="1:4" x14ac:dyDescent="0.2">
      <c r="A45" s="23"/>
      <c r="D45" s="2"/>
    </row>
    <row r="46" spans="1:4" x14ac:dyDescent="0.2">
      <c r="A46" s="23"/>
      <c r="D46" s="2"/>
    </row>
    <row r="47" spans="1:4" x14ac:dyDescent="0.2">
      <c r="A47" s="23"/>
      <c r="D47" s="2"/>
    </row>
    <row r="48" spans="1:4" x14ac:dyDescent="0.2">
      <c r="A48" s="23"/>
      <c r="D48" s="2"/>
    </row>
    <row r="49" spans="1:4" x14ac:dyDescent="0.2">
      <c r="A49" s="23"/>
      <c r="D49" s="2"/>
    </row>
    <row r="50" spans="1:4" x14ac:dyDescent="0.2">
      <c r="A50" s="23"/>
      <c r="D50" s="2"/>
    </row>
    <row r="51" spans="1:4" x14ac:dyDescent="0.2">
      <c r="A51" s="23"/>
      <c r="D51" s="2"/>
    </row>
    <row r="52" spans="1:4" x14ac:dyDescent="0.2">
      <c r="A52" s="23"/>
      <c r="D52" s="2"/>
    </row>
    <row r="53" spans="1:4" x14ac:dyDescent="0.2">
      <c r="A53" s="23"/>
      <c r="D53" s="2"/>
    </row>
    <row r="54" spans="1:4" x14ac:dyDescent="0.2">
      <c r="A54" s="23"/>
      <c r="D54" s="2"/>
    </row>
    <row r="55" spans="1:4" x14ac:dyDescent="0.2">
      <c r="A55" s="23"/>
      <c r="D55" s="2"/>
    </row>
    <row r="56" spans="1:4" x14ac:dyDescent="0.2">
      <c r="A56" s="23"/>
      <c r="D56" s="2"/>
    </row>
    <row r="57" spans="1:4" x14ac:dyDescent="0.2">
      <c r="A57" s="23"/>
      <c r="D57" s="2"/>
    </row>
    <row r="58" spans="1:4" x14ac:dyDescent="0.2">
      <c r="A58" s="23"/>
      <c r="D58" s="2"/>
    </row>
    <row r="59" spans="1:4" x14ac:dyDescent="0.2">
      <c r="A59" s="23"/>
      <c r="D59" s="2"/>
    </row>
    <row r="60" spans="1:4" x14ac:dyDescent="0.2">
      <c r="A60" s="23"/>
      <c r="D60" s="2"/>
    </row>
    <row r="61" spans="1:4" x14ac:dyDescent="0.2">
      <c r="A61" s="23"/>
      <c r="D61" s="2"/>
    </row>
    <row r="62" spans="1:4" x14ac:dyDescent="0.2">
      <c r="A62" s="23"/>
      <c r="D62" s="2"/>
    </row>
    <row r="63" spans="1:4" x14ac:dyDescent="0.2">
      <c r="A63" s="23"/>
      <c r="D63" s="2"/>
    </row>
    <row r="64" spans="1:4" x14ac:dyDescent="0.2">
      <c r="A64" s="23"/>
      <c r="D64" s="2"/>
    </row>
    <row r="65" spans="1:4" x14ac:dyDescent="0.2">
      <c r="A65" s="23"/>
      <c r="D65" s="2"/>
    </row>
    <row r="66" spans="1:4" x14ac:dyDescent="0.2">
      <c r="A66" s="23"/>
      <c r="D66" s="2"/>
    </row>
    <row r="67" spans="1:4" x14ac:dyDescent="0.2">
      <c r="A67" s="23"/>
      <c r="D67" s="2"/>
    </row>
    <row r="68" spans="1:4" x14ac:dyDescent="0.2">
      <c r="A68" s="23"/>
      <c r="D68" s="2"/>
    </row>
    <row r="69" spans="1:4" x14ac:dyDescent="0.2">
      <c r="A69" s="23"/>
      <c r="D69" s="2"/>
    </row>
    <row r="70" spans="1:4" x14ac:dyDescent="0.2">
      <c r="A70" s="23"/>
      <c r="D70" s="2"/>
    </row>
    <row r="71" spans="1:4" x14ac:dyDescent="0.2">
      <c r="A71" s="23"/>
      <c r="D71" s="2"/>
    </row>
    <row r="72" spans="1:4" x14ac:dyDescent="0.2">
      <c r="A72" s="23"/>
      <c r="D72" s="2"/>
    </row>
    <row r="73" spans="1:4" x14ac:dyDescent="0.2">
      <c r="A73" s="23"/>
      <c r="D73" s="2"/>
    </row>
    <row r="74" spans="1:4" x14ac:dyDescent="0.2">
      <c r="A74" s="23"/>
      <c r="D74" s="2"/>
    </row>
    <row r="75" spans="1:4" x14ac:dyDescent="0.2">
      <c r="A75" s="23"/>
      <c r="D75" s="2"/>
    </row>
    <row r="76" spans="1:4" x14ac:dyDescent="0.2">
      <c r="A76" s="23"/>
      <c r="D76" s="2"/>
    </row>
    <row r="77" spans="1:4" x14ac:dyDescent="0.2">
      <c r="A77" s="23"/>
      <c r="D77" s="2"/>
    </row>
    <row r="78" spans="1:4" x14ac:dyDescent="0.2">
      <c r="A78" s="23"/>
      <c r="D78" s="2"/>
    </row>
    <row r="79" spans="1:4" x14ac:dyDescent="0.2">
      <c r="A79" s="23"/>
      <c r="D79" s="2"/>
    </row>
    <row r="80" spans="1:4" x14ac:dyDescent="0.2">
      <c r="A80" s="23"/>
      <c r="D80" s="2"/>
    </row>
    <row r="81" spans="1:4" x14ac:dyDescent="0.2">
      <c r="A81" s="23"/>
      <c r="D81" s="2"/>
    </row>
    <row r="82" spans="1:4" x14ac:dyDescent="0.2">
      <c r="A82" s="23"/>
      <c r="D82" s="2"/>
    </row>
    <row r="83" spans="1:4" x14ac:dyDescent="0.2">
      <c r="A83" s="23"/>
      <c r="D83" s="2"/>
    </row>
    <row r="84" spans="1:4" x14ac:dyDescent="0.2">
      <c r="A84" s="23"/>
      <c r="D84" s="2"/>
    </row>
    <row r="85" spans="1:4" x14ac:dyDescent="0.2">
      <c r="A85" s="23"/>
      <c r="D85" s="2"/>
    </row>
    <row r="86" spans="1:4" x14ac:dyDescent="0.2">
      <c r="A86" s="23"/>
      <c r="D86" s="2"/>
    </row>
    <row r="87" spans="1:4" x14ac:dyDescent="0.2">
      <c r="A87" s="23"/>
      <c r="D87" s="2"/>
    </row>
    <row r="88" spans="1:4" x14ac:dyDescent="0.2">
      <c r="A88" s="23"/>
      <c r="D88" s="2"/>
    </row>
    <row r="89" spans="1:4" x14ac:dyDescent="0.2">
      <c r="A89" s="23"/>
      <c r="D89" s="2"/>
    </row>
    <row r="90" spans="1:4" x14ac:dyDescent="0.2">
      <c r="A90" s="30"/>
      <c r="D90" s="2"/>
    </row>
    <row r="91" spans="1:4" x14ac:dyDescent="0.2">
      <c r="A91" s="29"/>
      <c r="D91" s="2"/>
    </row>
    <row r="92" spans="1:4" x14ac:dyDescent="0.2">
      <c r="A92" s="29"/>
      <c r="D92" s="2"/>
    </row>
    <row r="93" spans="1:4" x14ac:dyDescent="0.2">
      <c r="A93" s="29"/>
      <c r="D93" s="2"/>
    </row>
    <row r="94" spans="1:4" x14ac:dyDescent="0.2">
      <c r="A94" s="29"/>
      <c r="D94" s="2"/>
    </row>
    <row r="95" spans="1:4" x14ac:dyDescent="0.2">
      <c r="A95" s="29"/>
      <c r="D95" s="2"/>
    </row>
    <row r="96" spans="1:4" x14ac:dyDescent="0.2">
      <c r="A96" s="23"/>
      <c r="D96" s="2"/>
    </row>
    <row r="97" spans="1:4" x14ac:dyDescent="0.2">
      <c r="A97" s="23"/>
      <c r="D97" s="2"/>
    </row>
    <row r="98" spans="1:4" x14ac:dyDescent="0.2">
      <c r="A98" s="23"/>
      <c r="D98" s="2"/>
    </row>
    <row r="99" spans="1:4" x14ac:dyDescent="0.2">
      <c r="A99" s="23"/>
      <c r="D99" s="2"/>
    </row>
    <row r="100" spans="1:4" x14ac:dyDescent="0.2">
      <c r="A100" s="23"/>
      <c r="D100" s="2"/>
    </row>
    <row r="101" spans="1:4" x14ac:dyDescent="0.2">
      <c r="A101" s="23"/>
      <c r="D101" s="2"/>
    </row>
    <row r="102" spans="1:4" x14ac:dyDescent="0.2">
      <c r="A102" s="23"/>
      <c r="D102" s="2"/>
    </row>
    <row r="103" spans="1:4" x14ac:dyDescent="0.2">
      <c r="A103" s="23"/>
      <c r="D103" s="2"/>
    </row>
    <row r="104" spans="1:4" x14ac:dyDescent="0.2">
      <c r="A104" s="23"/>
      <c r="D104" s="2"/>
    </row>
    <row r="105" spans="1:4" x14ac:dyDescent="0.2">
      <c r="A105" s="23"/>
      <c r="D105" s="2"/>
    </row>
    <row r="106" spans="1:4" x14ac:dyDescent="0.2">
      <c r="A106" s="23"/>
      <c r="D106" s="2"/>
    </row>
    <row r="107" spans="1:4" x14ac:dyDescent="0.2">
      <c r="A107" s="23"/>
      <c r="D107" s="2"/>
    </row>
    <row r="108" spans="1:4" x14ac:dyDescent="0.2">
      <c r="A108" s="23"/>
      <c r="D108" s="2"/>
    </row>
    <row r="109" spans="1:4" x14ac:dyDescent="0.2">
      <c r="A109" s="23"/>
      <c r="D109" s="2"/>
    </row>
    <row r="110" spans="1:4" x14ac:dyDescent="0.2">
      <c r="A110" s="23"/>
      <c r="D110" s="2"/>
    </row>
    <row r="111" spans="1:4" x14ac:dyDescent="0.2">
      <c r="A111" s="23"/>
      <c r="D111" s="2"/>
    </row>
    <row r="112" spans="1:4" x14ac:dyDescent="0.2">
      <c r="A112" s="23"/>
      <c r="D112" s="2"/>
    </row>
    <row r="113" spans="1:4" x14ac:dyDescent="0.2">
      <c r="A113" s="23"/>
      <c r="D113" s="2"/>
    </row>
    <row r="114" spans="1:4" x14ac:dyDescent="0.2">
      <c r="A114" s="23"/>
      <c r="D114" s="2"/>
    </row>
    <row r="115" spans="1:4" x14ac:dyDescent="0.2">
      <c r="A115" s="23"/>
      <c r="D115" s="2"/>
    </row>
    <row r="116" spans="1:4" x14ac:dyDescent="0.2">
      <c r="A116" s="23"/>
      <c r="D116" s="2"/>
    </row>
    <row r="117" spans="1:4" x14ac:dyDescent="0.2">
      <c r="A117" s="23"/>
      <c r="D117" s="2"/>
    </row>
    <row r="118" spans="1:4" x14ac:dyDescent="0.2">
      <c r="A118" s="23"/>
      <c r="D118" s="2"/>
    </row>
    <row r="119" spans="1:4" x14ac:dyDescent="0.2">
      <c r="A119" s="23"/>
      <c r="D119" s="2"/>
    </row>
    <row r="120" spans="1:4" x14ac:dyDescent="0.2">
      <c r="A120" s="23"/>
      <c r="D120" s="2"/>
    </row>
    <row r="121" spans="1:4" x14ac:dyDescent="0.2">
      <c r="A121" s="23"/>
      <c r="D121" s="2"/>
    </row>
    <row r="122" spans="1:4" x14ac:dyDescent="0.2">
      <c r="A122" s="23"/>
      <c r="D122" s="2"/>
    </row>
    <row r="123" spans="1:4" x14ac:dyDescent="0.2">
      <c r="A123" s="23"/>
      <c r="D123" s="2"/>
    </row>
    <row r="124" spans="1:4" x14ac:dyDescent="0.2">
      <c r="A124" s="23"/>
      <c r="D124" s="2"/>
    </row>
    <row r="125" spans="1:4" x14ac:dyDescent="0.2">
      <c r="A125" s="23"/>
      <c r="D125" s="2"/>
    </row>
    <row r="126" spans="1:4" x14ac:dyDescent="0.2">
      <c r="A126" s="23"/>
      <c r="D126" s="2"/>
    </row>
    <row r="127" spans="1:4" x14ac:dyDescent="0.2">
      <c r="A127" s="23"/>
      <c r="D127" s="2"/>
    </row>
    <row r="128" spans="1:4" x14ac:dyDescent="0.2">
      <c r="A128" s="23"/>
      <c r="D128" s="2"/>
    </row>
    <row r="129" spans="1:4" x14ac:dyDescent="0.2">
      <c r="A129" s="23"/>
      <c r="D129" s="2"/>
    </row>
    <row r="130" spans="1:4" x14ac:dyDescent="0.2">
      <c r="A130" s="23"/>
      <c r="D130" s="2"/>
    </row>
    <row r="131" spans="1:4" x14ac:dyDescent="0.2">
      <c r="A131" s="23"/>
      <c r="D131" s="2"/>
    </row>
    <row r="132" spans="1:4" x14ac:dyDescent="0.2">
      <c r="A132" s="23"/>
      <c r="D132" s="2"/>
    </row>
    <row r="133" spans="1:4" x14ac:dyDescent="0.2">
      <c r="A133" s="23"/>
      <c r="D133" s="2"/>
    </row>
    <row r="134" spans="1:4" x14ac:dyDescent="0.2">
      <c r="A134" s="23"/>
      <c r="D134" s="2"/>
    </row>
    <row r="135" spans="1:4" x14ac:dyDescent="0.2">
      <c r="A135" s="23"/>
      <c r="D135" s="2"/>
    </row>
    <row r="136" spans="1:4" x14ac:dyDescent="0.2">
      <c r="A136" s="23"/>
      <c r="D136" s="2"/>
    </row>
    <row r="137" spans="1:4" x14ac:dyDescent="0.2">
      <c r="A137" s="23"/>
      <c r="D137" s="2"/>
    </row>
    <row r="138" spans="1:4" x14ac:dyDescent="0.2">
      <c r="A138" s="23"/>
      <c r="D138" s="2"/>
    </row>
    <row r="139" spans="1:4" x14ac:dyDescent="0.2">
      <c r="A139" s="23"/>
      <c r="D139" s="2"/>
    </row>
    <row r="140" spans="1:4" x14ac:dyDescent="0.2">
      <c r="A140" s="23"/>
      <c r="D140" s="2"/>
    </row>
    <row r="141" spans="1:4" x14ac:dyDescent="0.2">
      <c r="A141" s="23"/>
      <c r="D141" s="2"/>
    </row>
    <row r="142" spans="1:4" x14ac:dyDescent="0.2">
      <c r="A142" s="23"/>
      <c r="D142" s="2"/>
    </row>
    <row r="143" spans="1:4" x14ac:dyDescent="0.2">
      <c r="A143" s="23"/>
      <c r="D143" s="2"/>
    </row>
    <row r="144" spans="1:4" x14ac:dyDescent="0.2">
      <c r="A144" s="23"/>
      <c r="D144" s="2"/>
    </row>
    <row r="145" spans="1:4" x14ac:dyDescent="0.2">
      <c r="A145" s="23"/>
      <c r="D145" s="2"/>
    </row>
    <row r="146" spans="1:4" x14ac:dyDescent="0.2">
      <c r="A146" s="23"/>
      <c r="D146" s="2"/>
    </row>
    <row r="147" spans="1:4" x14ac:dyDescent="0.2">
      <c r="A147" s="23"/>
      <c r="D147" s="2"/>
    </row>
    <row r="148" spans="1:4" x14ac:dyDescent="0.2">
      <c r="A148" s="23"/>
      <c r="D148" s="2"/>
    </row>
    <row r="149" spans="1:4" x14ac:dyDescent="0.2">
      <c r="A149" s="23"/>
      <c r="D149" s="2"/>
    </row>
    <row r="150" spans="1:4" x14ac:dyDescent="0.2">
      <c r="A150" s="23"/>
      <c r="D150" s="2"/>
    </row>
    <row r="151" spans="1:4" x14ac:dyDescent="0.2">
      <c r="A151" s="23"/>
      <c r="D151" s="2"/>
    </row>
    <row r="152" spans="1:4" x14ac:dyDescent="0.2">
      <c r="A152" s="23"/>
      <c r="D152" s="2"/>
    </row>
    <row r="153" spans="1:4" x14ac:dyDescent="0.2">
      <c r="A153" s="23"/>
      <c r="D153" s="2"/>
    </row>
    <row r="154" spans="1:4" x14ac:dyDescent="0.2">
      <c r="A154" s="23"/>
      <c r="D154" s="2"/>
    </row>
    <row r="155" spans="1:4" x14ac:dyDescent="0.2">
      <c r="A155" s="23"/>
      <c r="D155" s="2"/>
    </row>
    <row r="156" spans="1:4" x14ac:dyDescent="0.2">
      <c r="A156" s="23"/>
      <c r="D156" s="2"/>
    </row>
    <row r="157" spans="1:4" x14ac:dyDescent="0.2">
      <c r="A157" s="23"/>
      <c r="D157" s="2"/>
    </row>
    <row r="158" spans="1:4" x14ac:dyDescent="0.2">
      <c r="A158" s="23"/>
      <c r="D158" s="2"/>
    </row>
    <row r="159" spans="1:4" x14ac:dyDescent="0.2">
      <c r="A159" s="23"/>
      <c r="D159" s="2"/>
    </row>
    <row r="160" spans="1:4" x14ac:dyDescent="0.2">
      <c r="A160" s="23"/>
      <c r="D160" s="2"/>
    </row>
    <row r="161" spans="1:4" x14ac:dyDescent="0.2">
      <c r="A161" s="23"/>
      <c r="D161" s="2"/>
    </row>
    <row r="162" spans="1:4" x14ac:dyDescent="0.2">
      <c r="A162" s="23"/>
      <c r="D162" s="2"/>
    </row>
    <row r="163" spans="1:4" x14ac:dyDescent="0.2">
      <c r="A163" s="23"/>
      <c r="D163" s="2"/>
    </row>
    <row r="164" spans="1:4" x14ac:dyDescent="0.2">
      <c r="A164" s="23"/>
      <c r="D164" s="2"/>
    </row>
    <row r="165" spans="1:4" x14ac:dyDescent="0.2">
      <c r="A165" s="23"/>
      <c r="D165" s="2"/>
    </row>
    <row r="166" spans="1:4" x14ac:dyDescent="0.2">
      <c r="A166" s="23"/>
      <c r="D166" s="2"/>
    </row>
    <row r="167" spans="1:4" x14ac:dyDescent="0.2">
      <c r="A167" s="23"/>
      <c r="D167" s="2"/>
    </row>
    <row r="168" spans="1:4" x14ac:dyDescent="0.2">
      <c r="A168" s="23"/>
      <c r="D168" s="2"/>
    </row>
    <row r="169" spans="1:4" x14ac:dyDescent="0.2">
      <c r="A169" s="23"/>
      <c r="D169" s="2"/>
    </row>
    <row r="170" spans="1:4" x14ac:dyDescent="0.2">
      <c r="A170" s="23"/>
      <c r="D170" s="2"/>
    </row>
    <row r="171" spans="1:4" x14ac:dyDescent="0.2">
      <c r="A171" s="23"/>
      <c r="D171" s="2"/>
    </row>
    <row r="172" spans="1:4" x14ac:dyDescent="0.2">
      <c r="A172" s="23"/>
      <c r="D172" s="2"/>
    </row>
    <row r="173" spans="1:4" x14ac:dyDescent="0.2">
      <c r="A173" s="23"/>
      <c r="D173" s="2"/>
    </row>
    <row r="174" spans="1:4" x14ac:dyDescent="0.2">
      <c r="A174" s="23"/>
      <c r="D174" s="2"/>
    </row>
    <row r="175" spans="1:4" x14ac:dyDescent="0.2">
      <c r="A175" s="23"/>
      <c r="D175" s="2"/>
    </row>
    <row r="176" spans="1:4" x14ac:dyDescent="0.2">
      <c r="A176" s="23"/>
      <c r="D176" s="2"/>
    </row>
    <row r="177" spans="1:4" x14ac:dyDescent="0.2">
      <c r="A177" s="23"/>
      <c r="D177" s="2"/>
    </row>
    <row r="178" spans="1:4" x14ac:dyDescent="0.2">
      <c r="A178" s="23"/>
      <c r="D178" s="2"/>
    </row>
    <row r="179" spans="1:4" x14ac:dyDescent="0.2">
      <c r="A179" s="23"/>
      <c r="D179" s="2"/>
    </row>
    <row r="180" spans="1:4" x14ac:dyDescent="0.2">
      <c r="A180" s="23"/>
      <c r="D180" s="2"/>
    </row>
    <row r="181" spans="1:4" x14ac:dyDescent="0.2">
      <c r="A181" s="23"/>
      <c r="D181" s="2"/>
    </row>
    <row r="182" spans="1:4" x14ac:dyDescent="0.2">
      <c r="A182" s="23"/>
      <c r="D182" s="2"/>
    </row>
    <row r="183" spans="1:4" x14ac:dyDescent="0.2">
      <c r="A183" s="23"/>
      <c r="D183" s="2"/>
    </row>
    <row r="184" spans="1:4" x14ac:dyDescent="0.2">
      <c r="A184" s="23"/>
      <c r="D184" s="2"/>
    </row>
    <row r="185" spans="1:4" x14ac:dyDescent="0.2">
      <c r="A185" s="23"/>
      <c r="D185" s="2"/>
    </row>
    <row r="186" spans="1:4" x14ac:dyDescent="0.2">
      <c r="A186" s="23"/>
      <c r="D186" s="2"/>
    </row>
    <row r="187" spans="1:4" x14ac:dyDescent="0.2">
      <c r="A187" s="23"/>
      <c r="D187" s="2"/>
    </row>
    <row r="188" spans="1:4" x14ac:dyDescent="0.2">
      <c r="A188" s="23"/>
      <c r="D188" s="2"/>
    </row>
    <row r="189" spans="1:4" x14ac:dyDescent="0.2">
      <c r="A189" s="23"/>
      <c r="D189" s="2"/>
    </row>
    <row r="190" spans="1:4" x14ac:dyDescent="0.2">
      <c r="A190" s="23"/>
      <c r="D190" s="2"/>
    </row>
    <row r="191" spans="1:4" x14ac:dyDescent="0.2">
      <c r="A191" s="23"/>
      <c r="D191" s="2"/>
    </row>
    <row r="192" spans="1:4" x14ac:dyDescent="0.2">
      <c r="A192" s="23"/>
      <c r="D192" s="2"/>
    </row>
    <row r="193" spans="1:4" x14ac:dyDescent="0.2">
      <c r="A193" s="23"/>
      <c r="D193" s="2"/>
    </row>
    <row r="194" spans="1:4" x14ac:dyDescent="0.2">
      <c r="A194" s="23"/>
      <c r="D194" s="2"/>
    </row>
    <row r="195" spans="1:4" x14ac:dyDescent="0.2">
      <c r="A195" s="23"/>
      <c r="D195" s="2"/>
    </row>
    <row r="196" spans="1:4" x14ac:dyDescent="0.2">
      <c r="A196" s="23"/>
      <c r="D196" s="2"/>
    </row>
    <row r="197" spans="1:4" x14ac:dyDescent="0.2">
      <c r="A197" s="23"/>
      <c r="D197" s="2"/>
    </row>
    <row r="198" spans="1:4" x14ac:dyDescent="0.2">
      <c r="A198" s="23"/>
      <c r="D198" s="2"/>
    </row>
    <row r="199" spans="1:4" x14ac:dyDescent="0.2">
      <c r="A199" s="23"/>
      <c r="D199" s="2"/>
    </row>
    <row r="200" spans="1:4" x14ac:dyDescent="0.2">
      <c r="A200" s="23"/>
      <c r="D200" s="2"/>
    </row>
    <row r="201" spans="1:4" x14ac:dyDescent="0.2">
      <c r="A201" s="23"/>
      <c r="D201" s="2"/>
    </row>
    <row r="202" spans="1:4" x14ac:dyDescent="0.2">
      <c r="A202" s="23"/>
      <c r="D202" s="2"/>
    </row>
    <row r="203" spans="1:4" x14ac:dyDescent="0.2">
      <c r="A203" s="23"/>
      <c r="D203" s="2"/>
    </row>
    <row r="204" spans="1:4" x14ac:dyDescent="0.2">
      <c r="A204" s="23"/>
      <c r="D204" s="2"/>
    </row>
    <row r="205" spans="1:4" x14ac:dyDescent="0.2">
      <c r="A205" s="23"/>
      <c r="D205" s="2"/>
    </row>
    <row r="206" spans="1:4" x14ac:dyDescent="0.2">
      <c r="A206" s="23"/>
      <c r="D206" s="2"/>
    </row>
    <row r="207" spans="1:4" x14ac:dyDescent="0.2">
      <c r="A207" s="23"/>
      <c r="D207" s="2"/>
    </row>
    <row r="208" spans="1:4" x14ac:dyDescent="0.2">
      <c r="A208" s="23"/>
      <c r="D208" s="2"/>
    </row>
    <row r="209" spans="1:4" x14ac:dyDescent="0.2">
      <c r="A209" s="23"/>
      <c r="D209" s="2"/>
    </row>
    <row r="210" spans="1:4" x14ac:dyDescent="0.2">
      <c r="A210" s="23"/>
      <c r="D210" s="2"/>
    </row>
    <row r="211" spans="1:4" x14ac:dyDescent="0.2">
      <c r="A211" s="23"/>
      <c r="D211" s="2"/>
    </row>
    <row r="212" spans="1:4" x14ac:dyDescent="0.2">
      <c r="A212" s="23"/>
      <c r="D212" s="2"/>
    </row>
    <row r="213" spans="1:4" x14ac:dyDescent="0.2">
      <c r="A213" s="23"/>
      <c r="D213" s="2"/>
    </row>
    <row r="214" spans="1:4" x14ac:dyDescent="0.2">
      <c r="A214" s="23"/>
      <c r="D214" s="2"/>
    </row>
    <row r="215" spans="1:4" x14ac:dyDescent="0.2">
      <c r="A215" s="23"/>
      <c r="D215" s="2"/>
    </row>
    <row r="216" spans="1:4" x14ac:dyDescent="0.2">
      <c r="A216" s="23"/>
      <c r="D216" s="2"/>
    </row>
    <row r="217" spans="1:4" x14ac:dyDescent="0.2">
      <c r="A217" s="23"/>
      <c r="D217" s="2"/>
    </row>
    <row r="218" spans="1:4" x14ac:dyDescent="0.2">
      <c r="A218" s="23"/>
      <c r="D218" s="2"/>
    </row>
    <row r="219" spans="1:4" x14ac:dyDescent="0.2">
      <c r="A219" s="23"/>
      <c r="D219" s="2"/>
    </row>
    <row r="220" spans="1:4" x14ac:dyDescent="0.2">
      <c r="A220" s="23"/>
      <c r="D220" s="2"/>
    </row>
    <row r="221" spans="1:4" x14ac:dyDescent="0.2">
      <c r="A221" s="23"/>
      <c r="D221" s="2"/>
    </row>
    <row r="222" spans="1:4" x14ac:dyDescent="0.2">
      <c r="A222" s="23"/>
      <c r="D222" s="2"/>
    </row>
    <row r="223" spans="1:4" x14ac:dyDescent="0.2">
      <c r="A223" s="23"/>
      <c r="D223" s="2"/>
    </row>
    <row r="224" spans="1:4" x14ac:dyDescent="0.2">
      <c r="A224" s="23"/>
      <c r="D224" s="2"/>
    </row>
    <row r="225" spans="1:4" x14ac:dyDescent="0.2">
      <c r="A225" s="23"/>
      <c r="D225" s="2"/>
    </row>
    <row r="226" spans="1:4" x14ac:dyDescent="0.2">
      <c r="A226" s="23"/>
      <c r="D226" s="2"/>
    </row>
    <row r="227" spans="1:4" x14ac:dyDescent="0.2">
      <c r="A227" s="23"/>
      <c r="D227" s="2"/>
    </row>
    <row r="228" spans="1:4" x14ac:dyDescent="0.2">
      <c r="A228" s="23"/>
      <c r="D228" s="2"/>
    </row>
    <row r="229" spans="1:4" x14ac:dyDescent="0.2">
      <c r="A229" s="23"/>
      <c r="D229" s="2"/>
    </row>
    <row r="230" spans="1:4" x14ac:dyDescent="0.2">
      <c r="A230" s="23"/>
      <c r="D230" s="2"/>
    </row>
    <row r="231" spans="1:4" x14ac:dyDescent="0.2">
      <c r="A231" s="23"/>
      <c r="D231" s="2"/>
    </row>
    <row r="232" spans="1:4" x14ac:dyDescent="0.2">
      <c r="A232" s="23"/>
      <c r="D232" s="2"/>
    </row>
    <row r="233" spans="1:4" x14ac:dyDescent="0.2">
      <c r="A233" s="23"/>
      <c r="D233" s="2"/>
    </row>
    <row r="234" spans="1:4" x14ac:dyDescent="0.2">
      <c r="A234" s="23"/>
      <c r="D234" s="2"/>
    </row>
    <row r="235" spans="1:4" x14ac:dyDescent="0.2">
      <c r="A235" s="23"/>
      <c r="D235" s="2"/>
    </row>
    <row r="236" spans="1:4" x14ac:dyDescent="0.2">
      <c r="A236" s="23"/>
      <c r="D236" s="2"/>
    </row>
    <row r="237" spans="1:4" x14ac:dyDescent="0.2">
      <c r="A237" s="30"/>
      <c r="D237" s="2"/>
    </row>
    <row r="238" spans="1:4" x14ac:dyDescent="0.2">
      <c r="A238" s="29"/>
      <c r="D238" s="2"/>
    </row>
    <row r="239" spans="1:4" x14ac:dyDescent="0.2">
      <c r="A239" s="29"/>
      <c r="D239" s="2"/>
    </row>
    <row r="240" spans="1:4" x14ac:dyDescent="0.2">
      <c r="A240" s="29"/>
      <c r="D240" s="2"/>
    </row>
    <row r="241" spans="1:4" x14ac:dyDescent="0.2">
      <c r="A241" s="29"/>
      <c r="D241" s="2"/>
    </row>
    <row r="242" spans="1:4" x14ac:dyDescent="0.2">
      <c r="A242" s="29"/>
      <c r="D242" s="2"/>
    </row>
    <row r="243" spans="1:4" x14ac:dyDescent="0.2">
      <c r="A243" s="29"/>
      <c r="D243" s="2"/>
    </row>
    <row r="244" spans="1:4" x14ac:dyDescent="0.2">
      <c r="A244" s="29"/>
      <c r="D244" s="2"/>
    </row>
    <row r="245" spans="1:4" x14ac:dyDescent="0.2">
      <c r="A245" s="29"/>
      <c r="D245" s="2"/>
    </row>
    <row r="246" spans="1:4" x14ac:dyDescent="0.2">
      <c r="A246" s="23"/>
      <c r="D246" s="2"/>
    </row>
    <row r="247" spans="1:4" x14ac:dyDescent="0.2">
      <c r="A247" s="23"/>
      <c r="D247" s="2"/>
    </row>
    <row r="248" spans="1:4" x14ac:dyDescent="0.2">
      <c r="A248" s="23"/>
      <c r="D248" s="2"/>
    </row>
    <row r="249" spans="1:4" x14ac:dyDescent="0.2">
      <c r="A249" s="29"/>
      <c r="D249" s="2"/>
    </row>
    <row r="250" spans="1:4" x14ac:dyDescent="0.2">
      <c r="A250" s="29"/>
      <c r="D250" s="2"/>
    </row>
    <row r="251" spans="1:4" x14ac:dyDescent="0.2">
      <c r="A251" s="29"/>
      <c r="D251" s="2"/>
    </row>
    <row r="252" spans="1:4" x14ac:dyDescent="0.2">
      <c r="A252" s="29"/>
      <c r="D252" s="2"/>
    </row>
    <row r="253" spans="1:4" x14ac:dyDescent="0.2">
      <c r="A253" s="29"/>
      <c r="D253" s="2"/>
    </row>
    <row r="254" spans="1:4" x14ac:dyDescent="0.2">
      <c r="A254" s="29"/>
      <c r="D254" s="2"/>
    </row>
    <row r="255" spans="1:4" x14ac:dyDescent="0.2">
      <c r="A255" s="29"/>
      <c r="D255" s="2"/>
    </row>
    <row r="256" spans="1:4" x14ac:dyDescent="0.2">
      <c r="A256" s="23"/>
      <c r="D256" s="2"/>
    </row>
    <row r="257" spans="1:4" x14ac:dyDescent="0.2">
      <c r="A257" s="23"/>
      <c r="D257" s="2"/>
    </row>
    <row r="258" spans="1:4" x14ac:dyDescent="0.2">
      <c r="A258" s="23"/>
      <c r="D258" s="2"/>
    </row>
    <row r="259" spans="1:4" x14ac:dyDescent="0.2">
      <c r="A259" s="23"/>
      <c r="D259" s="2"/>
    </row>
    <row r="260" spans="1:4" x14ac:dyDescent="0.2">
      <c r="A260" s="23"/>
      <c r="D260" s="2"/>
    </row>
    <row r="261" spans="1:4" x14ac:dyDescent="0.2">
      <c r="A261" s="23"/>
      <c r="D261" s="2"/>
    </row>
    <row r="262" spans="1:4" x14ac:dyDescent="0.2">
      <c r="A262" s="23"/>
      <c r="D262" s="2"/>
    </row>
    <row r="263" spans="1:4" x14ac:dyDescent="0.2">
      <c r="A263" s="23"/>
      <c r="D263" s="2"/>
    </row>
    <row r="264" spans="1:4" x14ac:dyDescent="0.2">
      <c r="A264" s="23"/>
      <c r="D264" s="2"/>
    </row>
    <row r="265" spans="1:4" x14ac:dyDescent="0.2">
      <c r="A265" s="23"/>
      <c r="D265" s="2"/>
    </row>
    <row r="266" spans="1:4" x14ac:dyDescent="0.2">
      <c r="A266" s="23"/>
      <c r="D266" s="2"/>
    </row>
    <row r="267" spans="1:4" x14ac:dyDescent="0.2">
      <c r="A267" s="23"/>
      <c r="D267" s="2"/>
    </row>
    <row r="268" spans="1:4" x14ac:dyDescent="0.2">
      <c r="A268" s="23"/>
      <c r="D268" s="2"/>
    </row>
    <row r="269" spans="1:4" x14ac:dyDescent="0.2">
      <c r="A269" s="23"/>
      <c r="D269" s="2"/>
    </row>
    <row r="270" spans="1:4" x14ac:dyDescent="0.2">
      <c r="A270" s="23"/>
      <c r="D270" s="2"/>
    </row>
    <row r="271" spans="1:4" x14ac:dyDescent="0.2">
      <c r="A271" s="23"/>
      <c r="D271" s="2"/>
    </row>
    <row r="272" spans="1:4" x14ac:dyDescent="0.2">
      <c r="A272" s="23"/>
      <c r="D272" s="2"/>
    </row>
    <row r="273" spans="1:4" x14ac:dyDescent="0.2">
      <c r="A273" s="23"/>
      <c r="D273" s="2"/>
    </row>
    <row r="274" spans="1:4" x14ac:dyDescent="0.2">
      <c r="A274" s="23"/>
      <c r="D274" s="2"/>
    </row>
    <row r="275" spans="1:4" x14ac:dyDescent="0.2">
      <c r="A275" s="23"/>
      <c r="D275" s="2"/>
    </row>
    <row r="276" spans="1:4" x14ac:dyDescent="0.2">
      <c r="A276" s="23"/>
      <c r="D276" s="2"/>
    </row>
    <row r="277" spans="1:4" x14ac:dyDescent="0.2">
      <c r="A277" s="23"/>
      <c r="D277" s="2"/>
    </row>
    <row r="278" spans="1:4" x14ac:dyDescent="0.2">
      <c r="A278" s="23"/>
      <c r="D278" s="2"/>
    </row>
    <row r="279" spans="1:4" x14ac:dyDescent="0.2">
      <c r="A279" s="23"/>
      <c r="D279" s="2"/>
    </row>
    <row r="280" spans="1:4" x14ac:dyDescent="0.2">
      <c r="A280" s="23"/>
      <c r="D280" s="2"/>
    </row>
    <row r="281" spans="1:4" x14ac:dyDescent="0.2">
      <c r="A281" s="23"/>
      <c r="D281" s="2"/>
    </row>
    <row r="282" spans="1:4" x14ac:dyDescent="0.2">
      <c r="A282" s="23"/>
      <c r="D282" s="2"/>
    </row>
    <row r="283" spans="1:4" x14ac:dyDescent="0.2">
      <c r="A283" s="23"/>
      <c r="D283" s="2"/>
    </row>
    <row r="284" spans="1:4" x14ac:dyDescent="0.2">
      <c r="A284" s="23"/>
      <c r="D284" s="2"/>
    </row>
    <row r="285" spans="1:4" x14ac:dyDescent="0.2">
      <c r="A285" s="23"/>
      <c r="D285" s="2"/>
    </row>
    <row r="286" spans="1:4" x14ac:dyDescent="0.2">
      <c r="A286" s="23"/>
      <c r="D286" s="2"/>
    </row>
    <row r="287" spans="1:4" x14ac:dyDescent="0.2">
      <c r="A287" s="23"/>
      <c r="D287" s="2"/>
    </row>
    <row r="288" spans="1:4" x14ac:dyDescent="0.2">
      <c r="A288" s="23"/>
      <c r="D288" s="2"/>
    </row>
    <row r="289" spans="1:4" x14ac:dyDescent="0.2">
      <c r="A289" s="23"/>
      <c r="D289" s="2"/>
    </row>
    <row r="290" spans="1:4" x14ac:dyDescent="0.2">
      <c r="A290" s="23"/>
      <c r="D290" s="2"/>
    </row>
    <row r="291" spans="1:4" x14ac:dyDescent="0.2">
      <c r="A291" s="23"/>
      <c r="D291" s="2"/>
    </row>
    <row r="292" spans="1:4" x14ac:dyDescent="0.2">
      <c r="A292" s="23"/>
      <c r="D292" s="2"/>
    </row>
    <row r="293" spans="1:4" x14ac:dyDescent="0.2">
      <c r="A293" s="23"/>
      <c r="D293" s="2"/>
    </row>
    <row r="294" spans="1:4" x14ac:dyDescent="0.2">
      <c r="A294" s="23"/>
      <c r="D294" s="2"/>
    </row>
    <row r="295" spans="1:4" x14ac:dyDescent="0.2">
      <c r="A295" s="23"/>
      <c r="D295" s="2"/>
    </row>
    <row r="296" spans="1:4" x14ac:dyDescent="0.2">
      <c r="A296" s="23"/>
      <c r="D296" s="2"/>
    </row>
    <row r="297" spans="1:4" x14ac:dyDescent="0.2">
      <c r="A297" s="23"/>
      <c r="D297" s="2"/>
    </row>
    <row r="298" spans="1:4" x14ac:dyDescent="0.2">
      <c r="A298" s="23"/>
      <c r="D298" s="2"/>
    </row>
    <row r="299" spans="1:4" x14ac:dyDescent="0.2">
      <c r="A299" s="23"/>
      <c r="D299" s="2"/>
    </row>
    <row r="300" spans="1:4" x14ac:dyDescent="0.2">
      <c r="A300" s="23"/>
      <c r="D300" s="2"/>
    </row>
    <row r="301" spans="1:4" x14ac:dyDescent="0.2">
      <c r="A301" s="23"/>
      <c r="D301" s="2"/>
    </row>
    <row r="302" spans="1:4" x14ac:dyDescent="0.2">
      <c r="A302" s="23"/>
      <c r="D302" s="2"/>
    </row>
    <row r="303" spans="1:4" x14ac:dyDescent="0.2">
      <c r="A303" s="23"/>
      <c r="D303" s="2"/>
    </row>
    <row r="304" spans="1:4" x14ac:dyDescent="0.2">
      <c r="A304" s="23"/>
      <c r="D304" s="2"/>
    </row>
    <row r="305" spans="1:4" x14ac:dyDescent="0.2">
      <c r="A305" s="23"/>
      <c r="D305" s="2"/>
    </row>
    <row r="306" spans="1:4" x14ac:dyDescent="0.2">
      <c r="A306" s="23"/>
      <c r="D306" s="2"/>
    </row>
    <row r="307" spans="1:4" x14ac:dyDescent="0.2">
      <c r="A307" s="23"/>
      <c r="D307" s="2"/>
    </row>
    <row r="308" spans="1:4" x14ac:dyDescent="0.2">
      <c r="A308" s="23"/>
      <c r="D308" s="2"/>
    </row>
    <row r="309" spans="1:4" x14ac:dyDescent="0.2">
      <c r="A309" s="23"/>
      <c r="D309" s="2"/>
    </row>
    <row r="310" spans="1:4" x14ac:dyDescent="0.2">
      <c r="A310" s="23"/>
      <c r="D310" s="2"/>
    </row>
    <row r="311" spans="1:4" x14ac:dyDescent="0.2">
      <c r="A311" s="23"/>
      <c r="D311" s="2"/>
    </row>
    <row r="312" spans="1:4" x14ac:dyDescent="0.2">
      <c r="A312" s="23"/>
      <c r="D312" s="2"/>
    </row>
    <row r="313" spans="1:4" x14ac:dyDescent="0.2">
      <c r="A313" s="23"/>
      <c r="D313" s="2"/>
    </row>
    <row r="314" spans="1:4" x14ac:dyDescent="0.2">
      <c r="A314" s="23"/>
      <c r="D314" s="2"/>
    </row>
    <row r="315" spans="1:4" x14ac:dyDescent="0.2">
      <c r="A315" s="23"/>
      <c r="D315" s="2"/>
    </row>
    <row r="316" spans="1:4" x14ac:dyDescent="0.2">
      <c r="A316" s="23"/>
      <c r="D316" s="2"/>
    </row>
    <row r="317" spans="1:4" x14ac:dyDescent="0.2">
      <c r="A317" s="23"/>
      <c r="D317" s="2"/>
    </row>
    <row r="318" spans="1:4" x14ac:dyDescent="0.2">
      <c r="A318" s="23"/>
      <c r="D318" s="2"/>
    </row>
    <row r="319" spans="1:4" x14ac:dyDescent="0.2">
      <c r="A319" s="23"/>
      <c r="D319" s="2"/>
    </row>
    <row r="320" spans="1:4" x14ac:dyDescent="0.2">
      <c r="A320" s="23"/>
      <c r="D320" s="2"/>
    </row>
    <row r="321" spans="1:4" x14ac:dyDescent="0.2">
      <c r="A321" s="23"/>
      <c r="D321" s="2"/>
    </row>
    <row r="322" spans="1:4" x14ac:dyDescent="0.2">
      <c r="A322" s="23"/>
      <c r="D322" s="2"/>
    </row>
    <row r="323" spans="1:4" x14ac:dyDescent="0.2">
      <c r="A323" s="23"/>
      <c r="D323" s="2"/>
    </row>
    <row r="324" spans="1:4" x14ac:dyDescent="0.2">
      <c r="A324" s="23"/>
      <c r="D324" s="2"/>
    </row>
    <row r="325" spans="1:4" x14ac:dyDescent="0.2">
      <c r="A325" s="23"/>
      <c r="D325" s="2"/>
    </row>
    <row r="326" spans="1:4" x14ac:dyDescent="0.2">
      <c r="A326" s="23"/>
      <c r="D326" s="2"/>
    </row>
    <row r="327" spans="1:4" x14ac:dyDescent="0.2">
      <c r="A327" s="23"/>
      <c r="D327" s="2"/>
    </row>
    <row r="328" spans="1:4" x14ac:dyDescent="0.2">
      <c r="A328" s="23"/>
      <c r="D328" s="2"/>
    </row>
    <row r="329" spans="1:4" x14ac:dyDescent="0.2">
      <c r="A329" s="23"/>
      <c r="D329" s="2"/>
    </row>
    <row r="330" spans="1:4" x14ac:dyDescent="0.2">
      <c r="A330" s="23"/>
      <c r="D330" s="2"/>
    </row>
    <row r="331" spans="1:4" x14ac:dyDescent="0.2">
      <c r="A331" s="23"/>
      <c r="D331" s="2"/>
    </row>
    <row r="332" spans="1:4" x14ac:dyDescent="0.2">
      <c r="A332" s="23"/>
      <c r="D332" s="2"/>
    </row>
    <row r="333" spans="1:4" x14ac:dyDescent="0.2">
      <c r="A333" s="23"/>
      <c r="D333" s="2"/>
    </row>
    <row r="334" spans="1:4" x14ac:dyDescent="0.2">
      <c r="A334" s="23"/>
      <c r="D334" s="2"/>
    </row>
    <row r="335" spans="1:4" x14ac:dyDescent="0.2">
      <c r="A335" s="23"/>
      <c r="D335" s="2"/>
    </row>
    <row r="336" spans="1:4" x14ac:dyDescent="0.2">
      <c r="A336" s="23"/>
      <c r="D336" s="2"/>
    </row>
    <row r="337" spans="1:4" x14ac:dyDescent="0.2">
      <c r="A337" s="23"/>
      <c r="D337" s="2"/>
    </row>
    <row r="338" spans="1:4" x14ac:dyDescent="0.2">
      <c r="A338" s="23"/>
      <c r="D338" s="2"/>
    </row>
    <row r="339" spans="1:4" x14ac:dyDescent="0.2">
      <c r="A339" s="23"/>
      <c r="D339" s="2"/>
    </row>
    <row r="340" spans="1:4" x14ac:dyDescent="0.2">
      <c r="A340" s="23"/>
      <c r="D340" s="2"/>
    </row>
    <row r="341" spans="1:4" x14ac:dyDescent="0.2">
      <c r="A341" s="23"/>
      <c r="D341" s="2"/>
    </row>
    <row r="342" spans="1:4" x14ac:dyDescent="0.2">
      <c r="A342" s="23"/>
      <c r="D342" s="2"/>
    </row>
    <row r="343" spans="1:4" x14ac:dyDescent="0.2">
      <c r="A343" s="23"/>
      <c r="D343" s="2"/>
    </row>
    <row r="344" spans="1:4" x14ac:dyDescent="0.2">
      <c r="A344" s="23"/>
      <c r="D344" s="2"/>
    </row>
    <row r="345" spans="1:4" x14ac:dyDescent="0.2">
      <c r="A345" s="23"/>
      <c r="D345" s="2"/>
    </row>
    <row r="346" spans="1:4" x14ac:dyDescent="0.2">
      <c r="A346" s="23"/>
      <c r="D346" s="2"/>
    </row>
    <row r="347" spans="1:4" x14ac:dyDescent="0.2">
      <c r="A347" s="23"/>
      <c r="D347" s="2"/>
    </row>
    <row r="348" spans="1:4" x14ac:dyDescent="0.2">
      <c r="A348" s="23"/>
      <c r="D348" s="2"/>
    </row>
    <row r="349" spans="1:4" x14ac:dyDescent="0.2">
      <c r="A349" s="23"/>
      <c r="D349" s="2"/>
    </row>
    <row r="350" spans="1:4" x14ac:dyDescent="0.2">
      <c r="A350" s="23"/>
      <c r="D350" s="2"/>
    </row>
    <row r="351" spans="1:4" x14ac:dyDescent="0.2">
      <c r="A351" s="23"/>
      <c r="D351" s="2"/>
    </row>
    <row r="352" spans="1:4" x14ac:dyDescent="0.2">
      <c r="A352" s="23"/>
      <c r="D352" s="2"/>
    </row>
    <row r="353" spans="1:4" x14ac:dyDescent="0.2">
      <c r="A353" s="23"/>
      <c r="D353" s="2"/>
    </row>
    <row r="354" spans="1:4" x14ac:dyDescent="0.2">
      <c r="A354" s="23"/>
      <c r="D354" s="2"/>
    </row>
    <row r="355" spans="1:4" x14ac:dyDescent="0.2">
      <c r="A355" s="23"/>
      <c r="D355" s="2"/>
    </row>
    <row r="356" spans="1:4" x14ac:dyDescent="0.2">
      <c r="A356" s="23"/>
      <c r="D356" s="2"/>
    </row>
    <row r="357" spans="1:4" x14ac:dyDescent="0.2">
      <c r="A357" s="23"/>
      <c r="D357" s="2"/>
    </row>
    <row r="358" spans="1:4" x14ac:dyDescent="0.2">
      <c r="A358" s="23"/>
      <c r="D358" s="2"/>
    </row>
    <row r="359" spans="1:4" x14ac:dyDescent="0.2">
      <c r="A359" s="23"/>
      <c r="D359" s="2"/>
    </row>
    <row r="360" spans="1:4" x14ac:dyDescent="0.2">
      <c r="A360" s="23"/>
      <c r="D360" s="2"/>
    </row>
    <row r="361" spans="1:4" x14ac:dyDescent="0.2">
      <c r="A361" s="23"/>
      <c r="D361" s="2"/>
    </row>
    <row r="362" spans="1:4" x14ac:dyDescent="0.2">
      <c r="A362" s="23"/>
      <c r="D362" s="2"/>
    </row>
    <row r="363" spans="1:4" x14ac:dyDescent="0.2">
      <c r="A363" s="23"/>
      <c r="D363" s="2"/>
    </row>
    <row r="364" spans="1:4" x14ac:dyDescent="0.2">
      <c r="A364" s="23"/>
      <c r="D364" s="2"/>
    </row>
    <row r="365" spans="1:4" x14ac:dyDescent="0.2">
      <c r="A365" s="23"/>
      <c r="D365" s="2"/>
    </row>
    <row r="366" spans="1:4" x14ac:dyDescent="0.2">
      <c r="A366" s="23"/>
      <c r="D366" s="2"/>
    </row>
    <row r="367" spans="1:4" x14ac:dyDescent="0.2">
      <c r="A367" s="23"/>
      <c r="D367" s="2"/>
    </row>
    <row r="368" spans="1:4" x14ac:dyDescent="0.2">
      <c r="A368" s="23"/>
      <c r="D368" s="2"/>
    </row>
    <row r="369" spans="1:4" x14ac:dyDescent="0.2">
      <c r="A369" s="23"/>
      <c r="D369" s="2"/>
    </row>
    <row r="370" spans="1:4" x14ac:dyDescent="0.2">
      <c r="A370" s="23"/>
      <c r="D370" s="2"/>
    </row>
    <row r="371" spans="1:4" x14ac:dyDescent="0.2">
      <c r="A371" s="23"/>
      <c r="D371" s="2"/>
    </row>
    <row r="372" spans="1:4" x14ac:dyDescent="0.2">
      <c r="A372" s="23"/>
      <c r="D372" s="2"/>
    </row>
    <row r="373" spans="1:4" x14ac:dyDescent="0.2">
      <c r="A373" s="23"/>
      <c r="D373" s="2"/>
    </row>
    <row r="374" spans="1:4" x14ac:dyDescent="0.2">
      <c r="A374" s="23"/>
      <c r="D374" s="2"/>
    </row>
    <row r="375" spans="1:4" x14ac:dyDescent="0.2">
      <c r="A375" s="23"/>
      <c r="D375" s="2"/>
    </row>
    <row r="376" spans="1:4" x14ac:dyDescent="0.2">
      <c r="A376" s="23"/>
      <c r="D376" s="2"/>
    </row>
    <row r="377" spans="1:4" x14ac:dyDescent="0.2">
      <c r="A377" s="23"/>
      <c r="D377" s="2"/>
    </row>
    <row r="378" spans="1:4" x14ac:dyDescent="0.2">
      <c r="A378" s="23"/>
      <c r="D378" s="2"/>
    </row>
    <row r="379" spans="1:4" x14ac:dyDescent="0.2">
      <c r="A379" s="23"/>
      <c r="D379" s="2"/>
    </row>
    <row r="380" spans="1:4" x14ac:dyDescent="0.2">
      <c r="A380" s="23"/>
      <c r="D380" s="2"/>
    </row>
    <row r="381" spans="1:4" x14ac:dyDescent="0.2">
      <c r="A381" s="23"/>
      <c r="D381" s="2"/>
    </row>
    <row r="382" spans="1:4" x14ac:dyDescent="0.2">
      <c r="A382" s="23"/>
      <c r="D382" s="2"/>
    </row>
    <row r="383" spans="1:4" x14ac:dyDescent="0.2">
      <c r="A383" s="23"/>
      <c r="D383" s="2"/>
    </row>
    <row r="384" spans="1:4" x14ac:dyDescent="0.2">
      <c r="A384" s="23"/>
      <c r="D384" s="2"/>
    </row>
    <row r="385" spans="1:4" x14ac:dyDescent="0.2">
      <c r="A385" s="23"/>
      <c r="D385" s="2"/>
    </row>
    <row r="386" spans="1:4" x14ac:dyDescent="0.2">
      <c r="A386" s="23"/>
      <c r="D386" s="2"/>
    </row>
    <row r="387" spans="1:4" x14ac:dyDescent="0.2">
      <c r="A387" s="23"/>
      <c r="D387" s="2"/>
    </row>
    <row r="388" spans="1:4" x14ac:dyDescent="0.2">
      <c r="A388" s="23"/>
      <c r="D388" s="2"/>
    </row>
    <row r="389" spans="1:4" x14ac:dyDescent="0.2">
      <c r="A389" s="23"/>
      <c r="D389" s="2"/>
    </row>
    <row r="390" spans="1:4" x14ac:dyDescent="0.2">
      <c r="A390" s="23"/>
      <c r="D390" s="2"/>
    </row>
    <row r="391" spans="1:4" x14ac:dyDescent="0.2">
      <c r="A391" s="23"/>
      <c r="D391" s="2"/>
    </row>
    <row r="392" spans="1:4" x14ac:dyDescent="0.2">
      <c r="A392" s="23"/>
      <c r="D392" s="2"/>
    </row>
    <row r="393" spans="1:4" x14ac:dyDescent="0.2">
      <c r="A393" s="23"/>
      <c r="D393" s="2"/>
    </row>
    <row r="394" spans="1:4" x14ac:dyDescent="0.2">
      <c r="A394" s="23"/>
      <c r="D394" s="2"/>
    </row>
    <row r="395" spans="1:4" x14ac:dyDescent="0.2">
      <c r="A395" s="23"/>
      <c r="D395" s="2"/>
    </row>
    <row r="396" spans="1:4" x14ac:dyDescent="0.2">
      <c r="A396" s="23"/>
      <c r="D396" s="2"/>
    </row>
    <row r="397" spans="1:4" x14ac:dyDescent="0.2">
      <c r="A397" s="23"/>
      <c r="D397" s="2"/>
    </row>
    <row r="398" spans="1:4" x14ac:dyDescent="0.2">
      <c r="A398" s="23"/>
      <c r="D398" s="2"/>
    </row>
    <row r="399" spans="1:4" x14ac:dyDescent="0.2">
      <c r="A399" s="23"/>
      <c r="D399" s="2"/>
    </row>
    <row r="400" spans="1:4" x14ac:dyDescent="0.2">
      <c r="A400" s="23"/>
      <c r="D400" s="2"/>
    </row>
    <row r="401" spans="1:4" x14ac:dyDescent="0.2">
      <c r="A401" s="23"/>
      <c r="D401" s="2"/>
    </row>
    <row r="402" spans="1:4" x14ac:dyDescent="0.2">
      <c r="A402" s="23"/>
      <c r="D402" s="2"/>
    </row>
    <row r="403" spans="1:4" x14ac:dyDescent="0.2">
      <c r="A403" s="23"/>
      <c r="D403" s="2"/>
    </row>
    <row r="404" spans="1:4" x14ac:dyDescent="0.2">
      <c r="A404" s="23"/>
      <c r="D404" s="2"/>
    </row>
    <row r="405" spans="1:4" x14ac:dyDescent="0.2">
      <c r="A405" s="23"/>
      <c r="D405" s="2"/>
    </row>
    <row r="406" spans="1:4" x14ac:dyDescent="0.2">
      <c r="A406" s="23"/>
      <c r="D406" s="2"/>
    </row>
    <row r="407" spans="1:4" x14ac:dyDescent="0.2">
      <c r="A407" s="23"/>
      <c r="D407" s="2"/>
    </row>
    <row r="408" spans="1:4" x14ac:dyDescent="0.2">
      <c r="A408" s="23"/>
      <c r="D408" s="2"/>
    </row>
    <row r="409" spans="1:4" x14ac:dyDescent="0.2">
      <c r="A409" s="23"/>
      <c r="D409" s="2"/>
    </row>
    <row r="410" spans="1:4" x14ac:dyDescent="0.2">
      <c r="A410" s="23"/>
      <c r="D410" s="2"/>
    </row>
    <row r="411" spans="1:4" x14ac:dyDescent="0.2">
      <c r="A411" s="23"/>
      <c r="D411" s="2"/>
    </row>
    <row r="412" spans="1:4" x14ac:dyDescent="0.2">
      <c r="A412" s="23"/>
      <c r="D412" s="2"/>
    </row>
    <row r="413" spans="1:4" x14ac:dyDescent="0.2">
      <c r="A413" s="23"/>
      <c r="D413" s="2"/>
    </row>
    <row r="414" spans="1:4" x14ac:dyDescent="0.2">
      <c r="A414" s="23"/>
      <c r="D414" s="2"/>
    </row>
    <row r="415" spans="1:4" x14ac:dyDescent="0.2">
      <c r="A415" s="23"/>
      <c r="D415" s="2"/>
    </row>
    <row r="416" spans="1:4" x14ac:dyDescent="0.2">
      <c r="A416" s="23"/>
      <c r="D416" s="2"/>
    </row>
    <row r="417" spans="1:4" x14ac:dyDescent="0.2">
      <c r="A417" s="23"/>
      <c r="D417" s="2"/>
    </row>
    <row r="418" spans="1:4" x14ac:dyDescent="0.2">
      <c r="A418" s="23"/>
      <c r="D418" s="2"/>
    </row>
    <row r="419" spans="1:4" x14ac:dyDescent="0.2">
      <c r="A419" s="23"/>
      <c r="D419" s="2"/>
    </row>
    <row r="420" spans="1:4" x14ac:dyDescent="0.2">
      <c r="A420" s="23"/>
      <c r="D420" s="2"/>
    </row>
    <row r="421" spans="1:4" x14ac:dyDescent="0.2">
      <c r="A421" s="23"/>
      <c r="D421" s="2"/>
    </row>
    <row r="422" spans="1:4" x14ac:dyDescent="0.2">
      <c r="A422" s="23"/>
      <c r="D422" s="2"/>
    </row>
    <row r="423" spans="1:4" x14ac:dyDescent="0.2">
      <c r="A423" s="23"/>
      <c r="D423" s="2"/>
    </row>
    <row r="424" spans="1:4" x14ac:dyDescent="0.2">
      <c r="A424" s="23"/>
      <c r="D424" s="2"/>
    </row>
    <row r="425" spans="1:4" x14ac:dyDescent="0.2">
      <c r="A425" s="23"/>
      <c r="D425" s="2"/>
    </row>
    <row r="426" spans="1:4" x14ac:dyDescent="0.2">
      <c r="A426" s="23"/>
      <c r="D426" s="2"/>
    </row>
    <row r="427" spans="1:4" x14ac:dyDescent="0.2">
      <c r="A427" s="23"/>
      <c r="D427" s="2"/>
    </row>
    <row r="428" spans="1:4" x14ac:dyDescent="0.2">
      <c r="A428" s="23"/>
      <c r="D428" s="2"/>
    </row>
    <row r="429" spans="1:4" x14ac:dyDescent="0.2">
      <c r="A429" s="23"/>
      <c r="D429" s="2"/>
    </row>
    <row r="430" spans="1:4" x14ac:dyDescent="0.2">
      <c r="A430" s="23"/>
      <c r="D430" s="2"/>
    </row>
    <row r="431" spans="1:4" x14ac:dyDescent="0.2">
      <c r="A431" s="23"/>
      <c r="D431" s="2"/>
    </row>
    <row r="432" spans="1:4" x14ac:dyDescent="0.2">
      <c r="A432" s="23"/>
      <c r="D432" s="2"/>
    </row>
    <row r="433" spans="1:4" x14ac:dyDescent="0.2">
      <c r="A433" s="23"/>
      <c r="D433" s="2"/>
    </row>
    <row r="434" spans="1:4" x14ac:dyDescent="0.2">
      <c r="A434" s="23"/>
      <c r="D434" s="2"/>
    </row>
    <row r="435" spans="1:4" x14ac:dyDescent="0.2">
      <c r="A435" s="23"/>
      <c r="D435" s="2"/>
    </row>
    <row r="436" spans="1:4" x14ac:dyDescent="0.2">
      <c r="A436" s="23"/>
      <c r="D436" s="2"/>
    </row>
    <row r="437" spans="1:4" x14ac:dyDescent="0.2">
      <c r="A437" s="23"/>
      <c r="D437" s="2"/>
    </row>
    <row r="438" spans="1:4" x14ac:dyDescent="0.2">
      <c r="A438" s="23"/>
      <c r="D438" s="2"/>
    </row>
    <row r="439" spans="1:4" x14ac:dyDescent="0.2">
      <c r="A439" s="23"/>
      <c r="D439" s="2"/>
    </row>
    <row r="440" spans="1:4" x14ac:dyDescent="0.2">
      <c r="A440" s="23"/>
      <c r="D440" s="2"/>
    </row>
    <row r="441" spans="1:4" x14ac:dyDescent="0.2">
      <c r="A441" s="23"/>
      <c r="D441" s="2"/>
    </row>
    <row r="442" spans="1:4" x14ac:dyDescent="0.2">
      <c r="A442" s="23"/>
      <c r="D442" s="2"/>
    </row>
    <row r="443" spans="1:4" x14ac:dyDescent="0.2">
      <c r="A443" s="23"/>
      <c r="D443" s="2"/>
    </row>
    <row r="444" spans="1:4" x14ac:dyDescent="0.2">
      <c r="A444" s="23"/>
      <c r="D444" s="2"/>
    </row>
    <row r="445" spans="1:4" x14ac:dyDescent="0.2">
      <c r="A445" s="23"/>
      <c r="D445" s="2"/>
    </row>
    <row r="446" spans="1:4" x14ac:dyDescent="0.2">
      <c r="A446" s="23"/>
      <c r="D446" s="2"/>
    </row>
    <row r="447" spans="1:4" x14ac:dyDescent="0.2">
      <c r="A447" s="23"/>
      <c r="D447" s="2"/>
    </row>
    <row r="448" spans="1:4" x14ac:dyDescent="0.2">
      <c r="A448" s="23"/>
      <c r="D448" s="2"/>
    </row>
    <row r="449" spans="1:4" x14ac:dyDescent="0.2">
      <c r="A449" s="23"/>
      <c r="D449" s="2"/>
    </row>
    <row r="450" spans="1:4" x14ac:dyDescent="0.2">
      <c r="A450" s="23"/>
      <c r="D450" s="2"/>
    </row>
    <row r="451" spans="1:4" x14ac:dyDescent="0.2">
      <c r="A451" s="23"/>
      <c r="D451" s="2"/>
    </row>
    <row r="452" spans="1:4" x14ac:dyDescent="0.2">
      <c r="A452" s="23"/>
      <c r="D452" s="2"/>
    </row>
    <row r="453" spans="1:4" x14ac:dyDescent="0.2">
      <c r="A453" s="23"/>
      <c r="D453" s="2"/>
    </row>
    <row r="454" spans="1:4" x14ac:dyDescent="0.2">
      <c r="A454" s="23"/>
      <c r="D454" s="2"/>
    </row>
    <row r="455" spans="1:4" x14ac:dyDescent="0.2">
      <c r="A455" s="23"/>
      <c r="D455" s="2"/>
    </row>
    <row r="456" spans="1:4" x14ac:dyDescent="0.2">
      <c r="A456" s="23"/>
      <c r="D456" s="2"/>
    </row>
    <row r="457" spans="1:4" x14ac:dyDescent="0.2">
      <c r="A457" s="23"/>
      <c r="D457" s="2"/>
    </row>
    <row r="458" spans="1:4" x14ac:dyDescent="0.2">
      <c r="A458" s="23"/>
      <c r="D458" s="2"/>
    </row>
    <row r="459" spans="1:4" x14ac:dyDescent="0.2">
      <c r="A459" s="23"/>
      <c r="D459" s="2"/>
    </row>
    <row r="460" spans="1:4" x14ac:dyDescent="0.2">
      <c r="A460" s="23"/>
      <c r="D460" s="2"/>
    </row>
    <row r="461" spans="1:4" x14ac:dyDescent="0.2">
      <c r="A461" s="23"/>
      <c r="D461" s="2"/>
    </row>
    <row r="462" spans="1:4" x14ac:dyDescent="0.2">
      <c r="A462" s="23"/>
      <c r="D462" s="2"/>
    </row>
    <row r="463" spans="1:4" x14ac:dyDescent="0.2">
      <c r="A463" s="23"/>
      <c r="D463" s="2"/>
    </row>
    <row r="464" spans="1:4" x14ac:dyDescent="0.2">
      <c r="A464" s="23"/>
      <c r="D464" s="2"/>
    </row>
    <row r="465" spans="1:4" x14ac:dyDescent="0.2">
      <c r="A465" s="23"/>
      <c r="D465" s="2"/>
    </row>
    <row r="466" spans="1:4" x14ac:dyDescent="0.2">
      <c r="A466" s="23"/>
      <c r="D466" s="2"/>
    </row>
    <row r="467" spans="1:4" x14ac:dyDescent="0.2">
      <c r="A467" s="23"/>
      <c r="D467" s="2"/>
    </row>
    <row r="468" spans="1:4" x14ac:dyDescent="0.2">
      <c r="A468" s="23"/>
      <c r="D468" s="2"/>
    </row>
    <row r="469" spans="1:4" x14ac:dyDescent="0.2">
      <c r="A469" s="23"/>
      <c r="D469" s="2"/>
    </row>
    <row r="470" spans="1:4" x14ac:dyDescent="0.2">
      <c r="A470" s="23"/>
      <c r="D470" s="2"/>
    </row>
    <row r="471" spans="1:4" x14ac:dyDescent="0.2">
      <c r="A471" s="23"/>
      <c r="D471" s="2"/>
    </row>
    <row r="472" spans="1:4" x14ac:dyDescent="0.2">
      <c r="A472" s="23"/>
      <c r="D472" s="2"/>
    </row>
    <row r="473" spans="1:4" x14ac:dyDescent="0.2">
      <c r="A473" s="23"/>
      <c r="D473" s="2"/>
    </row>
    <row r="474" spans="1:4" x14ac:dyDescent="0.2">
      <c r="A474" s="23"/>
      <c r="D474" s="2"/>
    </row>
    <row r="475" spans="1:4" x14ac:dyDescent="0.2">
      <c r="A475" s="23"/>
      <c r="D475" s="2"/>
    </row>
    <row r="476" spans="1:4" x14ac:dyDescent="0.2">
      <c r="A476" s="23"/>
      <c r="D476" s="2"/>
    </row>
    <row r="477" spans="1:4" x14ac:dyDescent="0.2">
      <c r="A477" s="23"/>
      <c r="D477" s="2"/>
    </row>
    <row r="478" spans="1:4" x14ac:dyDescent="0.2">
      <c r="A478" s="23"/>
      <c r="D478" s="2"/>
    </row>
    <row r="479" spans="1:4" x14ac:dyDescent="0.2">
      <c r="A479" s="23"/>
      <c r="D479" s="2"/>
    </row>
    <row r="480" spans="1:4" x14ac:dyDescent="0.2">
      <c r="A480" s="23"/>
      <c r="D480" s="2"/>
    </row>
    <row r="481" spans="1:4" x14ac:dyDescent="0.2">
      <c r="A481" s="23"/>
      <c r="D481" s="2"/>
    </row>
    <row r="482" spans="1:4" x14ac:dyDescent="0.2">
      <c r="A482" s="23"/>
      <c r="D482" s="2"/>
    </row>
    <row r="483" spans="1:4" x14ac:dyDescent="0.2">
      <c r="A483" s="23"/>
      <c r="D483" s="2"/>
    </row>
    <row r="484" spans="1:4" x14ac:dyDescent="0.2">
      <c r="A484" s="23"/>
      <c r="D484" s="2"/>
    </row>
    <row r="485" spans="1:4" x14ac:dyDescent="0.2">
      <c r="A485" s="23"/>
      <c r="D485" s="2"/>
    </row>
    <row r="486" spans="1:4" x14ac:dyDescent="0.2">
      <c r="A486" s="23"/>
      <c r="D486" s="2"/>
    </row>
    <row r="487" spans="1:4" x14ac:dyDescent="0.2">
      <c r="A487" s="23"/>
      <c r="D487" s="2"/>
    </row>
    <row r="488" spans="1:4" x14ac:dyDescent="0.2">
      <c r="A488" s="23"/>
      <c r="D488" s="2"/>
    </row>
    <row r="489" spans="1:4" x14ac:dyDescent="0.2">
      <c r="A489" s="23"/>
      <c r="D489" s="2"/>
    </row>
    <row r="490" spans="1:4" x14ac:dyDescent="0.2">
      <c r="A490" s="23"/>
      <c r="D490" s="2"/>
    </row>
    <row r="491" spans="1:4" x14ac:dyDescent="0.2">
      <c r="A491" s="23"/>
      <c r="D491" s="2"/>
    </row>
    <row r="492" spans="1:4" x14ac:dyDescent="0.2">
      <c r="A492" s="23"/>
      <c r="D492" s="2"/>
    </row>
    <row r="493" spans="1:4" x14ac:dyDescent="0.2">
      <c r="A493" s="23"/>
      <c r="D493" s="2"/>
    </row>
    <row r="494" spans="1:4" x14ac:dyDescent="0.2">
      <c r="A494" s="23"/>
      <c r="D494" s="2"/>
    </row>
    <row r="495" spans="1:4" x14ac:dyDescent="0.2">
      <c r="A495" s="23"/>
      <c r="D495" s="2"/>
    </row>
    <row r="496" spans="1:4" x14ac:dyDescent="0.2">
      <c r="A496" s="23"/>
      <c r="D496" s="2"/>
    </row>
    <row r="497" spans="1:4" x14ac:dyDescent="0.2">
      <c r="A497" s="23"/>
      <c r="D497" s="2"/>
    </row>
    <row r="498" spans="1:4" x14ac:dyDescent="0.2">
      <c r="A498" s="23"/>
      <c r="D498" s="2"/>
    </row>
    <row r="499" spans="1:4" x14ac:dyDescent="0.2">
      <c r="A499" s="23"/>
      <c r="D499" s="2"/>
    </row>
    <row r="500" spans="1:4" x14ac:dyDescent="0.2">
      <c r="A500" s="23"/>
      <c r="D500" s="2"/>
    </row>
    <row r="501" spans="1:4" x14ac:dyDescent="0.2">
      <c r="A501" s="23"/>
      <c r="D501" s="2"/>
    </row>
    <row r="502" spans="1:4" x14ac:dyDescent="0.2">
      <c r="A502" s="23"/>
      <c r="D502" s="2"/>
    </row>
    <row r="503" spans="1:4" x14ac:dyDescent="0.2">
      <c r="A503" s="23"/>
      <c r="D503" s="2"/>
    </row>
    <row r="504" spans="1:4" x14ac:dyDescent="0.2">
      <c r="A504" s="23"/>
      <c r="D504" s="2"/>
    </row>
    <row r="505" spans="1:4" x14ac:dyDescent="0.2">
      <c r="A505" s="23"/>
      <c r="D505" s="2"/>
    </row>
    <row r="506" spans="1:4" x14ac:dyDescent="0.2">
      <c r="A506" s="23"/>
      <c r="D506" s="2"/>
    </row>
    <row r="507" spans="1:4" x14ac:dyDescent="0.2">
      <c r="A507" s="23"/>
      <c r="D507" s="2"/>
    </row>
    <row r="508" spans="1:4" x14ac:dyDescent="0.2">
      <c r="A508" s="23"/>
      <c r="D508" s="2"/>
    </row>
    <row r="509" spans="1:4" x14ac:dyDescent="0.2">
      <c r="A509" s="23"/>
      <c r="D509" s="2"/>
    </row>
    <row r="510" spans="1:4" x14ac:dyDescent="0.2">
      <c r="A510" s="23"/>
      <c r="D510" s="2"/>
    </row>
    <row r="511" spans="1:4" x14ac:dyDescent="0.2">
      <c r="A511" s="23"/>
      <c r="D511" s="2"/>
    </row>
    <row r="512" spans="1:4" x14ac:dyDescent="0.2">
      <c r="A512" s="23"/>
      <c r="D512" s="2"/>
    </row>
    <row r="513" spans="1:4" x14ac:dyDescent="0.2">
      <c r="A513" s="23"/>
      <c r="D513" s="2"/>
    </row>
    <row r="514" spans="1:4" x14ac:dyDescent="0.2">
      <c r="A514" s="23"/>
      <c r="D514" s="2"/>
    </row>
    <row r="515" spans="1:4" x14ac:dyDescent="0.2">
      <c r="A515" s="23"/>
      <c r="D515" s="2"/>
    </row>
    <row r="516" spans="1:4" x14ac:dyDescent="0.2">
      <c r="A516" s="23"/>
      <c r="D516" s="2"/>
    </row>
    <row r="517" spans="1:4" x14ac:dyDescent="0.2">
      <c r="A517" s="23"/>
      <c r="D517" s="2"/>
    </row>
    <row r="518" spans="1:4" x14ac:dyDescent="0.2">
      <c r="A518" s="23"/>
      <c r="D518" s="2"/>
    </row>
    <row r="519" spans="1:4" x14ac:dyDescent="0.2">
      <c r="A519" s="23"/>
      <c r="D519" s="2"/>
    </row>
    <row r="520" spans="1:4" x14ac:dyDescent="0.2">
      <c r="A520" s="23"/>
      <c r="D520" s="2"/>
    </row>
    <row r="521" spans="1:4" x14ac:dyDescent="0.2">
      <c r="A521" s="23"/>
      <c r="D521" s="2"/>
    </row>
    <row r="522" spans="1:4" x14ac:dyDescent="0.2">
      <c r="A522" s="23"/>
      <c r="D522" s="2"/>
    </row>
    <row r="523" spans="1:4" x14ac:dyDescent="0.2">
      <c r="A523" s="23"/>
      <c r="D523" s="2"/>
    </row>
    <row r="524" spans="1:4" x14ac:dyDescent="0.2">
      <c r="A524" s="30"/>
      <c r="D524" s="2"/>
    </row>
    <row r="525" spans="1:4" x14ac:dyDescent="0.2">
      <c r="A525" s="23"/>
      <c r="D525" s="2"/>
    </row>
    <row r="526" spans="1:4" x14ac:dyDescent="0.2">
      <c r="A526" s="23"/>
      <c r="D526" s="2"/>
    </row>
    <row r="527" spans="1:4" x14ac:dyDescent="0.2">
      <c r="A527" s="23"/>
      <c r="D527" s="2"/>
    </row>
    <row r="528" spans="1:4" x14ac:dyDescent="0.2">
      <c r="A528" s="23"/>
      <c r="D528" s="2"/>
    </row>
    <row r="529" spans="1:4" x14ac:dyDescent="0.2">
      <c r="A529" s="23"/>
      <c r="D529" s="2"/>
    </row>
    <row r="530" spans="1:4" x14ac:dyDescent="0.2">
      <c r="A530" s="23"/>
      <c r="D530" s="2"/>
    </row>
    <row r="531" spans="1:4" x14ac:dyDescent="0.2">
      <c r="A531" s="23"/>
      <c r="D531" s="2"/>
    </row>
    <row r="532" spans="1:4" x14ac:dyDescent="0.2">
      <c r="A532" s="23"/>
      <c r="D532" s="2"/>
    </row>
    <row r="533" spans="1:4" x14ac:dyDescent="0.2">
      <c r="A533" s="23"/>
      <c r="D533" s="2"/>
    </row>
    <row r="534" spans="1:4" x14ac:dyDescent="0.2">
      <c r="A534" s="23"/>
      <c r="D534" s="2"/>
    </row>
    <row r="535" spans="1:4" x14ac:dyDescent="0.2">
      <c r="A535" s="23"/>
      <c r="D535" s="2"/>
    </row>
    <row r="536" spans="1:4" x14ac:dyDescent="0.2">
      <c r="A536" s="23"/>
      <c r="D536" s="2"/>
    </row>
    <row r="537" spans="1:4" x14ac:dyDescent="0.2">
      <c r="A537" s="23"/>
      <c r="D537" s="2"/>
    </row>
    <row r="538" spans="1:4" x14ac:dyDescent="0.2">
      <c r="A538" s="23"/>
      <c r="D538" s="2"/>
    </row>
    <row r="539" spans="1:4" x14ac:dyDescent="0.2">
      <c r="A539" s="23"/>
      <c r="D539" s="2"/>
    </row>
    <row r="540" spans="1:4" x14ac:dyDescent="0.2">
      <c r="A540" s="23"/>
      <c r="D540" s="2"/>
    </row>
    <row r="541" spans="1:4" x14ac:dyDescent="0.2">
      <c r="A541" s="23"/>
      <c r="D541" s="2"/>
    </row>
    <row r="542" spans="1:4" x14ac:dyDescent="0.2">
      <c r="A542" s="23"/>
      <c r="D542" s="2"/>
    </row>
    <row r="543" spans="1:4" x14ac:dyDescent="0.2">
      <c r="A543" s="23"/>
      <c r="D543" s="2"/>
    </row>
    <row r="544" spans="1:4" x14ac:dyDescent="0.2">
      <c r="A544" s="23"/>
      <c r="D544" s="2"/>
    </row>
    <row r="545" spans="1:4" x14ac:dyDescent="0.2">
      <c r="A545" s="23"/>
      <c r="D545" s="2"/>
    </row>
    <row r="546" spans="1:4" x14ac:dyDescent="0.2">
      <c r="A546" s="23"/>
      <c r="D546" s="2"/>
    </row>
    <row r="547" spans="1:4" x14ac:dyDescent="0.2">
      <c r="A547" s="23"/>
      <c r="D547" s="2"/>
    </row>
    <row r="548" spans="1:4" x14ac:dyDescent="0.2">
      <c r="A548" s="23"/>
      <c r="D548" s="2"/>
    </row>
    <row r="549" spans="1:4" x14ac:dyDescent="0.2">
      <c r="A549" s="23"/>
      <c r="D549" s="2"/>
    </row>
    <row r="550" spans="1:4" x14ac:dyDescent="0.2">
      <c r="A550" s="23"/>
      <c r="D550" s="2"/>
    </row>
    <row r="551" spans="1:4" x14ac:dyDescent="0.2">
      <c r="A551" s="23"/>
      <c r="D551" s="2"/>
    </row>
    <row r="552" spans="1:4" x14ac:dyDescent="0.2">
      <c r="A552" s="23"/>
      <c r="D552" s="2"/>
    </row>
    <row r="553" spans="1:4" x14ac:dyDescent="0.2">
      <c r="A553" s="23"/>
      <c r="D553" s="2"/>
    </row>
    <row r="554" spans="1:4" x14ac:dyDescent="0.2">
      <c r="A554" s="23"/>
      <c r="D554" s="2"/>
    </row>
    <row r="555" spans="1:4" x14ac:dyDescent="0.2">
      <c r="A555" s="23"/>
      <c r="D555" s="2"/>
    </row>
    <row r="556" spans="1:4" x14ac:dyDescent="0.2">
      <c r="A556" s="23"/>
      <c r="D556" s="2"/>
    </row>
    <row r="557" spans="1:4" x14ac:dyDescent="0.2">
      <c r="A557" s="23"/>
      <c r="D557" s="2"/>
    </row>
    <row r="558" spans="1:4" x14ac:dyDescent="0.2">
      <c r="A558" s="30"/>
      <c r="D558" s="2"/>
    </row>
    <row r="559" spans="1:4" x14ac:dyDescent="0.2">
      <c r="A559" s="29"/>
      <c r="D559" s="2"/>
    </row>
    <row r="560" spans="1:4" x14ac:dyDescent="0.2">
      <c r="A560" s="30"/>
      <c r="D560" s="2"/>
    </row>
    <row r="561" spans="1:4" x14ac:dyDescent="0.2">
      <c r="A561" s="29"/>
      <c r="D561" s="2"/>
    </row>
    <row r="562" spans="1:4" x14ac:dyDescent="0.2">
      <c r="A562" s="29"/>
      <c r="D562" s="2"/>
    </row>
    <row r="563" spans="1:4" x14ac:dyDescent="0.2">
      <c r="A563" s="29"/>
      <c r="D563" s="2"/>
    </row>
    <row r="564" spans="1:4" x14ac:dyDescent="0.2">
      <c r="A564" s="23"/>
      <c r="D564" s="2"/>
    </row>
    <row r="565" spans="1:4" x14ac:dyDescent="0.2">
      <c r="A565" s="23"/>
      <c r="D565" s="2"/>
    </row>
    <row r="566" spans="1:4" x14ac:dyDescent="0.2">
      <c r="A566" s="23"/>
      <c r="D566" s="2"/>
    </row>
    <row r="567" spans="1:4" x14ac:dyDescent="0.2">
      <c r="A567" s="23"/>
      <c r="D567" s="2"/>
    </row>
    <row r="568" spans="1:4" x14ac:dyDescent="0.2">
      <c r="A568" s="23"/>
      <c r="D568" s="2"/>
    </row>
    <row r="569" spans="1:4" x14ac:dyDescent="0.2">
      <c r="A569" s="23"/>
      <c r="D569" s="2"/>
    </row>
    <row r="570" spans="1:4" x14ac:dyDescent="0.2">
      <c r="A570" s="23"/>
      <c r="D570" s="2"/>
    </row>
    <row r="571" spans="1:4" x14ac:dyDescent="0.2">
      <c r="A571" s="30"/>
      <c r="D571" s="2"/>
    </row>
    <row r="572" spans="1:4" x14ac:dyDescent="0.2">
      <c r="A572" s="23"/>
      <c r="D572" s="2"/>
    </row>
    <row r="573" spans="1:4" x14ac:dyDescent="0.2">
      <c r="A573" s="23"/>
      <c r="D573" s="2"/>
    </row>
    <row r="574" spans="1:4" x14ac:dyDescent="0.2">
      <c r="A574" s="23"/>
      <c r="D574" s="2"/>
    </row>
    <row r="575" spans="1:4" x14ac:dyDescent="0.2">
      <c r="A575" s="23"/>
      <c r="D575" s="2"/>
    </row>
    <row r="576" spans="1:4" x14ac:dyDescent="0.2">
      <c r="A576" s="23"/>
      <c r="D576" s="2"/>
    </row>
    <row r="577" spans="1:4" x14ac:dyDescent="0.2">
      <c r="A577" s="23"/>
      <c r="D577" s="2"/>
    </row>
    <row r="578" spans="1:4" x14ac:dyDescent="0.2">
      <c r="A578" s="23"/>
      <c r="D578" s="2"/>
    </row>
    <row r="579" spans="1:4" x14ac:dyDescent="0.2">
      <c r="A579" s="23"/>
      <c r="D579" s="2"/>
    </row>
    <row r="580" spans="1:4" x14ac:dyDescent="0.2">
      <c r="A580" s="23"/>
      <c r="D580" s="2"/>
    </row>
    <row r="581" spans="1:4" x14ac:dyDescent="0.2">
      <c r="A581" s="23"/>
      <c r="D581" s="2"/>
    </row>
    <row r="582" spans="1:4" x14ac:dyDescent="0.2">
      <c r="A582" s="23"/>
      <c r="D582" s="2"/>
    </row>
    <row r="583" spans="1:4" x14ac:dyDescent="0.2">
      <c r="A583" s="23"/>
      <c r="D583" s="2"/>
    </row>
    <row r="584" spans="1:4" x14ac:dyDescent="0.2">
      <c r="A584" s="23"/>
      <c r="D584" s="2"/>
    </row>
    <row r="585" spans="1:4" x14ac:dyDescent="0.2">
      <c r="A585" s="23"/>
      <c r="D585" s="2"/>
    </row>
    <row r="586" spans="1:4" x14ac:dyDescent="0.2">
      <c r="A586" s="23"/>
      <c r="D586" s="2"/>
    </row>
    <row r="587" spans="1:4" x14ac:dyDescent="0.2">
      <c r="A587" s="23"/>
      <c r="D587" s="2"/>
    </row>
    <row r="588" spans="1:4" x14ac:dyDescent="0.2">
      <c r="A588" s="23"/>
      <c r="D588" s="2"/>
    </row>
    <row r="589" spans="1:4" x14ac:dyDescent="0.2">
      <c r="A589" s="23"/>
      <c r="D589" s="2"/>
    </row>
    <row r="590" spans="1:4" x14ac:dyDescent="0.2">
      <c r="A590" s="23"/>
      <c r="D590" s="2"/>
    </row>
    <row r="591" spans="1:4" x14ac:dyDescent="0.2">
      <c r="A591" s="23"/>
      <c r="D591" s="2"/>
    </row>
    <row r="592" spans="1:4" x14ac:dyDescent="0.2">
      <c r="A592" s="23"/>
      <c r="D592" s="2"/>
    </row>
    <row r="593" spans="1:4" x14ac:dyDescent="0.2">
      <c r="A593" s="23"/>
      <c r="D593" s="2"/>
    </row>
    <row r="594" spans="1:4" x14ac:dyDescent="0.2">
      <c r="A594" s="23"/>
      <c r="D594" s="2"/>
    </row>
    <row r="595" spans="1:4" x14ac:dyDescent="0.2">
      <c r="A595" s="23"/>
      <c r="D595" s="2"/>
    </row>
    <row r="596" spans="1:4" x14ac:dyDescent="0.2">
      <c r="A596" s="23"/>
      <c r="D596" s="2"/>
    </row>
    <row r="597" spans="1:4" x14ac:dyDescent="0.2">
      <c r="A597" s="23"/>
      <c r="D597" s="2"/>
    </row>
    <row r="598" spans="1:4" x14ac:dyDescent="0.2">
      <c r="A598" s="23"/>
      <c r="D598" s="2"/>
    </row>
    <row r="599" spans="1:4" x14ac:dyDescent="0.2">
      <c r="A599" s="23"/>
      <c r="D599" s="2"/>
    </row>
    <row r="600" spans="1:4" x14ac:dyDescent="0.2">
      <c r="A600" s="23"/>
      <c r="D600" s="2"/>
    </row>
    <row r="601" spans="1:4" x14ac:dyDescent="0.2">
      <c r="A601" s="23"/>
      <c r="D601" s="2"/>
    </row>
    <row r="602" spans="1:4" x14ac:dyDescent="0.2">
      <c r="A602" s="23"/>
      <c r="D602" s="2"/>
    </row>
    <row r="603" spans="1:4" x14ac:dyDescent="0.2">
      <c r="A603" s="23"/>
      <c r="D603" s="2"/>
    </row>
    <row r="604" spans="1:4" x14ac:dyDescent="0.2">
      <c r="A604" s="23"/>
      <c r="D604" s="2"/>
    </row>
    <row r="605" spans="1:4" x14ac:dyDescent="0.2">
      <c r="A605" s="23"/>
      <c r="D605" s="2"/>
    </row>
    <row r="606" spans="1:4" x14ac:dyDescent="0.2">
      <c r="A606" s="23"/>
      <c r="D606" s="2"/>
    </row>
    <row r="607" spans="1:4" x14ac:dyDescent="0.2">
      <c r="A607" s="23"/>
      <c r="D607" s="2"/>
    </row>
    <row r="608" spans="1:4" x14ac:dyDescent="0.2">
      <c r="A608" s="23"/>
      <c r="D608" s="2"/>
    </row>
    <row r="609" spans="1:4" x14ac:dyDescent="0.2">
      <c r="A609" s="23"/>
      <c r="D609" s="2"/>
    </row>
    <row r="610" spans="1:4" x14ac:dyDescent="0.2">
      <c r="A610" s="23"/>
      <c r="D610" s="2"/>
    </row>
    <row r="611" spans="1:4" x14ac:dyDescent="0.2">
      <c r="A611" s="23"/>
      <c r="D611" s="2"/>
    </row>
    <row r="612" spans="1:4" x14ac:dyDescent="0.2">
      <c r="A612" s="23"/>
      <c r="D612" s="2"/>
    </row>
    <row r="613" spans="1:4" x14ac:dyDescent="0.2">
      <c r="A613" s="23"/>
      <c r="D613" s="2"/>
    </row>
    <row r="614" spans="1:4" x14ac:dyDescent="0.2">
      <c r="A614" s="23"/>
      <c r="D614" s="2"/>
    </row>
    <row r="615" spans="1:4" x14ac:dyDescent="0.2">
      <c r="A615" s="23"/>
      <c r="D615" s="2"/>
    </row>
    <row r="616" spans="1:4" x14ac:dyDescent="0.2">
      <c r="A616" s="23"/>
      <c r="D616" s="2"/>
    </row>
    <row r="617" spans="1:4" x14ac:dyDescent="0.2">
      <c r="A617" s="23"/>
      <c r="D617" s="2"/>
    </row>
    <row r="618" spans="1:4" x14ac:dyDescent="0.2">
      <c r="A618" s="23"/>
      <c r="D618" s="2"/>
    </row>
    <row r="619" spans="1:4" x14ac:dyDescent="0.2">
      <c r="A619" s="23"/>
      <c r="D619" s="2"/>
    </row>
    <row r="620" spans="1:4" x14ac:dyDescent="0.2">
      <c r="A620" s="23"/>
      <c r="D620" s="2"/>
    </row>
    <row r="621" spans="1:4" x14ac:dyDescent="0.2">
      <c r="A621" s="23"/>
      <c r="D621" s="2"/>
    </row>
    <row r="622" spans="1:4" x14ac:dyDescent="0.2">
      <c r="A622" s="23"/>
      <c r="D622" s="2"/>
    </row>
    <row r="623" spans="1:4" x14ac:dyDescent="0.2">
      <c r="A623" s="23"/>
      <c r="D623" s="2"/>
    </row>
    <row r="624" spans="1:4" x14ac:dyDescent="0.2">
      <c r="A624" s="23"/>
      <c r="D624" s="2"/>
    </row>
    <row r="625" spans="1:4" x14ac:dyDescent="0.2">
      <c r="A625" s="23"/>
      <c r="D625" s="2"/>
    </row>
    <row r="626" spans="1:4" x14ac:dyDescent="0.2">
      <c r="A626" s="23"/>
      <c r="D626" s="2"/>
    </row>
    <row r="627" spans="1:4" x14ac:dyDescent="0.2">
      <c r="A627" s="23"/>
      <c r="D627" s="2"/>
    </row>
    <row r="628" spans="1:4" x14ac:dyDescent="0.2">
      <c r="A628" s="23"/>
      <c r="D628" s="2"/>
    </row>
    <row r="629" spans="1:4" x14ac:dyDescent="0.2">
      <c r="A629" s="23"/>
      <c r="D629" s="2"/>
    </row>
    <row r="630" spans="1:4" x14ac:dyDescent="0.2">
      <c r="A630" s="23"/>
      <c r="D630" s="2"/>
    </row>
    <row r="631" spans="1:4" x14ac:dyDescent="0.2">
      <c r="A631" s="23"/>
      <c r="D631" s="2"/>
    </row>
    <row r="632" spans="1:4" x14ac:dyDescent="0.2">
      <c r="A632" s="23"/>
      <c r="D632" s="2"/>
    </row>
    <row r="633" spans="1:4" x14ac:dyDescent="0.2">
      <c r="A633" s="23"/>
      <c r="D633" s="2"/>
    </row>
    <row r="634" spans="1:4" x14ac:dyDescent="0.2">
      <c r="A634" s="23"/>
      <c r="D634" s="2"/>
    </row>
    <row r="635" spans="1:4" x14ac:dyDescent="0.2">
      <c r="A635" s="23"/>
      <c r="D635" s="2"/>
    </row>
    <row r="636" spans="1:4" x14ac:dyDescent="0.2">
      <c r="A636" s="23"/>
      <c r="D636" s="2"/>
    </row>
    <row r="637" spans="1:4" x14ac:dyDescent="0.2">
      <c r="A637" s="23"/>
      <c r="D637" s="2"/>
    </row>
    <row r="638" spans="1:4" x14ac:dyDescent="0.2">
      <c r="A638" s="23"/>
      <c r="D638" s="2"/>
    </row>
    <row r="639" spans="1:4" x14ac:dyDescent="0.2">
      <c r="A639" s="23"/>
      <c r="D639" s="2"/>
    </row>
    <row r="640" spans="1:4" x14ac:dyDescent="0.2">
      <c r="A640" s="23"/>
      <c r="D640" s="2"/>
    </row>
    <row r="641" spans="1:4" x14ac:dyDescent="0.2">
      <c r="A641" s="23"/>
      <c r="D641" s="2"/>
    </row>
    <row r="642" spans="1:4" x14ac:dyDescent="0.2">
      <c r="A642" s="23"/>
      <c r="D642" s="2"/>
    </row>
    <row r="643" spans="1:4" x14ac:dyDescent="0.2">
      <c r="A643" s="23"/>
      <c r="D643" s="2"/>
    </row>
    <row r="644" spans="1:4" x14ac:dyDescent="0.2">
      <c r="A644" s="23"/>
      <c r="D644" s="2"/>
    </row>
    <row r="645" spans="1:4" x14ac:dyDescent="0.2">
      <c r="A645" s="23"/>
      <c r="D645" s="2"/>
    </row>
    <row r="646" spans="1:4" x14ac:dyDescent="0.2">
      <c r="A646" s="23"/>
      <c r="D646" s="2"/>
    </row>
    <row r="647" spans="1:4" x14ac:dyDescent="0.2">
      <c r="A647" s="30"/>
      <c r="D647" s="2"/>
    </row>
    <row r="648" spans="1:4" x14ac:dyDescent="0.2">
      <c r="A648" s="23"/>
      <c r="D648" s="2"/>
    </row>
    <row r="649" spans="1:4" x14ac:dyDescent="0.2">
      <c r="A649" s="23"/>
      <c r="D649" s="2"/>
    </row>
    <row r="650" spans="1:4" x14ac:dyDescent="0.2">
      <c r="A650" s="23"/>
      <c r="D650" s="2"/>
    </row>
    <row r="651" spans="1:4" x14ac:dyDescent="0.2">
      <c r="A651" s="23"/>
      <c r="D651" s="2"/>
    </row>
    <row r="652" spans="1:4" x14ac:dyDescent="0.2">
      <c r="A652" s="23"/>
      <c r="D652" s="2"/>
    </row>
    <row r="653" spans="1:4" x14ac:dyDescent="0.2">
      <c r="A653" s="23"/>
      <c r="D653" s="2"/>
    </row>
    <row r="654" spans="1:4" x14ac:dyDescent="0.2">
      <c r="A654" s="23"/>
      <c r="D654" s="2"/>
    </row>
    <row r="655" spans="1:4" x14ac:dyDescent="0.2">
      <c r="A655" s="23"/>
      <c r="D655" s="2"/>
    </row>
    <row r="656" spans="1:4" x14ac:dyDescent="0.2">
      <c r="A656" s="30"/>
      <c r="D656" s="2"/>
    </row>
    <row r="657" spans="1:4" x14ac:dyDescent="0.2">
      <c r="A657" s="29"/>
      <c r="D657" s="2"/>
    </row>
    <row r="658" spans="1:4" x14ac:dyDescent="0.2">
      <c r="A658" s="29"/>
      <c r="D658" s="2"/>
    </row>
    <row r="659" spans="1:4" x14ac:dyDescent="0.2">
      <c r="A659" s="29"/>
      <c r="D659" s="2"/>
    </row>
    <row r="660" spans="1:4" x14ac:dyDescent="0.2">
      <c r="A660" s="29"/>
      <c r="D660" s="2"/>
    </row>
    <row r="661" spans="1:4" x14ac:dyDescent="0.2">
      <c r="A661" s="29"/>
      <c r="D661" s="2"/>
    </row>
    <row r="662" spans="1:4" x14ac:dyDescent="0.2">
      <c r="D662" s="2"/>
    </row>
    <row r="663" spans="1:4" x14ac:dyDescent="0.2">
      <c r="D663" s="2"/>
    </row>
    <row r="664" spans="1:4" x14ac:dyDescent="0.2">
      <c r="D664" s="2"/>
    </row>
    <row r="665" spans="1:4" x14ac:dyDescent="0.2">
      <c r="D665" s="2"/>
    </row>
    <row r="666" spans="1:4" x14ac:dyDescent="0.2">
      <c r="D666" s="2"/>
    </row>
    <row r="667" spans="1:4" x14ac:dyDescent="0.2">
      <c r="A667" s="31"/>
      <c r="D667" s="2"/>
    </row>
    <row r="668" spans="1:4" x14ac:dyDescent="0.2">
      <c r="A668" s="31"/>
      <c r="D668" s="2"/>
    </row>
    <row r="669" spans="1:4" x14ac:dyDescent="0.2">
      <c r="A669" s="31"/>
      <c r="D669" s="2"/>
    </row>
    <row r="670" spans="1:4" x14ac:dyDescent="0.2">
      <c r="A670" s="31"/>
      <c r="D670" s="2"/>
    </row>
    <row r="671" spans="1:4" x14ac:dyDescent="0.2">
      <c r="A671" s="31"/>
      <c r="D671" s="2"/>
    </row>
    <row r="672" spans="1:4" x14ac:dyDescent="0.2">
      <c r="A672" s="31"/>
      <c r="D672" s="2"/>
    </row>
    <row r="673" spans="1:4" x14ac:dyDescent="0.2">
      <c r="A673" s="31"/>
      <c r="D673" s="2"/>
    </row>
    <row r="674" spans="1:4" x14ac:dyDescent="0.2">
      <c r="A674" s="31"/>
      <c r="D674" s="2"/>
    </row>
    <row r="675" spans="1:4" x14ac:dyDescent="0.2">
      <c r="A675" s="31"/>
      <c r="D675" s="2"/>
    </row>
    <row r="676" spans="1:4" x14ac:dyDescent="0.2">
      <c r="A676" s="31"/>
      <c r="D676" s="2"/>
    </row>
    <row r="677" spans="1:4" x14ac:dyDescent="0.2">
      <c r="A677" s="31"/>
      <c r="D677" s="2"/>
    </row>
    <row r="678" spans="1:4" x14ac:dyDescent="0.2">
      <c r="A678" s="31"/>
      <c r="D678" s="2"/>
    </row>
    <row r="679" spans="1:4" x14ac:dyDescent="0.2">
      <c r="A679" s="31"/>
      <c r="D679" s="2"/>
    </row>
    <row r="680" spans="1:4" x14ac:dyDescent="0.2">
      <c r="A680" s="31"/>
      <c r="D680" s="2"/>
    </row>
    <row r="681" spans="1:4" x14ac:dyDescent="0.2">
      <c r="A681" s="31"/>
      <c r="D681" s="2"/>
    </row>
    <row r="682" spans="1:4" x14ac:dyDescent="0.2">
      <c r="A682" s="31"/>
      <c r="D682" s="2"/>
    </row>
    <row r="683" spans="1:4" x14ac:dyDescent="0.2">
      <c r="A683" s="31"/>
      <c r="D683" s="2"/>
    </row>
    <row r="684" spans="1:4" x14ac:dyDescent="0.2">
      <c r="A684" s="31"/>
      <c r="D684" s="2"/>
    </row>
    <row r="685" spans="1:4" x14ac:dyDescent="0.2">
      <c r="A685" s="31"/>
      <c r="D685" s="2"/>
    </row>
    <row r="686" spans="1:4" x14ac:dyDescent="0.2">
      <c r="A686" s="31"/>
      <c r="D686" s="2"/>
    </row>
    <row r="687" spans="1:4" x14ac:dyDescent="0.2">
      <c r="A687" s="31"/>
      <c r="D687" s="2"/>
    </row>
    <row r="688" spans="1:4" x14ac:dyDescent="0.2">
      <c r="A688" s="31"/>
      <c r="D688" s="2"/>
    </row>
    <row r="689" spans="1:4" x14ac:dyDescent="0.2">
      <c r="A689" s="31"/>
      <c r="D689" s="2"/>
    </row>
    <row r="690" spans="1:4" x14ac:dyDescent="0.2">
      <c r="A690" s="31"/>
      <c r="D690" s="2"/>
    </row>
    <row r="691" spans="1:4" x14ac:dyDescent="0.2">
      <c r="A691" s="31"/>
      <c r="D691" s="2"/>
    </row>
    <row r="692" spans="1:4" x14ac:dyDescent="0.2">
      <c r="A692" s="31"/>
      <c r="D692" s="2"/>
    </row>
    <row r="693" spans="1:4" x14ac:dyDescent="0.2">
      <c r="A693" s="31"/>
      <c r="D693" s="2"/>
    </row>
    <row r="694" spans="1:4" x14ac:dyDescent="0.2">
      <c r="A694" s="31"/>
      <c r="D694" s="2"/>
    </row>
    <row r="695" spans="1:4" x14ac:dyDescent="0.2">
      <c r="A695" s="31"/>
      <c r="D695" s="2"/>
    </row>
    <row r="696" spans="1:4" x14ac:dyDescent="0.2">
      <c r="A696" s="31"/>
      <c r="D696" s="2"/>
    </row>
    <row r="697" spans="1:4" x14ac:dyDescent="0.2">
      <c r="A697" s="31"/>
      <c r="D697" s="2"/>
    </row>
    <row r="698" spans="1:4" x14ac:dyDescent="0.2">
      <c r="A698" s="31"/>
      <c r="D698" s="2"/>
    </row>
    <row r="699" spans="1:4" x14ac:dyDescent="0.2">
      <c r="A699" s="31"/>
      <c r="D699" s="2"/>
    </row>
    <row r="700" spans="1:4" x14ac:dyDescent="0.2">
      <c r="A700" s="31"/>
      <c r="D700" s="2"/>
    </row>
    <row r="701" spans="1:4" x14ac:dyDescent="0.2">
      <c r="A701" s="31"/>
      <c r="D701" s="2"/>
    </row>
    <row r="702" spans="1:4" x14ac:dyDescent="0.2">
      <c r="A702" s="31"/>
      <c r="D702" s="2"/>
    </row>
    <row r="703" spans="1:4" x14ac:dyDescent="0.2">
      <c r="A703" s="31"/>
      <c r="D703" s="2"/>
    </row>
    <row r="704" spans="1:4" x14ac:dyDescent="0.2">
      <c r="A704" s="31"/>
      <c r="D704" s="2"/>
    </row>
    <row r="705" spans="1:4" x14ac:dyDescent="0.2">
      <c r="A705" s="31"/>
      <c r="D705" s="2"/>
    </row>
    <row r="706" spans="1:4" x14ac:dyDescent="0.2">
      <c r="A706" s="31"/>
      <c r="D706" s="2"/>
    </row>
    <row r="707" spans="1:4" x14ac:dyDescent="0.2">
      <c r="A707" s="31"/>
      <c r="D707" s="2"/>
    </row>
    <row r="708" spans="1:4" x14ac:dyDescent="0.2">
      <c r="A708" s="31"/>
      <c r="D708" s="2"/>
    </row>
    <row r="709" spans="1:4" x14ac:dyDescent="0.2">
      <c r="A709" s="31"/>
      <c r="D709" s="2"/>
    </row>
    <row r="710" spans="1:4" x14ac:dyDescent="0.2">
      <c r="A710" s="31"/>
      <c r="D710" s="2"/>
    </row>
    <row r="711" spans="1:4" x14ac:dyDescent="0.2">
      <c r="A711" s="31"/>
      <c r="D711" s="2"/>
    </row>
    <row r="712" spans="1:4" x14ac:dyDescent="0.2">
      <c r="A712" s="31"/>
      <c r="D712" s="2"/>
    </row>
    <row r="713" spans="1:4" x14ac:dyDescent="0.2">
      <c r="A713" s="31"/>
      <c r="D713" s="2"/>
    </row>
    <row r="714" spans="1:4" x14ac:dyDescent="0.2">
      <c r="A714" s="31"/>
      <c r="D714" s="2"/>
    </row>
    <row r="715" spans="1:4" x14ac:dyDescent="0.2">
      <c r="A715" s="31"/>
      <c r="D715" s="2"/>
    </row>
    <row r="716" spans="1:4" x14ac:dyDescent="0.2">
      <c r="A716" s="31"/>
      <c r="D716" s="2"/>
    </row>
    <row r="717" spans="1:4" x14ac:dyDescent="0.2">
      <c r="A717" s="31"/>
      <c r="D717" s="2"/>
    </row>
    <row r="718" spans="1:4" x14ac:dyDescent="0.2">
      <c r="A718" s="31"/>
      <c r="D718" s="2"/>
    </row>
    <row r="719" spans="1:4" x14ac:dyDescent="0.2">
      <c r="A719" s="31"/>
      <c r="D719" s="2"/>
    </row>
    <row r="720" spans="1:4" x14ac:dyDescent="0.2">
      <c r="A720" s="31"/>
      <c r="D720" s="2"/>
    </row>
    <row r="721" spans="1:4" x14ac:dyDescent="0.2">
      <c r="A721" s="31"/>
      <c r="D721" s="2"/>
    </row>
    <row r="722" spans="1:4" x14ac:dyDescent="0.2">
      <c r="A722" s="31"/>
      <c r="D722" s="2"/>
    </row>
    <row r="723" spans="1:4" x14ac:dyDescent="0.2">
      <c r="A723" s="31"/>
      <c r="D723" s="2"/>
    </row>
    <row r="724" spans="1:4" x14ac:dyDescent="0.2">
      <c r="A724" s="31"/>
      <c r="D724" s="2"/>
    </row>
    <row r="725" spans="1:4" x14ac:dyDescent="0.2">
      <c r="A725" s="31"/>
      <c r="D725" s="2"/>
    </row>
    <row r="726" spans="1:4" x14ac:dyDescent="0.2">
      <c r="A726" s="31"/>
      <c r="D726" s="2"/>
    </row>
    <row r="727" spans="1:4" x14ac:dyDescent="0.2">
      <c r="A727" s="31"/>
      <c r="D727" s="2"/>
    </row>
    <row r="728" spans="1:4" x14ac:dyDescent="0.2">
      <c r="A728" s="31"/>
      <c r="D728" s="2"/>
    </row>
    <row r="729" spans="1:4" x14ac:dyDescent="0.2">
      <c r="A729" s="31"/>
      <c r="D729" s="2"/>
    </row>
    <row r="730" spans="1:4" x14ac:dyDescent="0.2">
      <c r="A730" s="31"/>
      <c r="D730" s="2"/>
    </row>
    <row r="731" spans="1:4" x14ac:dyDescent="0.2">
      <c r="A731" s="31"/>
      <c r="D731" s="2"/>
    </row>
    <row r="732" spans="1:4" x14ac:dyDescent="0.2">
      <c r="A732" s="31"/>
      <c r="D732" s="2"/>
    </row>
    <row r="733" spans="1:4" x14ac:dyDescent="0.2">
      <c r="A733" s="31"/>
      <c r="D733" s="2"/>
    </row>
    <row r="734" spans="1:4" x14ac:dyDescent="0.2">
      <c r="A734" s="31"/>
      <c r="D734" s="2"/>
    </row>
    <row r="735" spans="1:4" x14ac:dyDescent="0.2">
      <c r="A735" s="31"/>
      <c r="D735" s="2"/>
    </row>
    <row r="736" spans="1:4" x14ac:dyDescent="0.2">
      <c r="A736" s="31"/>
      <c r="D736" s="2"/>
    </row>
    <row r="737" spans="1:4" x14ac:dyDescent="0.2">
      <c r="A737" s="31"/>
      <c r="D737" s="2"/>
    </row>
    <row r="738" spans="1:4" x14ac:dyDescent="0.2">
      <c r="A738" s="31"/>
      <c r="D738" s="2"/>
    </row>
    <row r="739" spans="1:4" x14ac:dyDescent="0.2">
      <c r="A739" s="31"/>
      <c r="D739" s="2"/>
    </row>
    <row r="740" spans="1:4" x14ac:dyDescent="0.2">
      <c r="D740" s="2"/>
    </row>
    <row r="741" spans="1:4" x14ac:dyDescent="0.2">
      <c r="A741" s="31"/>
      <c r="D741" s="2"/>
    </row>
    <row r="742" spans="1:4" x14ac:dyDescent="0.2">
      <c r="D742" s="2"/>
    </row>
    <row r="743" spans="1:4" x14ac:dyDescent="0.2">
      <c r="D743" s="2"/>
    </row>
    <row r="744" spans="1:4" x14ac:dyDescent="0.2">
      <c r="A744" s="31"/>
      <c r="D744" s="2"/>
    </row>
    <row r="745" spans="1:4" x14ac:dyDescent="0.2">
      <c r="A745" s="31"/>
      <c r="D745" s="2"/>
    </row>
    <row r="746" spans="1:4" x14ac:dyDescent="0.2">
      <c r="A746" s="31"/>
      <c r="D746" s="2"/>
    </row>
    <row r="747" spans="1:4" x14ac:dyDescent="0.2">
      <c r="A747" s="31"/>
      <c r="D747" s="2"/>
    </row>
    <row r="748" spans="1:4" x14ac:dyDescent="0.2">
      <c r="A748" s="31"/>
      <c r="D748" s="2"/>
    </row>
    <row r="749" spans="1:4" x14ac:dyDescent="0.2">
      <c r="A749" s="31"/>
      <c r="D749" s="2"/>
    </row>
    <row r="750" spans="1:4" x14ac:dyDescent="0.2">
      <c r="A750" s="31"/>
      <c r="D750" s="2"/>
    </row>
    <row r="751" spans="1:4" x14ac:dyDescent="0.2">
      <c r="A751" s="31"/>
      <c r="D751" s="2"/>
    </row>
    <row r="752" spans="1:4" x14ac:dyDescent="0.2">
      <c r="A752" s="31"/>
      <c r="D752" s="2"/>
    </row>
    <row r="753" spans="1:4" x14ac:dyDescent="0.2">
      <c r="A753" s="31"/>
      <c r="D753" s="2"/>
    </row>
    <row r="754" spans="1:4" x14ac:dyDescent="0.2">
      <c r="D754" s="2"/>
    </row>
    <row r="755" spans="1:4" x14ac:dyDescent="0.2">
      <c r="D755" s="2"/>
    </row>
    <row r="756" spans="1:4" x14ac:dyDescent="0.2">
      <c r="A756" s="31"/>
      <c r="D756" s="2"/>
    </row>
    <row r="757" spans="1:4" x14ac:dyDescent="0.2">
      <c r="A757" s="31"/>
      <c r="D757" s="2"/>
    </row>
    <row r="758" spans="1:4" x14ac:dyDescent="0.2">
      <c r="A758" s="31"/>
      <c r="D758" s="2"/>
    </row>
    <row r="759" spans="1:4" x14ac:dyDescent="0.2">
      <c r="A759" s="31"/>
      <c r="D759" s="2"/>
    </row>
    <row r="760" spans="1:4" x14ac:dyDescent="0.2">
      <c r="A760" s="31"/>
      <c r="D760" s="2"/>
    </row>
    <row r="761" spans="1:4" x14ac:dyDescent="0.2">
      <c r="A761" s="31"/>
      <c r="D761" s="2"/>
    </row>
    <row r="762" spans="1:4" x14ac:dyDescent="0.2">
      <c r="A762" s="31"/>
      <c r="D762" s="2"/>
    </row>
    <row r="763" spans="1:4" x14ac:dyDescent="0.2">
      <c r="A763" s="31"/>
      <c r="D763" s="2"/>
    </row>
    <row r="764" spans="1:4" x14ac:dyDescent="0.2">
      <c r="A764" s="31"/>
      <c r="D764" s="2"/>
    </row>
    <row r="765" spans="1:4" x14ac:dyDescent="0.2">
      <c r="A765" s="31"/>
      <c r="D765" s="2"/>
    </row>
    <row r="766" spans="1:4" x14ac:dyDescent="0.2">
      <c r="A766" s="31"/>
      <c r="D766" s="2"/>
    </row>
    <row r="767" spans="1:4" x14ac:dyDescent="0.2">
      <c r="D767" s="2"/>
    </row>
    <row r="768" spans="1:4" x14ac:dyDescent="0.2">
      <c r="A768" s="31"/>
      <c r="D768" s="2"/>
    </row>
    <row r="769" spans="1:4" x14ac:dyDescent="0.2">
      <c r="A769" s="31"/>
      <c r="D769" s="2"/>
    </row>
    <row r="770" spans="1:4" x14ac:dyDescent="0.2">
      <c r="A770" s="31"/>
      <c r="D770" s="2"/>
    </row>
    <row r="771" spans="1:4" x14ac:dyDescent="0.2">
      <c r="A771" s="31"/>
      <c r="D771" s="2"/>
    </row>
    <row r="772" spans="1:4" x14ac:dyDescent="0.2">
      <c r="D772" s="2"/>
    </row>
    <row r="773" spans="1:4" x14ac:dyDescent="0.2">
      <c r="D773" s="2"/>
    </row>
    <row r="774" spans="1:4" x14ac:dyDescent="0.2">
      <c r="D774" s="2"/>
    </row>
    <row r="775" spans="1:4" x14ac:dyDescent="0.2">
      <c r="A775" s="31"/>
      <c r="D775" s="2"/>
    </row>
    <row r="776" spans="1:4" x14ac:dyDescent="0.2">
      <c r="A776" s="31"/>
      <c r="D776" s="2"/>
    </row>
    <row r="777" spans="1:4" x14ac:dyDescent="0.2">
      <c r="A777" s="31"/>
      <c r="D777" s="2"/>
    </row>
    <row r="778" spans="1:4" x14ac:dyDescent="0.2">
      <c r="A778" s="31"/>
      <c r="D778" s="2"/>
    </row>
    <row r="779" spans="1:4" x14ac:dyDescent="0.2">
      <c r="A779" s="31"/>
      <c r="D779" s="2"/>
    </row>
    <row r="780" spans="1:4" x14ac:dyDescent="0.2">
      <c r="A780" s="31"/>
      <c r="D780" s="2"/>
    </row>
    <row r="781" spans="1:4" x14ac:dyDescent="0.2">
      <c r="A781" s="31"/>
      <c r="D781" s="2"/>
    </row>
    <row r="782" spans="1:4" x14ac:dyDescent="0.2">
      <c r="D782" s="2"/>
    </row>
    <row r="783" spans="1:4" x14ac:dyDescent="0.2">
      <c r="A783" s="31"/>
      <c r="D783" s="2"/>
    </row>
    <row r="784" spans="1:4" x14ac:dyDescent="0.2">
      <c r="D784" s="2"/>
    </row>
    <row r="785" spans="1:4" x14ac:dyDescent="0.2">
      <c r="A785" s="31"/>
      <c r="D785" s="2"/>
    </row>
    <row r="786" spans="1:4" x14ac:dyDescent="0.2">
      <c r="A786" s="31"/>
      <c r="D786" s="2"/>
    </row>
    <row r="787" spans="1:4" x14ac:dyDescent="0.2">
      <c r="A787" s="31"/>
      <c r="D787" s="2"/>
    </row>
    <row r="788" spans="1:4" x14ac:dyDescent="0.2">
      <c r="A788" s="31"/>
      <c r="D788" s="2"/>
    </row>
    <row r="789" spans="1:4" x14ac:dyDescent="0.2">
      <c r="A789" s="31"/>
      <c r="D789" s="2"/>
    </row>
    <row r="790" spans="1:4" x14ac:dyDescent="0.2">
      <c r="A790" s="31"/>
      <c r="D790" s="2"/>
    </row>
    <row r="791" spans="1:4" x14ac:dyDescent="0.2">
      <c r="A791" s="31"/>
      <c r="D791" s="2"/>
    </row>
    <row r="792" spans="1:4" x14ac:dyDescent="0.2">
      <c r="A792" s="31"/>
      <c r="D792" s="2"/>
    </row>
    <row r="793" spans="1:4" x14ac:dyDescent="0.2">
      <c r="A793" s="31"/>
      <c r="D793" s="2"/>
    </row>
    <row r="794" spans="1:4" x14ac:dyDescent="0.2">
      <c r="A794" s="31"/>
      <c r="D794" s="2"/>
    </row>
    <row r="795" spans="1:4" x14ac:dyDescent="0.2">
      <c r="A795" s="31"/>
      <c r="D795" s="2"/>
    </row>
    <row r="796" spans="1:4" x14ac:dyDescent="0.2">
      <c r="D79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83B20-ECF8-4E4A-BEEB-E11119F3A0F4}">
  <sheetPr>
    <tabColor theme="7"/>
  </sheetPr>
  <dimension ref="A1:J24"/>
  <sheetViews>
    <sheetView workbookViewId="0">
      <selection activeCell="F24" sqref="F24"/>
    </sheetView>
  </sheetViews>
  <sheetFormatPr baseColWidth="10" defaultRowHeight="16" x14ac:dyDescent="0.2"/>
  <cols>
    <col min="1" max="1" width="30.1640625" bestFit="1" customWidth="1"/>
    <col min="2" max="2" width="17.5" bestFit="1" customWidth="1"/>
    <col min="3" max="8" width="10.83203125" style="2"/>
    <col min="9" max="9" width="28.83203125" bestFit="1" customWidth="1"/>
  </cols>
  <sheetData>
    <row r="1" spans="1:10" s="6" customFormat="1" x14ac:dyDescent="0.2">
      <c r="A1" s="6" t="s">
        <v>781</v>
      </c>
      <c r="B1" s="6" t="s">
        <v>2083</v>
      </c>
      <c r="C1" s="4" t="s">
        <v>2074</v>
      </c>
      <c r="D1" s="4" t="s">
        <v>777</v>
      </c>
      <c r="E1" s="4" t="s">
        <v>778</v>
      </c>
      <c r="F1" s="4" t="s">
        <v>779</v>
      </c>
      <c r="G1" s="4" t="s">
        <v>780</v>
      </c>
      <c r="H1" s="4" t="s">
        <v>2837</v>
      </c>
      <c r="I1" s="6" t="s">
        <v>2081</v>
      </c>
      <c r="J1" s="6" t="s">
        <v>2075</v>
      </c>
    </row>
    <row r="2" spans="1:10" x14ac:dyDescent="0.2">
      <c r="A2" s="7" t="s">
        <v>4222</v>
      </c>
      <c r="B2" t="s">
        <v>1668</v>
      </c>
      <c r="C2" s="2">
        <v>0</v>
      </c>
      <c r="D2" s="2" t="s">
        <v>783</v>
      </c>
      <c r="E2" s="2">
        <v>453</v>
      </c>
      <c r="F2" s="2">
        <v>-1313</v>
      </c>
      <c r="G2" s="2">
        <v>1535</v>
      </c>
      <c r="H2" s="2">
        <v>0</v>
      </c>
      <c r="I2" t="s">
        <v>4245</v>
      </c>
      <c r="J2" t="str">
        <f>"{ name: "&amp;CHAR(34)&amp;A2&amp;CHAR(34)&amp;", landmark: "&amp;CHAR(34)&amp;"Main Quest"&amp;CHAR(34)&amp;", type: "&amp;CHAR(34)&amp;B2&amp;CHAR(34)&amp;", region: "&amp;C2&amp;", level: "&amp;CHAR(34)&amp;D2&amp;CHAR(34)&amp;", x: "&amp;E2&amp;", y: "&amp;F2&amp;", z: "&amp;G2&amp;", weight: "&amp;H2&amp;", details: "&amp;CHAR(34)&amp;I2&amp;CHAR(34)&amp;" },"</f>
        <v>{ name: "Find Princess Zelda", landmark: "Main Quest", type: "Temple of Time", region: 0, level: "Sky", x: 453, y: -1313, z: 1535, weight: 0, details: "Talk to Steward Construct" },</v>
      </c>
    </row>
    <row r="3" spans="1:10" x14ac:dyDescent="0.2">
      <c r="A3" s="7" t="s">
        <v>4223</v>
      </c>
      <c r="B3" t="s">
        <v>1668</v>
      </c>
      <c r="C3" s="2">
        <v>0</v>
      </c>
      <c r="D3" s="2" t="s">
        <v>783</v>
      </c>
      <c r="E3" s="2">
        <v>453</v>
      </c>
      <c r="F3" s="2">
        <v>-859</v>
      </c>
      <c r="G3" s="2">
        <v>1450</v>
      </c>
      <c r="H3" s="2">
        <v>0</v>
      </c>
      <c r="I3" t="s">
        <v>4246</v>
      </c>
      <c r="J3" t="str">
        <f>"{ name: "&amp;CHAR(34)&amp;A3&amp;CHAR(34)&amp;", landmark: "&amp;CHAR(34)&amp;"Main Quest"&amp;CHAR(34)&amp;", type: "&amp;CHAR(34)&amp;B3&amp;CHAR(34)&amp;", region: "&amp;C3&amp;", level: "&amp;CHAR(34)&amp;D3&amp;CHAR(34)&amp;", x: "&amp;E3&amp;", y: "&amp;F3&amp;", z: "&amp;G3&amp;", weight: "&amp;H3&amp;", details: "&amp;CHAR(34)&amp;I3&amp;CHAR(34)&amp;" },"</f>
        <v>{ name: "The Closed Door", landmark: "Main Quest", type: "Temple of Time", region: 0, level: "Sky", x: 453, y: -859, z: 1450, weight: 0, details: "Talk to Rauru" },</v>
      </c>
    </row>
    <row r="4" spans="1:10" x14ac:dyDescent="0.2">
      <c r="A4" s="7" t="s">
        <v>4224</v>
      </c>
      <c r="B4" t="s">
        <v>1668</v>
      </c>
      <c r="C4" s="2">
        <v>0</v>
      </c>
      <c r="D4" s="2" t="s">
        <v>783</v>
      </c>
      <c r="E4" s="2">
        <v>444</v>
      </c>
      <c r="F4" s="2">
        <v>-631</v>
      </c>
      <c r="G4" s="2">
        <v>1472</v>
      </c>
      <c r="H4" s="2">
        <v>0</v>
      </c>
      <c r="I4" t="s">
        <v>4247</v>
      </c>
      <c r="J4" t="str">
        <f>"{ name: "&amp;CHAR(34)&amp;A4&amp;CHAR(34)&amp;", landmark: "&amp;CHAR(34)&amp;"Main Quest"&amp;CHAR(34)&amp;", type: "&amp;CHAR(34)&amp;B4&amp;CHAR(34)&amp;", region: "&amp;C4&amp;", level: "&amp;CHAR(34)&amp;D4&amp;CHAR(34)&amp;", x: "&amp;E4&amp;", y: "&amp;F4&amp;", z: "&amp;G4&amp;", weight: "&amp;H4&amp;", details: "&amp;CHAR(34)&amp;I4&amp;CHAR(34)&amp;" },"</f>
        <v>{ name: "To the Kingdom of Hyrule", landmark: "Main Quest", type: "Temple of Time", region: 0, level: "Sky", x: 444, y: -631, z: 1472, weight: 0, details: "Talk to Zelda's Voice" },</v>
      </c>
    </row>
    <row r="5" spans="1:10" x14ac:dyDescent="0.2">
      <c r="A5" s="7" t="s">
        <v>4241</v>
      </c>
      <c r="B5" t="s">
        <v>795</v>
      </c>
      <c r="C5" s="2">
        <v>13</v>
      </c>
      <c r="D5" s="2" t="s">
        <v>783</v>
      </c>
      <c r="E5" s="2">
        <v>1363</v>
      </c>
      <c r="F5" s="2">
        <v>-3263</v>
      </c>
      <c r="G5" s="2">
        <v>431</v>
      </c>
      <c r="H5" s="2">
        <v>0</v>
      </c>
      <c r="I5" t="s">
        <v>4258</v>
      </c>
      <c r="J5" t="str">
        <f>"{ name: "&amp;CHAR(34)&amp;A5&amp;CHAR(34)&amp;", landmark: "&amp;CHAR(34)&amp;"Main Quest"&amp;CHAR(34)&amp;", type: "&amp;CHAR(34)&amp;B5&amp;CHAR(34)&amp;", region: "&amp;C5&amp;", level: "&amp;CHAR(34)&amp;D5&amp;CHAR(34)&amp;", x: "&amp;E5&amp;", y: "&amp;F5&amp;", z: "&amp;G5&amp;", weight: "&amp;H5&amp;", details: "&amp;CHAR(34)&amp;I5&amp;CHAR(34)&amp;" },"</f>
        <v>{ name: "Guidance from Ages Past", landmark: "Main Quest", type: "Dragonhead Island", region: 13, level: "Sky", x: 1363, y: -3263, z: 431, weight: 0, details: "Talk to Zonai Relic" },</v>
      </c>
    </row>
    <row r="6" spans="1:10" x14ac:dyDescent="0.2">
      <c r="A6" s="7" t="s">
        <v>4225</v>
      </c>
      <c r="B6" t="s">
        <v>1441</v>
      </c>
      <c r="C6" s="2">
        <v>1</v>
      </c>
      <c r="D6" s="2" t="s">
        <v>785</v>
      </c>
      <c r="E6" s="2">
        <v>-271</v>
      </c>
      <c r="F6" s="2">
        <v>153</v>
      </c>
      <c r="G6" s="2">
        <v>26</v>
      </c>
      <c r="H6" s="2">
        <v>0</v>
      </c>
      <c r="I6" t="s">
        <v>4248</v>
      </c>
      <c r="J6" t="str">
        <f>"{ name: "&amp;CHAR(34)&amp;A6&amp;CHAR(34)&amp;", landmark: "&amp;CHAR(34)&amp;"Main Quest"&amp;CHAR(34)&amp;", type: "&amp;CHAR(34)&amp;B6&amp;CHAR(34)&amp;", region: "&amp;C6&amp;", level: "&amp;CHAR(34)&amp;D6&amp;CHAR(34)&amp;", x: "&amp;E6&amp;", y: "&amp;F6&amp;", z: "&amp;G6&amp;", weight: "&amp;H6&amp;", details: "&amp;CHAR(34)&amp;I6&amp;CHAR(34)&amp;" },"</f>
        <v>{ name: "Crisis at Hyrule Castle", landmark: "Main Quest", type: "Lookout Landing", region: 1, level: "Surface", x: -271, y: 153, z: 26, weight: 0, details: "Talk to Purah" },</v>
      </c>
    </row>
    <row r="7" spans="1:10" x14ac:dyDescent="0.2">
      <c r="A7" s="7" t="s">
        <v>4226</v>
      </c>
      <c r="B7" t="s">
        <v>1441</v>
      </c>
      <c r="C7" s="2">
        <v>1</v>
      </c>
      <c r="D7" s="2" t="s">
        <v>785</v>
      </c>
      <c r="E7" s="2">
        <v>-259</v>
      </c>
      <c r="F7" s="2">
        <v>153</v>
      </c>
      <c r="G7" s="2">
        <v>26</v>
      </c>
      <c r="H7" s="2">
        <v>0</v>
      </c>
      <c r="I7" t="s">
        <v>4248</v>
      </c>
      <c r="J7" t="str">
        <f>"{ name: "&amp;CHAR(34)&amp;A7&amp;CHAR(34)&amp;", landmark: "&amp;CHAR(34)&amp;"Main Quest"&amp;CHAR(34)&amp;", type: "&amp;CHAR(34)&amp;B7&amp;CHAR(34)&amp;", region: "&amp;C7&amp;", level: "&amp;CHAR(34)&amp;D7&amp;CHAR(34)&amp;", x: "&amp;E7&amp;", y: "&amp;F7&amp;", z: "&amp;G7&amp;", weight: "&amp;H7&amp;", details: "&amp;CHAR(34)&amp;I7&amp;CHAR(34)&amp;" },"</f>
        <v>{ name: "Regional Phenomena", landmark: "Main Quest", type: "Lookout Landing", region: 1, level: "Surface", x: -259, y: 153, z: 26, weight: 0, details: "Talk to Purah" },</v>
      </c>
    </row>
    <row r="8" spans="1:10" x14ac:dyDescent="0.2">
      <c r="A8" s="7" t="s">
        <v>4227</v>
      </c>
      <c r="B8" t="s">
        <v>1441</v>
      </c>
      <c r="C8" s="2">
        <v>1</v>
      </c>
      <c r="D8" s="2" t="s">
        <v>785</v>
      </c>
      <c r="E8" s="2">
        <v>-252</v>
      </c>
      <c r="F8" s="2">
        <v>146</v>
      </c>
      <c r="G8" s="2">
        <v>20</v>
      </c>
      <c r="H8" s="2">
        <v>0</v>
      </c>
      <c r="I8" t="s">
        <v>4249</v>
      </c>
      <c r="J8" t="str">
        <f>"{ name: "&amp;CHAR(34)&amp;A8&amp;CHAR(34)&amp;", landmark: "&amp;CHAR(34)&amp;"Main Quest"&amp;CHAR(34)&amp;", type: "&amp;CHAR(34)&amp;B8&amp;CHAR(34)&amp;", region: "&amp;C8&amp;", level: "&amp;CHAR(34)&amp;D8&amp;CHAR(34)&amp;", x: "&amp;E8&amp;", y: "&amp;F8&amp;", z: "&amp;G8&amp;", weight: "&amp;H8&amp;", details: "&amp;CHAR(34)&amp;I8&amp;CHAR(34)&amp;" },"</f>
        <v>{ name: "Camera Work in the Depths", landmark: "Main Quest", type: "Lookout Landing", region: 1, level: "Surface", x: -252, y: 146, z: 20, weight: 0, details: "Talk to Josha" },</v>
      </c>
    </row>
    <row r="9" spans="1:10" x14ac:dyDescent="0.2">
      <c r="A9" s="7" t="s">
        <v>4230</v>
      </c>
      <c r="B9" t="s">
        <v>1441</v>
      </c>
      <c r="C9" s="2">
        <v>1</v>
      </c>
      <c r="D9" s="2" t="s">
        <v>785</v>
      </c>
      <c r="E9" s="2">
        <v>-255</v>
      </c>
      <c r="F9" s="2">
        <v>138</v>
      </c>
      <c r="G9" s="2">
        <v>19</v>
      </c>
      <c r="H9" s="2">
        <v>0</v>
      </c>
      <c r="I9" t="s">
        <v>4249</v>
      </c>
      <c r="J9" t="str">
        <f>"{ name: "&amp;CHAR(34)&amp;A9&amp;CHAR(34)&amp;", landmark: "&amp;CHAR(34)&amp;"Main Quest"&amp;CHAR(34)&amp;", type: "&amp;CHAR(34)&amp;B9&amp;CHAR(34)&amp;", region: "&amp;C9&amp;", level: "&amp;CHAR(34)&amp;D9&amp;CHAR(34)&amp;", x: "&amp;E9&amp;", y: "&amp;F9&amp;", z: "&amp;G9&amp;", weight: "&amp;H9&amp;", details: "&amp;CHAR(34)&amp;I9&amp;CHAR(34)&amp;" },"</f>
        <v>{ name: "A Mystery in the Depths", landmark: "Main Quest", type: "Lookout Landing", region: 1, level: "Surface", x: -255, y: 138, z: 19, weight: 0, details: "Talk to Josha" },</v>
      </c>
    </row>
    <row r="10" spans="1:10" x14ac:dyDescent="0.2">
      <c r="A10" s="7" t="s">
        <v>4239</v>
      </c>
      <c r="B10" t="s">
        <v>1441</v>
      </c>
      <c r="C10" s="2">
        <v>1</v>
      </c>
      <c r="D10" s="2" t="s">
        <v>785</v>
      </c>
      <c r="E10" s="2">
        <v>-247</v>
      </c>
      <c r="F10" s="2">
        <v>153</v>
      </c>
      <c r="G10" s="2">
        <v>26</v>
      </c>
      <c r="H10" s="2">
        <v>0</v>
      </c>
      <c r="I10" t="s">
        <v>4248</v>
      </c>
      <c r="J10" t="str">
        <f>"{ name: "&amp;CHAR(34)&amp;A10&amp;CHAR(34)&amp;", landmark: "&amp;CHAR(34)&amp;"Main Quest"&amp;CHAR(34)&amp;", type: "&amp;CHAR(34)&amp;B10&amp;CHAR(34)&amp;", region: "&amp;C10&amp;", level: "&amp;CHAR(34)&amp;D10&amp;CHAR(34)&amp;", x: "&amp;E10&amp;", y: "&amp;F10&amp;", z: "&amp;G10&amp;", weight: "&amp;H10&amp;", details: "&amp;CHAR(34)&amp;I10&amp;CHAR(34)&amp;" },"</f>
        <v>{ name: "Find the Fifth Sage", landmark: "Main Quest", type: "Lookout Landing", region: 1, level: "Surface", x: -247, y: 153, z: 26, weight: 0, details: "Talk to Purah" },</v>
      </c>
    </row>
    <row r="11" spans="1:10" x14ac:dyDescent="0.2">
      <c r="A11" s="7" t="s">
        <v>4244</v>
      </c>
      <c r="B11" t="s">
        <v>1441</v>
      </c>
      <c r="C11" s="2">
        <v>1</v>
      </c>
      <c r="D11" s="2" t="s">
        <v>785</v>
      </c>
      <c r="E11" s="2">
        <v>-235</v>
      </c>
      <c r="F11" s="2">
        <v>153</v>
      </c>
      <c r="G11" s="2">
        <v>26</v>
      </c>
      <c r="H11" s="2">
        <v>0</v>
      </c>
      <c r="I11" t="s">
        <v>4248</v>
      </c>
      <c r="J11" t="str">
        <f>"{ name: "&amp;CHAR(34)&amp;A11&amp;CHAR(34)&amp;", landmark: "&amp;CHAR(34)&amp;"Main Quest"&amp;CHAR(34)&amp;", type: "&amp;CHAR(34)&amp;B11&amp;CHAR(34)&amp;", region: "&amp;C11&amp;", level: "&amp;CHAR(34)&amp;D11&amp;CHAR(34)&amp;", x: "&amp;E11&amp;", y: "&amp;F11&amp;", z: "&amp;G11&amp;", weight: "&amp;H11&amp;", details: "&amp;CHAR(34)&amp;I11&amp;CHAR(34)&amp;" },"</f>
        <v>{ name: "Destroy Ganondorf", landmark: "Main Quest", type: "Lookout Landing", region: 1, level: "Surface", x: -235, y: 153, z: 26, weight: 0, details: "Talk to Purah" },</v>
      </c>
    </row>
    <row r="12" spans="1:10" x14ac:dyDescent="0.2">
      <c r="A12" s="7" t="s">
        <v>4228</v>
      </c>
      <c r="B12" t="s">
        <v>1506</v>
      </c>
      <c r="C12" s="2">
        <v>3</v>
      </c>
      <c r="D12" s="2" t="s">
        <v>785</v>
      </c>
      <c r="E12" s="2">
        <v>-1621</v>
      </c>
      <c r="F12" s="2">
        <v>558</v>
      </c>
      <c r="G12" s="2">
        <v>32</v>
      </c>
      <c r="H12" s="2">
        <v>0</v>
      </c>
      <c r="I12" t="s">
        <v>4250</v>
      </c>
      <c r="J12" t="str">
        <f>"{ name: "&amp;CHAR(34)&amp;A12&amp;CHAR(34)&amp;", landmark: "&amp;CHAR(34)&amp;"Main Quest"&amp;CHAR(34)&amp;", type: "&amp;CHAR(34)&amp;B12&amp;CHAR(34)&amp;", region: "&amp;C12&amp;", level: "&amp;CHAR(34)&amp;D12&amp;CHAR(34)&amp;", x: "&amp;E12&amp;", y: "&amp;F12&amp;", z: "&amp;G12&amp;", weight: "&amp;H12&amp;", details: "&amp;CHAR(34)&amp;I12&amp;CHAR(34)&amp;" },"</f>
        <v>{ name: "Impa and the Geoglyphs", landmark: "Main Quest", type: "New Serenne Stable", region: 3, level: "Surface", x: -1621, y: 558, z: 32, weight: 0, details: "Talk to Cado" },</v>
      </c>
    </row>
    <row r="13" spans="1:10" x14ac:dyDescent="0.2">
      <c r="A13" s="7" t="s">
        <v>4238</v>
      </c>
      <c r="B13" t="s">
        <v>1506</v>
      </c>
      <c r="C13" s="2">
        <v>3</v>
      </c>
      <c r="D13" s="2" t="s">
        <v>785</v>
      </c>
      <c r="E13" s="2">
        <v>-1609</v>
      </c>
      <c r="F13" s="2">
        <v>558</v>
      </c>
      <c r="G13" s="2">
        <v>32</v>
      </c>
      <c r="H13" s="2">
        <v>0</v>
      </c>
      <c r="I13" t="s">
        <v>4256</v>
      </c>
      <c r="J13" t="str">
        <f>"{ name: "&amp;CHAR(34)&amp;A13&amp;CHAR(34)&amp;", landmark: "&amp;CHAR(34)&amp;"Main Quest"&amp;CHAR(34)&amp;", type: "&amp;CHAR(34)&amp;B13&amp;CHAR(34)&amp;", region: "&amp;C13&amp;", level: "&amp;CHAR(34)&amp;D13&amp;CHAR(34)&amp;", x: "&amp;E13&amp;", y: "&amp;F13&amp;", z: "&amp;G13&amp;", weight: "&amp;H13&amp;", details: "&amp;CHAR(34)&amp;I13&amp;CHAR(34)&amp;" },"</f>
        <v>{ name: "The Dragon's Tears", landmark: "Main Quest", type: "New Serenne Stable", region: 3, level: "Surface", x: -1609, y: 558, z: 32, weight: 0, details: "Talk to Impa" },</v>
      </c>
    </row>
    <row r="14" spans="1:10" x14ac:dyDescent="0.2">
      <c r="A14" s="7" t="s">
        <v>4229</v>
      </c>
      <c r="B14" t="s">
        <v>847</v>
      </c>
      <c r="C14" s="2">
        <v>4</v>
      </c>
      <c r="D14" s="2" t="s">
        <v>785</v>
      </c>
      <c r="E14" s="2">
        <v>-3596</v>
      </c>
      <c r="F14" s="2">
        <v>1802</v>
      </c>
      <c r="G14" s="2">
        <v>212</v>
      </c>
      <c r="H14" s="2">
        <v>0</v>
      </c>
      <c r="I14" t="s">
        <v>4251</v>
      </c>
      <c r="J14" t="str">
        <f>"{ name: "&amp;CHAR(34)&amp;A14&amp;CHAR(34)&amp;", landmark: "&amp;CHAR(34)&amp;"Main Quest"&amp;CHAR(34)&amp;", type: "&amp;CHAR(34)&amp;B14&amp;CHAR(34)&amp;", region: "&amp;C14&amp;", level: "&amp;CHAR(34)&amp;D14&amp;CHAR(34)&amp;", x: "&amp;E14&amp;", y: "&amp;F14&amp;", z: "&amp;G14&amp;", weight: "&amp;H14&amp;", details: "&amp;CHAR(34)&amp;I14&amp;CHAR(34)&amp;" },"</f>
        <v>{ name: "Tulin of Rito Village", landmark: "Main Quest", type: "Rito Village", region: 4, level: "Surface", x: -3596, y: 1802, z: 212, weight: 0, details: "Talk to Teba" },</v>
      </c>
    </row>
    <row r="15" spans="1:10" x14ac:dyDescent="0.2">
      <c r="A15" s="7" t="s">
        <v>4243</v>
      </c>
      <c r="B15" t="s">
        <v>1399</v>
      </c>
      <c r="C15" s="2">
        <v>6</v>
      </c>
      <c r="D15" s="2" t="s">
        <v>785</v>
      </c>
      <c r="E15" s="2">
        <v>429</v>
      </c>
      <c r="F15" s="2">
        <v>2146</v>
      </c>
      <c r="G15" s="2">
        <v>162</v>
      </c>
      <c r="H15" s="2">
        <v>0</v>
      </c>
      <c r="I15" t="s">
        <v>4260</v>
      </c>
      <c r="J15" t="str">
        <f>"{ name: "&amp;CHAR(34)&amp;A15&amp;CHAR(34)&amp;", landmark: "&amp;CHAR(34)&amp;"Main Quest"&amp;CHAR(34)&amp;", type: "&amp;CHAR(34)&amp;B15&amp;CHAR(34)&amp;", region: "&amp;C15&amp;", level: "&amp;CHAR(34)&amp;D15&amp;CHAR(34)&amp;", x: "&amp;E15&amp;", y: "&amp;F15&amp;", z: "&amp;G15&amp;", weight: "&amp;H15&amp;", details: "&amp;CHAR(34)&amp;I15&amp;CHAR(34)&amp;" },"</f>
        <v>{ name: "Recovering the Hero's Sword", landmark: "Main Quest", type: "Korok Forest", region: 6, level: "Surface", x: 429, y: 2146, z: 162, weight: 0, details: "Talk to Great Deku Tree" },</v>
      </c>
    </row>
    <row r="16" spans="1:10" x14ac:dyDescent="0.2">
      <c r="A16" s="7" t="s">
        <v>4232</v>
      </c>
      <c r="B16" t="s">
        <v>1302</v>
      </c>
      <c r="C16" s="2">
        <v>7</v>
      </c>
      <c r="D16" s="2" t="s">
        <v>785</v>
      </c>
      <c r="E16" s="2">
        <v>1649</v>
      </c>
      <c r="F16" s="2">
        <v>2447</v>
      </c>
      <c r="G16" s="2">
        <v>381</v>
      </c>
      <c r="H16" s="2">
        <v>0</v>
      </c>
      <c r="I16" t="s">
        <v>4253</v>
      </c>
      <c r="J16" t="str">
        <f>"{ name: "&amp;CHAR(34)&amp;A16&amp;CHAR(34)&amp;", landmark: "&amp;CHAR(34)&amp;"Main Quest"&amp;CHAR(34)&amp;", type: "&amp;CHAR(34)&amp;B16&amp;CHAR(34)&amp;", region: "&amp;C16&amp;", level: "&amp;CHAR(34)&amp;D16&amp;CHAR(34)&amp;", x: "&amp;E16&amp;", y: "&amp;F16&amp;", z: "&amp;G16&amp;", weight: "&amp;H16&amp;", details: "&amp;CHAR(34)&amp;I16&amp;CHAR(34)&amp;" },"</f>
        <v>{ name: "Yunobo of Goron City", landmark: "Main Quest", type: "Goron City", region: 7, level: "Surface", x: 1649, y: 2447, z: 381, weight: 0, details: "Talk to Yunobo" },</v>
      </c>
    </row>
    <row r="17" spans="1:10" x14ac:dyDescent="0.2">
      <c r="A17" s="7" t="s">
        <v>4233</v>
      </c>
      <c r="B17" t="s">
        <v>1730</v>
      </c>
      <c r="C17" s="2">
        <v>9</v>
      </c>
      <c r="D17" s="2" t="s">
        <v>785</v>
      </c>
      <c r="E17" s="2">
        <v>3298</v>
      </c>
      <c r="F17" s="2">
        <v>463</v>
      </c>
      <c r="G17" s="2">
        <v>139</v>
      </c>
      <c r="H17" s="2">
        <v>0</v>
      </c>
      <c r="I17" t="s">
        <v>4261</v>
      </c>
      <c r="J17" t="str">
        <f>"{ name: "&amp;CHAR(34)&amp;A17&amp;CHAR(34)&amp;", landmark: "&amp;CHAR(34)&amp;"Main Quest"&amp;CHAR(34)&amp;", type: "&amp;CHAR(34)&amp;B17&amp;CHAR(34)&amp;", region: "&amp;C17&amp;", level: "&amp;CHAR(34)&amp;D17&amp;CHAR(34)&amp;", x: "&amp;E17&amp;", y: "&amp;F17&amp;", z: "&amp;G17&amp;", weight: "&amp;H17&amp;", details: "&amp;CHAR(34)&amp;I17&amp;CHAR(34)&amp;" },"</f>
        <v>{ name: "The Sludge-Covered Statue", landmark: "Main Quest", type: "Zora's Domain", region: 9, level: "Surface", x: 3298, y: 463, z: 139, weight: 0, details: "Approach the Zora near the statue" },</v>
      </c>
    </row>
    <row r="18" spans="1:10" x14ac:dyDescent="0.2">
      <c r="A18" s="7" t="s">
        <v>4234</v>
      </c>
      <c r="B18" t="s">
        <v>1730</v>
      </c>
      <c r="C18" s="2">
        <v>9</v>
      </c>
      <c r="D18" s="2" t="s">
        <v>785</v>
      </c>
      <c r="E18" s="2">
        <v>3310</v>
      </c>
      <c r="F18" s="2">
        <v>464</v>
      </c>
      <c r="G18" s="2">
        <v>139</v>
      </c>
      <c r="H18" s="2">
        <v>0</v>
      </c>
      <c r="I18" t="s">
        <v>4254</v>
      </c>
      <c r="J18" t="str">
        <f>"{ name: "&amp;CHAR(34)&amp;A18&amp;CHAR(34)&amp;", landmark: "&amp;CHAR(34)&amp;"Main Quest"&amp;CHAR(34)&amp;", type: "&amp;CHAR(34)&amp;B18&amp;CHAR(34)&amp;", region: "&amp;C18&amp;", level: "&amp;CHAR(34)&amp;D18&amp;CHAR(34)&amp;", x: "&amp;E18&amp;", y: "&amp;F18&amp;", z: "&amp;G18&amp;", weight: "&amp;H18&amp;", details: "&amp;CHAR(34)&amp;I18&amp;CHAR(34)&amp;" },"</f>
        <v>{ name: "Sidon of the Zora", landmark: "Main Quest", type: "Zora's Domain", region: 9, level: "Surface", x: 3310, y: 464, z: 139, weight: 0, details: "Talk to Yona" },</v>
      </c>
    </row>
    <row r="19" spans="1:10" x14ac:dyDescent="0.2">
      <c r="A19" s="7" t="s">
        <v>4235</v>
      </c>
      <c r="B19" t="s">
        <v>1678</v>
      </c>
      <c r="C19" s="2">
        <v>9</v>
      </c>
      <c r="D19" s="2" t="s">
        <v>785</v>
      </c>
      <c r="E19" s="2">
        <v>3405</v>
      </c>
      <c r="F19" s="2">
        <v>886</v>
      </c>
      <c r="G19" s="2">
        <v>400</v>
      </c>
      <c r="H19" s="2">
        <v>0</v>
      </c>
      <c r="I19" t="s">
        <v>4255</v>
      </c>
      <c r="J19" t="str">
        <f>"{ name: "&amp;CHAR(34)&amp;A19&amp;CHAR(34)&amp;", landmark: "&amp;CHAR(34)&amp;"Main Quest"&amp;CHAR(34)&amp;", type: "&amp;CHAR(34)&amp;B19&amp;CHAR(34)&amp;", region: "&amp;C19&amp;", level: "&amp;CHAR(34)&amp;D19&amp;CHAR(34)&amp;", x: "&amp;E19&amp;", y: "&amp;F19&amp;", z: "&amp;G19&amp;", weight: "&amp;H19&amp;", details: "&amp;CHAR(34)&amp;I19&amp;CHAR(34)&amp;" },"</f>
        <v>{ name: "The Broken Slate", landmark: "Main Quest", type: "Toto Lake", region: 9, level: "Surface", x: 3405, y: 886, z: 400, weight: 0, details: "Talk to Jiahto" },</v>
      </c>
    </row>
    <row r="20" spans="1:10" x14ac:dyDescent="0.2">
      <c r="A20" s="7" t="s">
        <v>4236</v>
      </c>
      <c r="B20" t="s">
        <v>1678</v>
      </c>
      <c r="C20" s="2">
        <v>9</v>
      </c>
      <c r="D20" s="2" t="s">
        <v>785</v>
      </c>
      <c r="E20" s="2">
        <v>3404</v>
      </c>
      <c r="F20" s="2">
        <v>874</v>
      </c>
      <c r="G20" s="2">
        <v>399</v>
      </c>
      <c r="H20" s="2">
        <v>0</v>
      </c>
      <c r="I20" t="s">
        <v>4255</v>
      </c>
      <c r="J20" t="str">
        <f>"{ name: "&amp;CHAR(34)&amp;A20&amp;CHAR(34)&amp;", landmark: "&amp;CHAR(34)&amp;"Main Quest"&amp;CHAR(34)&amp;", type: "&amp;CHAR(34)&amp;B20&amp;CHAR(34)&amp;", region: "&amp;C20&amp;", level: "&amp;CHAR(34)&amp;D20&amp;CHAR(34)&amp;", x: "&amp;E20&amp;", y: "&amp;F20&amp;", z: "&amp;G20&amp;", weight: "&amp;H20&amp;", details: "&amp;CHAR(34)&amp;I20&amp;CHAR(34)&amp;" },"</f>
        <v>{ name: "Clues to the Sky", landmark: "Main Quest", type: "Toto Lake", region: 9, level: "Surface", x: 3404, y: 874, z: 399, weight: 0, details: "Talk to Jiahto" },</v>
      </c>
    </row>
    <row r="21" spans="1:10" x14ac:dyDescent="0.2">
      <c r="A21" s="7" t="s">
        <v>4237</v>
      </c>
      <c r="B21" t="s">
        <v>1730</v>
      </c>
      <c r="C21" s="2">
        <v>9</v>
      </c>
      <c r="D21" s="2" t="s">
        <v>785</v>
      </c>
      <c r="E21" s="2">
        <v>3845</v>
      </c>
      <c r="F21" s="2">
        <v>576</v>
      </c>
      <c r="G21" s="2">
        <v>485</v>
      </c>
      <c r="H21" s="2">
        <v>0</v>
      </c>
      <c r="I21" t="s">
        <v>4254</v>
      </c>
      <c r="J21" t="str">
        <f>"{ name: "&amp;CHAR(34)&amp;A21&amp;CHAR(34)&amp;", landmark: "&amp;CHAR(34)&amp;"Main Quest"&amp;CHAR(34)&amp;", type: "&amp;CHAR(34)&amp;B21&amp;CHAR(34)&amp;", region: "&amp;C21&amp;", level: "&amp;CHAR(34)&amp;D21&amp;CHAR(34)&amp;", x: "&amp;E21&amp;", y: "&amp;F21&amp;", z: "&amp;G21&amp;", weight: "&amp;H21&amp;", details: "&amp;CHAR(34)&amp;I21&amp;CHAR(34)&amp;" },"</f>
        <v>{ name: "Restoring the Zora Armor", landmark: "Main Quest", type: "Zora's Domain", region: 9, level: "Surface", x: 3845, y: 576, z: 485, weight: 0, details: "Talk to Yona" },</v>
      </c>
    </row>
    <row r="22" spans="1:10" x14ac:dyDescent="0.2">
      <c r="A22" s="7" t="s">
        <v>4240</v>
      </c>
      <c r="B22" t="s">
        <v>999</v>
      </c>
      <c r="C22" s="2">
        <v>10</v>
      </c>
      <c r="D22" s="2" t="s">
        <v>785</v>
      </c>
      <c r="E22" s="2">
        <v>1814</v>
      </c>
      <c r="F22" s="2">
        <v>-951</v>
      </c>
      <c r="G22" s="2">
        <v>113</v>
      </c>
      <c r="H22" s="2">
        <v>0</v>
      </c>
      <c r="I22" t="s">
        <v>4257</v>
      </c>
      <c r="J22" t="str">
        <f>"{ name: "&amp;CHAR(34)&amp;A22&amp;CHAR(34)&amp;", landmark: "&amp;CHAR(34)&amp;"Main Quest"&amp;CHAR(34)&amp;", type: "&amp;CHAR(34)&amp;B22&amp;CHAR(34)&amp;", region: "&amp;C22&amp;", level: "&amp;CHAR(34)&amp;D22&amp;CHAR(34)&amp;", x: "&amp;E22&amp;", y: "&amp;F22&amp;", z: "&amp;G22&amp;", weight: "&amp;H22&amp;", details: "&amp;CHAR(34)&amp;I22&amp;CHAR(34)&amp;" },"</f>
        <v>{ name: "Secret of the Ring Ruins", landmark: "Main Quest", type: "Kakariko Village", region: 10, level: "Surface", x: 1814, y: -951, z: 113, weight: 0, details: "Talk to Tauro" },</v>
      </c>
    </row>
    <row r="23" spans="1:10" x14ac:dyDescent="0.2">
      <c r="A23" s="7" t="s">
        <v>4231</v>
      </c>
      <c r="B23" t="s">
        <v>1284</v>
      </c>
      <c r="C23" s="2">
        <v>14</v>
      </c>
      <c r="D23" s="2" t="s">
        <v>785</v>
      </c>
      <c r="E23" s="2">
        <v>-3897</v>
      </c>
      <c r="F23" s="2">
        <v>-2978</v>
      </c>
      <c r="G23" s="2">
        <v>43</v>
      </c>
      <c r="H23" s="2">
        <v>0</v>
      </c>
      <c r="I23" t="s">
        <v>4252</v>
      </c>
      <c r="J23" t="str">
        <f>"{ name: "&amp;CHAR(34)&amp;A23&amp;CHAR(34)&amp;", landmark: "&amp;CHAR(34)&amp;"Main Quest"&amp;CHAR(34)&amp;", type: "&amp;CHAR(34)&amp;B23&amp;CHAR(34)&amp;", region: "&amp;C23&amp;", level: "&amp;CHAR(34)&amp;D23&amp;CHAR(34)&amp;", x: "&amp;E23&amp;", y: "&amp;F23&amp;", z: "&amp;G23&amp;", weight: "&amp;H23&amp;", details: "&amp;CHAR(34)&amp;I23&amp;CHAR(34)&amp;" },"</f>
        <v>{ name: "Riju of Gerudo Town", landmark: "Main Quest", type: "Gerudo Town", region: 14, level: "Surface", x: -3897, y: -2978, z: 43, weight: 0, details: "Talk to Riju" },</v>
      </c>
    </row>
    <row r="24" spans="1:10" x14ac:dyDescent="0.2">
      <c r="A24" s="7" t="s">
        <v>4242</v>
      </c>
      <c r="B24" t="s">
        <v>2402</v>
      </c>
      <c r="C24" s="2">
        <v>13</v>
      </c>
      <c r="D24" s="2" t="s">
        <v>994</v>
      </c>
      <c r="E24" s="2">
        <v>1367</v>
      </c>
      <c r="F24" s="2">
        <v>-3309</v>
      </c>
      <c r="G24" s="2">
        <v>-737</v>
      </c>
      <c r="H24" s="2">
        <v>0</v>
      </c>
      <c r="I24" t="s">
        <v>4259</v>
      </c>
      <c r="J24" t="str">
        <f>"{ name: "&amp;CHAR(34)&amp;A24&amp;CHAR(34)&amp;", landmark: "&amp;CHAR(34)&amp;"Main Quest"&amp;CHAR(34)&amp;", type: "&amp;CHAR(34)&amp;B24&amp;CHAR(34)&amp;", region: "&amp;C24&amp;", level: "&amp;CHAR(34)&amp;D24&amp;CHAR(34)&amp;", x: "&amp;E24&amp;", y: "&amp;F24&amp;", z: "&amp;G24&amp;", weight: "&amp;H24&amp;", details: "&amp;CHAR(34)&amp;I24&amp;CHAR(34)&amp;" },"</f>
        <v>{ name: "Trail of the Master Sword", landmark: "Main Quest", type: "Spirit Temple", region: 13, level: "Depths", x: 1367, y: -3309, z: -737, weight: 0, details: "Talk to Mineru" },</v>
      </c>
    </row>
  </sheetData>
  <autoFilter ref="A1:J23" xr:uid="{9B66D1FE-B66F-F348-9F83-5F8C8FFF29B7}">
    <sortState xmlns:xlrd2="http://schemas.microsoft.com/office/spreadsheetml/2017/richdata2" ref="A2:J23">
      <sortCondition ref="C1:C23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6D1FE-B66F-F348-9F83-5F8C8FFF29B7}">
  <sheetPr>
    <tabColor theme="7"/>
  </sheetPr>
  <dimension ref="A1:J140"/>
  <sheetViews>
    <sheetView tabSelected="1" topLeftCell="A59" workbookViewId="0">
      <selection activeCell="A141" sqref="A141"/>
    </sheetView>
  </sheetViews>
  <sheetFormatPr baseColWidth="10" defaultRowHeight="16" x14ac:dyDescent="0.2"/>
  <cols>
    <col min="1" max="1" width="32.6640625" bestFit="1" customWidth="1"/>
    <col min="2" max="2" width="36" bestFit="1" customWidth="1"/>
    <col min="3" max="8" width="10.83203125" style="2"/>
    <col min="9" max="9" width="130.6640625" bestFit="1" customWidth="1"/>
  </cols>
  <sheetData>
    <row r="1" spans="1:10" s="6" customFormat="1" x14ac:dyDescent="0.2">
      <c r="A1" s="6" t="s">
        <v>781</v>
      </c>
      <c r="B1" s="6" t="s">
        <v>2083</v>
      </c>
      <c r="C1" s="4" t="s">
        <v>2074</v>
      </c>
      <c r="D1" s="4" t="s">
        <v>777</v>
      </c>
      <c r="E1" s="4" t="s">
        <v>778</v>
      </c>
      <c r="F1" s="4" t="s">
        <v>779</v>
      </c>
      <c r="G1" s="4" t="s">
        <v>780</v>
      </c>
      <c r="H1" s="4" t="s">
        <v>2837</v>
      </c>
      <c r="I1" s="6" t="s">
        <v>2081</v>
      </c>
      <c r="J1" s="6" t="s">
        <v>2075</v>
      </c>
    </row>
    <row r="2" spans="1:10" x14ac:dyDescent="0.2">
      <c r="A2" t="s">
        <v>3100</v>
      </c>
      <c r="B2" t="s">
        <v>2402</v>
      </c>
      <c r="C2" s="2">
        <v>13</v>
      </c>
      <c r="D2" s="2" t="s">
        <v>994</v>
      </c>
      <c r="E2" s="2">
        <v>1337</v>
      </c>
      <c r="F2" s="2">
        <v>-3356</v>
      </c>
      <c r="G2" s="2">
        <v>-737</v>
      </c>
      <c r="H2" s="2">
        <v>0</v>
      </c>
      <c r="I2" t="s">
        <v>3140</v>
      </c>
      <c r="J2" t="str">
        <f>"{ name: "&amp;CHAR(34)&amp;A2&amp;CHAR(34)&amp;", landmark: "&amp;CHAR(34)&amp;"Side Quest"&amp;CHAR(34)&amp;", type: "&amp;CHAR(34)&amp;B2&amp;CHAR(34)&amp;", region: "&amp;C2&amp;", level: "&amp;CHAR(34)&amp;D2&amp;CHAR(34)&amp;", x: "&amp;E2&amp;", y: "&amp;F2&amp;", z: "&amp;G2&amp;", weight: "&amp;H2&amp;", details: `&lt;strong&gt;Start:&lt;/strong&gt; "&amp;I2&amp;"` },"</f>
        <v>{ name: "Ancient Blades Below", landmark: "Side Quest", type: "Spirit Temple", region: 13, level: "Depths", x: 1337, y: -3356, z: -737, weight: 0, details: `&lt;strong&gt;Start:&lt;/strong&gt; Talk to the Mining Construct after Finishing the Spirit Temple&lt;br&gt;&lt;strong&gt;Reward:&lt;/strong&gt; Ancient Blade` },</v>
      </c>
    </row>
    <row r="3" spans="1:10" x14ac:dyDescent="0.2">
      <c r="A3" t="s">
        <v>4662</v>
      </c>
      <c r="B3" t="s">
        <v>788</v>
      </c>
      <c r="C3" s="2">
        <v>1</v>
      </c>
      <c r="D3" s="2" t="s">
        <v>785</v>
      </c>
      <c r="E3" s="2">
        <v>780</v>
      </c>
      <c r="F3" s="2">
        <v>7</v>
      </c>
      <c r="G3" s="2">
        <v>16</v>
      </c>
      <c r="H3" s="2">
        <v>0</v>
      </c>
      <c r="I3" t="s">
        <v>4267</v>
      </c>
      <c r="J3" t="str">
        <f t="shared" ref="J3:J71" si="0">"{ name: "&amp;CHAR(34)&amp;A3&amp;CHAR(34)&amp;", landmark: "&amp;CHAR(34)&amp;"Side Quest"&amp;CHAR(34)&amp;", type: "&amp;CHAR(34)&amp;B3&amp;CHAR(34)&amp;", region: "&amp;C3&amp;", level: "&amp;CHAR(34)&amp;D3&amp;CHAR(34)&amp;", x: "&amp;E3&amp;", y: "&amp;F3&amp;", z: "&amp;G3&amp;", weight: "&amp;H3&amp;", details: `&lt;strong&gt;Start:&lt;/strong&gt; "&amp;I3&amp;"` },"</f>
        <v>{ name: "Fell Into a Well!", landmark: "Side Quest", type: "Central Hyrule", region: 1, level: "Surface", x: 780, y: 7, z: 16, weight: 0, details: `&lt;strong&gt;Start:&lt;/strong&gt; Find Dillie in the &lt;br&gt;&lt;img src="icons/well.png" style="height: 20px; width: 20px; vertical-align: middle; margin-right: 5px;"&gt;&lt;span style="color: #86a3e6; font-weight: bold;"&gt;Rebonae Bridge Well&lt;/span&gt;&lt;br&gt;&lt;strong&gt;Reward:&lt;/strong&gt; Purple Rupee` },</v>
      </c>
    </row>
    <row r="4" spans="1:10" x14ac:dyDescent="0.2">
      <c r="A4" t="s">
        <v>3014</v>
      </c>
      <c r="B4" t="s">
        <v>1441</v>
      </c>
      <c r="C4" s="2">
        <v>1</v>
      </c>
      <c r="D4" s="2" t="s">
        <v>785</v>
      </c>
      <c r="E4" s="2">
        <v>-250</v>
      </c>
      <c r="F4" s="2">
        <v>52</v>
      </c>
      <c r="G4" s="2">
        <v>19</v>
      </c>
      <c r="H4" s="2">
        <v>0</v>
      </c>
      <c r="I4" t="s">
        <v>3148</v>
      </c>
      <c r="J4" t="str">
        <f t="shared" si="0"/>
        <v>{ name: "Spotting Spot", landmark: "Side Quest", type: "Lookout Landing", region: 1, level: "Surface", x: -250, y: 52, z: 19, weight: 0, details: `&lt;strong&gt;Start:&lt;/strong&gt; Talk to Lester&lt;br&gt;&lt;strong&gt;Reward:&lt;/strong&gt; Purple Rupee, Swift Carrot` },</v>
      </c>
    </row>
    <row r="5" spans="1:10" x14ac:dyDescent="0.2">
      <c r="A5" t="s">
        <v>3015</v>
      </c>
      <c r="B5" t="s">
        <v>1441</v>
      </c>
      <c r="C5" s="2">
        <v>1</v>
      </c>
      <c r="D5" s="2" t="s">
        <v>785</v>
      </c>
      <c r="E5" s="2">
        <v>-245</v>
      </c>
      <c r="F5" s="2">
        <v>60</v>
      </c>
      <c r="G5" s="2">
        <v>19</v>
      </c>
      <c r="H5" s="2">
        <v>0</v>
      </c>
      <c r="I5" t="s">
        <v>4268</v>
      </c>
      <c r="J5" t="str">
        <f t="shared" si="0"/>
        <v>{ name: "The Incomplete Stable", landmark: "Side Quest", type: "Lookout Landing", region: 1, level: "Surface", x: -245, y: 60, z: 19, weight: 0, details: `&lt;strong&gt;Start:&lt;/strong&gt; Talk to Karson&lt;br&gt;&lt;strong&gt;Reward:&lt;/strong&gt; Unlocked Stable` },</v>
      </c>
    </row>
    <row r="6" spans="1:10" x14ac:dyDescent="0.2">
      <c r="A6" t="s">
        <v>3018</v>
      </c>
      <c r="B6" t="s">
        <v>1441</v>
      </c>
      <c r="C6" s="2">
        <v>1</v>
      </c>
      <c r="D6" s="2" t="s">
        <v>785</v>
      </c>
      <c r="E6" s="2">
        <v>-266</v>
      </c>
      <c r="F6" s="2">
        <v>98</v>
      </c>
      <c r="G6" s="2">
        <v>8</v>
      </c>
      <c r="H6" s="2">
        <v>0</v>
      </c>
      <c r="I6" t="s">
        <v>4270</v>
      </c>
      <c r="J6" t="str">
        <f t="shared" si="0"/>
        <v>{ name: "Today's Menu", landmark: "Side Quest", type: "Lookout Landing", region: 1, level: "Surface", x: -266, y: 98, z: 8, weight: 0, details: `&lt;strong&gt;Start:&lt;/strong&gt; Talk to Burmano in the&lt;br&gt;&lt;img src="icons/special-location.png" style="height: 20px; width: 20px; vertical-align: middle; margin-right: 5px;"&gt;&lt;span style="color: #c6a96a; font-weight: bold;"&gt;Emergency Shelter&lt;/span&gt;&lt;br&gt;&lt;strong&gt;Reward:&lt;/strong&gt; Fruit and Mushroom Mix` },</v>
      </c>
    </row>
    <row r="7" spans="1:10" x14ac:dyDescent="0.2">
      <c r="A7" t="s">
        <v>3019</v>
      </c>
      <c r="B7" t="s">
        <v>1441</v>
      </c>
      <c r="C7" s="2">
        <v>1</v>
      </c>
      <c r="D7" s="2" t="s">
        <v>785</v>
      </c>
      <c r="E7" s="2">
        <v>-254</v>
      </c>
      <c r="F7" s="2">
        <v>88</v>
      </c>
      <c r="G7" s="2">
        <v>8</v>
      </c>
      <c r="H7" s="2">
        <v>0</v>
      </c>
      <c r="I7" t="s">
        <v>4269</v>
      </c>
      <c r="J7" t="str">
        <f t="shared" si="0"/>
        <v>{ name: "Unknown Huge Silhouette", landmark: "Side Quest", type: "Lookout Landing", region: 1, level: "Surface", x: -254, y: 88, z: 8, weight: 0, details: `&lt;strong&gt;Start:&lt;/strong&gt; Talk to Gralens in the&lt;br&gt;&lt;img src="icons/special-location.png" style="height: 20px; width: 20px; vertical-align: middle; margin-right: 5px;"&gt;&lt;span style="color: #c6a96a; font-weight: bold;"&gt;Emergency Shelter&lt;/span&gt;&lt;br&gt;&lt;strong&gt;Reward:&lt;/strong&gt; Silver Rupee` },</v>
      </c>
    </row>
    <row r="8" spans="1:10" x14ac:dyDescent="0.2">
      <c r="A8" t="s">
        <v>3020</v>
      </c>
      <c r="B8" t="s">
        <v>1441</v>
      </c>
      <c r="C8" s="2">
        <v>1</v>
      </c>
      <c r="D8" s="2" t="s">
        <v>785</v>
      </c>
      <c r="E8" s="2">
        <v>-264</v>
      </c>
      <c r="F8" s="2">
        <v>80</v>
      </c>
      <c r="G8" s="2">
        <v>8</v>
      </c>
      <c r="H8" s="2">
        <v>0</v>
      </c>
      <c r="I8" t="s">
        <v>4269</v>
      </c>
      <c r="J8" t="str">
        <f t="shared" si="0"/>
        <v>{ name: "Unknown Sky Giant", landmark: "Side Quest", type: "Lookout Landing", region: 1, level: "Surface", x: -264, y: 80, z: 8, weight: 0, details: `&lt;strong&gt;Start:&lt;/strong&gt; Talk to Gralens in the&lt;br&gt;&lt;img src="icons/special-location.png" style="height: 20px; width: 20px; vertical-align: middle; margin-right: 5px;"&gt;&lt;span style="color: #c6a96a; font-weight: bold;"&gt;Emergency Shelter&lt;/span&gt;&lt;br&gt;&lt;strong&gt;Reward:&lt;/strong&gt; Silver Rupee` },</v>
      </c>
    </row>
    <row r="9" spans="1:10" x14ac:dyDescent="0.2">
      <c r="A9" t="s">
        <v>3021</v>
      </c>
      <c r="B9" t="s">
        <v>1441</v>
      </c>
      <c r="C9" s="2">
        <v>1</v>
      </c>
      <c r="D9" s="2" t="s">
        <v>785</v>
      </c>
      <c r="E9" s="2">
        <v>-244</v>
      </c>
      <c r="F9" s="2">
        <v>80</v>
      </c>
      <c r="G9" s="2">
        <v>8</v>
      </c>
      <c r="H9" s="2">
        <v>0</v>
      </c>
      <c r="I9" t="s">
        <v>4269</v>
      </c>
      <c r="J9" t="str">
        <f t="shared" si="0"/>
        <v>{ name: "Unknown Three-Headed Monster", landmark: "Side Quest", type: "Lookout Landing", region: 1, level: "Surface", x: -244, y: 80, z: 8, weight: 0, details: `&lt;strong&gt;Start:&lt;/strong&gt; Talk to Gralens in the&lt;br&gt;&lt;img src="icons/special-location.png" style="height: 20px; width: 20px; vertical-align: middle; margin-right: 5px;"&gt;&lt;span style="color: #c6a96a; font-weight: bold;"&gt;Emergency Shelter&lt;/span&gt;&lt;br&gt;&lt;strong&gt;Reward:&lt;/strong&gt; Silver Rupee` },</v>
      </c>
    </row>
    <row r="10" spans="1:10" x14ac:dyDescent="0.2">
      <c r="A10" t="s">
        <v>3022</v>
      </c>
      <c r="B10" t="s">
        <v>1441</v>
      </c>
      <c r="C10" s="2">
        <v>1</v>
      </c>
      <c r="D10" s="2" t="s">
        <v>785</v>
      </c>
      <c r="E10" s="2">
        <v>-209</v>
      </c>
      <c r="F10" s="2">
        <v>81</v>
      </c>
      <c r="G10" s="2">
        <v>19</v>
      </c>
      <c r="H10" s="2">
        <v>0</v>
      </c>
      <c r="I10" t="s">
        <v>3118</v>
      </c>
      <c r="J10" t="str">
        <f t="shared" si="0"/>
        <v>{ name: "Village Attacked by Pirates", landmark: "Side Quest", type: "Lookout Landing", region: 1, level: "Surface", x: -209, y: 81, z: 19, weight: 0, details: `&lt;strong&gt;Start:&lt;/strong&gt; Talk to Garini&lt;br&gt;&lt;strong&gt;Reward:&lt;/strong&gt; Mighty Salt-Grilled Crab` },</v>
      </c>
    </row>
    <row r="11" spans="1:10" x14ac:dyDescent="0.2">
      <c r="A11" t="s">
        <v>4663</v>
      </c>
      <c r="B11" t="s">
        <v>1441</v>
      </c>
      <c r="C11" s="2">
        <v>1</v>
      </c>
      <c r="D11" s="2" t="s">
        <v>785</v>
      </c>
      <c r="E11" s="2">
        <v>-244</v>
      </c>
      <c r="F11" s="2">
        <v>96</v>
      </c>
      <c r="G11" s="2">
        <v>8</v>
      </c>
      <c r="H11" s="2">
        <v>0</v>
      </c>
      <c r="I11" t="s">
        <v>4269</v>
      </c>
      <c r="J11" t="str">
        <f t="shared" si="0"/>
        <v>{ name: "Wanted: Hinox", landmark: "Side Quest", type: "Lookout Landing", region: 1, level: "Surface", x: -244, y: 96, z: 8, weight: 0, details: `&lt;strong&gt;Start:&lt;/strong&gt; Talk to Gralens in the&lt;br&gt;&lt;img src="icons/special-location.png" style="height: 20px; width: 20px; vertical-align: middle; margin-right: 5px;"&gt;&lt;span style="color: #c6a96a; font-weight: bold;"&gt;Emergency Shelter&lt;/span&gt;&lt;br&gt;&lt;strong&gt;Reward:&lt;/strong&gt; Silver Rupee` },</v>
      </c>
    </row>
    <row r="12" spans="1:10" x14ac:dyDescent="0.2">
      <c r="A12" t="s">
        <v>4664</v>
      </c>
      <c r="B12" t="s">
        <v>1441</v>
      </c>
      <c r="C12" s="2">
        <v>1</v>
      </c>
      <c r="D12" s="2" t="s">
        <v>785</v>
      </c>
      <c r="E12" s="2">
        <v>-254</v>
      </c>
      <c r="F12" s="2">
        <v>104</v>
      </c>
      <c r="G12" s="2">
        <v>8</v>
      </c>
      <c r="H12" s="2">
        <v>0</v>
      </c>
      <c r="I12" t="s">
        <v>4269</v>
      </c>
      <c r="J12" t="str">
        <f t="shared" si="0"/>
        <v>{ name: "Wanted: Molduga", landmark: "Side Quest", type: "Lookout Landing", region: 1, level: "Surface", x: -254, y: 104, z: 8, weight: 0, details: `&lt;strong&gt;Start:&lt;/strong&gt; Talk to Gralens in the&lt;br&gt;&lt;img src="icons/special-location.png" style="height: 20px; width: 20px; vertical-align: middle; margin-right: 5px;"&gt;&lt;span style="color: #c6a96a; font-weight: bold;"&gt;Emergency Shelter&lt;/span&gt;&lt;br&gt;&lt;strong&gt;Reward:&lt;/strong&gt; Silver Rupee` },</v>
      </c>
    </row>
    <row r="13" spans="1:10" x14ac:dyDescent="0.2">
      <c r="A13" t="s">
        <v>4665</v>
      </c>
      <c r="B13" t="s">
        <v>1441</v>
      </c>
      <c r="C13" s="2">
        <v>1</v>
      </c>
      <c r="D13" s="2" t="s">
        <v>785</v>
      </c>
      <c r="E13" s="2">
        <v>-244</v>
      </c>
      <c r="F13" s="2">
        <v>112</v>
      </c>
      <c r="G13" s="2">
        <v>8</v>
      </c>
      <c r="H13" s="2">
        <v>0</v>
      </c>
      <c r="I13" t="s">
        <v>4269</v>
      </c>
      <c r="J13" t="str">
        <f t="shared" si="0"/>
        <v>{ name: "Wanted: Stone Talus", landmark: "Side Quest", type: "Lookout Landing", region: 1, level: "Surface", x: -244, y: 112, z: 8, weight: 0, details: `&lt;strong&gt;Start:&lt;/strong&gt; Talk to Gralens in the&lt;br&gt;&lt;img src="icons/special-location.png" style="height: 20px; width: 20px; vertical-align: middle; margin-right: 5px;"&gt;&lt;span style="color: #c6a96a; font-weight: bold;"&gt;Emergency Shelter&lt;/span&gt;&lt;br&gt;&lt;strong&gt;Reward:&lt;/strong&gt; Silver Rupee` },</v>
      </c>
    </row>
    <row r="14" spans="1:10" x14ac:dyDescent="0.2">
      <c r="A14" t="s">
        <v>3011</v>
      </c>
      <c r="B14" t="s">
        <v>1529</v>
      </c>
      <c r="C14" s="2">
        <v>2</v>
      </c>
      <c r="D14" s="2" t="s">
        <v>785</v>
      </c>
      <c r="E14" s="2">
        <v>-1452</v>
      </c>
      <c r="F14" s="2">
        <v>-1259</v>
      </c>
      <c r="G14" s="2">
        <v>32</v>
      </c>
      <c r="H14" s="2">
        <v>0</v>
      </c>
      <c r="I14" t="s">
        <v>4443</v>
      </c>
      <c r="J14" t="str">
        <f t="shared" si="0"/>
        <v>{ name: "A Picture for Outskirt Stable", landmark: "Side Quest", type: "Outskirt Stable", region: 2, level: "Surface", x: -1452, y: -1259, z: 32, weight: 0, details: `&lt;strong&gt;Start:&lt;/strong&gt; Examine the Empty Frame in&lt;img src="icons/stable.png" style="height: 20px; width: 20px; vertical-align: middle; margin-right: 5px;"&gt;&lt;span style="color: #c6a96a; font-weight: bold;"&gt;Outskirt Stable&lt;/span&gt;&lt;br&gt;&lt;strong&gt;Reward:&lt;/strong&gt; 1 Pony Point, Egg Tart` },</v>
      </c>
    </row>
    <row r="15" spans="1:10" x14ac:dyDescent="0.2">
      <c r="A15" t="s">
        <v>3012</v>
      </c>
      <c r="B15" t="s">
        <v>1578</v>
      </c>
      <c r="C15" s="2">
        <v>2</v>
      </c>
      <c r="D15" s="2" t="s">
        <v>785</v>
      </c>
      <c r="E15" s="2">
        <v>329</v>
      </c>
      <c r="F15" s="2">
        <v>-1085</v>
      </c>
      <c r="G15" s="2">
        <v>10</v>
      </c>
      <c r="H15" s="2">
        <v>0</v>
      </c>
      <c r="I15" t="s">
        <v>4444</v>
      </c>
      <c r="J15" t="str">
        <f t="shared" si="0"/>
        <v>{ name: "A Picture for Riverside Stable", landmark: "Side Quest", type: "Riverside Stable", region: 2, level: "Surface", x: 329, y: -1085, z: 10, weight: 0, details: `&lt;strong&gt;Start:&lt;/strong&gt; Examine the Empty Frame in&lt;img src="icons/stable.png" style="height: 20px; width: 20px; vertical-align: middle; margin-right: 5px;"&gt;&lt;span style="color: #c6a96a; font-weight: bold;"&gt;Riverside Stable&lt;/span&gt;&lt;br&gt;&lt;strong&gt;Reward:&lt;/strong&gt; 1 Pony Point, Energizing Crab Stir-Fry` },</v>
      </c>
    </row>
    <row r="16" spans="1:10" x14ac:dyDescent="0.2">
      <c r="A16" t="s">
        <v>3013</v>
      </c>
      <c r="B16" t="s">
        <v>1578</v>
      </c>
      <c r="C16" s="2">
        <v>2</v>
      </c>
      <c r="D16" s="2" t="s">
        <v>785</v>
      </c>
      <c r="E16" s="2">
        <v>367</v>
      </c>
      <c r="F16" s="2">
        <v>-1103</v>
      </c>
      <c r="G16" s="2">
        <v>9</v>
      </c>
      <c r="H16" s="2">
        <v>0</v>
      </c>
      <c r="I16" t="s">
        <v>3116</v>
      </c>
      <c r="J16" t="str">
        <f t="shared" si="0"/>
        <v>{ name: "Feathered Fugitives", landmark: "Side Quest", type: "Riverside Stable", region: 2, level: "Surface", x: 367, y: -1103, z: 9, weight: 0, details: `&lt;strong&gt;Start:&lt;/strong&gt; Talk to Teli&lt;br&gt;&lt;strong&gt;Reward:&lt;/strong&gt; Silver Rupee` },</v>
      </c>
    </row>
    <row r="17" spans="1:10" x14ac:dyDescent="0.2">
      <c r="A17" t="s">
        <v>3033</v>
      </c>
      <c r="B17" t="s">
        <v>1529</v>
      </c>
      <c r="C17" s="2">
        <v>2</v>
      </c>
      <c r="D17" s="2" t="s">
        <v>785</v>
      </c>
      <c r="E17" s="2">
        <v>-1449</v>
      </c>
      <c r="F17" s="2">
        <v>-1251</v>
      </c>
      <c r="G17" s="2">
        <v>32</v>
      </c>
      <c r="H17" s="2">
        <v>0</v>
      </c>
      <c r="I17" t="s">
        <v>4272</v>
      </c>
      <c r="J17" t="str">
        <f t="shared" si="0"/>
        <v>{ name: "The Horse Guard's Request", landmark: "Side Quest", type: "Outskirt Stable", region: 2, level: "Surface", x: -1449, y: -1251, z: 32, weight: 0, details: `&lt;strong&gt;Start:&lt;/strong&gt; Speak with Toffa&lt;br&gt;&lt;strong&gt;Reward:&lt;/strong&gt; Purple Rupee, Silver Rupee, 2 Pony Points` },</v>
      </c>
    </row>
    <row r="18" spans="1:10" x14ac:dyDescent="0.2">
      <c r="A18" t="s">
        <v>3010</v>
      </c>
      <c r="B18" t="s">
        <v>1506</v>
      </c>
      <c r="C18" s="2">
        <v>3</v>
      </c>
      <c r="D18" s="2" t="s">
        <v>785</v>
      </c>
      <c r="E18" s="2">
        <v>-1360</v>
      </c>
      <c r="F18" s="2">
        <v>727</v>
      </c>
      <c r="G18" s="2">
        <v>86</v>
      </c>
      <c r="H18" s="2">
        <v>0</v>
      </c>
      <c r="I18" t="s">
        <v>4445</v>
      </c>
      <c r="J18" t="str">
        <f t="shared" si="0"/>
        <v>{ name: "A Picture for New Serenne Stable", landmark: "Side Quest", type: "New Serenne Stable", region: 3, level: "Surface", x: -1360, y: 727, z: 86, weight: 0, details: `&lt;strong&gt;Start:&lt;/strong&gt; Examine the Empty Frame in&lt;img src="icons/stable.png" style="height: 20px; width: 20px; vertical-align: middle; margin-right: 5px;"&gt;&lt;span style="color: #c6a96a; font-weight: bold;"&gt;New Serenne Stable&lt;/span&gt;&lt;br&gt;&lt;strong&gt;Reward:&lt;/strong&gt; 1 Pony Point` },</v>
      </c>
    </row>
    <row r="19" spans="1:10" x14ac:dyDescent="0.2">
      <c r="A19" t="s">
        <v>4219</v>
      </c>
      <c r="B19" t="s">
        <v>1650</v>
      </c>
      <c r="C19" s="2">
        <v>3</v>
      </c>
      <c r="D19" s="2" t="s">
        <v>785</v>
      </c>
      <c r="E19" s="2">
        <v>-2933</v>
      </c>
      <c r="F19" s="2">
        <v>540</v>
      </c>
      <c r="G19" s="2">
        <v>169</v>
      </c>
      <c r="H19" s="2">
        <v>0</v>
      </c>
      <c r="I19" t="s">
        <v>4446</v>
      </c>
      <c r="J19" t="str">
        <f t="shared" si="0"/>
        <v>{ name: "A Picture for Tabantha Bridge Stable", landmark: "Side Quest", type: "Tabantha Bridge Stable", region: 3, level: "Surface", x: -2933, y: 540, z: 169, weight: 0, details: `&lt;strong&gt;Start:&lt;/strong&gt; Examine the Empty Frame in&lt;img src="icons/stable.png" style="height: 20px; width: 20px; vertical-align: middle; margin-right: 5px;"&gt;&lt;span style="color: #c6a96a; font-weight: bold;"&gt;Tabantha Bridge Stable&lt;/span&gt;&lt;br&gt;&lt;strong&gt;Reward:&lt;/strong&gt; 1 Pony Point, Hasty Elixir` },</v>
      </c>
    </row>
    <row r="20" spans="1:10" x14ac:dyDescent="0.2">
      <c r="A20" t="s">
        <v>3023</v>
      </c>
      <c r="B20" t="s">
        <v>799</v>
      </c>
      <c r="C20" s="2">
        <v>3</v>
      </c>
      <c r="D20" s="2" t="s">
        <v>785</v>
      </c>
      <c r="E20" s="2">
        <v>-2987</v>
      </c>
      <c r="F20" s="2">
        <v>1655</v>
      </c>
      <c r="G20" s="2">
        <v>199</v>
      </c>
      <c r="H20" s="2">
        <v>0</v>
      </c>
      <c r="I20" t="s">
        <v>4277</v>
      </c>
      <c r="J20" t="str">
        <f t="shared" si="0"/>
        <v>{ name: "Cave Mushrooms That Glow", landmark: "Side Quest", type: "Tabantha Frontier", region: 3, level: "Surface", x: -2987, y: 1655, z: 199, weight: 0, details: `&lt;strong&gt;Start:&lt;/strong&gt; Talk to Nat&lt;br&gt;&lt;strong&gt;Reward:&lt;/strong&gt; Spicy Tomato Mushroom Stew` },</v>
      </c>
    </row>
    <row r="21" spans="1:10" x14ac:dyDescent="0.2">
      <c r="A21" t="s">
        <v>3027</v>
      </c>
      <c r="B21" t="s">
        <v>1506</v>
      </c>
      <c r="C21" s="2">
        <v>3</v>
      </c>
      <c r="D21" s="2" t="s">
        <v>785</v>
      </c>
      <c r="E21" s="2">
        <v>-1333</v>
      </c>
      <c r="F21" s="2">
        <v>723</v>
      </c>
      <c r="G21" s="2">
        <v>85</v>
      </c>
      <c r="H21" s="2">
        <v>0</v>
      </c>
      <c r="I21" t="s">
        <v>4271</v>
      </c>
      <c r="J21" t="str">
        <f t="shared" si="0"/>
        <v>{ name: "Horse-Drawn Dreams", landmark: "Side Quest", type: "New Serenne Stable", region: 3, level: "Surface", x: -1333, y: 723, z: 85, weight: 0, details: `&lt;strong&gt;Start:&lt;/strong&gt; Speak With Zumi&lt;br&gt;&lt;strong&gt;Reward:&lt;/strong&gt; 100 Rupees` },</v>
      </c>
    </row>
    <row r="22" spans="1:10" x14ac:dyDescent="0.2">
      <c r="A22" t="s">
        <v>3030</v>
      </c>
      <c r="B22" t="s">
        <v>1652</v>
      </c>
      <c r="C22" s="2">
        <v>3</v>
      </c>
      <c r="D22" s="2" t="s">
        <v>785</v>
      </c>
      <c r="E22" s="2">
        <v>-2682</v>
      </c>
      <c r="F22" s="2">
        <v>1673</v>
      </c>
      <c r="G22" s="2">
        <v>258</v>
      </c>
      <c r="H22" s="2">
        <v>0</v>
      </c>
      <c r="I22" t="s">
        <v>3149</v>
      </c>
      <c r="J22" t="str">
        <f t="shared" si="0"/>
        <v>{ name: "Open the Door", landmark: "Side Quest", type: "Tabantha Hills", region: 3, level: "Surface", x: -2682, y: 1673, z: 258, weight: 0, details: `&lt;strong&gt;Start:&lt;/strong&gt; Talk to Jogo Through the Door of the Hut&lt;br&gt;&lt;strong&gt;Reward:&lt;/strong&gt; Spicy Elixir, Traveler's Shield` },</v>
      </c>
    </row>
    <row r="23" spans="1:10" x14ac:dyDescent="0.2">
      <c r="A23" t="s">
        <v>3035</v>
      </c>
      <c r="B23" t="s">
        <v>1444</v>
      </c>
      <c r="C23" s="2">
        <v>3</v>
      </c>
      <c r="D23" s="2" t="s">
        <v>785</v>
      </c>
      <c r="E23" s="2">
        <v>-3296</v>
      </c>
      <c r="F23" s="2">
        <v>1802</v>
      </c>
      <c r="G23" s="2">
        <v>121</v>
      </c>
      <c r="H23" s="2">
        <v>0</v>
      </c>
      <c r="I23" t="s">
        <v>4278</v>
      </c>
      <c r="J23" t="str">
        <f t="shared" si="0"/>
        <v>{ name: "The Rito Rope Bridge", landmark: "Side Quest", type: "Lucky Clover Gazette", region: 3, level: "Surface", x: -3296, y: 1802, z: 121, weight: 0, details: `&lt;strong&gt;Start:&lt;/strong&gt; Talk to Gesane After Completing &lt;img src="icons/main-quest.png" style="height: 20px; width: 20px; vertical-align: middle; margin-right: 5px;"&gt;&lt;span style="color: #fec043; font-weight: bold;"&gt;Tulin of Rito Village&lt;/span&gt;&lt;br&gt;&lt;strong&gt;Reward:&lt;/strong&gt; Silver Rupee` },</v>
      </c>
    </row>
    <row r="24" spans="1:10" x14ac:dyDescent="0.2">
      <c r="A24" t="s">
        <v>4657</v>
      </c>
      <c r="B24" t="s">
        <v>1624</v>
      </c>
      <c r="C24" s="2">
        <v>3</v>
      </c>
      <c r="D24" s="2" t="s">
        <v>785</v>
      </c>
      <c r="E24" s="2">
        <v>-2947</v>
      </c>
      <c r="F24" s="2">
        <v>513</v>
      </c>
      <c r="G24" s="2">
        <v>144</v>
      </c>
      <c r="H24" s="2">
        <v>0</v>
      </c>
      <c r="I24" t="s">
        <v>4279</v>
      </c>
      <c r="J24" t="str">
        <f t="shared" si="0"/>
        <v>{ name: "Where Are the Wells?", landmark: "Side Quest", type: "South Akkala Stable Well", region: 3, level: "Surface", x: -2947, y: 513, z: 144, weight: 0, details: `&lt;strong&gt;Start:&lt;/strong&gt; Talk to Fera&lt;br&gt;&lt;strong&gt;Reward:&lt;/strong&gt; All's Well` },</v>
      </c>
    </row>
    <row r="25" spans="1:10" x14ac:dyDescent="0.2">
      <c r="A25" t="s">
        <v>3024</v>
      </c>
      <c r="B25" t="s">
        <v>1176</v>
      </c>
      <c r="C25" s="2">
        <v>4</v>
      </c>
      <c r="D25" s="2" t="s">
        <v>785</v>
      </c>
      <c r="E25" s="2">
        <v>-3217</v>
      </c>
      <c r="F25" s="2">
        <v>2456</v>
      </c>
      <c r="G25" s="2">
        <v>347</v>
      </c>
      <c r="H25" s="2">
        <v>0</v>
      </c>
      <c r="I25" t="s">
        <v>4280</v>
      </c>
      <c r="J25" t="str">
        <f t="shared" si="0"/>
        <v>{ name: "Crossing the Cold Pool", landmark: "Side Quest", type: "Corvash Peak", region: 4, level: "Surface", x: -3217, y: 2456, z: 347, weight: 0, details: `&lt;strong&gt;Start:&lt;/strong&gt; Speak With Verla&lt;br&gt;&lt;strong&gt;Reward:&lt;/strong&gt; 50 Rupees` },</v>
      </c>
    </row>
    <row r="26" spans="1:10" x14ac:dyDescent="0.2">
      <c r="A26" t="s">
        <v>3025</v>
      </c>
      <c r="B26" t="s">
        <v>847</v>
      </c>
      <c r="C26" s="2">
        <v>4</v>
      </c>
      <c r="D26" s="2" t="s">
        <v>785</v>
      </c>
      <c r="E26" s="2">
        <v>-3654</v>
      </c>
      <c r="F26" s="2">
        <v>1763</v>
      </c>
      <c r="G26" s="2">
        <v>214</v>
      </c>
      <c r="H26" s="2">
        <v>0</v>
      </c>
      <c r="I26" t="s">
        <v>4281</v>
      </c>
      <c r="J26" t="str">
        <f t="shared" si="0"/>
        <v>{ name: "Fish for Fletching", landmark: "Side Quest", type: "Rito Village", region: 4, level: "Surface", x: -3654, y: 1763, z: 214, weight: 0, details: `&lt;strong&gt;Start:&lt;/strong&gt; Talk to Bedoli After Completing &lt;img src="icons/main-quest.png" style="height: 20px; width: 20px; vertical-align: middle; margin-right: 5px;"&gt;&lt;span style="color: #fec043; font-weight: bold;"&gt;Tulin of Rito Village&lt;/span&gt;&lt;br&gt;&lt;strong&gt;Reward:&lt;/strong&gt; Arrows x10` },</v>
      </c>
    </row>
    <row r="27" spans="1:10" x14ac:dyDescent="0.2">
      <c r="A27" t="s">
        <v>3026</v>
      </c>
      <c r="B27" t="s">
        <v>847</v>
      </c>
      <c r="C27" s="2">
        <v>4</v>
      </c>
      <c r="D27" s="2" t="s">
        <v>785</v>
      </c>
      <c r="E27" s="2">
        <v>-3641</v>
      </c>
      <c r="F27" s="2">
        <v>1820</v>
      </c>
      <c r="G27" s="2">
        <v>184</v>
      </c>
      <c r="H27" s="2">
        <v>0</v>
      </c>
      <c r="I27" t="s">
        <v>3119</v>
      </c>
      <c r="J27" t="str">
        <f t="shared" si="0"/>
        <v>{ name: "Genli's Home Cooking", landmark: "Side Quest", type: "Rito Village", region: 4, level: "Surface", x: -3641, y: 1820, z: 184, weight: 0, details: `&lt;strong&gt;Start:&lt;/strong&gt; Talk to Genli at the General Store&lt;br&gt;&lt;strong&gt;Reward:&lt;/strong&gt; Biting Simmered Fruit` },</v>
      </c>
    </row>
    <row r="28" spans="1:10" x14ac:dyDescent="0.2">
      <c r="A28" t="s">
        <v>3038</v>
      </c>
      <c r="B28" t="s">
        <v>2594</v>
      </c>
      <c r="C28" s="2">
        <v>4</v>
      </c>
      <c r="D28" s="2" t="s">
        <v>785</v>
      </c>
      <c r="E28" s="2">
        <v>-3883</v>
      </c>
      <c r="F28" s="2">
        <v>3691</v>
      </c>
      <c r="G28" s="2">
        <v>223</v>
      </c>
      <c r="H28" s="2">
        <v>0</v>
      </c>
      <c r="I28" t="s">
        <v>4282</v>
      </c>
      <c r="J28" t="str">
        <f t="shared" si="0"/>
        <v>{ name: "Gerudo's Colossal Fossil", landmark: "Side Quest", type: "Gerudo Great Skeleton", region: 4, level: "Surface", x: -3883, y: 3691, z: 223, weight: 0, details: `&lt;strong&gt;Start:&lt;/strong&gt; Finish &lt;img src="icons/side-quest.png" style="height: 20px; width: 20px; vertical-align: middle; margin-right: 5px;"&gt;&lt;span style="color: #c6a96a; font-weight: bold;"&gt;Hebra's Colossal Fossil&lt;/span&gt;&lt;br&gt;&lt;strong&gt;Reward:&lt;/strong&gt; Purple Rupee` },</v>
      </c>
    </row>
    <row r="29" spans="1:10" x14ac:dyDescent="0.2">
      <c r="A29" t="s">
        <v>4636</v>
      </c>
      <c r="B29" t="s">
        <v>1217</v>
      </c>
      <c r="C29" s="2">
        <v>4</v>
      </c>
      <c r="D29" s="2" t="s">
        <v>785</v>
      </c>
      <c r="E29" s="2">
        <v>-3794</v>
      </c>
      <c r="F29" s="2">
        <v>2319</v>
      </c>
      <c r="G29" s="2">
        <v>161</v>
      </c>
      <c r="H29" s="2">
        <v>0</v>
      </c>
      <c r="I29" t="s">
        <v>4283</v>
      </c>
      <c r="J29" t="str">
        <f t="shared" si="0"/>
        <v>{ name: "Kaneli’s Flight Training", landmark: "Side Quest", type: "Dronoc's Pass", region: 4, level: "Surface", x: -3794, y: 2319, z: 161, weight: 0, details: `&lt;strong&gt;Start:&lt;/strong&gt; Talk to Kaneli&lt;br&gt;&lt;strong&gt;Reward:&lt;/strong&gt; Purple Rupee` },</v>
      </c>
    </row>
    <row r="30" spans="1:10" x14ac:dyDescent="0.2">
      <c r="A30" t="s">
        <v>3028</v>
      </c>
      <c r="B30" t="s">
        <v>847</v>
      </c>
      <c r="C30" s="2">
        <v>4</v>
      </c>
      <c r="D30" s="2" t="s">
        <v>785</v>
      </c>
      <c r="E30" s="2">
        <v>-3609</v>
      </c>
      <c r="F30" s="2">
        <v>1824</v>
      </c>
      <c r="G30" s="2">
        <v>218</v>
      </c>
      <c r="H30" s="2">
        <v>0</v>
      </c>
      <c r="I30" t="s">
        <v>4284</v>
      </c>
      <c r="J30" t="str">
        <f t="shared" si="0"/>
        <v>{ name: "Legacy of the Rito", landmark: "Side Quest", type: "Rito Village", region: 4, level: "Surface", x: -3609, y: 1824, z: 218, weight: 0, details: `&lt;strong&gt;Start:&lt;/strong&gt; Talk to Teba After Completing &lt;img src="icons/main-quest.png" style="height: 20px; width: 20px; vertical-align: middle; margin-right: 5px;"&gt;&lt;span style="color: #fec043; font-weight: bold;"&gt;Tulin of Rito Village&lt;/span&gt;&lt;br&gt;&lt;strong&gt;Reward:&lt;/strong&gt; Great Eagle Bow` },</v>
      </c>
    </row>
    <row r="31" spans="1:10" x14ac:dyDescent="0.2">
      <c r="A31" t="s">
        <v>3029</v>
      </c>
      <c r="B31" t="s">
        <v>847</v>
      </c>
      <c r="C31" s="2">
        <v>4</v>
      </c>
      <c r="D31" s="2" t="s">
        <v>785</v>
      </c>
      <c r="E31" s="2">
        <v>-3616</v>
      </c>
      <c r="F31" s="2">
        <v>1793</v>
      </c>
      <c r="G31" s="2">
        <v>214</v>
      </c>
      <c r="H31" s="2">
        <v>0</v>
      </c>
      <c r="I31" t="s">
        <v>4285</v>
      </c>
      <c r="J31" t="str">
        <f t="shared" si="0"/>
        <v>{ name: "Molli the Fletcher's Quest", landmark: "Side Quest", type: "Rito Village", region: 4, level: "Surface", x: -3616, y: 1793, z: 214, weight: 0, details: `&lt;strong&gt;Start:&lt;/strong&gt; Speak With Molli in Her Home&lt;br&gt;&lt;strong&gt;Reward:&lt;/strong&gt; Arrow x10` },</v>
      </c>
    </row>
    <row r="32" spans="1:10" x14ac:dyDescent="0.2">
      <c r="A32" t="s">
        <v>3032</v>
      </c>
      <c r="B32" t="s">
        <v>1585</v>
      </c>
      <c r="C32" s="2">
        <v>4</v>
      </c>
      <c r="D32" s="2" t="s">
        <v>785</v>
      </c>
      <c r="E32" s="2">
        <v>-3581</v>
      </c>
      <c r="F32" s="2">
        <v>2474</v>
      </c>
      <c r="G32" s="2">
        <v>228</v>
      </c>
      <c r="H32" s="2">
        <v>0</v>
      </c>
      <c r="I32" t="s">
        <v>4286</v>
      </c>
      <c r="J32" t="str">
        <f t="shared" si="0"/>
        <v>{ name: "The Blocked Cave", landmark: "Side Quest", type: "Rospro Pass", region: 4, level: "Surface", x: -3581, y: 2474, z: 228, weight: 0, details: `&lt;strong&gt;Start:&lt;/strong&gt; Find and Talk to Mazli&lt;br&gt;&lt;strong&gt;Reward:&lt;/strong&gt; Red Rupee` },</v>
      </c>
    </row>
    <row r="33" spans="1:10" x14ac:dyDescent="0.2">
      <c r="A33" t="s">
        <v>3040</v>
      </c>
      <c r="B33" t="s">
        <v>1135</v>
      </c>
      <c r="C33" s="2">
        <v>4</v>
      </c>
      <c r="D33" s="2" t="s">
        <v>785</v>
      </c>
      <c r="E33" s="2">
        <v>-2954</v>
      </c>
      <c r="F33" s="2">
        <v>3140</v>
      </c>
      <c r="G33" s="2">
        <v>572</v>
      </c>
      <c r="H33" s="2">
        <v>0</v>
      </c>
      <c r="I33" t="s">
        <v>4288</v>
      </c>
      <c r="J33" t="str">
        <f t="shared" si="0"/>
        <v>{ name: "The Duchess Who Disappeared", landmark: "Side Quest", type: "Biron Snowshelf", region: 4, level: "Surface", x: -2954, y: 3140, z: 572, weight: 0, details: `&lt;strong&gt;Start:&lt;/strong&gt; Talk to Russ Inside&lt;br&gt;&lt;img src="icons/location.png" style="height: 20px; width: 20px; vertical-align: middle; margin-right: 5px;"&gt;&lt;span style="color: #c6a96a; font-weight: bold;"&gt;Selmie's Spot&lt;/span&gt;&lt;br&gt;&lt;strong&gt;Reward:&lt;/strong&gt; Strong Zonaite Shield` },</v>
      </c>
    </row>
    <row r="34" spans="1:10" x14ac:dyDescent="0.2">
      <c r="A34" t="s">
        <v>3036</v>
      </c>
      <c r="B34" t="s">
        <v>847</v>
      </c>
      <c r="C34" s="2">
        <v>4</v>
      </c>
      <c r="D34" s="2" t="s">
        <v>785</v>
      </c>
      <c r="E34" s="2">
        <v>-3610</v>
      </c>
      <c r="F34" s="2">
        <v>1812</v>
      </c>
      <c r="G34" s="2">
        <v>218</v>
      </c>
      <c r="H34" s="2">
        <v>0</v>
      </c>
      <c r="I34" t="s">
        <v>4287</v>
      </c>
      <c r="J34" t="str">
        <f t="shared" si="0"/>
        <v>{ name: "Treasure of the Secret Springs", landmark: "Side Quest", type: "Rito Village", region: 4, level: "Surface", x: -3610, y: 1812, z: 218, weight: 0, details: `&lt;strong&gt;Start:&lt;/strong&gt; Talk to Tulin After Completing &lt;img src="icons/main-quest.png" style="height: 20px; width: 20px; vertical-align: middle; margin-right: 5px;"&gt;&lt;span style="color: #fec043; font-weight: bold;"&gt;Tulin of Rito Village&lt;/span&gt;&lt;br&gt;&lt;strong&gt;Reward:&lt;/strong&gt; Vah Medoh Divine Helm` },</v>
      </c>
    </row>
    <row r="35" spans="1:10" x14ac:dyDescent="0.2">
      <c r="A35" t="s">
        <v>3037</v>
      </c>
      <c r="B35" t="s">
        <v>1619</v>
      </c>
      <c r="C35" s="2">
        <v>5</v>
      </c>
      <c r="D35" s="2" t="s">
        <v>785</v>
      </c>
      <c r="E35" s="2">
        <v>-1644</v>
      </c>
      <c r="F35" s="2">
        <v>2572</v>
      </c>
      <c r="G35" s="2">
        <v>234</v>
      </c>
      <c r="H35" s="2">
        <v>0</v>
      </c>
      <c r="I35" t="s">
        <v>4447</v>
      </c>
      <c r="J35" t="str">
        <f t="shared" si="0"/>
        <v>{ name: "A Picture for Snowfield Stable", landmark: "Side Quest", type: "Snowfield Stable", region: 5, level: "Surface", x: -1644, y: 2572, z: 234, weight: 0, details: `&lt;strong&gt;Start:&lt;/strong&gt; Examine the Empty Frame in&lt;img src="icons/stable.png" style="height: 20px; width: 20px; vertical-align: middle; margin-right: 5px;"&gt;&lt;span style="color: #c6a96a; font-weight: bold;"&gt;Snowfield Stable&lt;/span&gt;&lt;br&gt;&lt;strong&gt;Reward:&lt;/strong&gt; 1 Pony Point, Spicy Meat Stew` },</v>
      </c>
    </row>
    <row r="36" spans="1:10" x14ac:dyDescent="0.2">
      <c r="A36" t="s">
        <v>3031</v>
      </c>
      <c r="B36" t="s">
        <v>1652</v>
      </c>
      <c r="C36" s="2">
        <v>5</v>
      </c>
      <c r="D36" s="2" t="s">
        <v>785</v>
      </c>
      <c r="E36" s="2">
        <v>-2175</v>
      </c>
      <c r="F36" s="2">
        <v>2028</v>
      </c>
      <c r="G36" s="2">
        <v>363</v>
      </c>
      <c r="H36" s="2">
        <v>0</v>
      </c>
      <c r="I36" t="s">
        <v>3120</v>
      </c>
      <c r="J36" t="str">
        <f t="shared" si="0"/>
        <v>{ name: "Supply-Eyeing Fliers", landmark: "Side Quest", type: "Tabantha Hills", region: 5, level: "Surface", x: -2175, y: 2028, z: 363, weight: 0, details: `&lt;strong&gt;Start:&lt;/strong&gt; Talk to Huck&lt;br&gt;&lt;strong&gt;Reward:&lt;/strong&gt; Purple Rupee` },</v>
      </c>
    </row>
    <row r="37" spans="1:10" x14ac:dyDescent="0.2">
      <c r="A37" t="s">
        <v>3039</v>
      </c>
      <c r="B37" t="s">
        <v>1619</v>
      </c>
      <c r="C37" s="2">
        <v>5</v>
      </c>
      <c r="D37" s="2" t="s">
        <v>785</v>
      </c>
      <c r="E37" s="2">
        <v>-1661</v>
      </c>
      <c r="F37" s="2">
        <v>2542</v>
      </c>
      <c r="G37" s="2">
        <v>233</v>
      </c>
      <c r="H37" s="2">
        <v>0</v>
      </c>
      <c r="I37" t="s">
        <v>4291</v>
      </c>
      <c r="J37" t="str">
        <f t="shared" si="0"/>
        <v>{ name: "The Captured Tent", landmark: "Side Quest", type: "Snowfield Stable", region: 5, level: "Surface", x: -1661, y: 2542, z: 233, weight: 0, details: `&lt;strong&gt;Start:&lt;/strong&gt; Talk to Nat and Meghyn after Completing &lt;img src="icons/side-quest.png" style="height: 20px; width: 20px; vertical-align: middle; margin-right: 5px;"&gt;&lt;span style="color: #c6a96a; font-weight: bold;"&gt;Cave Mushrooms That Glow&lt;/span&gt;&lt;br&gt;&lt;strong&gt;Reward:&lt;/strong&gt; Spicy Steamed Mushrooms` },</v>
      </c>
    </row>
    <row r="38" spans="1:10" x14ac:dyDescent="0.2">
      <c r="A38" t="s">
        <v>3034</v>
      </c>
      <c r="B38" t="s">
        <v>1273</v>
      </c>
      <c r="C38" s="2">
        <v>5</v>
      </c>
      <c r="D38" s="2" t="s">
        <v>785</v>
      </c>
      <c r="E38" s="2">
        <v>-1068</v>
      </c>
      <c r="F38" s="2">
        <v>2684</v>
      </c>
      <c r="G38" s="2">
        <v>-81</v>
      </c>
      <c r="H38" s="2">
        <v>0</v>
      </c>
      <c r="I38" t="s">
        <v>4289</v>
      </c>
      <c r="J38" t="str">
        <f t="shared" si="0"/>
        <v>{ name: "The Mother Goddess Statue", landmark: "Side Quest", type: "Forgotten Temple", region: 5, level: "Surface", x: -1068, y: 2684, z: -81, weight: 0, details: `&lt;strong&gt;Start:&lt;/strong&gt; Complete All Requests of the &lt;img src="icons/goddess-statue.png" style="height: 20px; width: 20px; vertical-align: middle; margin-right: 5px;"&gt;&lt;span style="color: #7cc9c2; font-weight: bold;"&gt;GODDESS STATUES&lt;/span&gt;&lt;br&gt;&lt;strong&gt;Reward:&lt;/strong&gt; White Sword of the Sky` },</v>
      </c>
    </row>
    <row r="39" spans="1:10" x14ac:dyDescent="0.2">
      <c r="A39" t="s">
        <v>3041</v>
      </c>
      <c r="B39" t="s">
        <v>1518</v>
      </c>
      <c r="C39" s="2">
        <v>5</v>
      </c>
      <c r="D39" s="2" t="s">
        <v>785</v>
      </c>
      <c r="E39" s="2">
        <v>-799</v>
      </c>
      <c r="F39" s="2">
        <v>3535</v>
      </c>
      <c r="G39" s="2">
        <v>235</v>
      </c>
      <c r="H39" s="2">
        <v>0</v>
      </c>
      <c r="I39" t="s">
        <v>3121</v>
      </c>
      <c r="J39" t="str">
        <f t="shared" si="0"/>
        <v>{ name: "The North Lomei Prophecy", landmark: "Side Quest", type: "North Lomei Labyrinth", region: 5, level: "Surface", x: -799, y: 3535, z: 235, weight: 0, details: `&lt;strong&gt;Start:&lt;/strong&gt; Activate the North Lomei Labyrinth Terminal&lt;br&gt;&lt;strong&gt;Reward:&lt;/strong&gt; Evil Spirit Greaves` },</v>
      </c>
    </row>
    <row r="40" spans="1:10" x14ac:dyDescent="0.2">
      <c r="A40" t="s">
        <v>3016</v>
      </c>
      <c r="B40" t="s">
        <v>4659</v>
      </c>
      <c r="C40" s="2">
        <v>5</v>
      </c>
      <c r="D40" s="2" t="s">
        <v>785</v>
      </c>
      <c r="E40" s="2">
        <v>-1106</v>
      </c>
      <c r="F40" s="2">
        <v>2658</v>
      </c>
      <c r="G40" s="2">
        <v>0</v>
      </c>
      <c r="H40" s="2">
        <v>0</v>
      </c>
      <c r="I40" t="s">
        <v>4290</v>
      </c>
      <c r="J40" t="str">
        <f t="shared" si="0"/>
        <v>{ name: "The Shrine Explorer", landmark: "Side Quest", type: "Shrine of Light", region: 5, level: "Surface", x: -1106, y: 2658, z: 0, weight: 0, details: `&lt;strong&gt;Start:&lt;/strong&gt; No Specific Location - Complete All 152 &lt;img src="icons/shrine.png" style="height: 20px; width: 20px; vertical-align: middle; margin-right: 5px;"&gt;&lt;span style="color: #c6a96a; font-weight: bold;"&gt;SHRINES&lt;/span&gt;&lt;br&gt;&lt;strong&gt;Reward:&lt;/strong&gt; Ancient Hero's Aspect` },</v>
      </c>
    </row>
    <row r="41" spans="1:10" x14ac:dyDescent="0.2">
      <c r="A41" t="s">
        <v>3042</v>
      </c>
      <c r="B41" t="s">
        <v>1619</v>
      </c>
      <c r="C41" s="2">
        <v>5</v>
      </c>
      <c r="D41" s="2" t="s">
        <v>785</v>
      </c>
      <c r="E41" s="2">
        <v>-1654</v>
      </c>
      <c r="F41" s="2">
        <v>2533</v>
      </c>
      <c r="G41" s="2">
        <v>233</v>
      </c>
      <c r="H41" s="2">
        <v>0</v>
      </c>
      <c r="I41" t="s">
        <v>4292</v>
      </c>
      <c r="J41" t="str">
        <f t="shared" si="0"/>
        <v>{ name: "Who Finds the Haven", landmark: "Side Quest", type: "Snowfield Stable", region: 5, level: "Surface", x: -1654, y: 2533, z: 233, weight: 0, details: `&lt;strong&gt;Start:&lt;/strong&gt; Talk to Nat and Meghyn after Completing &lt;img src="icons/side-quest.png" style="height: 20px; width: 20px; vertical-align: middle; margin-right: 5px;"&gt;&lt;span style="color: #c6a96a; font-weight: bold;"&gt;The Captured Tent&lt;/span&gt;&lt;br&gt;&lt;strong&gt;Reward:&lt;/strong&gt; Access to a room filled with Mushrooms` },</v>
      </c>
    </row>
    <row r="42" spans="1:10" x14ac:dyDescent="0.2">
      <c r="A42" t="s">
        <v>3058</v>
      </c>
      <c r="B42" t="s">
        <v>1341</v>
      </c>
      <c r="C42" s="2">
        <v>6</v>
      </c>
      <c r="D42" s="2" t="s">
        <v>785</v>
      </c>
      <c r="E42" s="2">
        <v>1670</v>
      </c>
      <c r="F42" s="2">
        <v>3668</v>
      </c>
      <c r="G42" s="2">
        <v>100</v>
      </c>
      <c r="H42" s="2">
        <v>0</v>
      </c>
      <c r="I42" t="s">
        <v>4293</v>
      </c>
      <c r="J42" t="str">
        <f t="shared" si="0"/>
        <v>{ name: "Hebra's Colossal Fossil", landmark: "Side Quest", type: "Hebra North Summit", region: 6, level: "Surface", x: 1670, y: 3668, z: 100, weight: 0, details: `&lt;strong&gt;Start:&lt;/strong&gt; Finish &lt;img src="icons/side-quest.png" style="height: 20px; width: 20px; vertical-align: middle; margin-right: 5px;"&gt;&lt;span style="color: #c6a96a; font-weight: bold;"&gt;Eldin's Colossal Fossil&lt;/span&gt;&lt;br&gt;&lt;strong&gt;Reward:&lt;/strong&gt; Purple Rupee` },</v>
      </c>
    </row>
    <row r="43" spans="1:10" x14ac:dyDescent="0.2">
      <c r="A43" t="s">
        <v>3043</v>
      </c>
      <c r="B43" t="s">
        <v>1399</v>
      </c>
      <c r="C43" s="2">
        <v>6</v>
      </c>
      <c r="D43" s="2" t="s">
        <v>785</v>
      </c>
      <c r="E43" s="2">
        <v>407</v>
      </c>
      <c r="F43" s="2">
        <v>2182</v>
      </c>
      <c r="G43" s="2">
        <v>179</v>
      </c>
      <c r="H43" s="2">
        <v>0</v>
      </c>
      <c r="I43" t="s">
        <v>3122</v>
      </c>
      <c r="J43" t="str">
        <f t="shared" si="0"/>
        <v>{ name: "The Secret Room", landmark: "Side Quest", type: "Korok Forest", region: 6, level: "Surface", x: 407, y: 2182, z: 179, weight: 0, details: `&lt;strong&gt;Start:&lt;/strong&gt; Talk to Oaki&lt;br&gt;&lt;strong&gt;Reward:&lt;/strong&gt; Korok Fabric` },</v>
      </c>
    </row>
    <row r="44" spans="1:10" x14ac:dyDescent="0.2">
      <c r="A44" t="s">
        <v>3017</v>
      </c>
      <c r="B44" t="s">
        <v>1558</v>
      </c>
      <c r="C44" s="2">
        <v>6</v>
      </c>
      <c r="D44" s="2" t="s">
        <v>785</v>
      </c>
      <c r="E44" s="2">
        <v>600</v>
      </c>
      <c r="F44" s="2">
        <v>1283</v>
      </c>
      <c r="G44" s="2">
        <v>47</v>
      </c>
      <c r="H44" s="2">
        <v>0</v>
      </c>
      <c r="I44" t="s">
        <v>3117</v>
      </c>
      <c r="J44" t="str">
        <f t="shared" si="0"/>
        <v>{ name: "The Treasure Hunters", landmark: "Side Quest", type: "Rauru Hillside", region: 6, level: "Surface", x: 600, y: 1283, z: 47, weight: 0, details: `&lt;strong&gt;Start:&lt;/strong&gt; Talk to Domidak&lt;br&gt;&lt;strong&gt;Reward:&lt;/strong&gt; Bomb Flowers` },</v>
      </c>
    </row>
    <row r="45" spans="1:10" x14ac:dyDescent="0.2">
      <c r="A45" t="s">
        <v>3044</v>
      </c>
      <c r="B45" t="s">
        <v>1399</v>
      </c>
      <c r="C45" s="2">
        <v>6</v>
      </c>
      <c r="D45" s="2" t="s">
        <v>785</v>
      </c>
      <c r="E45" s="2">
        <v>424</v>
      </c>
      <c r="F45" s="2">
        <v>2182</v>
      </c>
      <c r="G45" s="2">
        <v>227</v>
      </c>
      <c r="H45" s="2">
        <v>0</v>
      </c>
      <c r="I45" t="s">
        <v>3123</v>
      </c>
      <c r="J45" t="str">
        <f t="shared" si="0"/>
        <v>{ name: "Walton's Treasure Hunt", landmark: "Side Quest", type: "Korok Forest", region: 6, level: "Surface", x: 424, y: 2182, z: 227, weight: 0, details: `&lt;strong&gt;Start:&lt;/strong&gt; Talk to Walton&lt;br&gt;&lt;strong&gt;Reward:&lt;/strong&gt; Forest Dweller's Bow` },</v>
      </c>
    </row>
    <row r="46" spans="1:10" x14ac:dyDescent="0.2">
      <c r="A46" t="s">
        <v>3045</v>
      </c>
      <c r="B46" t="s">
        <v>1399</v>
      </c>
      <c r="C46" s="2">
        <v>6</v>
      </c>
      <c r="D46" s="2" t="s">
        <v>785</v>
      </c>
      <c r="E46" s="2">
        <v>418</v>
      </c>
      <c r="F46" s="2">
        <v>2132</v>
      </c>
      <c r="G46" s="2">
        <v>143</v>
      </c>
      <c r="H46" s="2">
        <v>0</v>
      </c>
      <c r="I46" t="s">
        <v>3124</v>
      </c>
      <c r="J46" t="str">
        <f t="shared" si="0"/>
        <v>{ name: "Whirly Swirly Things", landmark: "Side Quest", type: "Korok Forest", region: 6, level: "Surface", x: 418, y: 2132, z: 143, weight: 0, details: `&lt;strong&gt;Start:&lt;/strong&gt; Talk to Kula After Curing the Deku Tree&lt;br&gt;&lt;strong&gt;Reward:&lt;/strong&gt; Endura Carrot x5` },</v>
      </c>
    </row>
    <row r="47" spans="1:10" x14ac:dyDescent="0.2">
      <c r="A47" t="s">
        <v>3054</v>
      </c>
      <c r="B47" t="s">
        <v>1031</v>
      </c>
      <c r="C47" s="2">
        <v>7</v>
      </c>
      <c r="D47" s="2" t="s">
        <v>785</v>
      </c>
      <c r="E47" s="2">
        <v>2619</v>
      </c>
      <c r="F47" s="2">
        <v>1151</v>
      </c>
      <c r="G47" s="2">
        <v>148</v>
      </c>
      <c r="H47" s="2">
        <v>0</v>
      </c>
      <c r="I47" t="s">
        <v>4448</v>
      </c>
      <c r="J47" t="str">
        <f t="shared" si="0"/>
        <v>{ name: "A Picture for Foothill Stable", landmark: "Side Quest", type: "Foothill Stable", region: 7, level: "Surface", x: 2619, y: 1151, z: 148, weight: 0, details: `&lt;strong&gt;Start:&lt;/strong&gt; Examine the Empty Frame in&lt;img src="icons/stable.png" style="height: 20px; width: 20px; vertical-align: middle; margin-right: 5px;"&gt;&lt;span style="color: #c6a96a; font-weight: bold;"&gt;Foothill Stable&lt;/span&gt;&lt;br&gt;&lt;strong&gt;Reward:&lt;/strong&gt; 1 Pony Point, Fireproof Elixir` },</v>
      </c>
    </row>
    <row r="48" spans="1:10" x14ac:dyDescent="0.2">
      <c r="A48" t="s">
        <v>3055</v>
      </c>
      <c r="B48" t="s">
        <v>1716</v>
      </c>
      <c r="C48" s="2">
        <v>7</v>
      </c>
      <c r="D48" s="2" t="s">
        <v>785</v>
      </c>
      <c r="E48" s="2">
        <v>1060</v>
      </c>
      <c r="F48" s="2">
        <v>1135</v>
      </c>
      <c r="G48" s="2">
        <v>22</v>
      </c>
      <c r="H48" s="2">
        <v>0</v>
      </c>
      <c r="I48" t="s">
        <v>4449</v>
      </c>
      <c r="J48" t="str">
        <f t="shared" si="0"/>
        <v>{ name: "A Picture for Woodland Stable", landmark: "Side Quest", type: "Woodland Stable", region: 7, level: "Surface", x: 1060, y: 1135, z: 22, weight: 0, details: `&lt;strong&gt;Start:&lt;/strong&gt; Examine the Empty Frame in&lt;img src="icons/stable.png" style="height: 20px; width: 20px; vertical-align: middle; margin-right: 5px;"&gt;&lt;span style="color: #c6a96a; font-weight: bold;"&gt;Woodland Stable&lt;/span&gt;&lt;br&gt;&lt;strong&gt;Reward:&lt;/strong&gt; 1 Pony Point, Hasty Vegetable Curry` },</v>
      </c>
    </row>
    <row r="49" spans="1:10" x14ac:dyDescent="0.2">
      <c r="A49" t="s">
        <v>3056</v>
      </c>
      <c r="B49" t="s">
        <v>1302</v>
      </c>
      <c r="C49" s="2">
        <v>7</v>
      </c>
      <c r="D49" s="2" t="s">
        <v>785</v>
      </c>
      <c r="E49" s="2">
        <v>1660</v>
      </c>
      <c r="F49" s="2">
        <v>2469</v>
      </c>
      <c r="G49" s="2">
        <v>386</v>
      </c>
      <c r="H49" s="2">
        <v>0</v>
      </c>
      <c r="I49" t="s">
        <v>3151</v>
      </c>
      <c r="J49" t="str">
        <f t="shared" si="0"/>
        <v>{ name: "Amber Dealer", landmark: "Side Quest", type: "Goron City", region: 7, level: "Surface", x: 1660, y: 2469, z: 386, weight: 0, details: `&lt;strong&gt;Start:&lt;/strong&gt; Talk to Ramella&lt;br&gt;&lt;strong&gt;Reward:&lt;/strong&gt; Rupees x200, Selling Ores to Ramella` },</v>
      </c>
    </row>
    <row r="50" spans="1:10" x14ac:dyDescent="0.2">
      <c r="A50" t="s">
        <v>3057</v>
      </c>
      <c r="B50" t="s">
        <v>1133</v>
      </c>
      <c r="C50" s="2">
        <v>7</v>
      </c>
      <c r="D50" s="2" t="s">
        <v>785</v>
      </c>
      <c r="E50" s="2">
        <v>1751</v>
      </c>
      <c r="F50" s="2">
        <v>1537</v>
      </c>
      <c r="G50" s="2">
        <v>278</v>
      </c>
      <c r="H50" s="2">
        <v>0</v>
      </c>
      <c r="I50" t="s">
        <v>3129</v>
      </c>
      <c r="J50" t="str">
        <f t="shared" si="0"/>
        <v>{ name: "Cash In on Ripened Flint", landmark: "Side Quest", type: "Bedrock Bistro", region: 7, level: "Surface", x: 1751, y: 1537, z: 278, weight: 0, details: `&lt;strong&gt;Start:&lt;/strong&gt; Talk to Gomo&lt;br&gt;&lt;strong&gt;Reward:&lt;/strong&gt; Rupees x1000` },</v>
      </c>
    </row>
    <row r="51" spans="1:10" x14ac:dyDescent="0.2">
      <c r="A51" t="s">
        <v>4294</v>
      </c>
      <c r="B51" t="s">
        <v>959</v>
      </c>
      <c r="C51" s="2">
        <v>7</v>
      </c>
      <c r="D51" s="2" t="s">
        <v>785</v>
      </c>
      <c r="E51" s="2">
        <v>1828</v>
      </c>
      <c r="F51" s="2">
        <v>2077</v>
      </c>
      <c r="G51" s="2">
        <v>321</v>
      </c>
      <c r="H51" s="2">
        <v>0</v>
      </c>
      <c r="I51" t="s">
        <v>4299</v>
      </c>
      <c r="J51" t="str">
        <f t="shared" si="0"/>
        <v>{ name: "Mine-Cart Land: Quickshot Course", landmark: "Side Quest", type: "Southern Mine", region: 7, level: "Surface", x: 1828, y: 2077, z: 321, weight: 0, details: `&lt;strong&gt;Start:&lt;/strong&gt; Talk to Bayge after Finishing &lt;img src="icons/side-quest.png" style="height: 20px; width: 20px; vertical-align: middle; margin-right: 5px;"&gt;&lt;span style="color: #c6a96a; font-weight: bold;"&gt;Mine-Cart Land: Open For Business!&lt;/span&gt;&lt;br&gt;&lt;strong&gt;Reward:&lt;/strong&gt; Purple Rupee` },</v>
      </c>
    </row>
    <row r="52" spans="1:10" x14ac:dyDescent="0.2">
      <c r="A52" t="s">
        <v>4295</v>
      </c>
      <c r="B52" t="s">
        <v>1165</v>
      </c>
      <c r="C52" s="2">
        <v>7</v>
      </c>
      <c r="D52" s="2" t="s">
        <v>785</v>
      </c>
      <c r="E52" s="2">
        <v>2582</v>
      </c>
      <c r="F52" s="2">
        <v>1426</v>
      </c>
      <c r="G52" s="2">
        <v>134</v>
      </c>
      <c r="H52" s="2">
        <v>0</v>
      </c>
      <c r="I52" t="s">
        <v>4296</v>
      </c>
      <c r="J52" t="str">
        <f t="shared" si="0"/>
        <v>{ name: "Misko's Treasure: The Fierce Deity", landmark: "Side Quest", type: "Cephla Lake", region: 7, level: "Surface", x: 2582, y: 1426, z: 134, weight: 0, details: `&lt;strong&gt;Start:&lt;/strong&gt; Finish &lt;img src="icons/side-quest.png" style="height: 20px; width: 20px; vertical-align: middle; margin-right: 5px;"&gt;&lt;span style="color: #c6a96a; font-weight: bold;"&gt;Misko's Cave of Chests &lt;/span&gt;&lt;br&gt;&lt;strong&gt;Reward:&lt;/strong&gt; Fierce Deity Mask, Fierce Deity Armor, Fierce Deity Boots, Fierce Deity Sword` },</v>
      </c>
    </row>
    <row r="53" spans="1:10" x14ac:dyDescent="0.2">
      <c r="A53" t="s">
        <v>4640</v>
      </c>
      <c r="B53" t="s">
        <v>1302</v>
      </c>
      <c r="C53" s="2">
        <v>7</v>
      </c>
      <c r="D53" s="2" t="s">
        <v>785</v>
      </c>
      <c r="E53" s="2">
        <v>1648</v>
      </c>
      <c r="F53" s="2">
        <v>2439</v>
      </c>
      <c r="G53" s="2">
        <v>381</v>
      </c>
      <c r="H53" s="2">
        <v>0</v>
      </c>
      <c r="I53" t="s">
        <v>4263</v>
      </c>
      <c r="J53" t="str">
        <f t="shared" si="0"/>
        <v>{ name: "The Hidden Treasure at Lizard Lakes", landmark: "Side Quest", type: "Goron City", region: 7, level: "Surface", x: 1648, y: 2439, z: 381, weight: 0, details: `&lt;strong&gt;Start:&lt;/strong&gt; Talk to Bludo&lt;br&gt;&lt;strong&gt;Reward:&lt;/strong&gt; Vah Rudania Divine Helm` },</v>
      </c>
    </row>
    <row r="54" spans="1:10" x14ac:dyDescent="0.2">
      <c r="A54" t="s">
        <v>4641</v>
      </c>
      <c r="B54" t="s">
        <v>1165</v>
      </c>
      <c r="C54" s="2">
        <v>7</v>
      </c>
      <c r="D54" s="2" t="s">
        <v>785</v>
      </c>
      <c r="E54" s="2">
        <v>2603</v>
      </c>
      <c r="F54" s="2">
        <v>1319</v>
      </c>
      <c r="G54" s="2">
        <v>150</v>
      </c>
      <c r="H54" s="2">
        <v>0</v>
      </c>
      <c r="I54" t="s">
        <v>4670</v>
      </c>
      <c r="J54" t="str">
        <f t="shared" si="0"/>
        <v>{ name: "Misko's Treasure: Twins Manuscript", landmark: "Side Quest", type: "Cephla Lake", region: 7, level: "Surface", x: 2603, y: 1319, z: 150, weight: 0, details: `&lt;strong&gt;Start:&lt;/strong&gt; Speak with Domidak and Prissen&lt;br&gt;&lt;strong&gt;Reward:&lt;/strong&gt; Tingle's Shirt` },</v>
      </c>
    </row>
    <row r="55" spans="1:10" x14ac:dyDescent="0.2">
      <c r="A55" t="s">
        <v>4642</v>
      </c>
      <c r="B55" t="s">
        <v>1165</v>
      </c>
      <c r="C55" s="2">
        <v>7</v>
      </c>
      <c r="D55" s="2" t="s">
        <v>785</v>
      </c>
      <c r="E55" s="2">
        <v>2609</v>
      </c>
      <c r="F55" s="2">
        <v>1313</v>
      </c>
      <c r="G55" s="2">
        <v>150</v>
      </c>
      <c r="H55" s="2">
        <v>0</v>
      </c>
      <c r="I55" t="s">
        <v>4671</v>
      </c>
      <c r="J55" t="str">
        <f t="shared" ref="J55:J56" si="1">"{ name: "&amp;CHAR(34)&amp;A55&amp;CHAR(34)&amp;", landmark: "&amp;CHAR(34)&amp;"Side Quest"&amp;CHAR(34)&amp;", type: "&amp;CHAR(34)&amp;B55&amp;CHAR(34)&amp;", region: "&amp;C55&amp;", level: "&amp;CHAR(34)&amp;D55&amp;CHAR(34)&amp;", x: "&amp;E55&amp;", y: "&amp;F55&amp;", z: "&amp;G55&amp;", weight: "&amp;H55&amp;", details: `&lt;strong&gt;Start:&lt;/strong&gt; "&amp;I55&amp;"` },"</f>
        <v>{ name: "Misko's Treasure: Pirate Manuscript", landmark: "Side Quest", type: "Cephla Lake", region: 7, level: "Surface", x: 2609, y: 1313, z: 150, weight: 0, details: `&lt;strong&gt;Start:&lt;/strong&gt; Speak with Domidak and Prissen&lt;br&gt;&lt;strong&gt;Reward:&lt;/strong&gt; Tingle's Tights` },</v>
      </c>
    </row>
    <row r="56" spans="1:10" x14ac:dyDescent="0.2">
      <c r="A56" t="s">
        <v>4643</v>
      </c>
      <c r="B56" t="s">
        <v>1165</v>
      </c>
      <c r="C56" s="2">
        <v>7</v>
      </c>
      <c r="D56" s="2" t="s">
        <v>785</v>
      </c>
      <c r="E56" s="2">
        <v>2603</v>
      </c>
      <c r="F56" s="2">
        <v>1307</v>
      </c>
      <c r="G56" s="2">
        <v>150</v>
      </c>
      <c r="H56" s="2">
        <v>0</v>
      </c>
      <c r="I56" t="s">
        <v>4672</v>
      </c>
      <c r="J56" t="str">
        <f t="shared" si="1"/>
        <v>{ name: "Misko's Treasure: Heroines Manuscript", landmark: "Side Quest", type: "Cephla Lake", region: 7, level: "Surface", x: 2603, y: 1307, z: 150, weight: 0, details: `&lt;strong&gt;Start:&lt;/strong&gt; Speak with Domidak and Prissen&lt;br&gt;&lt;strong&gt;Reward:&lt;/strong&gt; Tingle's Hood` },</v>
      </c>
    </row>
    <row r="57" spans="1:10" x14ac:dyDescent="0.2">
      <c r="A57" t="s">
        <v>3059</v>
      </c>
      <c r="B57" t="s">
        <v>1133</v>
      </c>
      <c r="C57" s="2">
        <v>7</v>
      </c>
      <c r="D57" s="2" t="s">
        <v>785</v>
      </c>
      <c r="E57" s="2">
        <v>1757</v>
      </c>
      <c r="F57" s="2">
        <v>1548</v>
      </c>
      <c r="G57" s="2">
        <v>279</v>
      </c>
      <c r="H57" s="2">
        <v>0</v>
      </c>
      <c r="I57" t="s">
        <v>3130</v>
      </c>
      <c r="J57" t="str">
        <f t="shared" si="0"/>
        <v>{ name: "Meat for Meat", landmark: "Side Quest", type: "Bedrock Bistro", region: 7, level: "Surface", x: 1757, y: 1548, z: 279, weight: 0, details: `&lt;strong&gt;Start:&lt;/strong&gt; Talk to Mezer&lt;br&gt;&lt;strong&gt;Reward:&lt;/strong&gt; Large Zonai Charge` },</v>
      </c>
    </row>
    <row r="58" spans="1:10" x14ac:dyDescent="0.2">
      <c r="A58" t="s">
        <v>3060</v>
      </c>
      <c r="B58" t="s">
        <v>959</v>
      </c>
      <c r="C58" s="2">
        <v>7</v>
      </c>
      <c r="D58" s="2" t="s">
        <v>785</v>
      </c>
      <c r="E58" s="2">
        <v>1820</v>
      </c>
      <c r="F58" s="2">
        <v>2069</v>
      </c>
      <c r="G58" s="2">
        <v>321</v>
      </c>
      <c r="H58" s="2">
        <v>0</v>
      </c>
      <c r="I58" t="s">
        <v>4300</v>
      </c>
      <c r="J58" t="str">
        <f t="shared" si="0"/>
        <v>{ name: "Mine-Cart Land: Death Mountain", landmark: "Side Quest", type: "Southern Mine", region: 7, level: "Surface", x: 1820, y: 2069, z: 321, weight: 0, details: `&lt;strong&gt;Start:&lt;/strong&gt; Talk to Bayge after Finishing &lt;img src="icons/side-quest.png" style="height: 20px; width: 20px; vertical-align: middle; margin-right: 5px;"&gt;&lt;span style="color: #c6a96a; font-weight: bold;"&gt;Mine-Cart Land: Quickshot Course&lt;/span&gt;&lt;br&gt;&lt;strong&gt;Reward:&lt;/strong&gt; Goron Fabric` },</v>
      </c>
    </row>
    <row r="59" spans="1:10" x14ac:dyDescent="0.2">
      <c r="A59" t="s">
        <v>4262</v>
      </c>
      <c r="B59" t="s">
        <v>959</v>
      </c>
      <c r="C59" s="2">
        <v>7</v>
      </c>
      <c r="D59" s="2" t="s">
        <v>785</v>
      </c>
      <c r="E59" s="2">
        <v>1836</v>
      </c>
      <c r="F59" s="2">
        <v>2069</v>
      </c>
      <c r="G59" s="2">
        <v>321</v>
      </c>
      <c r="H59" s="2">
        <v>0</v>
      </c>
      <c r="I59" t="s">
        <v>4266</v>
      </c>
      <c r="J59" t="str">
        <f t="shared" si="0"/>
        <v>{ name: "Mine-Cart Land: Open For Business!", landmark: "Side Quest", type: "Southern Mine", region: 7, level: "Surface", x: 1836, y: 2069, z: 321, weight: 0, details: `&lt;strong&gt;Start:&lt;/strong&gt; Talk to Bayge&lt;br&gt;&lt;strong&gt;Reward:&lt;/strong&gt; Red Rupee` },</v>
      </c>
    </row>
    <row r="60" spans="1:10" x14ac:dyDescent="0.2">
      <c r="A60" t="s">
        <v>3061</v>
      </c>
      <c r="B60" t="s">
        <v>1165</v>
      </c>
      <c r="C60" s="2">
        <v>7</v>
      </c>
      <c r="D60" s="2" t="s">
        <v>785</v>
      </c>
      <c r="E60" s="2">
        <v>2611</v>
      </c>
      <c r="F60" s="2">
        <v>1327</v>
      </c>
      <c r="G60" s="2">
        <v>150</v>
      </c>
      <c r="H60" s="2">
        <v>0</v>
      </c>
      <c r="I60" t="s">
        <v>4297</v>
      </c>
      <c r="J60" t="str">
        <f t="shared" si="0"/>
        <v>{ name: "Misko's Cave of Chests", landmark: "Side Quest", type: "Cephla Lake", region: 7, level: "Surface", x: 2611, y: 1327, z: 150, weight: 0, details: `&lt;strong&gt;Start:&lt;/strong&gt; Talk to Domidak and Prissen&lt;br&gt;&lt;strong&gt;Reward:&lt;/strong&gt; Ember Trousers` },</v>
      </c>
    </row>
    <row r="61" spans="1:10" x14ac:dyDescent="0.2">
      <c r="A61" t="s">
        <v>4644</v>
      </c>
      <c r="B61" t="s">
        <v>891</v>
      </c>
      <c r="C61" s="2">
        <v>7</v>
      </c>
      <c r="D61" s="2" t="s">
        <v>785</v>
      </c>
      <c r="E61" s="2">
        <v>1379</v>
      </c>
      <c r="F61" s="2">
        <v>2258</v>
      </c>
      <c r="G61" s="2">
        <v>294</v>
      </c>
      <c r="H61" s="2">
        <v>0</v>
      </c>
      <c r="I61" t="s">
        <v>4673</v>
      </c>
      <c r="J61" t="str">
        <f t="shared" si="0"/>
        <v>{ name: "Misko's Treasure of Awakening I", landmark: "Side Quest", type: "Goronbi River Cave", region: 7, level: "Surface", x: 1379, y: 2258, z: 294, weight: 0, details: `&lt;strong&gt;Start:&lt;/strong&gt; Find Misko's Letter&lt;br&gt;&lt;strong&gt;Reward:&lt;/strong&gt; Tunic of Awakening` },</v>
      </c>
    </row>
    <row r="62" spans="1:10" x14ac:dyDescent="0.2">
      <c r="A62" t="s">
        <v>4645</v>
      </c>
      <c r="B62" t="s">
        <v>853</v>
      </c>
      <c r="C62" s="2">
        <v>7</v>
      </c>
      <c r="D62" s="2" t="s">
        <v>785</v>
      </c>
      <c r="E62" s="2">
        <v>-3522</v>
      </c>
      <c r="F62" s="2">
        <v>417</v>
      </c>
      <c r="G62" s="2">
        <v>241</v>
      </c>
      <c r="H62" s="2">
        <v>0</v>
      </c>
      <c r="I62" t="s">
        <v>4674</v>
      </c>
      <c r="J62" t="str">
        <f t="shared" ref="J62:J63" si="2">"{ name: "&amp;CHAR(34)&amp;A62&amp;CHAR(34)&amp;", landmark: "&amp;CHAR(34)&amp;"Side Quest"&amp;CHAR(34)&amp;", type: "&amp;CHAR(34)&amp;B62&amp;CHAR(34)&amp;", region: "&amp;C62&amp;", level: "&amp;CHAR(34)&amp;D62&amp;CHAR(34)&amp;", x: "&amp;E62&amp;", y: "&amp;F62&amp;", z: "&amp;G62&amp;", weight: "&amp;H62&amp;", details: `&lt;strong&gt;Start:&lt;/strong&gt; "&amp;I62&amp;"` },"</f>
        <v>{ name: "Misko's Treasure of Awakening II", landmark: "Side Quest", type: "Ancient Columns Cave", region: 7, level: "Surface", x: -3522, y: 417, z: 241, weight: 0, details: `&lt;strong&gt;Start:&lt;/strong&gt; Read the sign next to where you found the Tunic of Awakening&lt;br&gt;&lt;strong&gt;Reward:&lt;/strong&gt; Trousers of Awakening` },</v>
      </c>
    </row>
    <row r="63" spans="1:10" x14ac:dyDescent="0.2">
      <c r="A63" t="s">
        <v>4646</v>
      </c>
      <c r="B63" t="s">
        <v>865</v>
      </c>
      <c r="C63" s="2">
        <v>7</v>
      </c>
      <c r="D63" s="2" t="s">
        <v>785</v>
      </c>
      <c r="E63" s="38"/>
      <c r="F63" s="38"/>
      <c r="G63" s="38"/>
      <c r="H63" s="2">
        <v>0</v>
      </c>
      <c r="I63" t="s">
        <v>4675</v>
      </c>
      <c r="J63" t="str">
        <f t="shared" si="2"/>
        <v>{ name: "Misko's Treasure of Awakening III", landmark: "Side Quest", type: "Coliseum Ruins Cave", region: 7, level: "Surface", x: , y: , z: , weight: 0, details: `&lt;strong&gt;Start:&lt;/strong&gt; Read the sign next to where you found the Trousers of Awakening&lt;br&gt;&lt;strong&gt;Reward:&lt;/strong&gt; Mask of Awakening` },</v>
      </c>
    </row>
    <row r="64" spans="1:10" x14ac:dyDescent="0.2">
      <c r="A64" t="s">
        <v>3062</v>
      </c>
      <c r="B64" t="s">
        <v>1302</v>
      </c>
      <c r="C64" s="2">
        <v>7</v>
      </c>
      <c r="D64" s="2" t="s">
        <v>785</v>
      </c>
      <c r="E64" s="2">
        <v>1677</v>
      </c>
      <c r="F64" s="2">
        <v>2427</v>
      </c>
      <c r="G64" s="2">
        <v>383</v>
      </c>
      <c r="H64" s="2">
        <v>0</v>
      </c>
      <c r="I64" t="s">
        <v>4298</v>
      </c>
      <c r="J64" t="str">
        <f t="shared" si="0"/>
        <v>{ name: "Moon-Gazing Gorons", landmark: "Side Quest", type: "Goron City", region: 7, level: "Surface", x: 1677, y: 2427, z: 383, weight: 0, details: `&lt;strong&gt;Start:&lt;/strong&gt; Talk to Tray after Finishing &lt;img src="icons/main-quest.png" style="height: 20px; width: 20px; vertical-align: middle; margin-right: 5px;"&gt;&lt;span style="color: #fec043; font-weight: bold;"&gt;Yunobo of Goron City&lt;/span&gt;&lt;br&gt;&lt;strong&gt;Reward:&lt;/strong&gt; 100 Rupees` },</v>
      </c>
    </row>
    <row r="65" spans="1:10" x14ac:dyDescent="0.2">
      <c r="A65" t="s">
        <v>3063</v>
      </c>
      <c r="B65" t="s">
        <v>1133</v>
      </c>
      <c r="C65" s="2">
        <v>7</v>
      </c>
      <c r="D65" s="2" t="s">
        <v>785</v>
      </c>
      <c r="E65" s="2">
        <v>1765</v>
      </c>
      <c r="F65" s="2">
        <v>1558</v>
      </c>
      <c r="G65" s="2">
        <v>279</v>
      </c>
      <c r="H65" s="2">
        <v>0</v>
      </c>
      <c r="I65" t="s">
        <v>3131</v>
      </c>
      <c r="J65" t="str">
        <f t="shared" si="0"/>
        <v>{ name: "Rock Roast or Dust", landmark: "Side Quest", type: "Bedrock Bistro", region: 7, level: "Surface", x: 1765, y: 1558, z: 279, weight: 0, details: `&lt;strong&gt;Start:&lt;/strong&gt; Talk to Cooke&lt;br&gt;&lt;strong&gt;Reward:&lt;/strong&gt; Seared Gourmet Steak` },</v>
      </c>
    </row>
    <row r="66" spans="1:10" x14ac:dyDescent="0.2">
      <c r="A66" t="s">
        <v>3064</v>
      </c>
      <c r="B66" t="s">
        <v>1302</v>
      </c>
      <c r="C66" s="2">
        <v>7</v>
      </c>
      <c r="D66" s="2" t="s">
        <v>785</v>
      </c>
      <c r="E66" s="2">
        <v>1705</v>
      </c>
      <c r="F66" s="2">
        <v>2423</v>
      </c>
      <c r="G66" s="2">
        <v>392</v>
      </c>
      <c r="H66" s="2">
        <v>0</v>
      </c>
      <c r="I66" t="s">
        <v>3132</v>
      </c>
      <c r="J66" t="str">
        <f t="shared" si="0"/>
        <v>{ name: "Simmerstone Springs", landmark: "Side Quest", type: "Goron City", region: 7, level: "Surface", x: 1705, y: 2423, z: 392, weight: 0, details: `&lt;strong&gt;Start:&lt;/strong&gt; Talk to Kima&lt;br&gt;&lt;strong&gt;Reward:&lt;/strong&gt; Silver Rupee` },</v>
      </c>
    </row>
    <row r="67" spans="1:10" x14ac:dyDescent="0.2">
      <c r="A67" t="s">
        <v>3065</v>
      </c>
      <c r="B67" t="s">
        <v>1302</v>
      </c>
      <c r="C67" s="2">
        <v>7</v>
      </c>
      <c r="D67" s="2" t="s">
        <v>785</v>
      </c>
      <c r="E67" s="2">
        <v>1690</v>
      </c>
      <c r="F67" s="2">
        <v>2498</v>
      </c>
      <c r="G67" s="2">
        <v>396</v>
      </c>
      <c r="H67" s="2">
        <v>0</v>
      </c>
      <c r="I67" t="s">
        <v>4301</v>
      </c>
      <c r="J67" t="str">
        <f t="shared" si="0"/>
        <v>{ name: "Soul of the Gorons", landmark: "Side Quest", type: "Goron City", region: 7, level: "Surface", x: 1690, y: 2498, z: 396, weight: 0, details: `&lt;strong&gt;Start:&lt;/strong&gt; Talk to Fugo After Finishing &lt;img src="icons/main-quest.png" style="height: 20px; width: 20px; vertical-align: middle; margin-right: 5px;"&gt;&lt;span style="color: #fec043; font-weight: bold;"&gt;Yunobo of Goron City&lt;/span&gt;&lt;br&gt;&lt;strong&gt;Reward:&lt;/strong&gt; Boulder Breaker` },</v>
      </c>
    </row>
    <row r="68" spans="1:10" x14ac:dyDescent="0.2">
      <c r="A68" t="s">
        <v>3066</v>
      </c>
      <c r="B68" t="s">
        <v>874</v>
      </c>
      <c r="C68" s="2">
        <v>7</v>
      </c>
      <c r="D68" s="2" t="s">
        <v>785</v>
      </c>
      <c r="E68" s="2">
        <v>2345</v>
      </c>
      <c r="F68" s="2">
        <v>2680</v>
      </c>
      <c r="G68" s="2">
        <v>514</v>
      </c>
      <c r="H68" s="2">
        <v>0</v>
      </c>
      <c r="I68" t="s">
        <v>4302</v>
      </c>
      <c r="J68" t="str">
        <f t="shared" si="0"/>
        <v>{ name: "The Abandoned Laborer", landmark: "Side Quest", type: "Death Mountain West Tunnel", region: 7, level: "Surface", x: 2345, y: 2680, z: 514, weight: 0, details: `&lt;strong&gt;Start:&lt;/strong&gt; Talk to Mota After Finishing &lt;img src="icons/main-quest.png" style="height: 20px; width: 20px; vertical-align: middle; margin-right: 5px;"&gt;&lt;span style="color: #fec043; font-weight: bold;"&gt;Yunobo of Goron City&lt;/span&gt;&lt;br&gt;&lt;strong&gt;Reward:&lt;/strong&gt; Large Zonai Charge` },</v>
      </c>
    </row>
    <row r="69" spans="1:10" x14ac:dyDescent="0.2">
      <c r="A69" t="s">
        <v>4637</v>
      </c>
      <c r="B69" t="s">
        <v>4638</v>
      </c>
      <c r="C69" s="2">
        <v>7</v>
      </c>
      <c r="D69" s="2" t="s">
        <v>785</v>
      </c>
      <c r="E69" s="2">
        <v>1745</v>
      </c>
      <c r="F69" s="2">
        <v>2579</v>
      </c>
      <c r="G69" s="2">
        <v>427</v>
      </c>
      <c r="H69" s="2">
        <v>0</v>
      </c>
      <c r="I69" t="s">
        <v>4666</v>
      </c>
      <c r="J69" t="str">
        <f t="shared" si="0"/>
        <v>{ name: "The Ancient City Gorondia!", landmark: "Side Quest", type: "North of Goron City", region: 7, level: "Surface", x: 1745, y: 2579, z: 427, weight: 0, details: `&lt;strong&gt;Start:&lt;/strong&gt; Talk to Dugby&lt;br&gt;&lt;strong&gt;Reward:&lt;/strong&gt; Zonai Charge` },</v>
      </c>
    </row>
    <row r="70" spans="1:10" x14ac:dyDescent="0.2">
      <c r="A70" t="s">
        <v>4639</v>
      </c>
      <c r="B70" t="s">
        <v>1302</v>
      </c>
      <c r="C70" s="2">
        <v>7</v>
      </c>
      <c r="D70" s="2" t="s">
        <v>785</v>
      </c>
      <c r="E70" s="2">
        <v>1626</v>
      </c>
      <c r="F70" s="2">
        <v>2436</v>
      </c>
      <c r="G70" s="2">
        <v>884</v>
      </c>
      <c r="H70" s="2">
        <v>0</v>
      </c>
      <c r="I70" t="s">
        <v>4667</v>
      </c>
      <c r="J70" t="str">
        <f t="shared" ref="J70" si="3">"{ name: "&amp;CHAR(34)&amp;A70&amp;CHAR(34)&amp;", landmark: "&amp;CHAR(34)&amp;"Side Quest"&amp;CHAR(34)&amp;", type: "&amp;CHAR(34)&amp;B70&amp;CHAR(34)&amp;", region: "&amp;C70&amp;", level: "&amp;CHAR(34)&amp;D70&amp;CHAR(34)&amp;", x: "&amp;E70&amp;", y: "&amp;F70&amp;", z: "&amp;G70&amp;", weight: "&amp;H70&amp;", details: `&lt;strong&gt;Start:&lt;/strong&gt; "&amp;I70&amp;"` },"</f>
        <v>{ name: "The Ancient City Gorondia?", landmark: "Side Quest", type: "Goron City", region: 7, level: "Surface", x: 1626, y: 2436, z: 884, weight: 0, details: `&lt;strong&gt;Start:&lt;/strong&gt; Talk to Dugby&lt;br&gt;&lt;strong&gt;Reward:&lt;/strong&gt; Large Zonai Charge` },</v>
      </c>
    </row>
    <row r="71" spans="1:10" x14ac:dyDescent="0.2">
      <c r="A71" t="s">
        <v>3046</v>
      </c>
      <c r="B71" t="s">
        <v>1028</v>
      </c>
      <c r="C71" s="2">
        <v>8</v>
      </c>
      <c r="D71" s="2" t="s">
        <v>785</v>
      </c>
      <c r="E71" s="2">
        <v>4235</v>
      </c>
      <c r="F71" s="2">
        <v>2736</v>
      </c>
      <c r="G71" s="2">
        <v>125</v>
      </c>
      <c r="H71" s="2">
        <v>0</v>
      </c>
      <c r="I71" t="s">
        <v>4450</v>
      </c>
      <c r="J71" t="str">
        <f t="shared" si="0"/>
        <v>{ name: "A Picture for East Akkala Stable", landmark: "Side Quest", type: "East Akkala Stable", region: 8, level: "Surface", x: 4235, y: 2736, z: 125, weight: 0, details: `&lt;strong&gt;Start:&lt;/strong&gt; Examine the Empty Frame in&lt;img src="icons/stable.png" style="height: 20px; width: 20px; vertical-align: middle; margin-right: 5px;"&gt;&lt;span style="color: #c6a96a; font-weight: bold;"&gt;East Akkala Stable&lt;/span&gt;&lt;br&gt;&lt;strong&gt;Reward:&lt;/strong&gt; 1 Pony Point, Meat and Rice Bowl` },</v>
      </c>
    </row>
    <row r="72" spans="1:10" x14ac:dyDescent="0.2">
      <c r="A72" t="s">
        <v>4220</v>
      </c>
      <c r="B72" t="s">
        <v>1078</v>
      </c>
      <c r="C72" s="2">
        <v>8</v>
      </c>
      <c r="D72" s="2" t="s">
        <v>785</v>
      </c>
      <c r="E72" s="2">
        <v>3157</v>
      </c>
      <c r="F72" s="2">
        <v>1698</v>
      </c>
      <c r="G72" s="2">
        <v>201</v>
      </c>
      <c r="H72" s="2">
        <v>0</v>
      </c>
      <c r="I72" t="s">
        <v>4451</v>
      </c>
      <c r="J72" t="str">
        <f t="shared" ref="J72:J137" si="4">"{ name: "&amp;CHAR(34)&amp;A72&amp;CHAR(34)&amp;", landmark: "&amp;CHAR(34)&amp;"Side Quest"&amp;CHAR(34)&amp;", type: "&amp;CHAR(34)&amp;B72&amp;CHAR(34)&amp;", region: "&amp;C72&amp;", level: "&amp;CHAR(34)&amp;D72&amp;CHAR(34)&amp;", x: "&amp;E72&amp;", y: "&amp;F72&amp;", z: "&amp;G72&amp;", weight: "&amp;H72&amp;", details: `&lt;strong&gt;Start:&lt;/strong&gt; "&amp;I72&amp;"` },"</f>
        <v>{ name: "A Picture for South Akkala Stable", landmark: "Side Quest", type: "South Akkala Stable", region: 8, level: "Surface", x: 3157, y: 1698, z: 201, weight: 0, details: `&lt;strong&gt;Start:&lt;/strong&gt; Examine the Empty Frame in&lt;img src="icons/stable.png" style="height: 20px; width: 20px; vertical-align: middle; margin-right: 5px;"&gt;&lt;span style="color: #c6a96a; font-weight: bold;"&gt;South Akkala Stable&lt;/span&gt;&lt;br&gt;&lt;strong&gt;Reward:&lt;/strong&gt; 1 Pony Point, Prime Meat Stew` },</v>
      </c>
    </row>
    <row r="73" spans="1:10" x14ac:dyDescent="0.2">
      <c r="A73" t="s">
        <v>3047</v>
      </c>
      <c r="B73" t="s">
        <v>1028</v>
      </c>
      <c r="C73" s="2">
        <v>8</v>
      </c>
      <c r="D73" s="2" t="s">
        <v>785</v>
      </c>
      <c r="E73" s="2">
        <v>4339</v>
      </c>
      <c r="F73" s="2">
        <v>2816</v>
      </c>
      <c r="G73" s="2">
        <v>142</v>
      </c>
      <c r="H73" s="2">
        <v>0</v>
      </c>
      <c r="I73" t="s">
        <v>3125</v>
      </c>
      <c r="J73" t="str">
        <f t="shared" si="4"/>
        <v>{ name: "Eldin's Colossal Fossil", landmark: "Side Quest", type: "East Akkala Stable", region: 8, level: "Surface", x: 4339, y: 2816, z: 142, weight: 0, details: `&lt;strong&gt;Start:&lt;/strong&gt; Talk to Loone&lt;br&gt;&lt;strong&gt;Reward:&lt;/strong&gt; Purple Rupee` },</v>
      </c>
    </row>
    <row r="74" spans="1:10" x14ac:dyDescent="0.2">
      <c r="A74" t="s">
        <v>3048</v>
      </c>
      <c r="B74" t="s">
        <v>1636</v>
      </c>
      <c r="C74" s="2">
        <v>8</v>
      </c>
      <c r="D74" s="2" t="s">
        <v>785</v>
      </c>
      <c r="E74" s="2">
        <v>3758</v>
      </c>
      <c r="F74" s="2">
        <v>2676</v>
      </c>
      <c r="G74" s="2">
        <v>3</v>
      </c>
      <c r="H74" s="2">
        <v>0</v>
      </c>
      <c r="I74" t="s">
        <v>4303</v>
      </c>
      <c r="J74" t="str">
        <f t="shared" si="4"/>
        <v>{ name: "Goddess Statue of Power", landmark: "Side Quest", type: "Spring of Power", region: 8, level: "Surface", x: 3758, y: 2676, z: 3, weight: 0, details: `&lt;strong&gt;Start:&lt;/strong&gt; Talk to the &lt;img src="icons/goddess-statue.png" style="height: 20px; width: 20px; vertical-align: middle; margin-right: 5px;"&gt;&lt;span style="color: #7cc9c2; font-weight: bold;"&gt;Goddess Statue of Power&lt;/span&gt;&lt;br&gt;&lt;strong&gt;Reward:&lt;/strong&gt; Ruby` },</v>
      </c>
    </row>
    <row r="75" spans="1:10" x14ac:dyDescent="0.2">
      <c r="A75" t="s">
        <v>3049</v>
      </c>
      <c r="B75" t="s">
        <v>1664</v>
      </c>
      <c r="C75" s="2">
        <v>8</v>
      </c>
      <c r="D75" s="2" t="s">
        <v>785</v>
      </c>
      <c r="E75" s="2">
        <v>3946</v>
      </c>
      <c r="F75" s="2">
        <v>1596</v>
      </c>
      <c r="G75" s="2">
        <v>128</v>
      </c>
      <c r="H75" s="2">
        <v>0</v>
      </c>
      <c r="I75" t="s">
        <v>3126</v>
      </c>
      <c r="J75" t="str">
        <f t="shared" si="4"/>
        <v>{ name: "Home on Arrange", landmark: "Side Quest", type: "Tarrey Town", region: 8, level: "Surface", x: 3946, y: 1596, z: 128, weight: 0, details: `&lt;strong&gt;Start:&lt;/strong&gt; Speak with Rhondson in Tarrey Town&lt;br&gt;&lt;strong&gt;Reward:&lt;/strong&gt; Hudson Construction Fabric` },</v>
      </c>
    </row>
    <row r="76" spans="1:10" x14ac:dyDescent="0.2">
      <c r="A76" t="s">
        <v>3050</v>
      </c>
      <c r="B76" t="s">
        <v>998</v>
      </c>
      <c r="C76" s="2">
        <v>8</v>
      </c>
      <c r="D76" s="2" t="s">
        <v>785</v>
      </c>
      <c r="E76" s="2">
        <v>3755</v>
      </c>
      <c r="F76" s="2">
        <v>1677</v>
      </c>
      <c r="G76" s="2">
        <v>92</v>
      </c>
      <c r="H76" s="2">
        <v>0</v>
      </c>
      <c r="I76" t="s">
        <v>4304</v>
      </c>
      <c r="J76" t="str">
        <f t="shared" si="4"/>
        <v>{ name: "Master the Vehicle Prototype", landmark: "Side Quest", type: "Hudson Construction Site", region: 8, level: "Surface", x: 3755, y: 1677, z: 92, weight: 0, details: `&lt;strong&gt;Start:&lt;/strong&gt; Talk to Fernison&lt;br&gt;&lt;strong&gt;Reward:&lt;/strong&gt; 100 Rupees, Sleepover Ticket` },</v>
      </c>
    </row>
    <row r="77" spans="1:10" x14ac:dyDescent="0.2">
      <c r="A77" t="s">
        <v>4647</v>
      </c>
      <c r="B77" t="s">
        <v>1078</v>
      </c>
      <c r="C77" s="2">
        <v>8</v>
      </c>
      <c r="D77" s="2" t="s">
        <v>785</v>
      </c>
      <c r="E77" s="2">
        <v>3085</v>
      </c>
      <c r="F77" s="2">
        <v>1672</v>
      </c>
      <c r="G77" s="2">
        <v>201</v>
      </c>
      <c r="H77" s="2">
        <v>0</v>
      </c>
      <c r="I77" t="s">
        <v>4273</v>
      </c>
      <c r="J77" t="str">
        <f t="shared" si="4"/>
        <v>{ name: "One-Hit Wonder!", landmark: "Side Quest", type: "South Akkala Stable", region: 8, level: "Surface", x: 3085, y: 1672, z: 201, weight: 0, details: `&lt;strong&gt;Start:&lt;/strong&gt; Talk to Parcy&lt;br&gt;&lt;strong&gt;Reward:&lt;/strong&gt; Random gems` },</v>
      </c>
    </row>
    <row r="78" spans="1:10" x14ac:dyDescent="0.2">
      <c r="A78" t="s">
        <v>4658</v>
      </c>
      <c r="B78" t="s">
        <v>1438</v>
      </c>
      <c r="C78" s="2">
        <v>8</v>
      </c>
      <c r="D78" s="2" t="s">
        <v>785</v>
      </c>
      <c r="E78" s="2">
        <v>4655</v>
      </c>
      <c r="F78" s="2">
        <v>3682</v>
      </c>
      <c r="G78" s="2">
        <v>129</v>
      </c>
      <c r="H78" s="2">
        <v>0</v>
      </c>
      <c r="I78" t="s">
        <v>3128</v>
      </c>
      <c r="J78" t="str">
        <f t="shared" si="4"/>
        <v>{ name: "The Lomei Labyrinth Island Prophecy", landmark: "Side Quest", type: "Lomei Labyrinth Island", region: 8, level: "Surface", x: 4655, y: 3682, z: 129, weight: 0, details: `&lt;strong&gt;Start:&lt;/strong&gt; Activate the Lomei Labyrinth Island Terminal&lt;br&gt;&lt;strong&gt;Reward:&lt;/strong&gt; Evil Spirit Armor` },</v>
      </c>
    </row>
    <row r="79" spans="1:10" x14ac:dyDescent="0.2">
      <c r="A79" t="s">
        <v>3051</v>
      </c>
      <c r="B79" t="s">
        <v>998</v>
      </c>
      <c r="C79" s="2">
        <v>8</v>
      </c>
      <c r="D79" s="2" t="s">
        <v>785</v>
      </c>
      <c r="E79" s="2">
        <v>3798</v>
      </c>
      <c r="F79" s="2">
        <v>1564</v>
      </c>
      <c r="G79" s="2">
        <v>91</v>
      </c>
      <c r="H79" s="2">
        <v>0</v>
      </c>
      <c r="I79" t="s">
        <v>4264</v>
      </c>
      <c r="J79" t="str">
        <f t="shared" si="4"/>
        <v>{ name: "Secrets Within", landmark: "Side Quest", type: "Hudson Construction Site", region: 8, level: "Surface", x: 3798, y: 1564, z: 91, weight: 0, details: `&lt;strong&gt;Start:&lt;/strong&gt; Talk to Pulcho&lt;br&gt;&lt;strong&gt;Reward:&lt;/strong&gt; Sundelion` },</v>
      </c>
    </row>
    <row r="80" spans="1:10" x14ac:dyDescent="0.2">
      <c r="A80" t="s">
        <v>3052</v>
      </c>
      <c r="B80" t="s">
        <v>1028</v>
      </c>
      <c r="C80" s="2">
        <v>8</v>
      </c>
      <c r="D80" s="2" t="s">
        <v>785</v>
      </c>
      <c r="E80" s="2">
        <v>4200</v>
      </c>
      <c r="F80" s="2">
        <v>2766</v>
      </c>
      <c r="G80" s="2">
        <v>127</v>
      </c>
      <c r="H80" s="2">
        <v>0</v>
      </c>
      <c r="I80" t="s">
        <v>3127</v>
      </c>
      <c r="J80" t="str">
        <f t="shared" si="4"/>
        <v>{ name: "Strongest in the World", landmark: "Side Quest", type: "East Akkala Stable", region: 8, level: "Surface", x: 4200, y: 2766, z: 127, weight: 0, details: `&lt;strong&gt;Start:&lt;/strong&gt; Talk to Chabi&lt;br&gt;&lt;strong&gt;Reward:&lt;/strong&gt; Rupees` },</v>
      </c>
    </row>
    <row r="81" spans="1:10" x14ac:dyDescent="0.2">
      <c r="A81" t="s">
        <v>3053</v>
      </c>
      <c r="B81" t="s">
        <v>1028</v>
      </c>
      <c r="C81" s="2">
        <v>8</v>
      </c>
      <c r="D81" s="2" t="s">
        <v>785</v>
      </c>
      <c r="E81" s="2">
        <v>4240</v>
      </c>
      <c r="F81" s="2">
        <v>2724</v>
      </c>
      <c r="G81" s="2">
        <v>126</v>
      </c>
      <c r="H81" s="2">
        <v>0</v>
      </c>
      <c r="I81" t="s">
        <v>3150</v>
      </c>
      <c r="J81" t="str">
        <f t="shared" si="4"/>
        <v>{ name: "The Gathering Pirates", landmark: "Side Quest", type: "East Akkala Stable", region: 8, level: "Surface", x: 4240, y: 2724, z: 126, weight: 0, details: `&lt;strong&gt;Start:&lt;/strong&gt; Talk to Aya&lt;br&gt;&lt;strong&gt;Reward:&lt;/strong&gt; Pony Points, Endura Carrot` },</v>
      </c>
    </row>
    <row r="82" spans="1:10" x14ac:dyDescent="0.2">
      <c r="A82" t="s">
        <v>4668</v>
      </c>
      <c r="B82" t="s">
        <v>1665</v>
      </c>
      <c r="C82" s="2">
        <v>8</v>
      </c>
      <c r="D82" s="2" t="s">
        <v>785</v>
      </c>
      <c r="E82" s="2">
        <v>3742</v>
      </c>
      <c r="F82" s="2">
        <v>1678</v>
      </c>
      <c r="G82" s="2">
        <v>92</v>
      </c>
      <c r="H82" s="2">
        <v>0</v>
      </c>
      <c r="I82" t="s">
        <v>4305</v>
      </c>
      <c r="J82" t="str">
        <f t="shared" si="4"/>
        <v>{ name: "The Tarrey Town Race is On!", landmark: "Side Quest", type: "Tarrey Town Race", region: 8, level: "Surface", x: 3742, y: 1678, z: 92, weight: 0, details: `&lt;strong&gt;Start:&lt;/strong&gt; Complete &lt;img src="icons/side-quest.png" style="height: 20px; width: 20px; vertical-align: middle; margin-right: 5px;"&gt;&lt;span style="color: #c6a96a; font-weight: bold;"&gt;Master The Vehicle Prototype&lt;/span&gt;&lt;br&gt;&lt;strong&gt;Reward:&lt;/strong&gt; Zonai Charges, Zonai Devices, and Racing Minigame` },</v>
      </c>
    </row>
    <row r="83" spans="1:10" x14ac:dyDescent="0.2">
      <c r="A83" t="s">
        <v>3067</v>
      </c>
      <c r="B83" t="s">
        <v>1730</v>
      </c>
      <c r="C83" s="2">
        <v>9</v>
      </c>
      <c r="D83" s="2" t="s">
        <v>785</v>
      </c>
      <c r="E83" s="2">
        <v>3323</v>
      </c>
      <c r="F83" s="2">
        <v>490</v>
      </c>
      <c r="G83" s="2">
        <v>139</v>
      </c>
      <c r="H83" s="2">
        <v>0</v>
      </c>
      <c r="I83" t="s">
        <v>4306</v>
      </c>
      <c r="J83" t="str">
        <f t="shared" si="4"/>
        <v>{ name: "A Crabulous Deal", landmark: "Side Quest", type: "Zora's Domain", region: 9, level: "Surface", x: 3323, y: 490, z: 139, weight: 0, details: `&lt;strong&gt;Start:&lt;/strong&gt; Talk to Cleff after Finishing &lt;img src="icons/main-quest.png" style="height: 20px; width: 20px; vertical-align: middle; margin-right: 5px;"&gt;&lt;span style="color: #fec043; font-weight: bold;"&gt;Sidon of the Zora&lt;/span&gt;&lt;br&gt;&lt;strong&gt;Reward:&lt;/strong&gt; Sapphire x1, Trading Bright-eyed Crabs for an item` },</v>
      </c>
    </row>
    <row r="84" spans="1:10" x14ac:dyDescent="0.2">
      <c r="A84" t="s">
        <v>3069</v>
      </c>
      <c r="B84" t="s">
        <v>1730</v>
      </c>
      <c r="C84" s="2">
        <v>9</v>
      </c>
      <c r="D84" s="2" t="s">
        <v>785</v>
      </c>
      <c r="E84" s="2">
        <v>3307</v>
      </c>
      <c r="F84" s="2">
        <v>488</v>
      </c>
      <c r="G84" s="2">
        <v>150</v>
      </c>
      <c r="H84" s="2">
        <v>0</v>
      </c>
      <c r="I84" t="s">
        <v>4307</v>
      </c>
      <c r="J84" t="str">
        <f t="shared" si="4"/>
        <v>{ name: "A Token of Friendship", landmark: "Side Quest", type: "Zora's Domain", region: 9, level: "Surface", x: 3307, y: 488, z: 150, weight: 0, details: `&lt;strong&gt;Start:&lt;/strong&gt; Talk to Yona&lt;br&gt;&lt;strong&gt;Reward:&lt;/strong&gt; Zora Greaves` },</v>
      </c>
    </row>
    <row r="85" spans="1:10" x14ac:dyDescent="0.2">
      <c r="A85" t="s">
        <v>3070</v>
      </c>
      <c r="B85" t="s">
        <v>1730</v>
      </c>
      <c r="C85" s="2">
        <v>9</v>
      </c>
      <c r="D85" s="2" t="s">
        <v>785</v>
      </c>
      <c r="E85" s="2">
        <v>3290</v>
      </c>
      <c r="F85" s="2">
        <v>440</v>
      </c>
      <c r="G85" s="2">
        <v>139</v>
      </c>
      <c r="H85" s="2">
        <v>0</v>
      </c>
      <c r="I85" t="s">
        <v>4310</v>
      </c>
      <c r="J85" t="str">
        <f t="shared" si="4"/>
        <v>{ name: "A Wife Wafted Away", landmark: "Side Quest", type: "Zora's Domain", region: 9, level: "Surface", x: 3290, y: 440, z: 139, weight: 0, details: `&lt;strong&gt;Start:&lt;/strong&gt; Talk to Fronk after Finishing &lt;img src="icons/main-quest.png" style="height: 20px; width: 20px; vertical-align: middle; margin-right: 5px;"&gt;&lt;span style="color: #fec043; font-weight: bold;"&gt;Sidon of the Zora&lt;/span&gt;&lt;br&gt;&lt;strong&gt;Reward:&lt;/strong&gt; Hearty Fish Skewer` },</v>
      </c>
    </row>
    <row r="86" spans="1:10" x14ac:dyDescent="0.2">
      <c r="A86" t="s">
        <v>4648</v>
      </c>
      <c r="B86" t="s">
        <v>1730</v>
      </c>
      <c r="C86" s="2">
        <v>9</v>
      </c>
      <c r="D86" s="2" t="s">
        <v>785</v>
      </c>
      <c r="E86" s="2">
        <v>3340</v>
      </c>
      <c r="F86" s="2">
        <v>542</v>
      </c>
      <c r="G86" s="2">
        <v>163</v>
      </c>
      <c r="H86" s="2">
        <v>0</v>
      </c>
      <c r="I86" t="s">
        <v>4308</v>
      </c>
      <c r="J86" t="str">
        <f t="shared" si="4"/>
        <v>{ name: "Secret Treasure Under the Great Fish", landmark: "Side Quest", type: "Zora's Domain", region: 9, level: "Surface", x: 3340, y: 542, z: 163, weight: 0, details: `&lt;strong&gt;Start:&lt;/strong&gt; Talk to Sidon after Finishing &lt;img src="icons/main-quest.png" style="height: 20px; width: 20px; vertical-align: middle; margin-right: 5px;"&gt;&lt;span style="color: #fec043; font-weight: bold;"&gt;Sidon of the Zora&lt;/span&gt;&lt;br&gt;&lt;strong&gt;Reward:&lt;/strong&gt; Vah Ruta Divine Helm` },</v>
      </c>
    </row>
    <row r="87" spans="1:10" x14ac:dyDescent="0.2">
      <c r="A87" t="s">
        <v>3072</v>
      </c>
      <c r="B87" t="s">
        <v>1730</v>
      </c>
      <c r="C87" s="2">
        <v>9</v>
      </c>
      <c r="D87" s="2" t="s">
        <v>785</v>
      </c>
      <c r="E87" s="2">
        <v>3335</v>
      </c>
      <c r="F87" s="2">
        <v>491</v>
      </c>
      <c r="G87" s="2">
        <v>140</v>
      </c>
      <c r="H87" s="2">
        <v>0</v>
      </c>
      <c r="I87" t="s">
        <v>4309</v>
      </c>
      <c r="J87" t="str">
        <f t="shared" si="4"/>
        <v>{ name: "Glory of the Zora", landmark: "Side Quest", type: "Zora's Domain", region: 9, level: "Surface", x: 3335, y: 491, z: 140, weight: 0, details: `&lt;strong&gt;Start:&lt;/strong&gt; Talk to Dento after Finishing &lt;img src="icons/main-quest.png" style="height: 20px; width: 20px; vertical-align: middle; margin-right: 5px;"&gt;&lt;span style="color: #fec043; font-weight: bold;"&gt;Sidon of the Zora&lt;/span&gt;&lt;br&gt;&lt;strong&gt;Reward:&lt;/strong&gt; Lightscale Trident` },</v>
      </c>
    </row>
    <row r="88" spans="1:10" x14ac:dyDescent="0.2">
      <c r="A88" t="s">
        <v>3074</v>
      </c>
      <c r="B88" t="s">
        <v>1730</v>
      </c>
      <c r="C88" s="2">
        <v>9</v>
      </c>
      <c r="D88" s="2" t="s">
        <v>785</v>
      </c>
      <c r="E88" s="2">
        <v>2846</v>
      </c>
      <c r="F88" s="2">
        <v>585</v>
      </c>
      <c r="G88" s="2">
        <v>375</v>
      </c>
      <c r="H88" s="2">
        <v>0</v>
      </c>
      <c r="I88" t="s">
        <v>4311</v>
      </c>
      <c r="J88" t="str">
        <f t="shared" si="4"/>
        <v>{ name: "Mired in Muck", landmark: "Side Quest", type: "Zora's Domain", region: 9, level: "Surface", x: 2846, y: 585, z: 375, weight: 0, details: `&lt;strong&gt;Start:&lt;/strong&gt; Talk to Bazz&lt;br&gt;&lt;strong&gt;Reward:&lt;/strong&gt; Zora Spear` },</v>
      </c>
    </row>
    <row r="89" spans="1:10" x14ac:dyDescent="0.2">
      <c r="A89" t="s">
        <v>3075</v>
      </c>
      <c r="B89" t="s">
        <v>4660</v>
      </c>
      <c r="C89" s="2">
        <v>9</v>
      </c>
      <c r="D89" s="2" t="s">
        <v>785</v>
      </c>
      <c r="E89" s="2">
        <v>3596</v>
      </c>
      <c r="F89" s="2">
        <v>338</v>
      </c>
      <c r="G89" s="2">
        <v>211</v>
      </c>
      <c r="H89" s="2">
        <v>0</v>
      </c>
      <c r="I89" t="s">
        <v>4312</v>
      </c>
      <c r="J89" t="str">
        <f t="shared" si="4"/>
        <v>{ name: "The Blue Stone", landmark: "Side Quest", type: "East Resevoir Lake", region: 9, level: "Surface", x: 3596, y: 338, z: 211, weight: 0, details: `&lt;strong&gt;Start:&lt;/strong&gt; Talk to Ledo&lt;br&gt;&lt;strong&gt;Reward:&lt;/strong&gt; Zora Fabric` },</v>
      </c>
    </row>
    <row r="90" spans="1:10" x14ac:dyDescent="0.2">
      <c r="A90" s="35" t="s">
        <v>3076</v>
      </c>
      <c r="B90" t="s">
        <v>1730</v>
      </c>
      <c r="C90" s="2">
        <v>9</v>
      </c>
      <c r="D90" s="2" t="s">
        <v>785</v>
      </c>
      <c r="E90" s="8">
        <v>3470</v>
      </c>
      <c r="F90" s="8">
        <v>485</v>
      </c>
      <c r="G90" s="8">
        <v>155</v>
      </c>
      <c r="H90" s="2">
        <v>0</v>
      </c>
      <c r="I90" s="35" t="s">
        <v>4313</v>
      </c>
      <c r="J90" t="str">
        <f t="shared" si="4"/>
        <v>{ name: "The Fort at Ja'Abu Ridge", landmark: "Side Quest", type: "Zora's Domain", region: 9, level: "Surface", x: 3470, y: 485, z: 155, weight: 0, details: `&lt;strong&gt;Start:&lt;/strong&gt; Talk to Gaddison after Finishing &lt;img src="icons/main-quest.png" style="height: 20px; width: 20px; vertical-align: middle; margin-right: 5px;"&gt;&lt;span style="color: #fec043; font-weight: bold;"&gt;Sidon of the Zora&lt;/span&gt;&lt;br&gt;&lt;strong&gt;Reward:&lt;/strong&gt; 100 Rupees` },</v>
      </c>
    </row>
    <row r="91" spans="1:10" x14ac:dyDescent="0.2">
      <c r="A91" s="35" t="s">
        <v>3077</v>
      </c>
      <c r="B91" t="s">
        <v>1730</v>
      </c>
      <c r="C91" s="2">
        <v>9</v>
      </c>
      <c r="D91" s="2" t="s">
        <v>785</v>
      </c>
      <c r="E91" s="8">
        <v>3273</v>
      </c>
      <c r="F91" s="8">
        <v>542</v>
      </c>
      <c r="G91" s="8">
        <v>155</v>
      </c>
      <c r="H91" s="2">
        <v>0</v>
      </c>
      <c r="I91" s="35" t="s">
        <v>4314</v>
      </c>
      <c r="J91" t="str">
        <f t="shared" si="4"/>
        <v>{ name: "The Moonlit Princess", landmark: "Side Quest", type: "Zora's Domain", region: 9, level: "Surface", x: 3273, y: 542, z: 155, weight: 0, details: `&lt;strong&gt;Start:&lt;/strong&gt; Talk to Seggin after Finishing &lt;img src="icons/main-quest.png" style="height: 20px; width: 20px; vertical-align: middle; margin-right: 5px;"&gt;&lt;span style="color: #fec043; font-weight: bold;"&gt;Sidon of the Zora&lt;/span&gt;&lt;br&gt;&lt;strong&gt;Reward:&lt;/strong&gt; Zora Sword` },</v>
      </c>
    </row>
    <row r="92" spans="1:10" s="35" customFormat="1" x14ac:dyDescent="0.2">
      <c r="A92" t="s">
        <v>3078</v>
      </c>
      <c r="B92" t="s">
        <v>1730</v>
      </c>
      <c r="C92" s="2">
        <v>9</v>
      </c>
      <c r="D92" s="2" t="s">
        <v>785</v>
      </c>
      <c r="E92" s="2">
        <v>3322</v>
      </c>
      <c r="F92" s="2">
        <v>548</v>
      </c>
      <c r="G92" s="2">
        <v>163</v>
      </c>
      <c r="H92" s="2">
        <v>0</v>
      </c>
      <c r="I92" t="s">
        <v>4315</v>
      </c>
      <c r="J92" t="str">
        <f t="shared" si="4"/>
        <v>{ name: "The Never-Ending Lecture", landmark: "Side Quest", type: "Zora's Domain", region: 9, level: "Surface", x: 3322, y: 548, z: 163, weight: 0, details: `&lt;strong&gt;Start:&lt;/strong&gt; Talk to Chroma&lt;br&gt;&lt;strong&gt;Reward:&lt;/strong&gt; Zora Helm` },</v>
      </c>
    </row>
    <row r="93" spans="1:10" s="35" customFormat="1" x14ac:dyDescent="0.2">
      <c r="A93" t="s">
        <v>3079</v>
      </c>
      <c r="B93" t="s">
        <v>1048</v>
      </c>
      <c r="C93" s="2">
        <v>9</v>
      </c>
      <c r="D93" s="2" t="s">
        <v>785</v>
      </c>
      <c r="E93" s="2">
        <v>3295</v>
      </c>
      <c r="F93" s="2">
        <v>511</v>
      </c>
      <c r="G93" s="2">
        <v>140</v>
      </c>
      <c r="H93" s="2">
        <v>0</v>
      </c>
      <c r="I93" t="s">
        <v>4316</v>
      </c>
      <c r="J93" t="str">
        <f t="shared" si="4"/>
        <v>{ name: "True Treasure", landmark: "Side Quest", type: "Lodrum Headland", region: 9, level: "Surface", x: 3295, y: 511, z: 140, weight: 0, details: `&lt;strong&gt;Start:&lt;/strong&gt; Talk to Kodah after Finishing &lt;img src="icons/main-quest.png" style="height: 20px; width: 20px; vertical-align: middle; margin-right: 5px;"&gt;&lt;span style="color: #fec043; font-weight: bold;"&gt;Sidon of the Zora&lt;/span&gt;&lt;br&gt;&lt;strong&gt;Reward:&lt;/strong&gt; Opal x2, Access to Yomizuk Shrine` },</v>
      </c>
    </row>
    <row r="94" spans="1:10" x14ac:dyDescent="0.2">
      <c r="A94" t="s">
        <v>3068</v>
      </c>
      <c r="B94" t="s">
        <v>1710</v>
      </c>
      <c r="C94" s="2">
        <v>10</v>
      </c>
      <c r="D94" s="2" t="s">
        <v>785</v>
      </c>
      <c r="E94" s="2">
        <v>896</v>
      </c>
      <c r="F94" s="2">
        <v>-182</v>
      </c>
      <c r="G94" s="2">
        <v>26</v>
      </c>
      <c r="H94" s="2">
        <v>0</v>
      </c>
      <c r="I94" t="s">
        <v>4452</v>
      </c>
      <c r="J94" t="str">
        <f t="shared" si="4"/>
        <v>{ name: "A Picture for Wetland Stable", landmark: "Side Quest", type: "Wetland Stable", region: 10, level: "Surface", x: 896, y: -182, z: 26, weight: 0, details: `&lt;strong&gt;Start:&lt;/strong&gt; Examine the Empty Frame in&lt;img src="icons/stable.png" style="height: 20px; width: 20px; vertical-align: middle; margin-right: 5px;"&gt;&lt;span style="color: #c6a96a; font-weight: bold;"&gt;Wetland Stable&lt;/span&gt;&lt;br&gt;&lt;strong&gt;Reward:&lt;/strong&gt; 1 Pony Point, Electro Elixir` },</v>
      </c>
    </row>
    <row r="95" spans="1:10" x14ac:dyDescent="0.2">
      <c r="A95" t="s">
        <v>3082</v>
      </c>
      <c r="B95" t="s">
        <v>999</v>
      </c>
      <c r="C95" s="2">
        <v>10</v>
      </c>
      <c r="D95" s="2" t="s">
        <v>785</v>
      </c>
      <c r="E95" s="2">
        <v>1843</v>
      </c>
      <c r="F95" s="2">
        <v>-970</v>
      </c>
      <c r="G95" s="2">
        <v>115</v>
      </c>
      <c r="H95" s="2">
        <v>0</v>
      </c>
      <c r="I95" t="s">
        <v>4317</v>
      </c>
      <c r="J95" t="str">
        <f t="shared" si="4"/>
        <v>{ name: "A Trip through History", landmark: "Side Quest", type: "Kakariko Village", region: 10, level: "Surface", x: 1843, y: -970, z: 115, weight: 0, details: `&lt;strong&gt;Start:&lt;/strong&gt; Talk to Bugut&lt;br&gt;&lt;strong&gt;Reward:&lt;/strong&gt; Thunderwing Butterfly x3` },</v>
      </c>
    </row>
    <row r="96" spans="1:10" x14ac:dyDescent="0.2">
      <c r="A96" t="s">
        <v>3071</v>
      </c>
      <c r="B96" t="s">
        <v>1710</v>
      </c>
      <c r="C96" s="2">
        <v>10</v>
      </c>
      <c r="D96" s="2" t="s">
        <v>785</v>
      </c>
      <c r="E96" s="2">
        <v>865</v>
      </c>
      <c r="F96" s="2">
        <v>-171</v>
      </c>
      <c r="G96" s="2">
        <v>25</v>
      </c>
      <c r="H96" s="2">
        <v>0</v>
      </c>
      <c r="I96" t="s">
        <v>4274</v>
      </c>
      <c r="J96" t="str">
        <f t="shared" si="4"/>
        <v>{ name: "An Uninvited Guest", landmark: "Side Quest", type: "Wetland Stable", region: 10, level: "Surface", x: 865, y: -171, z: 25, weight: 0, details: `&lt;strong&gt;Start:&lt;/strong&gt; Speak with Ami&lt;br&gt;&lt;strong&gt;Reward:&lt;/strong&gt; Two Pony Points` },</v>
      </c>
    </row>
    <row r="97" spans="1:10" x14ac:dyDescent="0.2">
      <c r="A97" t="s">
        <v>3084</v>
      </c>
      <c r="B97" t="s">
        <v>999</v>
      </c>
      <c r="C97" s="2">
        <v>10</v>
      </c>
      <c r="D97" s="2" t="s">
        <v>785</v>
      </c>
      <c r="E97" s="2">
        <v>1784</v>
      </c>
      <c r="F97" s="2">
        <v>-1027</v>
      </c>
      <c r="G97" s="2">
        <v>115</v>
      </c>
      <c r="H97" s="2">
        <v>0</v>
      </c>
      <c r="I97" t="s">
        <v>3135</v>
      </c>
      <c r="J97" t="str">
        <f t="shared" si="4"/>
        <v>{ name: "Codgers' Quarrel", landmark: "Side Quest", type: "Kakariko Village", region: 10, level: "Surface", x: 1784, y: -1027, z: 115, weight: 0, details: `&lt;strong&gt;Start:&lt;/strong&gt; Talk to Trissa&lt;br&gt;&lt;strong&gt;Reward:&lt;/strong&gt; Endura Carrot` },</v>
      </c>
    </row>
    <row r="98" spans="1:10" x14ac:dyDescent="0.2">
      <c r="A98" t="s">
        <v>3087</v>
      </c>
      <c r="B98" t="s">
        <v>999</v>
      </c>
      <c r="C98" s="2">
        <v>10</v>
      </c>
      <c r="D98" s="2" t="s">
        <v>785</v>
      </c>
      <c r="E98" s="2">
        <v>1803</v>
      </c>
      <c r="F98" s="2">
        <v>-1028</v>
      </c>
      <c r="G98" s="2">
        <v>115</v>
      </c>
      <c r="H98" s="2">
        <v>0</v>
      </c>
      <c r="I98" t="s">
        <v>4632</v>
      </c>
      <c r="J98" t="str">
        <f t="shared" si="4"/>
        <v>{ name: "Follow the Cuccos", landmark: "Side Quest", type: "Kakariko Village", region: 10, level: "Surface", x: 1803, y: -1028, z: 115, weight: 0, details: `&lt;strong&gt;Start:&lt;/strong&gt; Talk to Trissa After Finishing &lt;img src="icons/side-quest.png" style="height: 20px; width: 20px; vertical-align: middle; margin-right: 5px;"&gt;&lt;span style="color: #c6a96a; font-weight: bold;"&gt;Codgers' Quarrel&lt;/span&gt;&lt;br&gt;&lt;strong&gt;Reward:&lt;/strong&gt; Purple Rupee` },</v>
      </c>
    </row>
    <row r="99" spans="1:10" x14ac:dyDescent="0.2">
      <c r="A99" t="s">
        <v>3088</v>
      </c>
      <c r="B99" t="s">
        <v>999</v>
      </c>
      <c r="C99" s="2">
        <v>10</v>
      </c>
      <c r="D99" s="2" t="s">
        <v>785</v>
      </c>
      <c r="E99" s="2">
        <v>1908</v>
      </c>
      <c r="F99" s="2">
        <v>-999</v>
      </c>
      <c r="G99" s="2">
        <v>127</v>
      </c>
      <c r="H99" s="2">
        <v>0</v>
      </c>
      <c r="I99" t="s">
        <v>4318</v>
      </c>
      <c r="J99" t="str">
        <f t="shared" si="4"/>
        <v>{ name: "Gloom-Borne Illness", landmark: "Side Quest", type: "Kakariko Village", region: 10, level: "Surface", x: 1908, y: -999, z: 127, weight: 0, details: `&lt;strong&gt;Start:&lt;/strong&gt; Speak with Lasli&lt;br&gt;&lt;strong&gt;Reward:&lt;/strong&gt; Energizing Veggie Porridge` },</v>
      </c>
    </row>
    <row r="100" spans="1:10" x14ac:dyDescent="0.2">
      <c r="A100" t="s">
        <v>3093</v>
      </c>
      <c r="B100" t="s">
        <v>999</v>
      </c>
      <c r="C100" s="2">
        <v>10</v>
      </c>
      <c r="D100" s="2" t="s">
        <v>785</v>
      </c>
      <c r="E100" s="2">
        <v>1836</v>
      </c>
      <c r="F100" s="2">
        <v>-1022</v>
      </c>
      <c r="G100" s="2">
        <v>116</v>
      </c>
      <c r="H100" s="2">
        <v>0</v>
      </c>
      <c r="I100" t="s">
        <v>4319</v>
      </c>
      <c r="J100" t="str">
        <f t="shared" si="4"/>
        <v>{ name: "Out of the Inn", landmark: "Side Quest", type: "Kakariko Village", region: 10, level: "Surface", x: 1836, y: -1022, z: 116, weight: 0, details: `&lt;strong&gt;Start:&lt;/strong&gt; Talk to Dai&lt;br&gt;&lt;strong&gt;Reward:&lt;/strong&gt; Sticky Elixir` },</v>
      </c>
    </row>
    <row r="101" spans="1:10" x14ac:dyDescent="0.2">
      <c r="A101" t="s">
        <v>4649</v>
      </c>
      <c r="B101" t="s">
        <v>1570</v>
      </c>
      <c r="C101" s="2">
        <v>10</v>
      </c>
      <c r="D101" s="2" t="s">
        <v>785</v>
      </c>
      <c r="E101" s="2">
        <v>1711</v>
      </c>
      <c r="F101" s="2">
        <v>-653</v>
      </c>
      <c r="G101" s="2">
        <v>13</v>
      </c>
      <c r="H101" s="2">
        <v>0</v>
      </c>
      <c r="I101" t="s">
        <v>4320</v>
      </c>
      <c r="J101" t="str">
        <f t="shared" si="4"/>
        <v>{ name: "The Ultimate Dish?", landmark: "Side Quest", type: "Rikoka Hills Well", region: 10, level: "Surface", x: 1711, y: -653, z: 13, weight: 0, details: `&lt;strong&gt;Start:&lt;/strong&gt; Talk to Moza&lt;br&gt;&lt;strong&gt;Reward:&lt;/strong&gt; Monster Stew` },</v>
      </c>
    </row>
    <row r="102" spans="1:10" x14ac:dyDescent="0.2">
      <c r="A102" t="s">
        <v>4221</v>
      </c>
      <c r="B102" t="s">
        <v>1221</v>
      </c>
      <c r="C102" s="2">
        <v>10</v>
      </c>
      <c r="D102" s="2" t="s">
        <v>785</v>
      </c>
      <c r="E102" s="2">
        <v>1756</v>
      </c>
      <c r="F102" s="2">
        <v>-1929</v>
      </c>
      <c r="G102" s="2">
        <v>10</v>
      </c>
      <c r="H102" s="2">
        <v>0</v>
      </c>
      <c r="I102" t="s">
        <v>4453</v>
      </c>
      <c r="J102" t="str">
        <f t="shared" si="4"/>
        <v>{ name: "A Picture for Dueling Peaks Stable", landmark: "Side Quest", type: "Dueling Peaks Stable", region: 10, level: "Surface", x: 1756, y: -1929, z: 10, weight: 0, details: `&lt;strong&gt;Start:&lt;/strong&gt; Examine the Empty Frame in&lt;img src="icons/stable.png" style="height: 20px; width: 20px; vertical-align: middle; margin-right: 5px;"&gt;&lt;span style="color: #c6a96a; font-weight: bold;"&gt;Dueling Peaks Stable&lt;/span&gt;&lt;br&gt;&lt;strong&gt;Reward:&lt;/strong&gt; 1 Pony Point, Hasty Apple Pie` },</v>
      </c>
    </row>
    <row r="103" spans="1:10" x14ac:dyDescent="0.2">
      <c r="A103" t="s">
        <v>3080</v>
      </c>
      <c r="B103" t="s">
        <v>1325</v>
      </c>
      <c r="C103" s="2">
        <v>11</v>
      </c>
      <c r="D103" s="2" t="s">
        <v>785</v>
      </c>
      <c r="E103" s="2">
        <v>3945</v>
      </c>
      <c r="F103" s="2">
        <v>-2508</v>
      </c>
      <c r="G103" s="2">
        <v>0</v>
      </c>
      <c r="H103" s="2">
        <v>0</v>
      </c>
      <c r="I103" t="s">
        <v>3133</v>
      </c>
      <c r="J103" t="str">
        <f t="shared" si="4"/>
        <v>{ name: "A Bottled Cry for Help", landmark: "Side Quest", type: "Hateno Bay", region: 11, level: "Surface", x: 3945, y: -2508, z: 0, weight: 0, details: `&lt;strong&gt;Start:&lt;/strong&gt; Investigate the Bottled Letter&lt;br&gt;&lt;strong&gt;Reward:&lt;/strong&gt; 100 Rupees` },</v>
      </c>
    </row>
    <row r="104" spans="1:10" x14ac:dyDescent="0.2">
      <c r="A104" t="s">
        <v>3081</v>
      </c>
      <c r="B104" t="s">
        <v>1329</v>
      </c>
      <c r="C104" s="2">
        <v>11</v>
      </c>
      <c r="D104" s="2" t="s">
        <v>785</v>
      </c>
      <c r="E104" s="2">
        <v>3312</v>
      </c>
      <c r="F104" s="2">
        <v>-2298</v>
      </c>
      <c r="G104" s="2">
        <v>112</v>
      </c>
      <c r="H104" s="2">
        <v>0</v>
      </c>
      <c r="I104" t="s">
        <v>3134</v>
      </c>
      <c r="J104" t="str">
        <f t="shared" si="4"/>
        <v>{ name: "A New Champion's Tunic", landmark: "Side Quest", type: "Hateno Village", region: 11, level: "Surface", x: 3312, y: -2298, z: 112, weight: 0, details: `&lt;strong&gt;Start:&lt;/strong&gt; Examine Zelda's Diary&lt;br&gt;&lt;strong&gt;Reward:&lt;/strong&gt; Champion's Leathers` },</v>
      </c>
    </row>
    <row r="105" spans="1:10" x14ac:dyDescent="0.2">
      <c r="A105" t="s">
        <v>3086</v>
      </c>
      <c r="B105" t="s">
        <v>4661</v>
      </c>
      <c r="C105" s="2">
        <v>11</v>
      </c>
      <c r="D105" s="2" t="s">
        <v>785</v>
      </c>
      <c r="E105" s="2">
        <v>3626</v>
      </c>
      <c r="F105" s="2">
        <v>-2075</v>
      </c>
      <c r="G105" s="2">
        <v>178</v>
      </c>
      <c r="H105" s="2">
        <v>0</v>
      </c>
      <c r="I105" t="s">
        <v>3137</v>
      </c>
      <c r="J105" t="str">
        <f t="shared" si="4"/>
        <v>{ name: "Dantz's Prize Cows", landmark: "Side Quest", type: "Hateno Village's Lake Sumac", region: 11, level: "Surface", x: 3626, y: -2075, z: 178, weight: 0, details: `&lt;strong&gt;Start:&lt;/strong&gt; Speak With Dantz&lt;br&gt;&lt;strong&gt;Reward:&lt;/strong&gt; Fresh Milk` },</v>
      </c>
    </row>
    <row r="106" spans="1:10" x14ac:dyDescent="0.2">
      <c r="A106" t="s">
        <v>3073</v>
      </c>
      <c r="B106" t="s">
        <v>1637</v>
      </c>
      <c r="C106" s="2">
        <v>11</v>
      </c>
      <c r="D106" s="2" t="s">
        <v>785</v>
      </c>
      <c r="E106" s="2">
        <v>3906</v>
      </c>
      <c r="F106" s="2">
        <v>-1328</v>
      </c>
      <c r="G106" s="2">
        <v>467</v>
      </c>
      <c r="H106" s="2">
        <v>0</v>
      </c>
      <c r="I106" t="s">
        <v>4321</v>
      </c>
      <c r="J106" t="str">
        <f t="shared" si="4"/>
        <v>{ name: "Goddess Statue of Wisdom", landmark: "Side Quest", type: "Spring of Wisdom", region: 11, level: "Surface", x: 3906, y: -1328, z: 467, weight: 0, details: `&lt;strong&gt;Start:&lt;/strong&gt; Talk to the &lt;img src="icons/goddess-statue.png" style="height: 20px; width: 20px; vertical-align: middle; margin-right: 5px;"&gt;&lt;span style="color: #7cc9c2; font-weight: bold;"&gt;Goddess Statue of Wisdom&lt;/span&gt;&lt;br&gt;&lt;strong&gt;Reward:&lt;/strong&gt; Sapphire` },</v>
      </c>
    </row>
    <row r="107" spans="1:10" x14ac:dyDescent="0.2">
      <c r="A107" t="s">
        <v>3089</v>
      </c>
      <c r="B107" t="s">
        <v>1329</v>
      </c>
      <c r="C107" s="2">
        <v>11</v>
      </c>
      <c r="D107" s="2" t="s">
        <v>785</v>
      </c>
      <c r="E107" s="2">
        <v>3298</v>
      </c>
      <c r="F107" s="2">
        <v>-2123</v>
      </c>
      <c r="G107" s="2">
        <v>109</v>
      </c>
      <c r="H107" s="2">
        <v>0</v>
      </c>
      <c r="I107" t="s">
        <v>4322</v>
      </c>
      <c r="J107" t="str">
        <f t="shared" si="4"/>
        <v>{ name: "Homegrown in Hateno", landmark: "Side Quest", type: "Hateno Village", region: 11, level: "Surface", x: 3298, y: -2123, z: 109, weight: 0, details: `&lt;strong&gt;Start:&lt;/strong&gt; Talk to Reede After Finishing &lt;img src="icons/side-adventure.png" style="height: 20px; width: 20px; vertical-align: middle; margin-right: 5px;"&gt;&lt;span style="color: #86a3e6; font-weight: bold;"&gt;The Mayoral Election&lt;/span&gt;&lt;br&gt;&lt;strong&gt;Reward:&lt;/strong&gt; Sun Pumpkin x5` },</v>
      </c>
    </row>
    <row r="108" spans="1:10" x14ac:dyDescent="0.2">
      <c r="A108" t="s">
        <v>3091</v>
      </c>
      <c r="B108" t="s">
        <v>1329</v>
      </c>
      <c r="C108" s="2">
        <v>11</v>
      </c>
      <c r="D108" s="2" t="s">
        <v>785</v>
      </c>
      <c r="E108" s="2">
        <v>3375</v>
      </c>
      <c r="F108" s="2">
        <v>-2131</v>
      </c>
      <c r="G108" s="2">
        <v>129</v>
      </c>
      <c r="H108" s="2">
        <v>0</v>
      </c>
      <c r="I108" t="s">
        <v>4323</v>
      </c>
      <c r="J108" t="str">
        <f t="shared" si="4"/>
        <v>{ name: "Manny's Beloved", landmark: "Side Quest", type: "Hateno Village", region: 11, level: "Surface", x: 3375, y: -2131, z: 129, weight: 0, details: `&lt;strong&gt;Start:&lt;/strong&gt; Talk to Manny&lt;br&gt;&lt;strong&gt;Reward:&lt;/strong&gt; Rushroom` },</v>
      </c>
    </row>
    <row r="109" spans="1:10" x14ac:dyDescent="0.2">
      <c r="A109" t="s">
        <v>3094</v>
      </c>
      <c r="B109" t="s">
        <v>1329</v>
      </c>
      <c r="C109" s="2">
        <v>11</v>
      </c>
      <c r="D109" s="2" t="s">
        <v>785</v>
      </c>
      <c r="E109" s="2">
        <v>3411</v>
      </c>
      <c r="F109" s="2">
        <v>-2146</v>
      </c>
      <c r="G109" s="2">
        <v>121</v>
      </c>
      <c r="H109" s="2">
        <v>0</v>
      </c>
      <c r="I109" t="s">
        <v>4324</v>
      </c>
      <c r="J109" t="str">
        <f t="shared" si="4"/>
        <v>{ name: "Photographing a Chuchu", landmark: "Side Quest", type: "Hateno Village", region: 11, level: "Surface", x: 3411, y: -2146, z: 121, weight: 0, details: `&lt;strong&gt;Start:&lt;/strong&gt; Talk to Sayge&lt;br&gt;&lt;strong&gt;Reward:&lt;/strong&gt; Chuchu Fabric` },</v>
      </c>
    </row>
    <row r="110" spans="1:10" x14ac:dyDescent="0.2">
      <c r="A110" t="s">
        <v>4650</v>
      </c>
      <c r="B110" t="s">
        <v>1328</v>
      </c>
      <c r="C110" s="2">
        <v>11</v>
      </c>
      <c r="D110" s="2" t="s">
        <v>785</v>
      </c>
      <c r="E110" s="2">
        <v>3361</v>
      </c>
      <c r="F110" s="2">
        <v>-1969</v>
      </c>
      <c r="G110" s="2">
        <v>129</v>
      </c>
      <c r="H110" s="2">
        <v>0</v>
      </c>
      <c r="I110" t="s">
        <v>3138</v>
      </c>
      <c r="J110" t="str">
        <f t="shared" si="4"/>
        <v>{ name: "Teach Me a Lesson I", landmark: "Side Quest", type: "Hateno School", region: 11, level: "Surface", x: 3361, y: -1969, z: 129, weight: 0, details: `&lt;strong&gt;Start:&lt;/strong&gt; Talk to Symin During Class&lt;br&gt;&lt;strong&gt;Reward:&lt;/strong&gt; Hylian Rice` },</v>
      </c>
    </row>
    <row r="111" spans="1:10" x14ac:dyDescent="0.2">
      <c r="A111" t="s">
        <v>4651</v>
      </c>
      <c r="B111" t="s">
        <v>1328</v>
      </c>
      <c r="C111" s="2">
        <v>11</v>
      </c>
      <c r="D111" s="2" t="s">
        <v>785</v>
      </c>
      <c r="E111" s="2">
        <v>3371</v>
      </c>
      <c r="F111" s="2">
        <v>-1969</v>
      </c>
      <c r="G111" s="2">
        <v>129</v>
      </c>
      <c r="H111" s="2">
        <v>0</v>
      </c>
      <c r="I111" t="s">
        <v>4669</v>
      </c>
      <c r="J111" t="str">
        <f t="shared" ref="J111" si="5">"{ name: "&amp;CHAR(34)&amp;A111&amp;CHAR(34)&amp;", landmark: "&amp;CHAR(34)&amp;"Side Quest"&amp;CHAR(34)&amp;", type: "&amp;CHAR(34)&amp;B111&amp;CHAR(34)&amp;", region: "&amp;C111&amp;", level: "&amp;CHAR(34)&amp;D111&amp;CHAR(34)&amp;", x: "&amp;E111&amp;", y: "&amp;F111&amp;", z: "&amp;G111&amp;", weight: "&amp;H111&amp;", details: `&lt;strong&gt;Start:&lt;/strong&gt; "&amp;I111&amp;"` },"</f>
        <v>{ name: "Teach Me a Lesson II", landmark: "Side Quest", type: "Hateno School", region: 11, level: "Surface", x: 3371, y: -1969, z: 129, weight: 0, details: `&lt;strong&gt;Start:&lt;/strong&gt; Talk to Symin During Class&lt;br&gt;&lt;strong&gt;Reward:&lt;/strong&gt; Access to the school's field for planting` },</v>
      </c>
    </row>
    <row r="112" spans="1:10" x14ac:dyDescent="0.2">
      <c r="A112" t="s">
        <v>3097</v>
      </c>
      <c r="B112" t="s">
        <v>1329</v>
      </c>
      <c r="C112" s="2">
        <v>11</v>
      </c>
      <c r="D112" s="2" t="s">
        <v>785</v>
      </c>
      <c r="E112" s="2">
        <v>3335</v>
      </c>
      <c r="F112" s="2">
        <v>-2036</v>
      </c>
      <c r="G112" s="2">
        <v>117</v>
      </c>
      <c r="H112" s="2">
        <v>0</v>
      </c>
      <c r="I112" t="s">
        <v>3139</v>
      </c>
      <c r="J112" t="str">
        <f t="shared" si="4"/>
        <v>{ name: "Uma's Garden", landmark: "Side Quest", type: "Hateno Village", region: 11, level: "Surface", x: 3335, y: -2036, z: 117, weight: 0, details: `&lt;strong&gt;Start:&lt;/strong&gt; Talk to Uma at the School Field&lt;br&gt;&lt;strong&gt;Reward:&lt;/strong&gt; ` },</v>
      </c>
    </row>
    <row r="113" spans="1:10" x14ac:dyDescent="0.2">
      <c r="A113" t="s">
        <v>3083</v>
      </c>
      <c r="B113" t="s">
        <v>1447</v>
      </c>
      <c r="C113" s="2">
        <v>12</v>
      </c>
      <c r="D113" s="2" t="s">
        <v>785</v>
      </c>
      <c r="E113" s="2">
        <v>2957</v>
      </c>
      <c r="F113" s="2">
        <v>-3492</v>
      </c>
      <c r="G113" s="2">
        <v>1</v>
      </c>
      <c r="H113" s="2">
        <v>0</v>
      </c>
      <c r="I113" t="s">
        <v>4326</v>
      </c>
      <c r="J113" t="str">
        <f t="shared" si="4"/>
        <v>{ name: "A Way to Trade, Washed Away", landmark: "Side Quest", type: "Lurelin Village", region: 12, level: "Surface", x: 2957, y: -3492, z: 1, weight: 0, details: `&lt;strong&gt;Start:&lt;/strong&gt; Talk to Garini After Restoring &lt;img src="icons/village.png" style="height: 20px; width: 20px; vertical-align: middle; margin-right: 5px;"&gt;&lt;span style="color: #c6a96a; font-weight: bold;"&gt;Lurelin Village&lt;/span&gt;&lt;br&gt;&lt;strong&gt;Reward:&lt;/strong&gt; Star Fragment` },</v>
      </c>
    </row>
    <row r="114" spans="1:10" x14ac:dyDescent="0.2">
      <c r="A114" t="s">
        <v>3085</v>
      </c>
      <c r="B114" t="s">
        <v>1447</v>
      </c>
      <c r="C114" s="2">
        <v>12</v>
      </c>
      <c r="D114" s="2" t="s">
        <v>785</v>
      </c>
      <c r="E114" s="2">
        <v>2895</v>
      </c>
      <c r="F114" s="2">
        <v>-3433</v>
      </c>
      <c r="G114" s="2">
        <v>0</v>
      </c>
      <c r="H114" s="2">
        <v>0</v>
      </c>
      <c r="I114" t="s">
        <v>3136</v>
      </c>
      <c r="J114" t="str">
        <f t="shared" si="4"/>
        <v>{ name: "Dad's Blue Shirt", landmark: "Side Quest", type: "Lurelin Village", region: 12, level: "Surface", x: 2895, y: -3433, z: 0, weight: 0, details: `&lt;strong&gt;Start:&lt;/strong&gt; Talk to Zuta&lt;br&gt;&lt;strong&gt;Reward:&lt;/strong&gt; Island Lobster Shirt` },</v>
      </c>
    </row>
    <row r="115" spans="1:10" x14ac:dyDescent="0.2">
      <c r="A115" t="s">
        <v>3090</v>
      </c>
      <c r="B115" t="s">
        <v>1447</v>
      </c>
      <c r="C115" s="2">
        <v>12</v>
      </c>
      <c r="D115" s="2" t="s">
        <v>785</v>
      </c>
      <c r="E115" s="2">
        <v>2858</v>
      </c>
      <c r="F115" s="2">
        <v>-3516</v>
      </c>
      <c r="G115" s="2">
        <v>0</v>
      </c>
      <c r="H115" s="2">
        <v>0</v>
      </c>
      <c r="I115" t="s">
        <v>4325</v>
      </c>
      <c r="J115" t="str">
        <f t="shared" si="4"/>
        <v>{ name: "Lurelin Resort Project", landmark: "Side Quest", type: "Lurelin Village", region: 12, level: "Surface", x: 2858, y: -3516, z: 0, weight: 0, details: `&lt;strong&gt;Start:&lt;/strong&gt; Talk to Bolson After Restoring &lt;img src="icons/village.png" style="height: 20px; width: 20px; vertical-align: middle; margin-right: 5px;"&gt;&lt;span style="color: #c6a96a; font-weight: bold;"&gt;Lurelin Village&lt;/span&gt;&lt;br&gt;&lt;strong&gt;Reward:&lt;/strong&gt; Access to Lurelin Water Rally` },</v>
      </c>
    </row>
    <row r="116" spans="1:10" x14ac:dyDescent="0.2">
      <c r="A116" t="s">
        <v>3095</v>
      </c>
      <c r="B116" t="s">
        <v>1447</v>
      </c>
      <c r="C116" s="2">
        <v>12</v>
      </c>
      <c r="D116" s="2" t="s">
        <v>785</v>
      </c>
      <c r="E116" s="2">
        <v>2845</v>
      </c>
      <c r="F116" s="2">
        <v>-3462</v>
      </c>
      <c r="G116" s="2">
        <v>4</v>
      </c>
      <c r="H116" s="2">
        <v>0</v>
      </c>
      <c r="I116" t="s">
        <v>4265</v>
      </c>
      <c r="J116" t="str">
        <f t="shared" si="4"/>
        <v>{ name: "Rattled Ralera", landmark: "Side Quest", type: "Lurelin Village", region: 12, level: "Surface", x: 2845, y: -3462, z: 4, weight: 0, details: `&lt;strong&gt;Start:&lt;/strong&gt; Talk to Ralera&lt;br&gt;&lt;strong&gt;Reward:&lt;/strong&gt; Lurelin Village Fabric` },</v>
      </c>
    </row>
    <row r="117" spans="1:10" x14ac:dyDescent="0.2">
      <c r="A117" t="s">
        <v>3096</v>
      </c>
      <c r="B117" t="s">
        <v>1248</v>
      </c>
      <c r="C117" s="2">
        <v>12</v>
      </c>
      <c r="D117" s="2" t="s">
        <v>785</v>
      </c>
      <c r="E117" s="2">
        <v>4508</v>
      </c>
      <c r="F117" s="2">
        <v>-3503</v>
      </c>
      <c r="G117" s="2">
        <v>0</v>
      </c>
      <c r="H117" s="2">
        <v>0</v>
      </c>
      <c r="I117" t="s">
        <v>4327</v>
      </c>
      <c r="J117" t="str">
        <f t="shared" si="4"/>
        <v>{ name: "Seeking the Pirate Hideout", landmark: "Side Quest", type: "Eventide Island", region: 12, level: "Surface", x: 4508, y: -3503, z: 0, weight: 0, details: `&lt;strong&gt;Start:&lt;/strong&gt; Talk to Sesami&lt;br&gt;&lt;strong&gt;Reward:&lt;/strong&gt; Blue-Maned Lynel Saber Horn` },</v>
      </c>
    </row>
    <row r="118" spans="1:10" x14ac:dyDescent="0.2">
      <c r="A118" t="s">
        <v>3098</v>
      </c>
      <c r="B118" t="s">
        <v>1353</v>
      </c>
      <c r="C118" s="2">
        <v>13</v>
      </c>
      <c r="D118" s="2" t="s">
        <v>785</v>
      </c>
      <c r="E118" s="2">
        <v>523</v>
      </c>
      <c r="F118" s="2">
        <v>-3458</v>
      </c>
      <c r="G118" s="2">
        <v>47</v>
      </c>
      <c r="H118" s="2">
        <v>0</v>
      </c>
      <c r="I118" t="s">
        <v>4454</v>
      </c>
      <c r="J118" t="str">
        <f t="shared" si="4"/>
        <v>{ name: "A Picture for Highland Stable", landmark: "Side Quest", type: "Highland Stable", region: 13, level: "Surface", x: 523, y: -3458, z: 47, weight: 0, details: `&lt;strong&gt;Start:&lt;/strong&gt; Examine the Empty Frame in&lt;img src="icons/stable.png" style="height: 20px; width: 20px; vertical-align: middle; margin-right: 5px;"&gt;&lt;span style="color: #c6a96a; font-weight: bold;"&gt;Highland Stable&lt;/span&gt;&lt;br&gt;&lt;strong&gt;Reward:&lt;/strong&gt; 1 Pony Point, Energizing Honey Crepe` },</v>
      </c>
    </row>
    <row r="119" spans="1:10" x14ac:dyDescent="0.2">
      <c r="A119" t="s">
        <v>3099</v>
      </c>
      <c r="B119" t="s">
        <v>1046</v>
      </c>
      <c r="C119" s="2">
        <v>13</v>
      </c>
      <c r="D119" s="2" t="s">
        <v>785</v>
      </c>
      <c r="E119" s="2">
        <v>1559</v>
      </c>
      <c r="F119" s="2">
        <v>-3543</v>
      </c>
      <c r="G119" s="2">
        <v>61</v>
      </c>
      <c r="H119" s="2">
        <v>0</v>
      </c>
      <c r="I119" t="s">
        <v>4455</v>
      </c>
      <c r="J119" t="str">
        <f t="shared" si="4"/>
        <v>{ name: "A Picture for Lakeside Stable", landmark: "Side Quest", type: "Lakeside Stable", region: 13, level: "Surface", x: 1559, y: -3543, z: 61, weight: 0, details: `&lt;strong&gt;Start:&lt;/strong&gt; Examine the Empty Frame in&lt;img src="icons/stable.png" style="height: 20px; width: 20px; vertical-align: middle; margin-right: 5px;"&gt;&lt;span style="color: #c6a96a; font-weight: bold;"&gt;Lakeside Stable&lt;/span&gt;&lt;br&gt;&lt;strong&gt;Reward:&lt;/strong&gt; 1 Pony Point, Tough Tomato Seafood Soup` },</v>
      </c>
    </row>
    <row r="120" spans="1:10" x14ac:dyDescent="0.2">
      <c r="A120" t="s">
        <v>3101</v>
      </c>
      <c r="B120" t="s">
        <v>1080</v>
      </c>
      <c r="C120" s="2">
        <v>13</v>
      </c>
      <c r="D120" s="2" t="s">
        <v>785</v>
      </c>
      <c r="E120" s="2">
        <v>873</v>
      </c>
      <c r="F120" s="2">
        <v>-2354</v>
      </c>
      <c r="G120" s="2">
        <v>17</v>
      </c>
      <c r="H120" s="2">
        <v>0</v>
      </c>
      <c r="I120" t="s">
        <v>4328</v>
      </c>
      <c r="J120" t="str">
        <f t="shared" si="4"/>
        <v>{ name: "Goddess Statue of Courage", landmark: "Side Quest", type: "Spring of Courage", region: 13, level: "Surface", x: 873, y: -2354, z: 17, weight: 0, details: `&lt;strong&gt;Start:&lt;/strong&gt; Talk to the &lt;img src="icons/goddess-statue.png" style="height: 20px; width: 20px; vertical-align: middle; margin-right: 5px;"&gt;&lt;span style="color: #7cc9c2; font-weight: bold;"&gt;Goddess Statue of Courage&lt;/span&gt;&lt;br&gt;&lt;strong&gt;Reward:&lt;/strong&gt; Topaz` },</v>
      </c>
    </row>
    <row r="121" spans="1:10" x14ac:dyDescent="0.2">
      <c r="A121" t="s">
        <v>3092</v>
      </c>
      <c r="B121" t="s">
        <v>1046</v>
      </c>
      <c r="C121" s="2">
        <v>13</v>
      </c>
      <c r="D121" s="2" t="s">
        <v>785</v>
      </c>
      <c r="E121" s="2">
        <v>1562</v>
      </c>
      <c r="F121" s="2">
        <v>-3529</v>
      </c>
      <c r="G121" s="2">
        <v>60</v>
      </c>
      <c r="H121" s="2">
        <v>0</v>
      </c>
      <c r="I121" t="s">
        <v>4275</v>
      </c>
      <c r="J121" t="str">
        <f t="shared" si="4"/>
        <v>{ name: "Ousting the Giants", landmark: "Side Quest", type: "Lakeside Stable", region: 13, level: "Surface", x: 1562, y: -3529, z: 60, weight: 0, details: `&lt;strong&gt;Start:&lt;/strong&gt; Talk to Kampo&lt;br&gt;&lt;strong&gt;Reward:&lt;/strong&gt; Mighty Fried Bananas` },</v>
      </c>
    </row>
    <row r="122" spans="1:10" x14ac:dyDescent="0.2">
      <c r="A122" t="s">
        <v>4653</v>
      </c>
      <c r="B122" t="s">
        <v>1034</v>
      </c>
      <c r="C122" s="2">
        <v>14</v>
      </c>
      <c r="D122" s="2" t="s">
        <v>785</v>
      </c>
      <c r="E122" s="2">
        <v>-2797</v>
      </c>
      <c r="F122" s="2">
        <v>-2221</v>
      </c>
      <c r="G122" s="2">
        <v>29</v>
      </c>
      <c r="H122" s="2">
        <v>0</v>
      </c>
      <c r="I122" t="s">
        <v>4456</v>
      </c>
      <c r="J122" t="str">
        <f t="shared" si="4"/>
        <v>{ name: "A Picture for Closed Stable I", landmark: "Side Quest", type: "Gerudo Canyon Stable", region: 14, level: "Surface", x: -2797, y: -2221, z: 29, weight: 0, details: `&lt;strong&gt;Start:&lt;/strong&gt; Examine the Empty Frame in&lt;img src="icons/stable.png" style="height: 20px; width: 20px; vertical-align: middle; margin-right: 5px;"&gt;&lt;span style="color: #c6a96a; font-weight: bold;"&gt;Gerudo Canyon Stable&lt;/span&gt;&lt;br&gt;&lt;strong&gt;Reward:&lt;/strong&gt; Chilly Mushroom Risotto, Spicy Mushroom Risotto` },</v>
      </c>
    </row>
    <row r="123" spans="1:10" x14ac:dyDescent="0.2">
      <c r="A123" t="s">
        <v>4654</v>
      </c>
      <c r="B123" t="s">
        <v>1034</v>
      </c>
      <c r="C123" s="2">
        <v>14</v>
      </c>
      <c r="D123" s="2" t="s">
        <v>785</v>
      </c>
      <c r="E123" s="2">
        <v>-2791</v>
      </c>
      <c r="F123" s="2">
        <v>-2228</v>
      </c>
      <c r="G123" s="2">
        <v>29</v>
      </c>
      <c r="H123" s="2">
        <v>0</v>
      </c>
      <c r="I123" t="s">
        <v>4456</v>
      </c>
      <c r="J123" t="str">
        <f t="shared" si="4"/>
        <v>{ name: "A Picture for Closed Stable II", landmark: "Side Quest", type: "Gerudo Canyon Stable", region: 14, level: "Surface", x: -2791, y: -2228, z: 29, weight: 0, details: `&lt;strong&gt;Start:&lt;/strong&gt; Examine the Empty Frame in&lt;img src="icons/stable.png" style="height: 20px; width: 20px; vertical-align: middle; margin-right: 5px;"&gt;&lt;span style="color: #c6a96a; font-weight: bold;"&gt;Gerudo Canyon Stable&lt;/span&gt;&lt;br&gt;&lt;strong&gt;Reward:&lt;/strong&gt; Chilly Mushroom Risotto, Spicy Mushroom Risotto` },</v>
      </c>
    </row>
    <row r="124" spans="1:10" x14ac:dyDescent="0.2">
      <c r="A124" t="s">
        <v>4656</v>
      </c>
      <c r="B124" t="s">
        <v>1057</v>
      </c>
      <c r="C124" s="2">
        <v>14</v>
      </c>
      <c r="D124" s="2" t="s">
        <v>785</v>
      </c>
      <c r="E124" s="2">
        <v>-1380</v>
      </c>
      <c r="F124" s="2">
        <v>-3364</v>
      </c>
      <c r="G124" s="2">
        <v>469</v>
      </c>
      <c r="H124" s="2">
        <v>0</v>
      </c>
      <c r="I124" t="s">
        <v>4329</v>
      </c>
      <c r="J124" t="str">
        <f t="shared" si="4"/>
        <v>{ name: "Cold-Endurance Contest!", landmark: "Side Quest", type: "Mount Granajh", region: 14, level: "Surface", x: -1380, y: -3364, z: 469, weight: 0, details: `&lt;strong&gt;Start:&lt;/strong&gt; Talk to Rahdo&lt;br&gt;&lt;strong&gt;Reward:&lt;/strong&gt; Silver Rupee` },</v>
      </c>
    </row>
    <row r="125" spans="1:10" x14ac:dyDescent="0.2">
      <c r="A125" t="s">
        <v>3102</v>
      </c>
      <c r="B125" t="s">
        <v>1284</v>
      </c>
      <c r="C125" s="2">
        <v>14</v>
      </c>
      <c r="D125" s="2" t="s">
        <v>785</v>
      </c>
      <c r="E125" s="2">
        <v>-3814</v>
      </c>
      <c r="F125" s="2">
        <v>-2874</v>
      </c>
      <c r="G125" s="2">
        <v>43</v>
      </c>
      <c r="H125" s="2">
        <v>0</v>
      </c>
      <c r="I125" t="s">
        <v>4330</v>
      </c>
      <c r="J125" t="str">
        <f t="shared" si="4"/>
        <v>{ name: "Dalia's Game", landmark: "Side Quest", type: "Gerudo Town", region: 14, level: "Surface", x: -3814, y: -2874, z: 43, weight: 0, details: `&lt;strong&gt;Start:&lt;/strong&gt; Speak with Dalia&lt;br&gt;&lt;strong&gt;Reward:&lt;/strong&gt; An Orb related to The Mysterious Eighth side quest` },</v>
      </c>
    </row>
    <row r="126" spans="1:10" x14ac:dyDescent="0.2">
      <c r="A126" t="s">
        <v>3103</v>
      </c>
      <c r="B126" t="s">
        <v>1385</v>
      </c>
      <c r="C126" s="2">
        <v>14</v>
      </c>
      <c r="D126" s="2" t="s">
        <v>785</v>
      </c>
      <c r="E126" s="2">
        <v>-3226</v>
      </c>
      <c r="F126" s="2">
        <v>-2518</v>
      </c>
      <c r="G126" s="2">
        <v>23</v>
      </c>
      <c r="H126" s="2">
        <v>0</v>
      </c>
      <c r="I126" t="s">
        <v>3141</v>
      </c>
      <c r="J126" t="str">
        <f t="shared" si="4"/>
        <v>{ name: "Decorate with Passion", landmark: "Side Quest", type: "Kara Kara Bazaar", region: 14, level: "Surface", x: -3226, y: -2518, z: 23, weight: 0, details: `&lt;strong&gt;Start:&lt;/strong&gt; Talk to Boraa&lt;br&gt;&lt;strong&gt;Reward:&lt;/strong&gt; Electric Keese Wing` },</v>
      </c>
    </row>
    <row r="127" spans="1:10" x14ac:dyDescent="0.2">
      <c r="A127" t="s">
        <v>3104</v>
      </c>
      <c r="B127" t="s">
        <v>997</v>
      </c>
      <c r="C127" s="2">
        <v>14</v>
      </c>
      <c r="D127" s="2" t="s">
        <v>785</v>
      </c>
      <c r="E127" s="2">
        <v>-1660</v>
      </c>
      <c r="F127" s="2">
        <v>-2013</v>
      </c>
      <c r="G127" s="2">
        <v>-15</v>
      </c>
      <c r="H127" s="2">
        <v>0</v>
      </c>
      <c r="I127" t="s">
        <v>3142</v>
      </c>
      <c r="J127" t="str">
        <f t="shared" si="4"/>
        <v>{ name: "Disaster in Gerudo Canyon", landmark: "Side Quest", type: "Gerudo Canyon Pass", region: 14, level: "Surface", x: -1660, y: -2013, z: -15, weight: 0, details: `&lt;strong&gt;Start:&lt;/strong&gt; Talk to Quince&lt;br&gt;&lt;strong&gt;Reward:&lt;/strong&gt; Bomb Flower x10` },</v>
      </c>
    </row>
    <row r="128" spans="1:10" x14ac:dyDescent="0.2">
      <c r="A128" t="s">
        <v>3105</v>
      </c>
      <c r="B128" t="s">
        <v>1033</v>
      </c>
      <c r="C128" s="2">
        <v>14</v>
      </c>
      <c r="D128" s="2" t="s">
        <v>785</v>
      </c>
      <c r="E128" s="2">
        <v>-2726</v>
      </c>
      <c r="F128" s="2">
        <v>-2336</v>
      </c>
      <c r="G128" s="2">
        <v>62</v>
      </c>
      <c r="H128" s="2">
        <v>0</v>
      </c>
      <c r="I128" t="s">
        <v>3143</v>
      </c>
      <c r="J128" t="str">
        <f t="shared" si="4"/>
        <v>{ name: "Gleeok Guts", landmark: "Side Quest", type: "Gerudo Canyon", region: 14, level: "Surface", x: -2726, y: -2336, z: 62, weight: 0, details: `&lt;strong&gt;Start:&lt;/strong&gt; Talk to Malena&lt;br&gt;&lt;strong&gt;Reward:&lt;/strong&gt; Gold Rupee` },</v>
      </c>
    </row>
    <row r="129" spans="1:10" x14ac:dyDescent="0.2">
      <c r="A129" t="s">
        <v>4655</v>
      </c>
      <c r="B129" t="s">
        <v>1057</v>
      </c>
      <c r="C129" s="2">
        <v>14</v>
      </c>
      <c r="D129" s="2" t="s">
        <v>785</v>
      </c>
      <c r="E129" s="2">
        <v>-1380</v>
      </c>
      <c r="F129" s="2">
        <v>-3440</v>
      </c>
      <c r="G129" s="2">
        <v>469</v>
      </c>
      <c r="H129" s="2">
        <v>0</v>
      </c>
      <c r="I129" t="s">
        <v>4331</v>
      </c>
      <c r="J129" t="str">
        <f t="shared" si="4"/>
        <v>{ name: "Heat-Endurance Contest!", landmark: "Side Quest", type: "Mount Granajh", region: 14, level: "Surface", x: -1380, y: -3440, z: 469, weight: 0, details: `&lt;strong&gt;Start:&lt;/strong&gt; Talk to Rahdo after Finishing &lt;img src="icons/side-quest.png" style="height: 20px; width: 20px; vertical-align: middle; margin-right: 5px;"&gt;&lt;span style="color: #c6a96a; font-weight: bold;"&gt;Cold-Endurance Contest&lt;/span&gt;&lt;br&gt;&lt;strong&gt;Reward:&lt;/strong&gt; Gold Rupee` },</v>
      </c>
    </row>
    <row r="130" spans="1:10" x14ac:dyDescent="0.2">
      <c r="A130" t="s">
        <v>3106</v>
      </c>
      <c r="B130" t="s">
        <v>1385</v>
      </c>
      <c r="C130" s="2">
        <v>14</v>
      </c>
      <c r="D130" s="2" t="s">
        <v>785</v>
      </c>
      <c r="E130" s="2">
        <v>-3273</v>
      </c>
      <c r="F130" s="2">
        <v>-2581</v>
      </c>
      <c r="G130" s="2">
        <v>23</v>
      </c>
      <c r="H130" s="2">
        <v>0</v>
      </c>
      <c r="I130" t="s">
        <v>4332</v>
      </c>
      <c r="J130" t="str">
        <f t="shared" si="4"/>
        <v>{ name: "Lost in the Dunes", landmark: "Side Quest", type: "Kara Kara Bazaar", region: 14, level: "Surface", x: -3273, y: -2581, z: 23, weight: 0, details: `&lt;strong&gt;Start:&lt;/strong&gt; Speak with Banja&lt;br&gt;&lt;strong&gt;Reward:&lt;/strong&gt; An Orb related to The Mysterious Eighth side quest` },</v>
      </c>
    </row>
    <row r="131" spans="1:10" x14ac:dyDescent="0.2">
      <c r="A131" t="s">
        <v>3107</v>
      </c>
      <c r="B131" t="s">
        <v>1034</v>
      </c>
      <c r="C131" s="2">
        <v>14</v>
      </c>
      <c r="D131" s="2" t="s">
        <v>785</v>
      </c>
      <c r="E131" s="2">
        <v>-2796</v>
      </c>
      <c r="F131" s="2">
        <v>-2234</v>
      </c>
      <c r="G131" s="2">
        <v>29</v>
      </c>
      <c r="H131" s="2">
        <v>0</v>
      </c>
      <c r="I131" t="s">
        <v>4276</v>
      </c>
      <c r="J131" t="str">
        <f t="shared" si="4"/>
        <v>{ name: "Piaffe, Packed Away", landmark: "Side Quest", type: "Gerudo Canyon Stable", region: 14, level: "Surface", x: -2796, y: -2234, z: 29, weight: 0, details: `&lt;strong&gt;Start:&lt;/strong&gt; Speak to Piaffe&lt;br&gt;&lt;strong&gt;Reward:&lt;/strong&gt; 1 Pony Point` },</v>
      </c>
    </row>
    <row r="132" spans="1:10" x14ac:dyDescent="0.2">
      <c r="A132" s="35" t="s">
        <v>3108</v>
      </c>
      <c r="B132" t="s">
        <v>1284</v>
      </c>
      <c r="C132" s="2">
        <v>14</v>
      </c>
      <c r="D132" s="2" t="s">
        <v>785</v>
      </c>
      <c r="E132" s="8">
        <v>-3828</v>
      </c>
      <c r="F132" s="8">
        <v>-2886</v>
      </c>
      <c r="G132" s="8">
        <v>43</v>
      </c>
      <c r="H132" s="2">
        <v>0</v>
      </c>
      <c r="I132" s="35" t="s">
        <v>4333</v>
      </c>
      <c r="J132" t="str">
        <f t="shared" si="4"/>
        <v>{ name: "Pride of the Gerudo", landmark: "Side Quest", type: "Gerudo Town", region: 14, level: "Surface", x: -3828, y: -2886, z: 43, weight: 0, details: `&lt;strong&gt;Start:&lt;/strong&gt; Talk to Isha&lt;br&gt;&lt;strong&gt;Reward:&lt;/strong&gt; Scimitar of the Seven, Daybreaker` },</v>
      </c>
    </row>
    <row r="133" spans="1:10" s="35" customFormat="1" x14ac:dyDescent="0.2">
      <c r="A133" t="s">
        <v>3109</v>
      </c>
      <c r="B133" t="s">
        <v>1193</v>
      </c>
      <c r="C133" s="2">
        <v>14</v>
      </c>
      <c r="D133" s="2" t="s">
        <v>785</v>
      </c>
      <c r="E133" s="2">
        <v>-1005</v>
      </c>
      <c r="F133" s="2">
        <v>-3582</v>
      </c>
      <c r="G133" s="2">
        <v>219</v>
      </c>
      <c r="H133" s="2">
        <v>0</v>
      </c>
      <c r="I133" t="s">
        <v>3144</v>
      </c>
      <c r="J133" t="str">
        <f t="shared" si="4"/>
        <v>{ name: "The Great Tumbleweed Purge", landmark: "Side Quest", type: "Daval Peak", region: 14, level: "Surface", x: -1005, y: -3582, z: 219, weight: 0, details: `&lt;strong&gt;Start:&lt;/strong&gt; Talk to Barles&lt;br&gt;&lt;strong&gt;Reward:&lt;/strong&gt; Royal Shield` },</v>
      </c>
    </row>
    <row r="134" spans="1:10" x14ac:dyDescent="0.2">
      <c r="A134" t="s">
        <v>3110</v>
      </c>
      <c r="B134" t="s">
        <v>1284</v>
      </c>
      <c r="C134" s="2">
        <v>14</v>
      </c>
      <c r="D134" s="2" t="s">
        <v>785</v>
      </c>
      <c r="E134" s="2">
        <v>-3882</v>
      </c>
      <c r="F134" s="2">
        <v>-2977</v>
      </c>
      <c r="G134" s="2">
        <v>33</v>
      </c>
      <c r="H134" s="2">
        <v>0</v>
      </c>
      <c r="I134" t="s">
        <v>3145</v>
      </c>
      <c r="J134" t="str">
        <f t="shared" si="4"/>
        <v>{ name: "The Heroines' Secret", landmark: "Side Quest", type: "Gerudo Town", region: 14, level: "Surface", x: -3882, y: -2977, z: 33, weight: 0, details: `&lt;strong&gt;Start:&lt;/strong&gt; Talk to Rotana&lt;br&gt;&lt;strong&gt;Reward:&lt;/strong&gt; 100 Rupees` },</v>
      </c>
    </row>
    <row r="135" spans="1:10" x14ac:dyDescent="0.2">
      <c r="A135" t="s">
        <v>3111</v>
      </c>
      <c r="B135" t="s">
        <v>1520</v>
      </c>
      <c r="C135" s="2">
        <v>14</v>
      </c>
      <c r="D135" s="2" t="s">
        <v>785</v>
      </c>
      <c r="E135" s="2">
        <v>-3754</v>
      </c>
      <c r="F135" s="2">
        <v>-2276</v>
      </c>
      <c r="G135" s="2">
        <v>33</v>
      </c>
      <c r="H135" s="2">
        <v>0</v>
      </c>
      <c r="I135" t="s">
        <v>3146</v>
      </c>
      <c r="J135" t="str">
        <f t="shared" si="4"/>
        <v>{ name: "The Iceless Icehouse", landmark: "Side Quest", type: "Northern Icehouse", region: 14, level: "Surface", x: -3754, y: -2276, z: 33, weight: 0, details: `&lt;strong&gt;Start:&lt;/strong&gt; Talk to Anche&lt;br&gt;&lt;strong&gt;Reward:&lt;/strong&gt; Purple Rupee` },</v>
      </c>
    </row>
    <row r="136" spans="1:10" x14ac:dyDescent="0.2">
      <c r="A136" t="s">
        <v>3112</v>
      </c>
      <c r="B136" t="s">
        <v>1284</v>
      </c>
      <c r="C136" s="2">
        <v>14</v>
      </c>
      <c r="D136" s="2" t="s">
        <v>785</v>
      </c>
      <c r="E136" s="2">
        <v>-3871</v>
      </c>
      <c r="F136" s="2">
        <v>-2960</v>
      </c>
      <c r="G136" s="2">
        <v>33</v>
      </c>
      <c r="H136" s="2">
        <v>0</v>
      </c>
      <c r="I136" t="s">
        <v>4334</v>
      </c>
      <c r="J136" t="str">
        <f t="shared" si="4"/>
        <v>{ name: "The Missing Owner", landmark: "Side Quest", type: "Gerudo Town", region: 14, level: "Surface", x: -3871, y: -2960, z: 33, weight: 0, details: `&lt;strong&gt;Start:&lt;/strong&gt; Speak With Cara&lt;br&gt;&lt;strong&gt;Reward:&lt;/strong&gt; Diamond` },</v>
      </c>
    </row>
    <row r="137" spans="1:10" x14ac:dyDescent="0.2">
      <c r="A137" t="s">
        <v>3113</v>
      </c>
      <c r="B137" t="s">
        <v>1284</v>
      </c>
      <c r="C137" s="2">
        <v>14</v>
      </c>
      <c r="D137" s="2" t="s">
        <v>785</v>
      </c>
      <c r="E137" s="2">
        <v>-3828</v>
      </c>
      <c r="F137" s="2">
        <v>-2971</v>
      </c>
      <c r="G137" s="2">
        <v>29</v>
      </c>
      <c r="H137" s="2">
        <v>0</v>
      </c>
      <c r="I137" t="s">
        <v>4335</v>
      </c>
      <c r="J137" t="str">
        <f t="shared" si="4"/>
        <v>{ name: "The Mysterious Eighth", landmark: "Side Quest", type: "Gerudo Town", region: 14, level: "Surface", x: -3828, y: -2971, z: 29, weight: 0, details: `&lt;strong&gt;Start:&lt;/strong&gt; Speak with Rotana After Finishing &lt;img src="icons/side-quest.png" style="height: 20px; width: 20px; vertical-align: middle; margin-right: 5px;"&gt;&lt;span style="color: #c6a96a; font-weight: bold;"&gt;The Heroines' Secret&lt;/span&gt;&lt;br&gt;&lt;strong&gt;Reward:&lt;/strong&gt; Diamond` },</v>
      </c>
    </row>
    <row r="138" spans="1:10" x14ac:dyDescent="0.2">
      <c r="A138" t="s">
        <v>3114</v>
      </c>
      <c r="B138" t="s">
        <v>1629</v>
      </c>
      <c r="C138" s="2">
        <v>14</v>
      </c>
      <c r="D138" s="2" t="s">
        <v>785</v>
      </c>
      <c r="E138" s="2">
        <v>-1794</v>
      </c>
      <c r="F138" s="2">
        <v>-3440</v>
      </c>
      <c r="G138" s="2">
        <v>46</v>
      </c>
      <c r="H138" s="2">
        <v>0</v>
      </c>
      <c r="I138" t="s">
        <v>3147</v>
      </c>
      <c r="J138" t="str">
        <f t="shared" ref="J138:J140" si="6">"{ name: "&amp;CHAR(34)&amp;A138&amp;CHAR(34)&amp;", landmark: "&amp;CHAR(34)&amp;"Side Quest"&amp;CHAR(34)&amp;", type: "&amp;CHAR(34)&amp;B138&amp;CHAR(34)&amp;", region: "&amp;C138&amp;", level: "&amp;CHAR(34)&amp;D138&amp;CHAR(34)&amp;", x: "&amp;E138&amp;", y: "&amp;F138&amp;", z: "&amp;G138&amp;", weight: "&amp;H138&amp;", details: `&lt;strong&gt;Start:&lt;/strong&gt; "&amp;I138&amp;"` },"</f>
        <v>{ name: "The South Lomei Prophecy", landmark: "Side Quest", type: "South Lomei Labyrinth", region: 14, level: "Surface", x: -1794, y: -3440, z: 46, weight: 0, details: `&lt;strong&gt;Start:&lt;/strong&gt; Activate the South Lomei Labyrinth Terminal&lt;br&gt;&lt;strong&gt;Reward:&lt;/strong&gt; Evil Spirit Mask` },</v>
      </c>
    </row>
    <row r="139" spans="1:10" x14ac:dyDescent="0.2">
      <c r="A139" t="s">
        <v>4652</v>
      </c>
      <c r="B139" t="s">
        <v>1284</v>
      </c>
      <c r="C139" s="2">
        <v>14</v>
      </c>
      <c r="D139" s="2" t="s">
        <v>785</v>
      </c>
      <c r="E139" s="2">
        <v>-3778</v>
      </c>
      <c r="F139" s="2">
        <v>-2921</v>
      </c>
      <c r="G139" s="2">
        <v>43</v>
      </c>
      <c r="H139" s="2">
        <v>0</v>
      </c>
      <c r="I139" t="s">
        <v>4336</v>
      </c>
      <c r="J139" t="str">
        <f t="shared" si="6"/>
        <v>{ name: "To the Ruins!", landmark: "Side Quest", type: "Gerudo Town", region: 14, level: "Surface", x: -3778, y: -2921, z: 43, weight: 0, details: `&lt;strong&gt;Start:&lt;/strong&gt; Talk to Pokki after Finishing &lt;img src="icons/main-quest.png" style="height: 20px; width: 20px; vertical-align: middle; margin-right: 5px;"&gt;&lt;span style="color: #fec043; font-weight: bold;"&gt;Riju of Gerudo Town&lt;/span&gt;&lt;br&gt;&lt;strong&gt;Reward:&lt;/strong&gt; Silver Rupee` },</v>
      </c>
    </row>
    <row r="140" spans="1:10" x14ac:dyDescent="0.2">
      <c r="A140" t="s">
        <v>3115</v>
      </c>
      <c r="B140" t="s">
        <v>1284</v>
      </c>
      <c r="C140" s="2">
        <v>14</v>
      </c>
      <c r="D140" s="2" t="s">
        <v>785</v>
      </c>
      <c r="E140" s="2">
        <v>-3896</v>
      </c>
      <c r="F140" s="2">
        <v>-2965</v>
      </c>
      <c r="G140" s="2">
        <v>51</v>
      </c>
      <c r="H140" s="2">
        <v>0</v>
      </c>
      <c r="I140" t="s">
        <v>4337</v>
      </c>
      <c r="J140" t="str">
        <f t="shared" si="6"/>
        <v>{ name: "Treasure of the Gerudo Desert", landmark: "Side Quest", type: "Gerudo Town", region: 14, level: "Surface", x: -3896, y: -2965, z: 51, weight: 0, details: `&lt;strong&gt;Start:&lt;/strong&gt; Talk to Riju after Finishing &lt;img src="icons/main-quest.png" style="height: 20px; width: 20px; vertical-align: middle; margin-right: 5px;"&gt;&lt;span style="color: #fec043; font-weight: bold;"&gt;Riju of Gerudo Town&lt;/span&gt;&lt;br&gt;&lt;strong&gt;Reward:&lt;/strong&gt; Vah Naboris Divine Helm` },</v>
      </c>
    </row>
  </sheetData>
  <autoFilter ref="A1:J140" xr:uid="{9B66D1FE-B66F-F348-9F83-5F8C8FFF29B7}">
    <sortState xmlns:xlrd2="http://schemas.microsoft.com/office/spreadsheetml/2017/richdata2" ref="A2:J140">
      <sortCondition ref="D1:D140"/>
    </sortState>
  </autoFilter>
  <sortState xmlns:xlrd2="http://schemas.microsoft.com/office/spreadsheetml/2017/richdata2" ref="A2:J140">
    <sortCondition ref="A93:A140"/>
  </sortState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EF4A0-354D-3E4C-84C8-01BD62C83A7D}">
  <sheetPr>
    <tabColor theme="7"/>
  </sheetPr>
  <dimension ref="A1:J32"/>
  <sheetViews>
    <sheetView workbookViewId="0">
      <selection activeCell="J11" sqref="J11"/>
    </sheetView>
  </sheetViews>
  <sheetFormatPr baseColWidth="10" defaultRowHeight="16" x14ac:dyDescent="0.2"/>
  <cols>
    <col min="1" max="1" width="41.33203125" customWidth="1"/>
    <col min="2" max="2" width="26.33203125" style="7" bestFit="1" customWidth="1"/>
    <col min="3" max="3" width="13.1640625" style="2" bestFit="1" customWidth="1"/>
    <col min="4" max="4" width="10.83203125" style="2"/>
    <col min="5" max="5" width="10.83203125" style="2" customWidth="1"/>
    <col min="6" max="8" width="10.83203125" style="2"/>
    <col min="9" max="9" width="85" style="19" customWidth="1"/>
  </cols>
  <sheetData>
    <row r="1" spans="1:10" s="6" customFormat="1" ht="17" x14ac:dyDescent="0.2">
      <c r="A1" s="6" t="s">
        <v>781</v>
      </c>
      <c r="B1" s="12" t="s">
        <v>2083</v>
      </c>
      <c r="C1" s="4" t="s">
        <v>2074</v>
      </c>
      <c r="D1" s="4" t="s">
        <v>777</v>
      </c>
      <c r="E1" s="4" t="s">
        <v>778</v>
      </c>
      <c r="F1" s="4" t="s">
        <v>779</v>
      </c>
      <c r="G1" s="4" t="s">
        <v>780</v>
      </c>
      <c r="H1" s="4" t="s">
        <v>2837</v>
      </c>
      <c r="I1" s="37" t="s">
        <v>2081</v>
      </c>
      <c r="J1" s="6" t="s">
        <v>2075</v>
      </c>
    </row>
    <row r="2" spans="1:10" ht="68" x14ac:dyDescent="0.2">
      <c r="A2" s="36" t="s">
        <v>4488</v>
      </c>
      <c r="B2" s="7" t="s">
        <v>1923</v>
      </c>
      <c r="C2" s="2">
        <v>2</v>
      </c>
      <c r="D2" s="2" t="s">
        <v>783</v>
      </c>
      <c r="E2" s="2">
        <v>-1343</v>
      </c>
      <c r="F2" s="2">
        <v>-1382</v>
      </c>
      <c r="G2" s="2">
        <v>1008</v>
      </c>
      <c r="H2" s="2">
        <v>0</v>
      </c>
      <c r="I2" s="19" t="s">
        <v>4526</v>
      </c>
      <c r="J2" t="str">
        <f t="shared" ref="J2:J4" si="0">"{ name: "&amp;CHAR(34)&amp;A2&amp;CHAR(34)&amp;", landmark: "&amp;CHAR(34)&amp;"Shrine Quest"&amp;CHAR(34)&amp;", type: "&amp;CHAR(34)&amp;B2&amp;" Quest"&amp;CHAR(34)&amp;", region: "&amp;C2&amp;", level: "&amp;CHAR(34)&amp;D2&amp;CHAR(34)&amp;", x: "&amp;E2&amp;", y: "&amp;F2&amp;", z: "&amp;G2&amp;", weight: "&amp;H2&amp;", details: `"&amp;I2&amp;"` },"</f>
        <v>{ name: "The South Hyrule Sky Crystal", landmark: "Shrine Quest", type: "Jinodok Shrine Quest", region: 2, level: "Sky", x: -1343, y: -1382, z: 1008, weight: 0, details: `&lt;strong&gt;Task:&lt;/strong&gt; Retrieve the shrine crystal from sky island near the shrine&lt;br&gt;&lt;strong&gt;Reward:&lt;/strong&gt; Access to &lt;img src="icons/shrine.png" style="height: 20px; width: 20px; vertical-align: middle; margin-right: 5px;"&gt;&lt;span style="color: #7cc9c2; font-weight: bold;"&gt;Jinodok Shrine&lt;/span&gt;` },</v>
      </c>
    </row>
    <row r="3" spans="1:10" ht="102" x14ac:dyDescent="0.2">
      <c r="A3" s="36" t="s">
        <v>4489</v>
      </c>
      <c r="B3" s="7" t="s">
        <v>1920</v>
      </c>
      <c r="C3" s="2">
        <v>3</v>
      </c>
      <c r="D3" s="2" t="s">
        <v>783</v>
      </c>
      <c r="E3" s="2">
        <v>-3440</v>
      </c>
      <c r="F3" s="2">
        <v>658</v>
      </c>
      <c r="G3" s="2">
        <v>1421</v>
      </c>
      <c r="H3" s="2">
        <v>0</v>
      </c>
      <c r="I3" s="19" t="s">
        <v>4527</v>
      </c>
      <c r="J3" t="str">
        <f t="shared" si="0"/>
        <v>{ name: "The Tabantha Sky Crystal", landmark: "Shrine Quest", type: "Ganos Shrine Quest", region: 3, level: "Sky", x: -3440, y: 658, z: 1421, weight: 0, details: `&lt;strong&gt;Task:&lt;/strong&gt; Retrieve the shrine crystal from the Flux Construct III in &lt;img src="icons/flux-construct.png" style="height: 20px; width: 20px; vertical-align: middle; margin-right: 5px;"&gt;&lt;span style="color: #7cc9c2; font-weight: bold;"&gt;Tabantha Sky Archipelago&lt;/span&gt;&lt;br&gt;&lt;strong&gt;Reward:&lt;/strong&gt; Access to &lt;img src="icons/shrine.png" style="height: 20px; width: 20px; vertical-align: middle; margin-right: 5px;"&gt;&lt;span style="color: #7cc9c2; font-weight: bold;"&gt;Ganos Shrine&lt;/span&gt;` },</v>
      </c>
    </row>
    <row r="4" spans="1:10" ht="68" x14ac:dyDescent="0.2">
      <c r="A4" s="36" t="s">
        <v>4490</v>
      </c>
      <c r="B4" s="7" t="s">
        <v>4491</v>
      </c>
      <c r="C4" s="2">
        <v>5</v>
      </c>
      <c r="D4" s="2" t="s">
        <v>783</v>
      </c>
      <c r="E4" s="2">
        <v>-1723</v>
      </c>
      <c r="F4" s="2">
        <v>3533</v>
      </c>
      <c r="G4" s="2">
        <v>944</v>
      </c>
      <c r="H4" s="2">
        <v>0</v>
      </c>
      <c r="I4" s="19" t="s">
        <v>4528</v>
      </c>
      <c r="J4" t="str">
        <f t="shared" si="0"/>
        <v>{ name: "The East Hebra Sky Crystal", landmark: "Shrine Quest", type: "Tauninoud Shrine Quest", region: 5, level: "Sky", x: -1723, y: 3533, z: 944, weight: 0, details: `&lt;strong&gt;Task:&lt;/strong&gt; Retrieve the shrine crystal from inside the sky island near the shrine&lt;br&gt;&lt;strong&gt;Reward:&lt;/strong&gt; Access to &lt;img src="icons/shrine.png" style="height: 20px; width: 20px; vertical-align: middle; margin-right: 5px;"&gt;&lt;span style="color: #7cc9c2; font-weight: bold;"&gt;Tauninoud Shrine&lt;/span&gt;` },</v>
      </c>
    </row>
    <row r="5" spans="1:10" ht="68" x14ac:dyDescent="0.2">
      <c r="A5" s="36" t="s">
        <v>4487</v>
      </c>
      <c r="B5" s="7" t="s">
        <v>2009</v>
      </c>
      <c r="C5" s="2">
        <v>6</v>
      </c>
      <c r="D5" s="2" t="s">
        <v>783</v>
      </c>
      <c r="E5" s="2">
        <v>506</v>
      </c>
      <c r="F5" s="2">
        <v>2589</v>
      </c>
      <c r="G5" s="2">
        <v>1665</v>
      </c>
      <c r="H5" s="2">
        <v>0</v>
      </c>
      <c r="I5" s="19" t="s">
        <v>4534</v>
      </c>
      <c r="J5" t="str">
        <f>"{ name: "&amp;CHAR(34)&amp;A5&amp;CHAR(34)&amp;", landmark: "&amp;CHAR(34)&amp;"Shrine Quest"&amp;CHAR(34)&amp;", type: "&amp;CHAR(34)&amp;B5&amp;" Quest"&amp;CHAR(34)&amp;", region: "&amp;C5&amp;", level: "&amp;CHAR(34)&amp;D5&amp;CHAR(34)&amp;", x: "&amp;E5&amp;", y: "&amp;F5&amp;", z: "&amp;G5&amp;", weight: "&amp;H5&amp;", details: `"&amp;I5&amp;"` },"</f>
        <v>{ name: "The North Hyrule Sky Crystal", landmark: "Shrine Quest", type: "Mayam Shrine Quest", region: 6, level: "Sky", x: 506, y: 2589, z: 1665, weight: 0, details: `&lt;strong&gt;Task:&lt;/strong&gt; Retrieve the shrine crystal from the Flux Construct I nearby&lt;br&gt;&lt;strong&gt;Reward:&lt;/strong&gt; Access to &lt;img src="icons/shrine.png" style="height: 20px; width: 20px; vertical-align: middle; margin-right: 5px;"&gt;&lt;span style="color: #7cc9c2; font-weight: bold;"&gt;Mayam Shrine&lt;/span&gt;` },</v>
      </c>
    </row>
    <row r="6" spans="1:10" ht="68" x14ac:dyDescent="0.2">
      <c r="A6" s="36" t="s">
        <v>4492</v>
      </c>
      <c r="B6" s="7" t="s">
        <v>2041</v>
      </c>
      <c r="C6" s="2">
        <v>8</v>
      </c>
      <c r="D6" s="2" t="s">
        <v>783</v>
      </c>
      <c r="E6" s="2">
        <v>4522</v>
      </c>
      <c r="F6" s="2">
        <v>2104</v>
      </c>
      <c r="G6" s="2">
        <v>1440</v>
      </c>
      <c r="H6" s="2">
        <v>0</v>
      </c>
      <c r="I6" s="19" t="s">
        <v>4529</v>
      </c>
      <c r="J6" t="str">
        <f t="shared" ref="J6:J32" si="1">"{ name: "&amp;CHAR(34)&amp;A6&amp;CHAR(34)&amp;", landmark: "&amp;CHAR(34)&amp;"Shrine Quest"&amp;CHAR(34)&amp;", type: "&amp;CHAR(34)&amp;B6&amp;" Quest"&amp;CHAR(34)&amp;", region: "&amp;C6&amp;", level: "&amp;CHAR(34)&amp;D6&amp;CHAR(34)&amp;", x: "&amp;E6&amp;", y: "&amp;F6&amp;", z: "&amp;G6&amp;", weight: "&amp;H6&amp;", details: `"&amp;I6&amp;"` },"</f>
        <v>{ name: "The Sky Mine Crystal", landmark: "Shrine Quest", type: "Gikaku Shrine Quest", region: 8, level: "Sky", x: 4522, y: 2104, z: 1440, weight: 0, details: `&lt;strong&gt;Task:&lt;/strong&gt; Retrieve the shrine crystal from the sky island above the shrine&lt;br&gt;&lt;strong&gt;Reward:&lt;/strong&gt; Access to &lt;img src="icons/shrine.png" style="height: 20px; width: 20px; vertical-align: middle; margin-right: 5px;"&gt;&lt;span style="color: #7cc9c2; font-weight: bold;"&gt;Gikaku Shrine&lt;/span&gt;` },</v>
      </c>
    </row>
    <row r="7" spans="1:10" ht="68" x14ac:dyDescent="0.2">
      <c r="A7" s="36" t="s">
        <v>4493</v>
      </c>
      <c r="B7" s="7" t="s">
        <v>2033</v>
      </c>
      <c r="C7" s="2">
        <v>8</v>
      </c>
      <c r="D7" s="2" t="s">
        <v>783</v>
      </c>
      <c r="E7" s="2">
        <v>3818</v>
      </c>
      <c r="F7" s="2">
        <v>1588</v>
      </c>
      <c r="G7" s="2">
        <v>1165</v>
      </c>
      <c r="H7" s="2">
        <v>0</v>
      </c>
      <c r="I7" s="19" t="s">
        <v>4530</v>
      </c>
      <c r="J7" t="str">
        <f t="shared" si="1"/>
        <v>{ name: "The Sokkala Sky Crystal", landmark: "Shrine Quest", type: "Natak Shrine Quest", region: 8, level: "Sky", x: 3818, y: 1588, z: 1165, weight: 0, details: `&lt;strong&gt;Task:&lt;/strong&gt; Retrieve the shrine crystal from the sphere-shaped sky island near the shrine&lt;br&gt;&lt;strong&gt;Reward:&lt;/strong&gt; Access to &lt;img src="icons/shrine.png" style="height: 20px; width: 20px; vertical-align: middle; margin-right: 5px;"&gt;&lt;span style="color: #7cc9c2; font-weight: bold;"&gt;Natak Shrine&lt;/span&gt;` },</v>
      </c>
    </row>
    <row r="8" spans="1:10" ht="68" x14ac:dyDescent="0.2">
      <c r="A8" s="36" t="s">
        <v>4495</v>
      </c>
      <c r="B8" s="7" t="s">
        <v>1973</v>
      </c>
      <c r="C8" s="2">
        <v>10</v>
      </c>
      <c r="D8" s="2" t="s">
        <v>783</v>
      </c>
      <c r="E8" s="2">
        <v>1826</v>
      </c>
      <c r="F8" s="2">
        <v>-1368</v>
      </c>
      <c r="G8" s="2">
        <v>923</v>
      </c>
      <c r="H8" s="2">
        <v>0</v>
      </c>
      <c r="I8" s="19" t="s">
        <v>4532</v>
      </c>
      <c r="J8" t="str">
        <f t="shared" si="1"/>
        <v>{ name: "The North Necluda Sky Crystal", landmark: "Shrine Quest", type: "Josiu Shrine Quest", region: 10, level: "Sky", x: 1826, y: -1368, z: 923, weight: 0, details: `&lt;strong&gt;Task:&lt;/strong&gt; Retrieve the shrine crystal from inside the sky island near the shrine&lt;br&gt;&lt;strong&gt;Reward:&lt;/strong&gt; Access to &lt;img src="icons/shrine.png" style="height: 20px; width: 20px; vertical-align: middle; margin-right: 5px;"&gt;&lt;span style="color: #7cc9c2; font-weight: bold;"&gt;Josiu Shrine&lt;/span&gt;` },</v>
      </c>
    </row>
    <row r="9" spans="1:10" ht="68" x14ac:dyDescent="0.2">
      <c r="A9" s="36" t="s">
        <v>4496</v>
      </c>
      <c r="B9" s="7" t="s">
        <v>1952</v>
      </c>
      <c r="C9" s="2">
        <v>10</v>
      </c>
      <c r="D9" s="2" t="s">
        <v>783</v>
      </c>
      <c r="E9" s="2">
        <v>1704</v>
      </c>
      <c r="F9" s="2">
        <v>-1846</v>
      </c>
      <c r="G9" s="2">
        <v>650</v>
      </c>
      <c r="H9" s="2">
        <v>0</v>
      </c>
      <c r="I9" s="19" t="s">
        <v>4535</v>
      </c>
      <c r="J9" t="str">
        <f t="shared" si="1"/>
        <v>{ name: "The West Necluda Sky Crystal", landmark: "Shrine Quest", type: "Ukoojisi Shrine Quest", region: 10, level: "Sky", x: 1704, y: -1846, z: 650, weight: 0, details: `&lt;strong&gt;Task:&lt;/strong&gt; Retrieve the shrine crystal from the vine-covered sky island North North East of the shrine&lt;br&gt;&lt;strong&gt;Reward:&lt;/strong&gt; Access to &lt;img src="icons/shrine.png" style="height: 20px; width: 20px; vertical-align: middle; margin-right: 5px;"&gt;&lt;span style="color: #7cc9c2; font-weight: bold;"&gt;Ukoojisi Shrine&lt;/span&gt;` },</v>
      </c>
    </row>
    <row r="10" spans="1:10" ht="68" x14ac:dyDescent="0.2">
      <c r="A10" s="36" t="s">
        <v>4494</v>
      </c>
      <c r="B10" s="7" t="s">
        <v>2015</v>
      </c>
      <c r="C10" s="2">
        <v>11</v>
      </c>
      <c r="D10" s="2" t="s">
        <v>783</v>
      </c>
      <c r="E10" s="2">
        <v>4826</v>
      </c>
      <c r="F10" s="2">
        <v>-789</v>
      </c>
      <c r="G10" s="2">
        <v>1896</v>
      </c>
      <c r="H10" s="2">
        <v>0</v>
      </c>
      <c r="I10" s="19" t="s">
        <v>4531</v>
      </c>
      <c r="J10" t="str">
        <f t="shared" si="1"/>
        <v>{ name: "The South Lanayru Sky Crystal", landmark: "Shrine Quest", type: "Mayanas Shrine Quest", region: 11, level: "Sky", x: 4826, y: -789, z: 1896, weight: 0, details: `&lt;strong&gt;Task:&lt;/strong&gt; Retrieve the shrine crystal from the vine-covered sky island near the shrine&lt;br&gt;&lt;strong&gt;Reward:&lt;/strong&gt; Access to &lt;img src="icons/shrine.png" style="height: 20px; width: 20px; vertical-align: middle; margin-right: 5px;"&gt;&lt;span style="color: #7cc9c2; font-weight: bold;"&gt;Mayanas Shrine&lt;/span&gt;` },</v>
      </c>
    </row>
    <row r="11" spans="1:10" ht="68" x14ac:dyDescent="0.2">
      <c r="A11" s="36" t="s">
        <v>4497</v>
      </c>
      <c r="B11" s="7" t="s">
        <v>1966</v>
      </c>
      <c r="C11" s="2">
        <v>12</v>
      </c>
      <c r="D11" s="2" t="s">
        <v>783</v>
      </c>
      <c r="E11" s="2">
        <v>3054</v>
      </c>
      <c r="F11" s="2">
        <v>-2757</v>
      </c>
      <c r="G11" s="2">
        <v>1192</v>
      </c>
      <c r="H11" s="2">
        <v>0</v>
      </c>
      <c r="I11" s="19" t="s">
        <v>4536</v>
      </c>
      <c r="J11" t="str">
        <f t="shared" si="1"/>
        <v>{ name: "The Necluda Sky Crystal", landmark: "Shrine Quest", type: "Kumamayn Shrine Quest", region: 12, level: "Sky", x: 3054, y: -2757, z: 1192, weight: 0, details: `&lt;strong&gt;Task:&lt;/strong&gt; Retrieve the shrine crystal from the Flux Construct III nearby&lt;br&gt;&lt;strong&gt;Reward:&lt;/strong&gt; Access to &lt;img src="icons/shrine.png" style="height: 20px; width: 20px; vertical-align: middle; margin-right: 5px;"&gt;&lt;span style="color: #7cc9c2; font-weight: bold;"&gt;Kumamayn Shrine&lt;/span&gt;` },</v>
      </c>
    </row>
    <row r="12" spans="1:10" ht="85" x14ac:dyDescent="0.2">
      <c r="A12" s="36" t="s">
        <v>4466</v>
      </c>
      <c r="B12" s="7" t="s">
        <v>1919</v>
      </c>
      <c r="C12" s="2">
        <v>3</v>
      </c>
      <c r="D12" s="2" t="s">
        <v>785</v>
      </c>
      <c r="E12" s="2">
        <v>-2215</v>
      </c>
      <c r="F12" s="2">
        <v>650</v>
      </c>
      <c r="G12" s="2">
        <v>105</v>
      </c>
      <c r="H12" s="2">
        <v>0</v>
      </c>
      <c r="I12" s="19" t="s">
        <v>4506</v>
      </c>
      <c r="J12" t="str">
        <f t="shared" si="1"/>
        <v>{ name: "The Satori Mountain Crystal", landmark: "Shrine Quest", type: "Usazum Shrine Quest", region: 3, level: "Surface", x: -2215, y: 650, z: 105, weight: 0, details: `&lt;strong&gt;Task:&lt;/strong&gt; Retrieve the shrine crystal from the Hinox in &lt;img src="icons/cave.png" style="height: 20px; width: 20px; vertical-align: middle; margin-right: 5px;"&gt;&lt;span style="color: #a784e5; font-weight: bold;"&gt;Satori Mountain Foothill Cave&lt;/span&gt;&lt;br&gt;&lt;strong&gt;Reward:&lt;/strong&gt; Access to &lt;img src="icons/shrine.png" style="height: 20px; width: 20px; vertical-align: middle; margin-right: 5px;"&gt;&lt;span style="color: #7cc9c2; font-weight: bold;"&gt;Usazum Shrine&lt;/span&gt;` },</v>
      </c>
    </row>
    <row r="13" spans="1:10" ht="85" x14ac:dyDescent="0.2">
      <c r="A13" s="36" t="s">
        <v>4468</v>
      </c>
      <c r="B13" s="7" t="s">
        <v>1921</v>
      </c>
      <c r="C13" s="2">
        <v>3</v>
      </c>
      <c r="D13" s="2" t="s">
        <v>785</v>
      </c>
      <c r="E13" s="2">
        <v>-3940</v>
      </c>
      <c r="F13" s="2">
        <v>1056</v>
      </c>
      <c r="G13" s="2">
        <v>73</v>
      </c>
      <c r="H13" s="2">
        <v>0</v>
      </c>
      <c r="I13" s="19" t="s">
        <v>4508</v>
      </c>
      <c r="J13" t="str">
        <f t="shared" si="1"/>
        <v>{ name: "The Gisa Crater Crystal", landmark: "Shrine Quest", type: "Ikatak Shrine Quest", region: 3, level: "Surface", x: -3940, y: 1056, z: 73, weight: 0, details: `&lt;strong&gt;Task:&lt;/strong&gt; Retrieve the shrine crystal from &lt;img src="icons/cave.png" style="height: 20px; width: 20px; vertical-align: middle; margin-right: 5px;"&gt;&lt;span style="color: #a784e5; font-weight: bold;"&gt;Gisa Crater Cave&lt;/span&gt;&lt;br&gt;&lt;strong&gt;Reward:&lt;/strong&gt; Access to &lt;img src="icons/shrine.png" style="height: 20px; width: 20px; vertical-align: middle; margin-right: 5px;"&gt;&lt;span style="color: #7cc9c2; font-weight: bold;"&gt;Ikatak Shrine&lt;/span&gt;` },</v>
      </c>
    </row>
    <row r="14" spans="1:10" ht="102" x14ac:dyDescent="0.2">
      <c r="A14" s="36" t="s">
        <v>4467</v>
      </c>
      <c r="B14" s="7" t="s">
        <v>1931</v>
      </c>
      <c r="C14" s="2">
        <v>4</v>
      </c>
      <c r="D14" s="2" t="s">
        <v>785</v>
      </c>
      <c r="E14" s="2">
        <v>-3632</v>
      </c>
      <c r="F14" s="2">
        <v>1827</v>
      </c>
      <c r="G14" s="2">
        <v>204</v>
      </c>
      <c r="H14" s="2">
        <v>0</v>
      </c>
      <c r="I14" s="19" t="s">
        <v>4507</v>
      </c>
      <c r="J14" t="str">
        <f t="shared" si="1"/>
        <v>{ name: "The White Bird's Guidance", landmark: "Shrine Quest", type: "Wao-os Shrine Quest", region: 4, level: "Surface", x: -3632, y: 1827, z: 204, weight: 0, details: `&lt;strong&gt;Task:&lt;/strong&gt; Talk to Laissa to start the quest, then find the bird-shaped snow patch that is to the West North West of &lt;img src="icons/village.png" style="height: 20px; width: 20px; vertical-align: middle; margin-right: 5px;"&gt;&lt;span style="color: #c6a96a; font-weight: bold;"&gt;Rito Village&lt;/span&gt;&lt;br&gt;&lt;strong&gt;Reward:&lt;/strong&gt; Access to &lt;img src="icons/shrine.png" style="height: 20px; width: 20px; vertical-align: middle; margin-right: 5px;"&gt;&lt;span style="color: #7cc9c2; font-weight: bold;"&gt;Wao-os Shrine&lt;/span&gt;` },</v>
      </c>
    </row>
    <row r="15" spans="1:10" ht="85" x14ac:dyDescent="0.2">
      <c r="A15" s="36" t="s">
        <v>4469</v>
      </c>
      <c r="B15" s="7" t="s">
        <v>1977</v>
      </c>
      <c r="C15" s="2">
        <v>4</v>
      </c>
      <c r="D15" s="2" t="s">
        <v>785</v>
      </c>
      <c r="E15" s="2">
        <v>-2675</v>
      </c>
      <c r="F15" s="2">
        <v>3353</v>
      </c>
      <c r="G15" s="2">
        <v>249</v>
      </c>
      <c r="H15" s="2">
        <v>0</v>
      </c>
      <c r="I15" s="19" t="s">
        <v>4509</v>
      </c>
      <c r="J15" t="str">
        <f t="shared" si="1"/>
        <v>{ name: "The North Hebra Mountains Crystal", landmark: "Shrine Quest", type: "Sisuran Shrine Quest", region: 4, level: "Surface", x: -2675, y: 3353, z: 249, weight: 0, details: `&lt;strong&gt;Task:&lt;/strong&gt; Retrieve the shrine crystal from &lt;img src="icons/talus.png" style="height: 20px; width: 20px; vertical-align: middle; margin-right: 5px;"&gt;&lt;span style="color: #d0d0d0; font-weight: bold;"&gt;Frost Talus&lt;/span&gt;&lt;br&gt;&lt;strong&gt;Reward:&lt;/strong&gt; Access to &lt;img src="icons/shrine.png" style="height: 20px; width: 20px; vertical-align: middle; margin-right: 5px;"&gt;&lt;span style="color: #7cc9c2; font-weight: bold;"&gt;Sisuran Shrine&lt;/span&gt;` },</v>
      </c>
    </row>
    <row r="16" spans="1:10" ht="85" x14ac:dyDescent="0.2">
      <c r="A16" s="36" t="s">
        <v>4470</v>
      </c>
      <c r="B16" s="7" t="s">
        <v>1969</v>
      </c>
      <c r="C16" s="2">
        <v>4</v>
      </c>
      <c r="D16" s="2" t="s">
        <v>785</v>
      </c>
      <c r="E16" s="2">
        <v>-2994</v>
      </c>
      <c r="F16" s="2">
        <v>3157</v>
      </c>
      <c r="G16" s="2">
        <v>501</v>
      </c>
      <c r="H16" s="2">
        <v>0</v>
      </c>
      <c r="I16" s="19" t="s">
        <v>4510</v>
      </c>
      <c r="J16" t="str">
        <f t="shared" si="1"/>
        <v>{ name: "The Northwest Hebra Cave Crystal", landmark: "Shrine Quest", type: "Rutafu-um Shrine Quest", region: 4, level: "Surface", x: -2994, y: 3157, z: 501, weight: 0, details: `&lt;strong&gt;Task:&lt;/strong&gt; Retrieve the shrine crystal from &lt;img src="icons/cave.png" style="height: 20px; width: 20px; vertical-align: middle; margin-right: 5px;"&gt;&lt;span style="color: #a784e5; font-weight: bold;"&gt;Hebra Mountains Northwest Cave&lt;/span&gt;&lt;br&gt;&lt;strong&gt;Reward:&lt;/strong&gt; Access to &lt;img src="icons/shrine.png" style="height: 20px; width: 20px; vertical-align: middle; margin-right: 5px;"&gt;&lt;span style="color: #7cc9c2; font-weight: bold;"&gt;Rutafu-um Shrine&lt;/span&gt;` },</v>
      </c>
    </row>
    <row r="17" spans="1:10" ht="68" x14ac:dyDescent="0.2">
      <c r="A17" s="36" t="s">
        <v>4471</v>
      </c>
      <c r="B17" s="7" t="s">
        <v>2007</v>
      </c>
      <c r="C17" s="2">
        <v>6</v>
      </c>
      <c r="D17" s="2" t="s">
        <v>785</v>
      </c>
      <c r="E17" s="2">
        <v>561</v>
      </c>
      <c r="F17" s="2">
        <v>2159</v>
      </c>
      <c r="G17" s="2">
        <v>158</v>
      </c>
      <c r="H17" s="2">
        <v>0</v>
      </c>
      <c r="I17" s="19" t="s">
        <v>4511</v>
      </c>
      <c r="J17" t="str">
        <f t="shared" si="1"/>
        <v>{ name: "A Pretty Stone and Five Golden Apples", landmark: "Shrine Quest", type: "Pupunke Shrine Quest", region: 6, level: "Surface", x: 561, y: 2159, z: 158, weight: 0, details: `&lt;strong&gt;Task:&lt;/strong&gt; Talk to the korok, Damia, and trade 5 golden apples for the shrine crystal&lt;br&gt;&lt;strong&gt;Reward:&lt;/strong&gt; Access to &lt;img src="icons/shrine.png" style="height: 20px; width: 20px; vertical-align: middle; margin-right: 5px;"&gt;&lt;span style="color: #7cc9c2; font-weight: bold;"&gt;Pupunke Shrine&lt;/span&gt;` },</v>
      </c>
    </row>
    <row r="18" spans="1:10" ht="68" x14ac:dyDescent="0.2">
      <c r="A18" s="36" t="s">
        <v>4472</v>
      </c>
      <c r="B18" s="7" t="s">
        <v>2003</v>
      </c>
      <c r="C18" s="2">
        <v>6</v>
      </c>
      <c r="D18" s="2" t="s">
        <v>785</v>
      </c>
      <c r="E18" s="2">
        <v>108</v>
      </c>
      <c r="F18" s="2">
        <v>2370</v>
      </c>
      <c r="G18" s="2">
        <v>185</v>
      </c>
      <c r="H18" s="2">
        <v>0</v>
      </c>
      <c r="I18" s="19" t="s">
        <v>4512</v>
      </c>
      <c r="J18" t="str">
        <f t="shared" si="1"/>
        <v>{ name: "None Shall Pass", landmark: "Shrine Quest", type: "Sakunbomar Shrine Quest", region: 6, level: "Surface", x: 108, y: 2370, z: 185, weight: 0, details: `&lt;strong&gt;Task:&lt;/strong&gt; Retrieve the shrine crystal from the Stone Talus near the shrine&lt;br&gt;&lt;strong&gt;Reward:&lt;/strong&gt; Access to &lt;img src="icons/shrine.png" style="height: 20px; width: 20px; vertical-align: middle; margin-right: 5px;"&gt;&lt;span style="color: #7cc9c2; font-weight: bold;"&gt;Sakunbomar Shrine&lt;/span&gt;` },</v>
      </c>
    </row>
    <row r="19" spans="1:10" ht="102" x14ac:dyDescent="0.2">
      <c r="A19" s="36" t="s">
        <v>4473</v>
      </c>
      <c r="B19" s="7" t="s">
        <v>1998</v>
      </c>
      <c r="C19" s="2">
        <v>6</v>
      </c>
      <c r="D19" s="2" t="s">
        <v>785</v>
      </c>
      <c r="E19" s="2">
        <v>382</v>
      </c>
      <c r="F19" s="2">
        <v>2084</v>
      </c>
      <c r="G19" s="2">
        <v>145</v>
      </c>
      <c r="H19" s="2">
        <v>0</v>
      </c>
      <c r="I19" s="19" t="s">
        <v>4513</v>
      </c>
      <c r="J19" t="str">
        <f t="shared" si="1"/>
        <v>{ name: "Maca's Special Place", landmark: "Shrine Quest", type: "Ninjis Shrine Quest", region: 6, level: "Surface", x: 382, y: 2084, z: 145, weight: 0, details: `&lt;strong&gt;Task:&lt;/strong&gt; Talk to the korok, Maca, to receive the quest then dive into &lt;img src="icons/location.png" style="height: 20px; width: 20px; vertical-align: middle; margin-right: 5px;"&gt;&lt;span style="color: #c6a96a; font-weight: bold;"&gt;Great Hyrule Forest&lt;/span&gt; from above to reach the shrine&lt;br&gt;&lt;strong&gt;Reward:&lt;/strong&gt; Access to &lt;img src="icons/shrine.png" style="height: 20px; width: 20px; vertical-align: middle; margin-right: 5px;"&gt;&lt;span style="color: #7cc9c2; font-weight: bold;"&gt;Ninjis Shrine&lt;/span&gt;` },</v>
      </c>
    </row>
    <row r="20" spans="1:10" ht="85" x14ac:dyDescent="0.2">
      <c r="A20" s="36" t="s">
        <v>4474</v>
      </c>
      <c r="B20" s="7" t="s">
        <v>2037</v>
      </c>
      <c r="C20" s="2">
        <v>7</v>
      </c>
      <c r="D20" s="2" t="s">
        <v>785</v>
      </c>
      <c r="E20" s="2">
        <v>2630</v>
      </c>
      <c r="F20" s="2">
        <v>2735</v>
      </c>
      <c r="G20" s="2">
        <v>533</v>
      </c>
      <c r="H20" s="2">
        <v>0</v>
      </c>
      <c r="I20" s="19" t="s">
        <v>4514</v>
      </c>
      <c r="J20" t="str">
        <f t="shared" si="1"/>
        <v>{ name: "The Death Caldera Crystal", landmark: "Shrine Quest", type: "Momosik Shrine Quest", region: 7, level: "Surface", x: 2630, y: 2735, z: 533, weight: 0, details: `&lt;strong&gt;Task:&lt;/strong&gt; Retrieve the shrine crystal from the Igneo Talus in &lt;img src="icons/cave.png" style="height: 20px; width: 20px; vertical-align: middle; margin-right: 5px;"&gt;&lt;span style="color: #a784e5; font-weight: bold;"&gt;Death Mountain East Tunnel&lt;/span&gt;&lt;br&gt;&lt;strong&gt;Reward:&lt;/strong&gt; Access to &lt;img src="icons/shrine.png" style="height: 20px; width: 20px; vertical-align: middle; margin-right: 5px;"&gt;&lt;span style="color: #7cc9c2; font-weight: bold;"&gt;Momosik Shrine&lt;/span&gt;` },</v>
      </c>
    </row>
    <row r="21" spans="1:10" ht="85" x14ac:dyDescent="0.2">
      <c r="A21" s="36" t="s">
        <v>4475</v>
      </c>
      <c r="B21" s="7" t="s">
        <v>2025</v>
      </c>
      <c r="C21" s="2">
        <v>7</v>
      </c>
      <c r="D21" s="2" t="s">
        <v>785</v>
      </c>
      <c r="E21" s="2">
        <v>2494</v>
      </c>
      <c r="F21" s="2">
        <v>1861</v>
      </c>
      <c r="G21" s="2">
        <v>132</v>
      </c>
      <c r="H21" s="2">
        <v>0</v>
      </c>
      <c r="I21" s="19" t="s">
        <v>4515</v>
      </c>
      <c r="J21" t="str">
        <f t="shared" si="1"/>
        <v>{ name: "The Lake Intenoch Cave Crystal", landmark: "Shrine Quest", type: "Moshapin Shrine Quest", region: 7, level: "Surface", x: 2494, y: 1861, z: 132, weight: 0, details: `&lt;strong&gt;Task:&lt;/strong&gt; Retrieve the shrine crystal from &lt;img src="icons/cave.png" style="height: 20px; width: 20px; vertical-align: middle; margin-right: 5px;"&gt;&lt;span style="color: #a784e5; font-weight: bold;"&gt;Lake Intenoch Cave&lt;/span&gt;&lt;br&gt;&lt;strong&gt;Reward:&lt;/strong&gt; Access to &lt;img src="icons/shrine.png" style="height: 20px; width: 20px; vertical-align: middle; margin-right: 5px;"&gt;&lt;span style="color: #7cc9c2; font-weight: bold;"&gt;Moshapin Shrine&lt;/span&gt;` },</v>
      </c>
    </row>
    <row r="22" spans="1:10" ht="68" x14ac:dyDescent="0.2">
      <c r="A22" s="36" t="s">
        <v>4476</v>
      </c>
      <c r="B22" s="7" t="s">
        <v>2032</v>
      </c>
      <c r="C22" s="2">
        <v>8</v>
      </c>
      <c r="D22" s="2" t="s">
        <v>785</v>
      </c>
      <c r="E22" s="2">
        <v>3925</v>
      </c>
      <c r="F22" s="2">
        <v>1600</v>
      </c>
      <c r="G22" s="2">
        <v>130</v>
      </c>
      <c r="H22" s="2">
        <v>0</v>
      </c>
      <c r="I22" s="19" t="s">
        <v>4516</v>
      </c>
      <c r="J22" t="str">
        <f t="shared" si="1"/>
        <v>{ name: "Rock for Sale", landmark: "Shrine Quest", type: "Jochi-ihiga Shrine Quest", region: 8, level: "Surface", x: 3925, y: 1600, z: 130, weight: 0, details: `&lt;strong&gt;Task:&lt;/strong&gt; Talk to Hagie then pay 50 rupees to receive the shrine crystal from him&lt;br&gt;&lt;strong&gt;Reward:&lt;/strong&gt; Access to &lt;img src="icons/shrine.png" style="height: 20px; width: 20px; vertical-align: middle; margin-right: 5px;"&gt;&lt;span style="color: #7cc9c2; font-weight: bold;"&gt;Jochi-ihiga Shrine&lt;/span&gt;` },</v>
      </c>
    </row>
    <row r="23" spans="1:10" ht="68" x14ac:dyDescent="0.2">
      <c r="A23" s="36" t="s">
        <v>4477</v>
      </c>
      <c r="B23" s="7" t="s">
        <v>1993</v>
      </c>
      <c r="C23" s="2">
        <v>10</v>
      </c>
      <c r="D23" s="2" t="s">
        <v>785</v>
      </c>
      <c r="E23" s="2">
        <v>2397</v>
      </c>
      <c r="F23" s="2">
        <v>-519</v>
      </c>
      <c r="G23" s="2">
        <v>154</v>
      </c>
      <c r="H23" s="2">
        <v>0</v>
      </c>
      <c r="I23" s="19" t="s">
        <v>4517</v>
      </c>
      <c r="J23" t="str">
        <f t="shared" si="1"/>
        <v>{ name: "Dyeing to Find It", landmark: "Shrine Quest", type: "Kurakat Shrine Quest", region: 10, level: "Surface", x: 2397, y: -519, z: 154, weight: 0, details: `&lt;strong&gt;Task:&lt;/strong&gt; Talk to Steward Construct to start the quest then manipulate the nearby stone block to cast the correct shadow at dawn&lt;br&gt;&lt;strong&gt;Reward:&lt;/strong&gt; Access to &lt;img src="icons/shrine.png" style="height: 20px; width: 20px; vertical-align: middle; margin-right: 5px;"&gt;&lt;span style="color: #7cc9c2; font-weight: bold;"&gt;Kurakat Shrine&lt;/span&gt;` },</v>
      </c>
    </row>
    <row r="24" spans="1:10" ht="85" x14ac:dyDescent="0.2">
      <c r="A24" s="36" t="s">
        <v>4479</v>
      </c>
      <c r="B24" s="7" t="s">
        <v>1990</v>
      </c>
      <c r="C24" s="2">
        <v>10</v>
      </c>
      <c r="D24" s="2" t="s">
        <v>785</v>
      </c>
      <c r="E24" s="2">
        <v>2679</v>
      </c>
      <c r="F24" s="2">
        <v>-1373</v>
      </c>
      <c r="G24" s="2">
        <v>124</v>
      </c>
      <c r="H24" s="2">
        <v>0</v>
      </c>
      <c r="I24" s="19" t="s">
        <v>4519</v>
      </c>
      <c r="J24" t="str">
        <f t="shared" si="1"/>
        <v>{ name: "The Lanayru Road Crystal", landmark: "Shrine Quest", type: "O-ogim Shrine Quest", region: 10, level: "Surface", x: 2679, y: -1373, z: 124, weight: 0, details: `&lt;strong&gt;Task:&lt;/strong&gt; Retrieve the shrine crystal from &lt;img src="icons/cave.png" style="height: 20px; width: 20px; vertical-align: middle; margin-right: 5px;"&gt;&lt;span style="color: #a784e5; font-weight: bold;"&gt;Lanayru Road South Cave&lt;/span&gt;&lt;br&gt;&lt;strong&gt;Reward:&lt;/strong&gt; Access to &lt;img src="icons/shrine.png" style="height: 20px; width: 20px; vertical-align: middle; margin-right: 5px;"&gt;&lt;span style="color: #7cc9c2; font-weight: bold;"&gt;O-ogim Shrine&lt;/span&gt;` },</v>
      </c>
    </row>
    <row r="25" spans="1:10" ht="85" x14ac:dyDescent="0.2">
      <c r="A25" s="36" t="s">
        <v>4480</v>
      </c>
      <c r="B25" s="7" t="s">
        <v>2010</v>
      </c>
      <c r="C25" s="2">
        <v>9</v>
      </c>
      <c r="D25" s="2" t="s">
        <v>785</v>
      </c>
      <c r="E25" s="2">
        <v>2924</v>
      </c>
      <c r="F25" s="2">
        <v>219</v>
      </c>
      <c r="G25" s="2">
        <v>151</v>
      </c>
      <c r="H25" s="2">
        <v>0</v>
      </c>
      <c r="I25" s="19" t="s">
        <v>4520</v>
      </c>
      <c r="J25" t="str">
        <f t="shared" si="1"/>
        <v>{ name: "The Ralis Channel Crystal", landmark: "Shrine Quest", type: "Joniu Shrine Quest", region: 9, level: "Surface", x: 2924, y: 219, z: 151, weight: 0, details: `&lt;strong&gt;Task:&lt;/strong&gt; Retrieve the shrine crystal from &lt;img src="icons/cave.png" style="height: 20px; width: 20px; vertical-align: middle; margin-right: 5px;"&gt;&lt;span style="color: #a784e5; font-weight: bold;"&gt;Ralis Channel&lt;/span&gt;&lt;br&gt;&lt;strong&gt;Reward:&lt;/strong&gt; Access to &lt;img src="icons/shrine.png" style="height: 20px; width: 20px; vertical-align: middle; margin-right: 5px;"&gt;&lt;span style="color: #7cc9c2; font-weight: bold;"&gt;Joniu Shrine&lt;/span&gt;` },</v>
      </c>
    </row>
    <row r="26" spans="1:10" ht="68" x14ac:dyDescent="0.2">
      <c r="A26" s="36" t="s">
        <v>4481</v>
      </c>
      <c r="B26" s="7" t="s">
        <v>1949</v>
      </c>
      <c r="C26" s="2">
        <v>13</v>
      </c>
      <c r="D26" s="2" t="s">
        <v>785</v>
      </c>
      <c r="E26" s="2">
        <v>944</v>
      </c>
      <c r="F26" s="2">
        <v>-1905</v>
      </c>
      <c r="G26" s="2">
        <v>17</v>
      </c>
      <c r="H26" s="2">
        <v>0</v>
      </c>
      <c r="I26" s="19" t="s">
        <v>4521</v>
      </c>
      <c r="J26" t="str">
        <f t="shared" si="1"/>
        <v>{ name: "Keys Born of Water", landmark: "Shrine Quest", type: "Jochisiu Shrine Quest", region: 13, level: "Surface", x: 944, y: -1905, z: 17, weight: 0, details: `&lt;strong&gt;Task:&lt;/strong&gt; Talk to Steward Construct to start the quest then freeze and melt ice blocks from the river to fit the diamnods&lt;br&gt;&lt;strong&gt;Reward:&lt;/strong&gt; Access to &lt;img src="icons/shrine.png" style="height: 20px; width: 20px; vertical-align: middle; margin-right: 5px;"&gt;&lt;span style="color: #7cc9c2; font-weight: bold;"&gt;Jochisiu Shrine&lt;/span&gt;` },</v>
      </c>
    </row>
    <row r="27" spans="1:10" ht="68" x14ac:dyDescent="0.2">
      <c r="A27" s="36" t="s">
        <v>4478</v>
      </c>
      <c r="B27" s="7" t="s">
        <v>1994</v>
      </c>
      <c r="C27" s="2">
        <v>11</v>
      </c>
      <c r="D27" s="2" t="s">
        <v>785</v>
      </c>
      <c r="E27" s="2">
        <v>3960</v>
      </c>
      <c r="F27" s="2">
        <v>-1360</v>
      </c>
      <c r="G27" s="2">
        <v>435</v>
      </c>
      <c r="H27" s="2">
        <v>0</v>
      </c>
      <c r="I27" s="19" t="s">
        <v>4518</v>
      </c>
      <c r="J27" t="str">
        <f t="shared" si="1"/>
        <v>{ name: "The High Spring and the Light Rings", landmark: "Shrine Quest", type: "Zakusu Shrine Quest", region: 11, level: "Surface", x: 3960, y: -1360, z: 435, weight: 0, details: `&lt;strong&gt;Task:&lt;/strong&gt; Talk to Nazbi to start the quest then use the tower to jump to the sky island above and start the shield surfing challenge&lt;br&gt;&lt;strong&gt;Reward:&lt;/strong&gt; Access to &lt;img src="icons/shrine.png" style="height: 20px; width: 20px; vertical-align: middle; margin-right: 5px;"&gt;&lt;span style="color: #7cc9c2; font-weight: bold;"&gt;Zakusu Shrine&lt;/span&gt;` },</v>
      </c>
    </row>
    <row r="28" spans="1:10" ht="85" x14ac:dyDescent="0.2">
      <c r="A28" s="36" t="s">
        <v>4482</v>
      </c>
      <c r="B28" s="7" t="s">
        <v>1965</v>
      </c>
      <c r="C28" s="2">
        <v>11</v>
      </c>
      <c r="D28" s="2" t="s">
        <v>785</v>
      </c>
      <c r="E28" s="2">
        <v>2447</v>
      </c>
      <c r="F28" s="2">
        <v>-2190</v>
      </c>
      <c r="G28" s="2">
        <v>-29</v>
      </c>
      <c r="H28" s="2">
        <v>0</v>
      </c>
      <c r="I28" s="19" t="s">
        <v>4522</v>
      </c>
      <c r="J28" t="str">
        <f t="shared" si="1"/>
        <v>{ name: "The Oakle's Navel Cave Crystal", landmark: "Shrine Quest", type: "Tokiy Shrine Quest", region: 11, level: "Surface", x: 2447, y: -2190, z: -29, weight: 0, details: `&lt;strong&gt;Task:&lt;/strong&gt; Retrieve the shrine crystal from &lt;img src="icons/cave.png" style="height: 20px; width: 20px; vertical-align: middle; margin-right: 5px;"&gt;&lt;span style="color: #a784e5; font-weight: bold;"&gt;Oakle’s Navel Cave&lt;/span&gt;&lt;br&gt;&lt;strong&gt;Reward:&lt;/strong&gt; Access to &lt;img src="icons/shrine.png" style="height: 20px; width: 20px; vertical-align: middle; margin-right: 5px;"&gt;&lt;span style="color: #7cc9c2; font-weight: bold;"&gt;Tokiy Shrine&lt;/span&gt;` },</v>
      </c>
    </row>
    <row r="29" spans="1:10" ht="102" x14ac:dyDescent="0.2">
      <c r="A29" s="36" t="s">
        <v>4485</v>
      </c>
      <c r="B29" s="7" t="s">
        <v>1945</v>
      </c>
      <c r="C29" s="2">
        <v>13</v>
      </c>
      <c r="D29" s="2" t="s">
        <v>785</v>
      </c>
      <c r="E29" s="2">
        <v>1205</v>
      </c>
      <c r="F29" s="2">
        <v>-2489</v>
      </c>
      <c r="G29" s="2">
        <v>96</v>
      </c>
      <c r="H29" s="2">
        <v>0</v>
      </c>
      <c r="I29" s="19" t="s">
        <v>4524</v>
      </c>
      <c r="J29" t="str">
        <f t="shared" si="1"/>
        <v>{ name: "Legend of the Soaring Spear", landmark: "Shrine Quest", type: "Utojis Shrine Quest", region: 13, level: "Surface", x: 1205, y: -2489, z: 96, weight: 0, details: `&lt;strong&gt;Task:&lt;/strong&gt; Read the tattered notebook in &lt;img src="icons/cave.png" style="height: 20px; width: 20px; vertical-align: middle; margin-right: 5px;"&gt;&lt;span style="color: #a784e5; font-weight: bold;"&gt;Tobio’s Hollow Cave&lt;/span&gt; to start the quest then throw a Zonai spear through the ring in the cave&lt;br&gt;&lt;strong&gt;Reward:&lt;/strong&gt; Access to &lt;img src="icons/shrine.png" style="height: 20px; width: 20px; vertical-align: middle; margin-right: 5px;"&gt;&lt;span style="color: #7cc9c2; font-weight: bold;"&gt;Utojis Shrine&lt;/span&gt;` },</v>
      </c>
    </row>
    <row r="30" spans="1:10" ht="102" x14ac:dyDescent="0.2">
      <c r="A30" s="36" t="s">
        <v>4483</v>
      </c>
      <c r="B30" s="7" t="s">
        <v>1911</v>
      </c>
      <c r="C30" s="2">
        <v>13</v>
      </c>
      <c r="D30" s="2" t="s">
        <v>785</v>
      </c>
      <c r="E30" s="2">
        <v>-695</v>
      </c>
      <c r="F30" s="2">
        <v>-3398</v>
      </c>
      <c r="G30" s="2">
        <v>172</v>
      </c>
      <c r="H30" s="2">
        <v>0</v>
      </c>
      <c r="I30" s="19" t="s">
        <v>4533</v>
      </c>
      <c r="J30" t="str">
        <f t="shared" si="1"/>
        <v>{ name: "Ride the Giant Horse", landmark: "Shrine Quest", type: "Ishokin Shrine Quest", region: 13, level: "Surface", x: -695, y: -3398, z: 172, weight: 0, details: `&lt;strong&gt;Task:&lt;/strong&gt; Talk to Baddek to start the quest then find and tame the giant horse near the &lt;img src="icons/location.png" style="height: 20px; width: 20px; vertical-align: middle; margin-right: 5px;"&gt;&lt;span style="color: #c6a96a; font-weight: bold;"&gt;Horse God Bridge&lt;/span&gt;&lt;br&gt;&lt;strong&gt;Reward:&lt;/strong&gt; Access to &lt;img src="icons/shrine.png" style="height: 20px; width: 20px; vertical-align: middle; margin-right: 5px;"&gt;&lt;span style="color: #7cc9c2; font-weight: bold;"&gt;Ishokin Shrine&lt;/span&gt;` },</v>
      </c>
    </row>
    <row r="31" spans="1:10" ht="102" x14ac:dyDescent="0.2">
      <c r="A31" s="36" t="s">
        <v>4484</v>
      </c>
      <c r="B31" s="7" t="s">
        <v>1926</v>
      </c>
      <c r="C31" s="2">
        <v>13</v>
      </c>
      <c r="D31" s="2" t="s">
        <v>785</v>
      </c>
      <c r="E31" s="2">
        <v>132</v>
      </c>
      <c r="F31" s="2">
        <v>-2494</v>
      </c>
      <c r="G31" s="2">
        <v>692</v>
      </c>
      <c r="H31" s="2">
        <v>0</v>
      </c>
      <c r="I31" s="19" t="s">
        <v>4523</v>
      </c>
      <c r="J31" t="str">
        <f t="shared" si="1"/>
        <v>{ name: "The Lake Hylia Crystal", landmark: "Shrine Quest", type: "En-oma Shrine Quest", region: 13, level: "Surface", x: 132, y: -2494, z: 692, weight: 0, details: `&lt;strong&gt;Task:&lt;/strong&gt; Retrieve the shrine crystal from the sky island above the shrine in &lt;img src="icons/location.png" style="height: 20px; width: 20px; vertical-align: middle; margin-right: 5px;"&gt;&lt;span style="color: #c6a96a; font-weight: bold;"&gt;Faron Sky Archipelago&lt;/span&gt;&lt;br&gt;&lt;strong&gt;Reward:&lt;/strong&gt; Access to &lt;img src="icons/shrine.png" style="height: 20px; width: 20px; vertical-align: middle; margin-right: 5px;"&gt;&lt;span style="color: #7cc9c2; font-weight: bold;"&gt;En-oma Shrine&lt;/span&gt;` },</v>
      </c>
    </row>
    <row r="32" spans="1:10" ht="68" x14ac:dyDescent="0.2">
      <c r="A32" s="36" t="s">
        <v>4486</v>
      </c>
      <c r="B32" s="7" t="s">
        <v>1913</v>
      </c>
      <c r="C32" s="2">
        <v>14</v>
      </c>
      <c r="D32" s="2" t="s">
        <v>785</v>
      </c>
      <c r="E32" s="2">
        <v>-1895</v>
      </c>
      <c r="F32" s="2">
        <v>-2344</v>
      </c>
      <c r="G32" s="2">
        <v>-2</v>
      </c>
      <c r="H32" s="2">
        <v>0</v>
      </c>
      <c r="I32" s="19" t="s">
        <v>4525</v>
      </c>
      <c r="J32" t="str">
        <f t="shared" si="1"/>
        <v>{ name: "The Gerudo Canyon Crystal", landmark: "Shrine Quest", type: "Rakakudaj Shrine Quest", region: 14, level: "Surface", x: -1895, y: -2344, z: -2, weight: 0, details: `&lt;strong&gt;Task:&lt;/strong&gt; Retrieve the shrine crystal from downstream of the shrine in Gerudo Canyon&lt;br&gt;&lt;strong&gt;Reward:&lt;/strong&gt; Access to &lt;img src="icons/shrine.png" style="height: 20px; width: 20px; vertical-align: middle; margin-right: 5px;"&gt;&lt;span style="color: #7cc9c2; font-weight: bold;"&gt;Rakakudaj Shrine&lt;/span&gt;` },</v>
      </c>
    </row>
  </sheetData>
  <autoFilter ref="A1:J54" xr:uid="{9B66D1FE-B66F-F348-9F83-5F8C8FFF29B7}">
    <sortState xmlns:xlrd2="http://schemas.microsoft.com/office/spreadsheetml/2017/richdata2" ref="A2:J41">
      <sortCondition ref="D1:D54"/>
    </sortState>
  </autoFilter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6AB90-D0D2-9643-B5AA-63A9E6C42F0B}">
  <sheetPr>
    <tabColor theme="7"/>
  </sheetPr>
  <dimension ref="A1:J61"/>
  <sheetViews>
    <sheetView workbookViewId="0">
      <selection activeCell="B6" sqref="B6"/>
    </sheetView>
  </sheetViews>
  <sheetFormatPr baseColWidth="10" defaultRowHeight="16" x14ac:dyDescent="0.2"/>
  <cols>
    <col min="1" max="1" width="30.1640625" bestFit="1" customWidth="1"/>
    <col min="2" max="2" width="26.33203125" style="7" bestFit="1" customWidth="1"/>
    <col min="3" max="3" width="13.1640625" style="2" bestFit="1" customWidth="1"/>
    <col min="4" max="4" width="10.83203125" style="2"/>
    <col min="5" max="5" width="10.83203125" style="2" customWidth="1"/>
    <col min="6" max="8" width="10.83203125" style="2"/>
    <col min="9" max="9" width="130.6640625" bestFit="1" customWidth="1"/>
  </cols>
  <sheetData>
    <row r="1" spans="1:10" s="6" customFormat="1" x14ac:dyDescent="0.2">
      <c r="A1" s="6" t="s">
        <v>781</v>
      </c>
      <c r="B1" s="12" t="s">
        <v>2083</v>
      </c>
      <c r="C1" s="4" t="s">
        <v>2074</v>
      </c>
      <c r="D1" s="4" t="s">
        <v>777</v>
      </c>
      <c r="E1" s="4" t="s">
        <v>778</v>
      </c>
      <c r="F1" s="4" t="s">
        <v>779</v>
      </c>
      <c r="G1" s="4" t="s">
        <v>780</v>
      </c>
      <c r="H1" s="4" t="s">
        <v>2837</v>
      </c>
      <c r="I1" s="6" t="s">
        <v>2081</v>
      </c>
      <c r="J1" s="6" t="s">
        <v>2075</v>
      </c>
    </row>
    <row r="2" spans="1:10" x14ac:dyDescent="0.2">
      <c r="A2" t="s">
        <v>4342</v>
      </c>
      <c r="B2" s="7" t="s">
        <v>1441</v>
      </c>
      <c r="C2" s="2">
        <v>1</v>
      </c>
      <c r="D2" s="2" t="s">
        <v>785</v>
      </c>
      <c r="E2" s="2">
        <v>-264</v>
      </c>
      <c r="F2" s="2">
        <v>133</v>
      </c>
      <c r="G2" s="2">
        <v>19</v>
      </c>
      <c r="H2" s="2">
        <v>0</v>
      </c>
      <c r="I2" t="s">
        <v>4403</v>
      </c>
      <c r="J2" t="str">
        <f t="shared" ref="J2:J61" si="0">"{ name: "&amp;CHAR(34)&amp;A2&amp;CHAR(34)&amp;", landmark: "&amp;CHAR(34)&amp;"Side Quest"&amp;CHAR(34)&amp;", type: "&amp;CHAR(34)&amp;B2&amp;CHAR(34)&amp;", region: "&amp;C2&amp;", level: "&amp;CHAR(34)&amp;D2&amp;CHAR(34)&amp;", x: "&amp;E2&amp;", y: "&amp;F2&amp;", z: "&amp;G2&amp;", weight: "&amp;H2&amp;", details: `&lt;strong&gt;Start:&lt;/strong&gt; "&amp;I2&amp;"` },"</f>
        <v>{ name: "Hateno Village Research Lab", landmark: "Side Quest", type: "Lookout Landing", region: 1, level: "Surface", x: -264, y: 133, z: 19, weight: 0, details: `&lt;strong&gt;Start:&lt;/strong&gt; &lt;strong&gt;Requires:&lt;/strong&gt; Finishing &lt;img src="icons/main-quest.png" style="height: 20px; width: 20px; vertical-align: middle; margin-right: 5px;"&gt;&lt;span style="color: #fec043; font-weight: bold;"&gt;A Mystery In The Depths&lt;/span&gt;&lt;br&gt;&lt;strong&gt;Start:&lt;/strong&gt; Talk to Robbie&lt;br&gt;&lt;strong&gt;Reward:&lt;/strong&gt; Shrine Sensor` },</v>
      </c>
    </row>
    <row r="3" spans="1:10" x14ac:dyDescent="0.2">
      <c r="A3" t="s">
        <v>4343</v>
      </c>
      <c r="B3" s="7" t="s">
        <v>1324</v>
      </c>
      <c r="C3" s="2">
        <v>11</v>
      </c>
      <c r="D3" s="2" t="s">
        <v>785</v>
      </c>
      <c r="E3" s="2">
        <v>3767</v>
      </c>
      <c r="F3" s="2">
        <v>-2132</v>
      </c>
      <c r="G3" s="2">
        <v>230</v>
      </c>
      <c r="H3" s="2">
        <v>0</v>
      </c>
      <c r="I3" t="s">
        <v>4404</v>
      </c>
      <c r="J3" t="str">
        <f t="shared" si="0"/>
        <v>{ name: "Filling Out The Compendium", landmark: "Side Quest", type: "Hateno Ancient Tech Lab", region: 11, level: "Surface", x: 3767, y: -2132, z: 230, weight: 0, details: `&lt;strong&gt;Start:&lt;/strong&gt; &lt;strong&gt;Requires:&lt;/strong&gt; Finishing &lt;img src="icons/side-adventures.png" style="height: 20px; width: 20px; vertical-align: middle; margin-right: 5px;"&gt;&lt;span style="color: #86a3e6; font-weight: bold;"&gt;Hateno Village Research Lab&lt;/span&gt;&lt;br&gt;&lt;strong&gt;Start:&lt;/strong&gt; Talk to Robbie&lt;br&gt;&lt;strong&gt;Reward:&lt;/strong&gt; Robbie's Fabric` },</v>
      </c>
    </row>
    <row r="4" spans="1:10" x14ac:dyDescent="0.2">
      <c r="A4" t="s">
        <v>4344</v>
      </c>
      <c r="B4" s="7" t="s">
        <v>1324</v>
      </c>
      <c r="C4" s="2">
        <v>11</v>
      </c>
      <c r="D4" s="2" t="s">
        <v>785</v>
      </c>
      <c r="E4" s="2">
        <v>3789</v>
      </c>
      <c r="F4" s="2">
        <v>-2119</v>
      </c>
      <c r="G4" s="2">
        <v>230</v>
      </c>
      <c r="H4" s="2">
        <v>0</v>
      </c>
      <c r="I4" t="s">
        <v>4405</v>
      </c>
      <c r="J4" t="str">
        <f t="shared" si="0"/>
        <v>{ name: "Presenting: The Travel Medallion!", landmark: "Side Quest", type: "Hateno Ancient Tech Lab", region: 11, level: "Surface", x: 3789, y: -2119, z: 230, weight: 0, details: `&lt;strong&gt;Start:&lt;/strong&gt; &lt;strong&gt;Requires:&lt;/strong&gt; Finishing &lt;img src="icons/side-adventures.png" style="height: 20px; width: 20px; vertical-align: middle; margin-right: 5px;"&gt;&lt;span style="color: #86a3e6; font-weight: bold;"&gt;Hateno Village Research Lab&lt;/span&gt;&lt;br&gt;&lt;strong&gt;Start:&lt;/strong&gt; Talk to Robbie&lt;br&gt;&lt;strong&gt;Reward:&lt;/strong&gt; Travel Medallion` },</v>
      </c>
    </row>
    <row r="5" spans="1:10" x14ac:dyDescent="0.2">
      <c r="A5" t="s">
        <v>4345</v>
      </c>
      <c r="B5" s="7" t="s">
        <v>1324</v>
      </c>
      <c r="C5" s="2">
        <v>11</v>
      </c>
      <c r="D5" s="2" t="s">
        <v>785</v>
      </c>
      <c r="E5" s="2">
        <v>3787</v>
      </c>
      <c r="F5" s="2">
        <v>-2129</v>
      </c>
      <c r="G5" s="2">
        <v>230</v>
      </c>
      <c r="H5" s="2">
        <v>0</v>
      </c>
      <c r="I5" t="s">
        <v>4406</v>
      </c>
      <c r="J5" t="str">
        <f t="shared" si="0"/>
        <v>{ name: "Presenting: Hero's Path Mode!", landmark: "Side Quest", type: "Hateno Ancient Tech Lab", region: 11, level: "Surface", x: 3787, y: -2129, z: 230, weight: 0, details: `&lt;strong&gt;Start:&lt;/strong&gt; &lt;strong&gt;Requires:&lt;/strong&gt; Finishing &lt;img src="icons/side-adventures.png" style="height: 20px; width: 20px; vertical-align: middle; margin-right: 5px;"&gt;&lt;span style="color: #86a3e6; font-weight: bold;"&gt;Hateno Village Research Lab&lt;/span&gt;&lt;br&gt;&lt;strong&gt;Start:&lt;/strong&gt; Talk to Robbie&lt;br&gt;&lt;strong&gt;Reward:&lt;/strong&gt; Hero's Path Mode` },</v>
      </c>
    </row>
    <row r="6" spans="1:10" x14ac:dyDescent="0.2">
      <c r="A6" t="s">
        <v>4346</v>
      </c>
      <c r="B6" s="7" t="s">
        <v>1324</v>
      </c>
      <c r="C6" s="2">
        <v>11</v>
      </c>
      <c r="D6" s="2" t="s">
        <v>785</v>
      </c>
      <c r="E6" s="2">
        <v>3783</v>
      </c>
      <c r="F6" s="2">
        <v>-2137</v>
      </c>
      <c r="G6" s="2">
        <v>230</v>
      </c>
      <c r="H6" s="2">
        <v>0</v>
      </c>
      <c r="I6" t="s">
        <v>4407</v>
      </c>
      <c r="J6" t="str">
        <f t="shared" si="0"/>
        <v>{ name: "Presenting: Sensor +!", landmark: "Side Quest", type: "Hateno Ancient Tech Lab", region: 11, level: "Surface", x: 3783, y: -2137, z: 230, weight: 0, details: `&lt;strong&gt;Start:&lt;/strong&gt; &lt;strong&gt;Requires:&lt;/strong&gt; Finishing &lt;img src="icons/side-adventures.png" style="height: 20px; width: 20px; vertical-align: middle; margin-right: 5px;"&gt;&lt;span style="color: #86a3e6; font-weight: bold;"&gt;Hateno Village Research Lab&lt;/span&gt;&lt;br&gt;&lt;strong&gt;Start:&lt;/strong&gt; Talk to Robbie&lt;br&gt;&lt;strong&gt;Reward:&lt;/strong&gt; Sensor +` },</v>
      </c>
    </row>
    <row r="7" spans="1:10" x14ac:dyDescent="0.2">
      <c r="A7" t="s">
        <v>4396</v>
      </c>
      <c r="B7" s="7" t="s">
        <v>1664</v>
      </c>
      <c r="C7" s="2">
        <v>8</v>
      </c>
      <c r="D7" s="2" t="s">
        <v>785</v>
      </c>
      <c r="E7" s="2">
        <v>3939</v>
      </c>
      <c r="F7" s="2">
        <v>1587</v>
      </c>
      <c r="G7" s="2">
        <v>128</v>
      </c>
      <c r="H7" s="2">
        <v>0</v>
      </c>
      <c r="I7" t="s">
        <v>4408</v>
      </c>
      <c r="J7" t="str">
        <f t="shared" si="0"/>
        <v>{ name: "Mattison's Independence", landmark: "Side Quest", type: "Tarrey Town", region: 8, level: "Surface", x: 3939, y: 1587, z: 128, weight: 0, details: `&lt;strong&gt;Start:&lt;/strong&gt; &lt;strong&gt;Start:&lt;/strong&gt; Talk to Hudson&lt;br&gt;&lt;strong&gt;Reward:&lt;/strong&gt; 200 Rupees` },</v>
      </c>
    </row>
    <row r="8" spans="1:10" x14ac:dyDescent="0.2">
      <c r="A8" t="s">
        <v>4347</v>
      </c>
      <c r="B8" s="7" t="s">
        <v>1329</v>
      </c>
      <c r="C8" s="2">
        <v>11</v>
      </c>
      <c r="D8" s="2" t="s">
        <v>785</v>
      </c>
      <c r="E8" s="2">
        <v>3631</v>
      </c>
      <c r="F8" s="2">
        <v>-2046</v>
      </c>
      <c r="G8" s="2">
        <v>178</v>
      </c>
      <c r="H8" s="2">
        <v>0</v>
      </c>
      <c r="I8" t="s">
        <v>4409</v>
      </c>
      <c r="J8" t="str">
        <f t="shared" si="0"/>
        <v>{ name: "A Letter To Koyin", landmark: "Side Quest", type: "Hateno Village", region: 11, level: "Surface", x: 3631, y: -2046, z: 178, weight: 0, details: `&lt;strong&gt;Start:&lt;/strong&gt; &lt;strong&gt;Start:&lt;/strong&gt; Talk to Koyin&lt;br&gt;&lt;strong&gt;Reward:&lt;/strong&gt; Hateno Cheese` },</v>
      </c>
    </row>
    <row r="9" spans="1:10" x14ac:dyDescent="0.2">
      <c r="A9" t="s">
        <v>4348</v>
      </c>
      <c r="B9" s="7" t="s">
        <v>1329</v>
      </c>
      <c r="C9" s="2">
        <v>11</v>
      </c>
      <c r="D9" s="2" t="s">
        <v>785</v>
      </c>
      <c r="E9" s="2">
        <v>3432</v>
      </c>
      <c r="F9" s="2">
        <v>-2084</v>
      </c>
      <c r="G9" s="2">
        <v>150</v>
      </c>
      <c r="H9" s="2">
        <v>0</v>
      </c>
      <c r="I9" t="s">
        <v>4410</v>
      </c>
      <c r="J9" t="str">
        <f t="shared" si="0"/>
        <v>{ name: "A New Signature Food", landmark: "Side Quest", type: "Hateno Village", region: 11, level: "Surface", x: 3432, y: -2084, z: 150, weight: 0, details: `&lt;strong&gt;Start:&lt;/strong&gt; &lt;strong&gt;Requires:&lt;/strong&gt; Finishing &lt;img src="icons/side-adventures.png" style="height: 20px; width: 20px; vertical-align: middle; margin-right: 5px;"&gt;&lt;span style="color: #86a3e6; font-weight: bold;"&gt;A Letter to Koyin&lt;/span&gt;&lt;br&gt;&lt;strong&gt;Start:&lt;/strong&gt; Talk to Reede&lt;br&gt;&lt;strong&gt;Reward:&lt;/strong&gt; 100 Rupees` },</v>
      </c>
    </row>
    <row r="10" spans="1:10" x14ac:dyDescent="0.2">
      <c r="A10" t="s">
        <v>4397</v>
      </c>
      <c r="B10" s="7" t="s">
        <v>1329</v>
      </c>
      <c r="C10" s="2">
        <v>11</v>
      </c>
      <c r="D10" s="2" t="s">
        <v>785</v>
      </c>
      <c r="E10" s="2">
        <v>3445</v>
      </c>
      <c r="F10" s="2">
        <v>-2091</v>
      </c>
      <c r="G10" s="2">
        <v>150</v>
      </c>
      <c r="H10" s="2">
        <v>0</v>
      </c>
      <c r="I10" t="s">
        <v>4438</v>
      </c>
      <c r="J10" t="str">
        <f t="shared" si="0"/>
        <v>{ name: "Reede's Secret", landmark: "Side Quest", type: "Hateno Village", region: 11, level: "Surface", x: 3445, y: -2091, z: 150, weight: 0, details: `&lt;strong&gt;Start:&lt;/strong&gt; &lt;strong&gt;Start:&lt;/strong&gt; Talk to Clavia&lt;br&gt;&lt;strong&gt;Reward:&lt;/strong&gt; 10x Hylian Tomatoes` },</v>
      </c>
    </row>
    <row r="11" spans="1:10" x14ac:dyDescent="0.2">
      <c r="A11" t="s">
        <v>4398</v>
      </c>
      <c r="B11" s="7" t="s">
        <v>1329</v>
      </c>
      <c r="C11" s="2">
        <v>11</v>
      </c>
      <c r="D11" s="2" t="s">
        <v>785</v>
      </c>
      <c r="E11" s="2">
        <v>3355</v>
      </c>
      <c r="F11" s="2">
        <v>-2139</v>
      </c>
      <c r="G11" s="2">
        <v>115</v>
      </c>
      <c r="H11" s="2">
        <v>0</v>
      </c>
      <c r="I11" t="s">
        <v>4439</v>
      </c>
      <c r="J11" t="str">
        <f t="shared" si="0"/>
        <v>{ name: "Cece's Secret", landmark: "Side Quest", type: "Hateno Village", region: 11, level: "Surface", x: 3355, y: -2139, z: 115, weight: 0, details: `&lt;strong&gt;Start:&lt;/strong&gt; &lt;strong&gt;Start:&lt;/strong&gt; Talk to Sophie&lt;br&gt;&lt;strong&gt;Reward:&lt;/strong&gt; 10x Ironshrooms` },</v>
      </c>
    </row>
    <row r="12" spans="1:10" x14ac:dyDescent="0.2">
      <c r="A12" t="s">
        <v>4349</v>
      </c>
      <c r="B12" s="7" t="s">
        <v>1329</v>
      </c>
      <c r="C12" s="2">
        <v>11</v>
      </c>
      <c r="D12" s="2" t="s">
        <v>785</v>
      </c>
      <c r="E12" s="2">
        <v>3360</v>
      </c>
      <c r="F12" s="2">
        <v>-2118</v>
      </c>
      <c r="G12" s="2">
        <v>115</v>
      </c>
      <c r="H12" s="2">
        <v>0</v>
      </c>
      <c r="I12" t="s">
        <v>4411</v>
      </c>
      <c r="J12" t="str">
        <f t="shared" si="0"/>
        <v>{ name: "Team Cece Or Team Reede?", landmark: "Side Quest", type: "Hateno Village", region: 11, level: "Surface", x: 3360, y: -2118, z: 115, weight: 0, details: `&lt;strong&gt;Start:&lt;/strong&gt; &lt;strong&gt;Start:&lt;/strong&gt; Talk to Cece&lt;br&gt;&lt;strong&gt;Reward:&lt;/strong&gt; Use of Clothing Shop` },</v>
      </c>
    </row>
    <row r="13" spans="1:10" x14ac:dyDescent="0.2">
      <c r="A13" t="s">
        <v>4350</v>
      </c>
      <c r="B13" s="7" t="s">
        <v>1329</v>
      </c>
      <c r="C13" s="2">
        <v>11</v>
      </c>
      <c r="D13" s="2" t="s">
        <v>785</v>
      </c>
      <c r="E13" s="2">
        <v>3349</v>
      </c>
      <c r="F13" s="2">
        <v>-2128</v>
      </c>
      <c r="G13" s="2">
        <v>115</v>
      </c>
      <c r="H13" s="2">
        <v>0</v>
      </c>
      <c r="I13" t="s">
        <v>4412</v>
      </c>
      <c r="J13" t="str">
        <f t="shared" si="0"/>
        <v>{ name: "The Mayoral Election", landmark: "Side Quest", type: "Hateno Village", region: 11, level: "Surface", x: 3349, y: -2128, z: 115, weight: 0, details: `&lt;strong&gt;Start:&lt;/strong&gt; &lt;strong&gt;Requires:&lt;/strong&gt; Finishing &lt;img src="icons/side-adventures.png" style="height: 20px; width: 20px; vertical-align: middle; margin-right: 5px;"&gt;&lt;span style="color: #86a3e6; font-weight: bold;"&gt;Team Cece or Team Reede?&lt;/span&gt;&lt;br&gt;&lt;strong&gt;Start:&lt;/strong&gt; Talk to Cece&lt;br&gt;&lt;strong&gt;Reward:&lt;/strong&gt; Cece hat` },</v>
      </c>
    </row>
    <row r="14" spans="1:10" x14ac:dyDescent="0.2">
      <c r="A14" t="s">
        <v>4351</v>
      </c>
      <c r="B14" s="7" t="s">
        <v>1447</v>
      </c>
      <c r="C14" s="2">
        <v>12</v>
      </c>
      <c r="D14" s="2" t="s">
        <v>785</v>
      </c>
      <c r="E14" s="2">
        <v>2780</v>
      </c>
      <c r="F14" s="2">
        <v>-3264</v>
      </c>
      <c r="G14" s="2">
        <v>85</v>
      </c>
      <c r="H14" s="2">
        <v>0</v>
      </c>
      <c r="I14" t="s">
        <v>4413</v>
      </c>
      <c r="J14" t="str">
        <f t="shared" si="0"/>
        <v>{ name: "Ruffian-Infested Village", landmark: "Side Quest", type: "Lurelin Village", region: 12, level: "Surface", x: 2780, y: -3264, z: 85, weight: 0, details: `&lt;strong&gt;Start:&lt;/strong&gt; &lt;strong&gt;Start:&lt;/strong&gt; Talk to Rozel&lt;br&gt;&lt;strong&gt;Reward:&lt;/strong&gt; Lurelin Village Restored` },</v>
      </c>
    </row>
    <row r="15" spans="1:10" x14ac:dyDescent="0.2">
      <c r="A15" t="s">
        <v>4352</v>
      </c>
      <c r="B15" s="7" t="s">
        <v>1447</v>
      </c>
      <c r="C15" s="2">
        <v>12</v>
      </c>
      <c r="D15" s="2" t="s">
        <v>785</v>
      </c>
      <c r="E15" s="2">
        <v>2870</v>
      </c>
      <c r="F15" s="2">
        <v>-3446</v>
      </c>
      <c r="G15" s="2">
        <v>10</v>
      </c>
      <c r="H15" s="2">
        <v>0</v>
      </c>
      <c r="I15" t="s">
        <v>4414</v>
      </c>
      <c r="J15" t="str">
        <f t="shared" si="0"/>
        <v>{ name: "Lurelin Village Restoration Project", landmark: "Side Quest", type: "Lurelin Village", region: 12, level: "Surface", x: 2870, y: -3446, z: 10, weight: 0, details: `&lt;strong&gt;Start:&lt;/strong&gt; &lt;strong&gt;Start:&lt;/strong&gt; Talk to Bolson&lt;br&gt;&lt;strong&gt;Reward:&lt;/strong&gt; Free Village Services` },</v>
      </c>
    </row>
    <row r="16" spans="1:10" x14ac:dyDescent="0.2">
      <c r="A16" t="s">
        <v>4353</v>
      </c>
      <c r="B16" s="7" t="s">
        <v>1444</v>
      </c>
      <c r="C16" s="2">
        <v>3</v>
      </c>
      <c r="D16" s="2" t="s">
        <v>785</v>
      </c>
      <c r="E16" s="2">
        <v>-3248</v>
      </c>
      <c r="F16" s="2">
        <v>1758</v>
      </c>
      <c r="G16" s="2">
        <v>151</v>
      </c>
      <c r="H16" s="2">
        <v>0</v>
      </c>
      <c r="I16" t="s">
        <v>4440</v>
      </c>
      <c r="J16" t="str">
        <f t="shared" si="0"/>
        <v>{ name: "Potential Princess Sightings!", landmark: "Side Quest", type: "Lucky Clover Gazette", region: 3, level: "Surface", x: -3248, y: 1758, z: 151, weight: 0, details: `&lt;strong&gt;Start:&lt;/strong&gt; &lt;strong&gt;Start:&lt;/strong&gt; Talk to Traysi&lt;br&gt;&lt;strong&gt;Reward:&lt;/strong&gt; Froggy Armor, Lucky Clover Gazette Fabric` },</v>
      </c>
    </row>
    <row r="17" spans="1:10" x14ac:dyDescent="0.2">
      <c r="A17" t="s">
        <v>4402</v>
      </c>
      <c r="B17" s="7" t="s">
        <v>1529</v>
      </c>
      <c r="C17" s="2">
        <v>2</v>
      </c>
      <c r="D17" s="2" t="s">
        <v>785</v>
      </c>
      <c r="E17" s="2">
        <v>-1414</v>
      </c>
      <c r="F17" s="2">
        <v>-1291</v>
      </c>
      <c r="G17" s="2">
        <v>30</v>
      </c>
      <c r="H17" s="2">
        <v>0</v>
      </c>
      <c r="I17" t="s">
        <v>4415</v>
      </c>
      <c r="J17" t="str">
        <f t="shared" si="0"/>
        <v>{ name: "The Beckoning Woman", landmark: "Side Quest", type: "Outskirt Stable", region: 2, level: "Surface", x: -1414, y: -1291, z: 30, weight: 0, details: `&lt;strong&gt;Start:&lt;/strong&gt; &lt;strong&gt;Start:&lt;/strong&gt; Talk to Penn&lt;br&gt;&lt;strong&gt;Reward:&lt;/strong&gt; Rupees` },</v>
      </c>
    </row>
    <row r="18" spans="1:10" x14ac:dyDescent="0.2">
      <c r="A18" t="s">
        <v>4354</v>
      </c>
      <c r="B18" s="7" t="s">
        <v>1578</v>
      </c>
      <c r="C18" s="2">
        <v>2</v>
      </c>
      <c r="D18" s="2" t="s">
        <v>785</v>
      </c>
      <c r="E18" s="2">
        <v>387</v>
      </c>
      <c r="F18" s="2">
        <v>-1045</v>
      </c>
      <c r="G18" s="2">
        <v>10</v>
      </c>
      <c r="H18" s="2">
        <v>0</v>
      </c>
      <c r="I18" t="s">
        <v>4415</v>
      </c>
      <c r="J18" t="str">
        <f t="shared" si="0"/>
        <v>{ name: "Gourmets Gone Missing", landmark: "Side Quest", type: "Riverside Stable", region: 2, level: "Surface", x: 387, y: -1045, z: 10, weight: 0, details: `&lt;strong&gt;Start:&lt;/strong&gt; &lt;strong&gt;Start:&lt;/strong&gt; Talk to Penn&lt;br&gt;&lt;strong&gt;Reward:&lt;/strong&gt; Rupees` },</v>
      </c>
    </row>
    <row r="19" spans="1:10" x14ac:dyDescent="0.2">
      <c r="A19" t="s">
        <v>4355</v>
      </c>
      <c r="B19" s="7" t="s">
        <v>1506</v>
      </c>
      <c r="C19" s="2">
        <v>3</v>
      </c>
      <c r="D19" s="2" t="s">
        <v>785</v>
      </c>
      <c r="E19" s="2">
        <v>-1346</v>
      </c>
      <c r="F19" s="2">
        <v>730</v>
      </c>
      <c r="G19" s="2">
        <v>86</v>
      </c>
      <c r="H19" s="2">
        <v>0</v>
      </c>
      <c r="I19" t="s">
        <v>4415</v>
      </c>
      <c r="J19" t="str">
        <f t="shared" si="0"/>
        <v>{ name: "The Beast And The Princess", landmark: "Side Quest", type: "New Serenne Stable", region: 3, level: "Surface", x: -1346, y: 730, z: 86, weight: 0, details: `&lt;strong&gt;Start:&lt;/strong&gt; &lt;strong&gt;Start:&lt;/strong&gt; Talk to Penn&lt;br&gt;&lt;strong&gt;Reward:&lt;/strong&gt; Rupees` },</v>
      </c>
    </row>
    <row r="20" spans="1:10" x14ac:dyDescent="0.2">
      <c r="A20" t="s">
        <v>4399</v>
      </c>
      <c r="B20" s="7" t="s">
        <v>1619</v>
      </c>
      <c r="C20" s="2">
        <v>5</v>
      </c>
      <c r="D20" s="2" t="s">
        <v>785</v>
      </c>
      <c r="E20" s="2">
        <v>-1639</v>
      </c>
      <c r="F20" s="2">
        <v>2584</v>
      </c>
      <c r="G20" s="2">
        <v>234</v>
      </c>
      <c r="H20" s="2">
        <v>0</v>
      </c>
      <c r="I20" t="s">
        <v>4416</v>
      </c>
      <c r="J20" t="str">
        <f t="shared" si="0"/>
        <v>{ name: "Zelda's Golden Horse", landmark: "Side Quest", type: "Snowfield Stable", region: 5, level: "Surface", x: -1639, y: 2584, z: 234, weight: 0, details: `&lt;strong&gt;Start:&lt;/strong&gt; &lt;strong&gt;Start:&lt;/strong&gt; Talk to Penn&lt;br&gt;&lt;strong&gt;Reward:&lt;/strong&gt; Zelda's Golden Horse, Royal Bridle, Royal Saddle` },</v>
      </c>
    </row>
    <row r="21" spans="1:10" x14ac:dyDescent="0.2">
      <c r="A21" t="s">
        <v>4356</v>
      </c>
      <c r="B21" s="7" t="s">
        <v>1650</v>
      </c>
      <c r="C21" s="2">
        <v>3</v>
      </c>
      <c r="D21" s="2" t="s">
        <v>785</v>
      </c>
      <c r="E21" s="2">
        <v>-2914</v>
      </c>
      <c r="F21" s="2">
        <v>529</v>
      </c>
      <c r="G21" s="2">
        <v>170</v>
      </c>
      <c r="H21" s="2">
        <v>0</v>
      </c>
      <c r="I21" t="s">
        <v>4415</v>
      </c>
      <c r="J21" t="str">
        <f t="shared" si="0"/>
        <v>{ name: "White Goats Gone Missing", landmark: "Side Quest", type: "Tabantha Bridge Stable", region: 3, level: "Surface", x: -2914, y: 529, z: 170, weight: 0, details: `&lt;strong&gt;Start:&lt;/strong&gt; &lt;strong&gt;Start:&lt;/strong&gt; Talk to Penn&lt;br&gt;&lt;strong&gt;Reward:&lt;/strong&gt; Rupees` },</v>
      </c>
    </row>
    <row r="22" spans="1:10" x14ac:dyDescent="0.2">
      <c r="A22" t="s">
        <v>4357</v>
      </c>
      <c r="B22" s="7" t="s">
        <v>1031</v>
      </c>
      <c r="C22" s="2">
        <v>7</v>
      </c>
      <c r="D22" s="2" t="s">
        <v>785</v>
      </c>
      <c r="E22" s="2">
        <v>2587</v>
      </c>
      <c r="F22" s="2">
        <v>1154</v>
      </c>
      <c r="G22" s="2">
        <v>145</v>
      </c>
      <c r="H22" s="2">
        <v>0</v>
      </c>
      <c r="I22" t="s">
        <v>4415</v>
      </c>
      <c r="J22" t="str">
        <f t="shared" si="0"/>
        <v>{ name: "For Our Princess!", landmark: "Side Quest", type: "Foothill Stable", region: 7, level: "Surface", x: 2587, y: 1154, z: 145, weight: 0, details: `&lt;strong&gt;Start:&lt;/strong&gt; &lt;strong&gt;Start:&lt;/strong&gt; Talk to Penn&lt;br&gt;&lt;strong&gt;Reward:&lt;/strong&gt; Rupees` },</v>
      </c>
    </row>
    <row r="23" spans="1:10" x14ac:dyDescent="0.2">
      <c r="A23" t="s">
        <v>4358</v>
      </c>
      <c r="B23" s="7" t="s">
        <v>1078</v>
      </c>
      <c r="C23" s="2">
        <v>8</v>
      </c>
      <c r="D23" s="2" t="s">
        <v>785</v>
      </c>
      <c r="E23" s="2">
        <v>3166</v>
      </c>
      <c r="F23" s="2">
        <v>1715</v>
      </c>
      <c r="G23" s="2">
        <v>200</v>
      </c>
      <c r="H23" s="2">
        <v>0</v>
      </c>
      <c r="I23" t="s">
        <v>4415</v>
      </c>
      <c r="J23" t="str">
        <f t="shared" si="0"/>
        <v>{ name: "The All-Clucking Cucco", landmark: "Side Quest", type: "South Akkala Stable", region: 8, level: "Surface", x: 3166, y: 1715, z: 200, weight: 0, details: `&lt;strong&gt;Start:&lt;/strong&gt; &lt;strong&gt;Start:&lt;/strong&gt; Talk to Penn&lt;br&gt;&lt;strong&gt;Reward:&lt;/strong&gt; Rupees` },</v>
      </c>
    </row>
    <row r="24" spans="1:10" x14ac:dyDescent="0.2">
      <c r="A24" t="s">
        <v>4359</v>
      </c>
      <c r="B24" s="7" t="s">
        <v>1710</v>
      </c>
      <c r="C24" s="2">
        <v>10</v>
      </c>
      <c r="D24" s="2" t="s">
        <v>785</v>
      </c>
      <c r="E24" s="2">
        <v>880</v>
      </c>
      <c r="F24" s="2">
        <v>-151</v>
      </c>
      <c r="G24" s="2">
        <v>25</v>
      </c>
      <c r="H24" s="2">
        <v>0</v>
      </c>
      <c r="I24" t="s">
        <v>4415</v>
      </c>
      <c r="J24" t="str">
        <f t="shared" si="0"/>
        <v>{ name: "The Missing Farm Tools", landmark: "Side Quest", type: "Wetland Stable", region: 10, level: "Surface", x: 880, y: -151, z: 25, weight: 0, details: `&lt;strong&gt;Start:&lt;/strong&gt; &lt;strong&gt;Start:&lt;/strong&gt; Talk to Penn&lt;br&gt;&lt;strong&gt;Reward:&lt;/strong&gt; Rupees` },</v>
      </c>
    </row>
    <row r="25" spans="1:10" x14ac:dyDescent="0.2">
      <c r="A25" t="s">
        <v>4360</v>
      </c>
      <c r="B25" s="7" t="s">
        <v>1221</v>
      </c>
      <c r="C25" s="2">
        <v>10</v>
      </c>
      <c r="D25" s="2" t="s">
        <v>785</v>
      </c>
      <c r="E25" s="2">
        <v>1779</v>
      </c>
      <c r="F25" s="2">
        <v>-1904</v>
      </c>
      <c r="G25" s="2">
        <v>10</v>
      </c>
      <c r="H25" s="2">
        <v>0</v>
      </c>
      <c r="I25" t="s">
        <v>4415</v>
      </c>
      <c r="J25" t="str">
        <f t="shared" si="0"/>
        <v>{ name: "Princess Zelda Kidnapped?!", landmark: "Side Quest", type: "Dueling Peaks Stable", region: 10, level: "Surface", x: 1779, y: -1904, z: 10, weight: 0, details: `&lt;strong&gt;Start:&lt;/strong&gt; &lt;strong&gt;Start:&lt;/strong&gt; Talk to Penn&lt;br&gt;&lt;strong&gt;Reward:&lt;/strong&gt; Rupees` },</v>
      </c>
    </row>
    <row r="26" spans="1:10" x14ac:dyDescent="0.2">
      <c r="A26" t="s">
        <v>4361</v>
      </c>
      <c r="B26" s="7" t="s">
        <v>1353</v>
      </c>
      <c r="C26" s="2">
        <v>13</v>
      </c>
      <c r="D26" s="2" t="s">
        <v>785</v>
      </c>
      <c r="E26" s="2">
        <v>511</v>
      </c>
      <c r="F26" s="2">
        <v>-3440</v>
      </c>
      <c r="G26" s="2">
        <v>47</v>
      </c>
      <c r="H26" s="2">
        <v>0</v>
      </c>
      <c r="I26" t="s">
        <v>4415</v>
      </c>
      <c r="J26" t="str">
        <f t="shared" si="0"/>
        <v>{ name: "An Eerie Voice", landmark: "Side Quest", type: "Highland Stable", region: 13, level: "Surface", x: 511, y: -3440, z: 47, weight: 0, details: `&lt;strong&gt;Start:&lt;/strong&gt; &lt;strong&gt;Start:&lt;/strong&gt; Talk to Penn&lt;br&gt;&lt;strong&gt;Reward:&lt;/strong&gt; Rupees` },</v>
      </c>
    </row>
    <row r="27" spans="1:10" x14ac:dyDescent="0.2">
      <c r="A27" t="s">
        <v>4362</v>
      </c>
      <c r="B27" s="7" t="s">
        <v>1034</v>
      </c>
      <c r="C27" s="2">
        <v>14</v>
      </c>
      <c r="D27" s="2" t="s">
        <v>785</v>
      </c>
      <c r="E27" s="2">
        <v>-2823</v>
      </c>
      <c r="F27" s="2">
        <v>-2219</v>
      </c>
      <c r="G27" s="2">
        <v>29</v>
      </c>
      <c r="H27" s="2">
        <v>0</v>
      </c>
      <c r="I27" t="s">
        <v>4415</v>
      </c>
      <c r="J27" t="str">
        <f t="shared" si="0"/>
        <v>{ name: "The Blocked Well", landmark: "Side Quest", type: "Gerudo Canyon Stable", region: 14, level: "Surface", x: -2823, y: -2219, z: 29, weight: 0, details: `&lt;strong&gt;Start:&lt;/strong&gt; &lt;strong&gt;Start:&lt;/strong&gt; Talk to Penn&lt;br&gt;&lt;strong&gt;Reward:&lt;/strong&gt; Rupees` },</v>
      </c>
    </row>
    <row r="28" spans="1:10" x14ac:dyDescent="0.2">
      <c r="A28" t="s">
        <v>4400</v>
      </c>
      <c r="B28" s="7" t="s">
        <v>1353</v>
      </c>
      <c r="C28" s="2">
        <v>13</v>
      </c>
      <c r="D28" s="2" t="s">
        <v>785</v>
      </c>
      <c r="E28" s="2">
        <v>526</v>
      </c>
      <c r="F28" s="2">
        <v>-3398</v>
      </c>
      <c r="G28" s="2">
        <v>47</v>
      </c>
      <c r="H28" s="2">
        <v>0</v>
      </c>
      <c r="I28" t="s">
        <v>4417</v>
      </c>
      <c r="J28" t="str">
        <f t="shared" si="0"/>
        <v>{ name: "The Flute Player's Plan", landmark: "Side Quest", type: "Highland Stable", region: 13, level: "Surface", x: 526, y: -3398, z: 47, weight: 0, details: `&lt;strong&gt;Start:&lt;/strong&gt; &lt;strong&gt;Start:&lt;/strong&gt; Talk to Pyper&lt;br&gt;&lt;strong&gt;Reward:&lt;/strong&gt; Big Hearty Truffle` },</v>
      </c>
    </row>
    <row r="29" spans="1:10" x14ac:dyDescent="0.2">
      <c r="A29" t="s">
        <v>4363</v>
      </c>
      <c r="B29" s="7" t="s">
        <v>806</v>
      </c>
      <c r="C29" s="2">
        <v>10</v>
      </c>
      <c r="D29" s="2" t="s">
        <v>785</v>
      </c>
      <c r="E29" s="2">
        <v>2170</v>
      </c>
      <c r="F29" s="2">
        <v>1378</v>
      </c>
      <c r="G29" s="2">
        <v>85</v>
      </c>
      <c r="H29" s="2">
        <v>0</v>
      </c>
      <c r="I29" t="s">
        <v>4418</v>
      </c>
      <c r="J29" t="str">
        <f t="shared" si="0"/>
        <v>{ name: "Honey, Bee Mine", landmark: "Side Quest", type: "West Necluda", region: 10, level: "Surface", x: 2170, y: 1378, z: 85, weight: 0, details: `&lt;strong&gt;Start:&lt;/strong&gt; &lt;strong&gt;Start:&lt;/strong&gt; Talk to Beetz&lt;br&gt;&lt;strong&gt;Reward:&lt;/strong&gt; 100 Rupees` },</v>
      </c>
    </row>
    <row r="30" spans="1:10" x14ac:dyDescent="0.2">
      <c r="A30" t="s">
        <v>4364</v>
      </c>
      <c r="B30" s="7" t="s">
        <v>799</v>
      </c>
      <c r="C30" s="2">
        <v>3</v>
      </c>
      <c r="D30" s="2" t="s">
        <v>785</v>
      </c>
      <c r="E30" s="2">
        <v>-3650</v>
      </c>
      <c r="F30" s="2">
        <v>770</v>
      </c>
      <c r="G30" s="2">
        <v>-130</v>
      </c>
      <c r="H30" s="2">
        <v>0</v>
      </c>
      <c r="I30" t="s">
        <v>4441</v>
      </c>
      <c r="J30" t="str">
        <f t="shared" si="0"/>
        <v>{ name: "The Hornist's Dramatic Escape", landmark: "Side Quest", type: "Tabantha Frontier", region: 3, level: "Surface", x: -3650, y: 770, z: -130, weight: 0, details: `&lt;strong&gt;Start:&lt;/strong&gt; &lt;strong&gt;Start:&lt;/strong&gt; Talk to Eustus&lt;br&gt;&lt;strong&gt;Reward:&lt;/strong&gt; 3x Courser Bee Honey` },</v>
      </c>
    </row>
    <row r="31" spans="1:10" x14ac:dyDescent="0.2">
      <c r="A31" t="s">
        <v>4365</v>
      </c>
      <c r="B31" s="7" t="s">
        <v>1716</v>
      </c>
      <c r="C31" s="2">
        <v>7</v>
      </c>
      <c r="D31" s="2" t="s">
        <v>785</v>
      </c>
      <c r="E31" s="2">
        <v>1040</v>
      </c>
      <c r="F31" s="2">
        <v>1145</v>
      </c>
      <c r="G31" s="2">
        <v>20</v>
      </c>
      <c r="H31" s="2">
        <v>0</v>
      </c>
      <c r="I31" t="s">
        <v>4419</v>
      </c>
      <c r="J31" t="str">
        <f t="shared" si="0"/>
        <v>{ name: "Serenade To A Great Fairy", landmark: "Side Quest", type: "Woodland Stable", region: 7, level: "Surface", x: 1040, y: 1145, z: 20, weight: 0, details: `&lt;strong&gt;Start:&lt;/strong&gt; &lt;strong&gt;Start:&lt;/strong&gt; Talk to Penn&lt;br&gt;&lt;strong&gt;Reward:&lt;/strong&gt; 100 Rupees` },</v>
      </c>
    </row>
    <row r="32" spans="1:10" x14ac:dyDescent="0.2">
      <c r="A32" t="s">
        <v>4366</v>
      </c>
      <c r="B32" s="7" t="s">
        <v>1529</v>
      </c>
      <c r="C32" s="2">
        <v>2</v>
      </c>
      <c r="D32" s="2" t="s">
        <v>785</v>
      </c>
      <c r="E32" s="2">
        <v>-1402</v>
      </c>
      <c r="F32" s="2">
        <v>-1261</v>
      </c>
      <c r="G32" s="2">
        <v>30</v>
      </c>
      <c r="H32" s="2">
        <v>0</v>
      </c>
      <c r="I32" t="s">
        <v>4420</v>
      </c>
      <c r="J32" t="str">
        <f t="shared" si="0"/>
        <v>{ name: "Serenade to Kaysa", landmark: "Side Quest", type: "Outskirt Stable", region: 2, level: "Surface", x: -1402, y: -1261, z: 30, weight: 0, details: `&lt;strong&gt;Start:&lt;/strong&gt; &lt;strong&gt;Requires:&lt;/strong&gt; Finishing &lt;img src="icons/side-adventures.png" style="height: 20px; width: 20px; vertical-align: middle; margin-right: 5px;"&gt;&lt;span style="color: #86a3e6; font-weight: bold;"&gt;A Letter to Koyin&lt;/span&gt;&lt;br&gt;&lt;strong&gt;Start:&lt;/strong&gt; Talk to Mastro&lt;br&gt;&lt;strong&gt;Reward:&lt;/strong&gt; 100 Rupees` },</v>
      </c>
    </row>
    <row r="33" spans="1:10" x14ac:dyDescent="0.2">
      <c r="A33" t="s">
        <v>4367</v>
      </c>
      <c r="B33" s="7" t="s">
        <v>1221</v>
      </c>
      <c r="C33" s="2">
        <v>12</v>
      </c>
      <c r="D33" s="2" t="s">
        <v>785</v>
      </c>
      <c r="E33" s="2">
        <v>1738</v>
      </c>
      <c r="F33" s="2">
        <v>-1955</v>
      </c>
      <c r="G33" s="2">
        <v>10</v>
      </c>
      <c r="H33" s="2">
        <v>0</v>
      </c>
      <c r="I33" t="s">
        <v>4421</v>
      </c>
      <c r="J33" t="str">
        <f t="shared" si="0"/>
        <v>{ name: "Serenade To Cotera", landmark: "Side Quest", type: "Dueling Peaks Stable", region: 12, level: "Surface", x: 1738, y: -1955, z: 10, weight: 0, details: `&lt;strong&gt;Start:&lt;/strong&gt; &lt;strong&gt;Requires:&lt;/strong&gt; Finishing &lt;img src="icons/side-adventures.png" style="height: 20px; width: 20px; vertical-align: middle; margin-right: 5px;"&gt;&lt;span style="color: #86a3e6; font-weight: bold;"&gt;Honey, Bee Mine&lt;/span&gt;&lt;br&gt;&lt;strong&gt;Start:&lt;/strong&gt; Talk to Mastro&lt;br&gt;&lt;strong&gt;Reward:&lt;/strong&gt; 100 Rupees` },</v>
      </c>
    </row>
    <row r="34" spans="1:10" x14ac:dyDescent="0.2">
      <c r="A34" t="s">
        <v>4368</v>
      </c>
      <c r="B34" s="7" t="s">
        <v>1619</v>
      </c>
      <c r="C34" s="2">
        <v>5</v>
      </c>
      <c r="D34" s="2" t="s">
        <v>785</v>
      </c>
      <c r="E34" s="2">
        <v>-1634</v>
      </c>
      <c r="F34" s="2">
        <v>2592</v>
      </c>
      <c r="G34" s="2">
        <v>234</v>
      </c>
      <c r="H34" s="2">
        <v>0</v>
      </c>
      <c r="I34" t="s">
        <v>4422</v>
      </c>
      <c r="J34" t="str">
        <f t="shared" si="0"/>
        <v>{ name: "Serenade To Mija", landmark: "Side Quest", type: "Snowfield Stable", region: 5, level: "Surface", x: -1634, y: 2592, z: 234, weight: 0, details: `&lt;strong&gt;Start:&lt;/strong&gt; &lt;strong&gt;Requires:&lt;/strong&gt; Finishing &lt;img src="icons/side-adventures.png" style="height: 20px; width: 20px; vertical-align: middle; margin-right: 5px;"&gt;&lt;span style="color: #86a3e6; font-weight: bold;"&gt;The Hornist's Dramatic Escape&lt;/span&gt;&lt;br&gt;&lt;strong&gt;Start:&lt;/strong&gt; Talk to Mastro&lt;br&gt;&lt;strong&gt;Reward:&lt;/strong&gt; 100 Rupees` },</v>
      </c>
    </row>
    <row r="35" spans="1:10" x14ac:dyDescent="0.2">
      <c r="A35" t="s">
        <v>4369</v>
      </c>
      <c r="B35" s="7" t="s">
        <v>788</v>
      </c>
      <c r="C35" s="2">
        <v>2</v>
      </c>
      <c r="D35" s="2" t="s">
        <v>785</v>
      </c>
      <c r="E35" s="2">
        <v>-476</v>
      </c>
      <c r="F35" s="2">
        <v>-539</v>
      </c>
      <c r="G35" s="2">
        <v>27</v>
      </c>
      <c r="H35" s="2">
        <v>0</v>
      </c>
      <c r="I35" t="s">
        <v>4457</v>
      </c>
      <c r="J35" t="str">
        <f t="shared" si="0"/>
        <v>{ name: "Bring Peace To Hyrule Field!", landmark: "Side Quest", type: "Central Hyrule", region: 2, level: "Surface", x: -476, y: -539, z: 27, weight: 0, details: `&lt;strong&gt;Start:&lt;/strong&gt; &lt;strong&gt;Start:&lt;/strong&gt; Talk to Hoz&lt;br&gt;&lt;strong&gt;Reward:&lt;/strong&gt; 100 Rupees` },</v>
      </c>
    </row>
    <row r="36" spans="1:10" x14ac:dyDescent="0.2">
      <c r="A36" t="s">
        <v>4370</v>
      </c>
      <c r="B36" s="7" t="s">
        <v>788</v>
      </c>
      <c r="C36" s="2">
        <v>1</v>
      </c>
      <c r="D36" s="2" t="s">
        <v>785</v>
      </c>
      <c r="E36" s="2">
        <v>2233</v>
      </c>
      <c r="F36" s="2">
        <v>-1785</v>
      </c>
      <c r="G36" s="2">
        <v>16</v>
      </c>
      <c r="H36" s="2">
        <v>0</v>
      </c>
      <c r="I36" t="s">
        <v>4457</v>
      </c>
      <c r="J36" t="str">
        <f t="shared" si="0"/>
        <v>{ name: "Bring Peace To Necluda!", landmark: "Side Quest", type: "Central Hyrule", region: 1, level: "Surface", x: 2233, y: -1785, z: 16, weight: 0, details: `&lt;strong&gt;Start:&lt;/strong&gt; &lt;strong&gt;Start:&lt;/strong&gt; Talk to Hoz&lt;br&gt;&lt;strong&gt;Reward:&lt;/strong&gt; 100 Rupees` },</v>
      </c>
    </row>
    <row r="37" spans="1:10" x14ac:dyDescent="0.2">
      <c r="A37" t="s">
        <v>4371</v>
      </c>
      <c r="B37" s="7" t="s">
        <v>791</v>
      </c>
      <c r="C37" s="2">
        <v>7</v>
      </c>
      <c r="D37" s="2" t="s">
        <v>785</v>
      </c>
      <c r="E37" s="2">
        <v>2366</v>
      </c>
      <c r="F37" s="2">
        <v>3057</v>
      </c>
      <c r="G37" s="2">
        <v>449</v>
      </c>
      <c r="H37" s="2">
        <v>0</v>
      </c>
      <c r="I37" t="s">
        <v>4458</v>
      </c>
      <c r="J37" t="str">
        <f t="shared" si="0"/>
        <v>{ name: "Bring Peace To Eldin!", landmark: "Side Quest", type: "Eldin Canyon", region: 7, level: "Surface", x: 2366, y: 3057, z: 449, weight: 0, details: `&lt;strong&gt;Start:&lt;/strong&gt; &lt;strong&gt;Start:&lt;/strong&gt; Talk to Toren&lt;br&gt;&lt;strong&gt;Reward:&lt;/strong&gt; 100 Rupees` },</v>
      </c>
    </row>
    <row r="38" spans="1:10" x14ac:dyDescent="0.2">
      <c r="A38" t="s">
        <v>4372</v>
      </c>
      <c r="B38" s="7" t="s">
        <v>835</v>
      </c>
      <c r="C38" s="2">
        <v>9</v>
      </c>
      <c r="D38" s="2" t="s">
        <v>785</v>
      </c>
      <c r="E38" s="2">
        <v>3006</v>
      </c>
      <c r="F38" s="2">
        <v>1107</v>
      </c>
      <c r="G38" s="2">
        <v>400</v>
      </c>
      <c r="H38" s="2">
        <v>0</v>
      </c>
      <c r="I38" t="s">
        <v>4458</v>
      </c>
      <c r="J38" t="str">
        <f t="shared" si="0"/>
        <v>{ name: "Bring Peace To Akkala!", landmark: "Side Quest", type: "South Akkala Plains", region: 9, level: "Surface", x: 3006, y: 1107, z: 400, weight: 0, details: `&lt;strong&gt;Start:&lt;/strong&gt; &lt;strong&gt;Start:&lt;/strong&gt; Talk to Toren&lt;br&gt;&lt;strong&gt;Reward:&lt;/strong&gt; 100 Rupees` },</v>
      </c>
    </row>
    <row r="39" spans="1:10" x14ac:dyDescent="0.2">
      <c r="A39" t="s">
        <v>4373</v>
      </c>
      <c r="B39" s="7" t="s">
        <v>794</v>
      </c>
      <c r="C39" s="2">
        <v>13</v>
      </c>
      <c r="D39" s="2" t="s">
        <v>785</v>
      </c>
      <c r="E39" s="2">
        <v>-25</v>
      </c>
      <c r="F39" s="2">
        <v>-3417</v>
      </c>
      <c r="G39" s="2">
        <v>10</v>
      </c>
      <c r="H39" s="2">
        <v>0</v>
      </c>
      <c r="I39" t="s">
        <v>4459</v>
      </c>
      <c r="J39" t="str">
        <f t="shared" si="0"/>
        <v>{ name: "Bring Peace To Faron!", landmark: "Side Quest", type: "Faron Grasslands", region: 13, level: "Surface", x: -25, y: -3417, z: 10, weight: 0, details: `&lt;strong&gt;Start:&lt;/strong&gt; &lt;strong&gt;Start:&lt;/strong&gt; Talk to Flaxel&lt;br&gt;&lt;strong&gt;Reward:&lt;/strong&gt; 100 Rupees` },</v>
      </c>
    </row>
    <row r="40" spans="1:10" x14ac:dyDescent="0.2">
      <c r="A40" t="s">
        <v>4374</v>
      </c>
      <c r="B40" s="7" t="s">
        <v>794</v>
      </c>
      <c r="C40" s="2">
        <v>13</v>
      </c>
      <c r="D40" s="2" t="s">
        <v>785</v>
      </c>
      <c r="E40" s="2">
        <v>-1797</v>
      </c>
      <c r="F40" s="2">
        <v>2298</v>
      </c>
      <c r="G40" s="2">
        <v>264</v>
      </c>
      <c r="H40" s="2">
        <v>0</v>
      </c>
      <c r="I40" t="s">
        <v>4459</v>
      </c>
      <c r="J40" t="str">
        <f t="shared" si="0"/>
        <v>{ name: "Bring Peace To Hebra!", landmark: "Side Quest", type: "Faron Grasslands", region: 13, level: "Surface", x: -1797, y: 2298, z: 264, weight: 0, details: `&lt;strong&gt;Start:&lt;/strong&gt; &lt;strong&gt;Start:&lt;/strong&gt; Talk to Flaxel&lt;br&gt;&lt;strong&gt;Reward:&lt;/strong&gt; 100 Rupees` },</v>
      </c>
    </row>
    <row r="41" spans="1:10" x14ac:dyDescent="0.2">
      <c r="A41" t="s">
        <v>4401</v>
      </c>
      <c r="B41" s="7" t="s">
        <v>787</v>
      </c>
      <c r="C41" s="2">
        <v>3</v>
      </c>
      <c r="D41" s="2" t="s">
        <v>785</v>
      </c>
      <c r="E41" s="2">
        <v>-1748</v>
      </c>
      <c r="F41" s="2">
        <v>1124</v>
      </c>
      <c r="G41" s="2">
        <v>202</v>
      </c>
      <c r="H41" s="2">
        <v>0</v>
      </c>
      <c r="I41" t="s">
        <v>4460</v>
      </c>
      <c r="J41" t="str">
        <f t="shared" si="0"/>
        <v>{ name: "Hestu's Concerns", landmark: "Side Quest", type: "Hyrule Ridge", region: 3, level: "Surface", x: -1748, y: 1124, z: 202, weight: 0, details: `&lt;strong&gt;Start:&lt;/strong&gt; &lt;strong&gt;Start:&lt;/strong&gt; Talk to Hyrule Ridge&lt;br&gt;&lt;strong&gt;Reward:&lt;/strong&gt; Inventory Expansion` },</v>
      </c>
    </row>
    <row r="42" spans="1:10" x14ac:dyDescent="0.2">
      <c r="A42" t="s">
        <v>4375</v>
      </c>
      <c r="B42" s="7" t="s">
        <v>791</v>
      </c>
      <c r="C42" s="2">
        <v>7</v>
      </c>
      <c r="D42" s="2" t="s">
        <v>785</v>
      </c>
      <c r="E42" s="2">
        <v>1227</v>
      </c>
      <c r="F42" s="2">
        <v>1216</v>
      </c>
      <c r="G42" s="2">
        <v>20</v>
      </c>
      <c r="H42" s="2">
        <v>0</v>
      </c>
      <c r="I42" t="s">
        <v>4461</v>
      </c>
      <c r="J42" t="str">
        <f t="shared" si="0"/>
        <v>{ name: "The Hunt For Bubbul Gems!", landmark: "Side Quest", type: "Eldin Canyon", region: 7, level: "Surface", x: 1227, y: 1216, z: 20, weight: 0, details: `&lt;strong&gt;Start:&lt;/strong&gt; &lt;strong&gt;Start:&lt;/strong&gt; Talk to Koltin&lt;br&gt;&lt;strong&gt;Reward:&lt;/strong&gt; Bokoblin Mask` },</v>
      </c>
    </row>
    <row r="43" spans="1:10" x14ac:dyDescent="0.2">
      <c r="A43" t="s">
        <v>4376</v>
      </c>
      <c r="B43" s="7" t="s">
        <v>791</v>
      </c>
      <c r="C43" s="2">
        <v>7</v>
      </c>
      <c r="D43" s="2" t="s">
        <v>785</v>
      </c>
      <c r="E43" s="2">
        <v>1219</v>
      </c>
      <c r="F43" s="2">
        <v>1223</v>
      </c>
      <c r="G43" s="2">
        <v>15</v>
      </c>
      <c r="H43" s="2">
        <v>0</v>
      </c>
      <c r="I43" t="s">
        <v>4423</v>
      </c>
      <c r="J43" t="str">
        <f t="shared" si="0"/>
        <v>{ name: "The Search For Koltin", landmark: "Side Quest", type: "Eldin Canyon", region: 7, level: "Surface", x: 1219, y: 1223, z: 15, weight: 0, details: `&lt;strong&gt;Start:&lt;/strong&gt; &lt;strong&gt;Requires:&lt;/strong&gt; Starting &lt;img src="icons/side-adventures.png" style="height: 20px; width: 20px; vertical-align: middle; margin-right: 5px;"&gt;&lt;span style="color: #86a3e6; font-weight: bold;"&gt;The Hunt for Bubbul Gems!&lt;/span&gt;&lt;br&gt;&lt;strong&gt;Start:&lt;/strong&gt; Talk to Koltin&lt;br&gt;&lt;strong&gt;Reward:&lt;/strong&gt; Koltin's Shop` },</v>
      </c>
    </row>
    <row r="44" spans="1:10" x14ac:dyDescent="0.2">
      <c r="A44" t="s">
        <v>4377</v>
      </c>
      <c r="B44" s="7" t="s">
        <v>1664</v>
      </c>
      <c r="C44" s="2">
        <v>8</v>
      </c>
      <c r="D44" s="2" t="s">
        <v>785</v>
      </c>
      <c r="E44" s="2">
        <v>3950</v>
      </c>
      <c r="F44" s="2">
        <v>1644</v>
      </c>
      <c r="G44" s="2">
        <v>130</v>
      </c>
      <c r="H44" s="2">
        <v>0</v>
      </c>
      <c r="I44" t="s">
        <v>4424</v>
      </c>
      <c r="J44" t="str">
        <f t="shared" si="0"/>
        <v>{ name: "A Monstrous Collection I", landmark: "Side Quest", type: "Tarrey Town", region: 8, level: "Surface", x: 3950, y: 1644, z: 130, weight: 0, details: `&lt;strong&gt;Start:&lt;/strong&gt; &lt;strong&gt;Start:&lt;/strong&gt; Talk to Kilton&lt;br&gt;&lt;strong&gt;Reward:&lt;/strong&gt; Monster Extract` },</v>
      </c>
    </row>
    <row r="45" spans="1:10" x14ac:dyDescent="0.2">
      <c r="A45" t="s">
        <v>4378</v>
      </c>
      <c r="B45" s="7" t="s">
        <v>1664</v>
      </c>
      <c r="C45" s="2">
        <v>8</v>
      </c>
      <c r="D45" s="2" t="s">
        <v>785</v>
      </c>
      <c r="E45" s="2">
        <v>3947</v>
      </c>
      <c r="F45" s="2">
        <v>1661</v>
      </c>
      <c r="G45" s="2">
        <v>130</v>
      </c>
      <c r="H45" s="2">
        <v>0</v>
      </c>
      <c r="I45" t="s">
        <v>4425</v>
      </c>
      <c r="J45" t="str">
        <f t="shared" si="0"/>
        <v>{ name: "A Monstrous Collection II", landmark: "Side Quest", type: "Tarrey Town", region: 8, level: "Surface", x: 3947, y: 1661, z: 130, weight: 0, details: `&lt;strong&gt;Start:&lt;/strong&gt; &lt;strong&gt;Start:&lt;/strong&gt; Talk to Kilton&lt;br&gt;&lt;strong&gt;Reward:&lt;/strong&gt; Sneaky Monster Soup, Monster Extract` },</v>
      </c>
    </row>
    <row r="46" spans="1:10" x14ac:dyDescent="0.2">
      <c r="A46" t="s">
        <v>4379</v>
      </c>
      <c r="B46" s="7" t="s">
        <v>1664</v>
      </c>
      <c r="C46" s="2">
        <v>8</v>
      </c>
      <c r="D46" s="2" t="s">
        <v>785</v>
      </c>
      <c r="E46" s="2">
        <v>3960</v>
      </c>
      <c r="F46" s="2">
        <v>1663</v>
      </c>
      <c r="G46" s="2">
        <v>130</v>
      </c>
      <c r="H46" s="2">
        <v>0</v>
      </c>
      <c r="I46" t="s">
        <v>4426</v>
      </c>
      <c r="J46" t="str">
        <f t="shared" si="0"/>
        <v>{ name: "A Monstrous Collection III", landmark: "Side Quest", type: "Tarrey Town", region: 8, level: "Surface", x: 3960, y: 1663, z: 130, weight: 0, details: `&lt;strong&gt;Start:&lt;/strong&gt; &lt;strong&gt;Start:&lt;/strong&gt; Talk to Kilton&lt;br&gt;&lt;strong&gt;Reward:&lt;/strong&gt; Monster Bridle, Monster Extract` },</v>
      </c>
    </row>
    <row r="47" spans="1:10" x14ac:dyDescent="0.2">
      <c r="A47" t="s">
        <v>4380</v>
      </c>
      <c r="B47" s="7" t="s">
        <v>1664</v>
      </c>
      <c r="C47" s="2">
        <v>8</v>
      </c>
      <c r="D47" s="2" t="s">
        <v>785</v>
      </c>
      <c r="E47" s="2">
        <v>3973</v>
      </c>
      <c r="F47" s="2">
        <v>1664</v>
      </c>
      <c r="G47" s="2">
        <v>130</v>
      </c>
      <c r="H47" s="2">
        <v>0</v>
      </c>
      <c r="I47" t="s">
        <v>4427</v>
      </c>
      <c r="J47" t="str">
        <f t="shared" si="0"/>
        <v>{ name: "A Monstrous Collection IV", landmark: "Side Quest", type: "Tarrey Town", region: 8, level: "Surface", x: 3973, y: 1664, z: 130, weight: 0, details: `&lt;strong&gt;Start:&lt;/strong&gt; &lt;strong&gt;Start:&lt;/strong&gt; Talk to Kilton&lt;br&gt;&lt;strong&gt;Reward:&lt;/strong&gt; Monster Saddle, Monster Extract` },</v>
      </c>
    </row>
    <row r="48" spans="1:10" x14ac:dyDescent="0.2">
      <c r="A48" t="s">
        <v>4381</v>
      </c>
      <c r="B48" s="7" t="s">
        <v>1664</v>
      </c>
      <c r="C48" s="2">
        <v>8</v>
      </c>
      <c r="D48" s="2" t="s">
        <v>785</v>
      </c>
      <c r="E48" s="2">
        <v>3975</v>
      </c>
      <c r="F48" s="2">
        <v>1646</v>
      </c>
      <c r="G48" s="2">
        <v>130</v>
      </c>
      <c r="H48" s="2">
        <v>0</v>
      </c>
      <c r="I48" t="s">
        <v>4428</v>
      </c>
      <c r="J48" t="str">
        <f t="shared" si="0"/>
        <v>{ name: "A Monstrous Collection V", landmark: "Side Quest", type: "Tarrey Town", region: 8, level: "Surface", x: 3975, y: 1646, z: 130, weight: 0, details: `&lt;strong&gt;Start:&lt;/strong&gt; &lt;strong&gt;Start:&lt;/strong&gt; Talk to Kilton&lt;br&gt;&lt;strong&gt;Reward:&lt;/strong&gt; Diamond, Monster Extract` },</v>
      </c>
    </row>
    <row r="49" spans="1:10" x14ac:dyDescent="0.2">
      <c r="A49" t="s">
        <v>4382</v>
      </c>
      <c r="B49" s="7" t="s">
        <v>1087</v>
      </c>
      <c r="C49" s="2">
        <v>6</v>
      </c>
      <c r="D49" s="2" t="s">
        <v>785</v>
      </c>
      <c r="E49" s="2">
        <v>367</v>
      </c>
      <c r="F49" s="2">
        <v>3100</v>
      </c>
      <c r="G49" s="2">
        <v>180</v>
      </c>
      <c r="H49" s="2">
        <v>0</v>
      </c>
      <c r="I49" t="s">
        <v>4429</v>
      </c>
      <c r="J49" t="str">
        <f t="shared" si="0"/>
        <v>{ name: "Investigate The Thyphlo Ruins", landmark: "Side Quest", type: "Thyphlo Ruins", region: 6, level: "Surface", x: 367, y: 3100, z: 180, weight: 0, details: `&lt;strong&gt;Start:&lt;/strong&gt; &lt;strong&gt;Requires:&lt;/strong&gt; Finishing &lt;img src="icons/main-quest.png" style="height: 20px; width: 20px; vertical-align: middle; margin-right: 5px;"&gt;&lt;span style="color: #fec043; font-weight: bold;"&gt;Regional Phenomena&lt;/span&gt;&lt;br&gt;&lt;strong&gt;Start:&lt;/strong&gt; Talk to Kazul&lt;br&gt;&lt;strong&gt;Reward:&lt;/strong&gt; Large Zonai Charge, Big Battery, Diamond` },</v>
      </c>
    </row>
    <row r="50" spans="1:10" x14ac:dyDescent="0.2">
      <c r="A50" t="s">
        <v>4383</v>
      </c>
      <c r="B50" s="7" t="s">
        <v>1087</v>
      </c>
      <c r="C50" s="2">
        <v>6</v>
      </c>
      <c r="D50" s="2" t="s">
        <v>785</v>
      </c>
      <c r="E50" s="2">
        <v>365</v>
      </c>
      <c r="F50" s="2">
        <v>3059</v>
      </c>
      <c r="G50" s="2">
        <v>175</v>
      </c>
      <c r="H50" s="2">
        <v>0</v>
      </c>
      <c r="I50" t="s">
        <v>4462</v>
      </c>
      <c r="J50" t="str">
        <f t="shared" si="0"/>
        <v>{ name: "The Owl Protected By Dragons", landmark: "Side Quest", type: "Thyphlo Ruins", region: 6, level: "Surface", x: 365, y: 3059, z: 175, weight: 0, details: `&lt;strong&gt;Start:&lt;/strong&gt; &lt;strong&gt;Start:&lt;/strong&gt; Talk to Kazul&lt;br&gt;&lt;strong&gt;Reward:&lt;/strong&gt; Sapphire x3` },</v>
      </c>
    </row>
    <row r="51" spans="1:10" x14ac:dyDescent="0.2">
      <c r="A51" t="s">
        <v>4384</v>
      </c>
      <c r="B51" s="7" t="s">
        <v>1087</v>
      </c>
      <c r="C51" s="2">
        <v>6</v>
      </c>
      <c r="D51" s="2" t="s">
        <v>785</v>
      </c>
      <c r="E51" s="2">
        <v>216</v>
      </c>
      <c r="F51" s="2">
        <v>3121</v>
      </c>
      <c r="G51" s="2">
        <v>174</v>
      </c>
      <c r="H51" s="2">
        <v>0</v>
      </c>
      <c r="I51" t="s">
        <v>4463</v>
      </c>
      <c r="J51" t="str">
        <f t="shared" si="0"/>
        <v>{ name: "The Corridor Between Two Dragons", landmark: "Side Quest", type: "Thyphlo Ruins", region: 6, level: "Surface", x: 216, y: 3121, z: 174, weight: 0, details: `&lt;strong&gt;Start:&lt;/strong&gt; &lt;strong&gt;Start:&lt;/strong&gt; Talk to Kazul&lt;br&gt;&lt;strong&gt;Reward:&lt;/strong&gt; Ruby x3` },</v>
      </c>
    </row>
    <row r="52" spans="1:10" x14ac:dyDescent="0.2">
      <c r="A52" t="s">
        <v>4385</v>
      </c>
      <c r="B52" s="7" t="s">
        <v>1087</v>
      </c>
      <c r="C52" s="2">
        <v>6</v>
      </c>
      <c r="D52" s="2" t="s">
        <v>785</v>
      </c>
      <c r="E52" s="2">
        <v>185</v>
      </c>
      <c r="F52" s="2">
        <v>3181</v>
      </c>
      <c r="G52" s="2">
        <v>174</v>
      </c>
      <c r="H52" s="2">
        <v>0</v>
      </c>
      <c r="I52" t="s">
        <v>4464</v>
      </c>
      <c r="J52" t="str">
        <f t="shared" si="0"/>
        <v>{ name: "The Six Dragons", landmark: "Side Quest", type: "Thyphlo Ruins", region: 6, level: "Surface", x: 185, y: 3181, z: 174, weight: 0, details: `&lt;strong&gt;Start:&lt;/strong&gt; &lt;strong&gt;Start:&lt;/strong&gt; Talk to Kazul&lt;br&gt;&lt;strong&gt;Reward:&lt;/strong&gt; Opal x5` },</v>
      </c>
    </row>
    <row r="53" spans="1:10" x14ac:dyDescent="0.2">
      <c r="A53" t="s">
        <v>4386</v>
      </c>
      <c r="B53" s="7" t="s">
        <v>1087</v>
      </c>
      <c r="C53" s="2">
        <v>6</v>
      </c>
      <c r="D53" s="2" t="s">
        <v>785</v>
      </c>
      <c r="E53" s="2">
        <v>457</v>
      </c>
      <c r="F53" s="2">
        <v>3082</v>
      </c>
      <c r="G53" s="2">
        <v>175</v>
      </c>
      <c r="H53" s="2">
        <v>0</v>
      </c>
      <c r="I53" t="s">
        <v>4465</v>
      </c>
      <c r="J53" t="str">
        <f t="shared" si="0"/>
        <v>{ name: "The Long Dragon", landmark: "Side Quest", type: "Thyphlo Ruins", region: 6, level: "Surface", x: 457, y: 3082, z: 175, weight: 0, details: `&lt;strong&gt;Start:&lt;/strong&gt; &lt;strong&gt;Start:&lt;/strong&gt; Talk to Kazul&lt;br&gt;&lt;strong&gt;Reward:&lt;/strong&gt; Topaz x3` },</v>
      </c>
    </row>
    <row r="54" spans="1:10" x14ac:dyDescent="0.2">
      <c r="A54" t="s">
        <v>4388</v>
      </c>
      <c r="B54" s="7" t="s">
        <v>1441</v>
      </c>
      <c r="C54" s="2">
        <v>1</v>
      </c>
      <c r="D54" s="2" t="s">
        <v>785</v>
      </c>
      <c r="E54" s="2">
        <v>265</v>
      </c>
      <c r="F54" s="2">
        <v>66</v>
      </c>
      <c r="G54" s="2">
        <v>19</v>
      </c>
      <c r="H54" s="2">
        <v>0</v>
      </c>
      <c r="I54" t="s">
        <v>4431</v>
      </c>
      <c r="J54" t="str">
        <f t="shared" si="0"/>
        <v>{ name: "Messages From An Ancient Era", landmark: "Side Quest", type: "Lookout Landing", region: 1, level: "Surface", x: 265, y: 66, z: 19, weight: 0, details: `&lt;strong&gt;Start:&lt;/strong&gt; &lt;strong&gt;Start:&lt;/strong&gt; Talk to Wortsworth&lt;br&gt;&lt;strong&gt;Reward:&lt;/strong&gt; Rupees, Zonai Survey Team Paraglider Fabric` },</v>
      </c>
    </row>
    <row r="55" spans="1:10" x14ac:dyDescent="0.2">
      <c r="A55" t="s">
        <v>4389</v>
      </c>
      <c r="B55" s="7" t="s">
        <v>950</v>
      </c>
      <c r="C55" s="2">
        <v>1</v>
      </c>
      <c r="D55" s="2" t="s">
        <v>785</v>
      </c>
      <c r="E55" s="2">
        <v>-242</v>
      </c>
      <c r="F55" s="2">
        <v>146</v>
      </c>
      <c r="G55" s="2">
        <v>26</v>
      </c>
      <c r="H55" s="2">
        <v>0</v>
      </c>
      <c r="I55" t="s">
        <v>4432</v>
      </c>
      <c r="J55" t="str">
        <f t="shared" si="0"/>
        <v>{ name: "A Deal With The Statue", landmark: "Side Quest", type: "Royal Hidden Passage", region: 1, level: "Surface", x: -242, y: 146, z: 26, weight: 0, details: `&lt;strong&gt;Start:&lt;/strong&gt; &lt;strong&gt;Start:&lt;/strong&gt; Talk to Horned Statue&lt;br&gt;&lt;strong&gt;Reward:&lt;/strong&gt; Ability to swap Stamina and Heart containers` },</v>
      </c>
    </row>
    <row r="56" spans="1:10" x14ac:dyDescent="0.2">
      <c r="A56" t="s">
        <v>4390</v>
      </c>
      <c r="B56" s="7" t="s">
        <v>1441</v>
      </c>
      <c r="C56" s="2">
        <v>1</v>
      </c>
      <c r="D56" s="2" t="s">
        <v>785</v>
      </c>
      <c r="E56" s="2">
        <v>-265</v>
      </c>
      <c r="F56" s="2">
        <v>146</v>
      </c>
      <c r="G56" s="2">
        <v>26</v>
      </c>
      <c r="H56" s="2">
        <v>0</v>
      </c>
      <c r="I56" t="s">
        <v>4437</v>
      </c>
      <c r="J56" t="str">
        <f t="shared" si="0"/>
        <v>{ name: "Who Goes There?", landmark: "Side Quest", type: "Lookout Landing", region: 1, level: "Surface", x: -265, y: 146, z: 26, weight: 0, details: `&lt;strong&gt;Start:&lt;/strong&gt; &lt;strong&gt;Start:&lt;/strong&gt; Talk to Jerrin&lt;br&gt;&lt;strong&gt;Reward:&lt;/strong&gt; Red Rupee` },</v>
      </c>
    </row>
    <row r="57" spans="1:10" x14ac:dyDescent="0.2">
      <c r="A57" t="s">
        <v>4391</v>
      </c>
      <c r="B57" s="7" t="s">
        <v>4392</v>
      </c>
      <c r="C57" s="2">
        <v>2</v>
      </c>
      <c r="D57" s="2" t="s">
        <v>785</v>
      </c>
      <c r="E57" s="2">
        <v>-820</v>
      </c>
      <c r="F57" s="2">
        <v>-2019</v>
      </c>
      <c r="G57" s="2">
        <v>144</v>
      </c>
      <c r="H57" s="2">
        <v>0</v>
      </c>
      <c r="I57" t="s">
        <v>4433</v>
      </c>
      <c r="J57" t="str">
        <f t="shared" si="0"/>
        <v>{ name: "A Call From The Depths", landmark: "Side Quest", type: "Temple Of Time Ruins", region: 2, level: "Surface", x: -820, y: -2019, z: 144, weight: 0, details: `&lt;strong&gt;Start:&lt;/strong&gt; &lt;strong&gt;Start:&lt;/strong&gt; Talk to Statue&lt;br&gt;&lt;strong&gt;Reward:&lt;/strong&gt; 1 Heart Container or Stamina Essence` },</v>
      </c>
    </row>
    <row r="58" spans="1:10" x14ac:dyDescent="0.2">
      <c r="A58" t="s">
        <v>4393</v>
      </c>
      <c r="B58" s="7" t="s">
        <v>840</v>
      </c>
      <c r="C58" s="2">
        <v>15</v>
      </c>
      <c r="D58" s="2" t="s">
        <v>785</v>
      </c>
      <c r="E58" s="2">
        <v>-3617</v>
      </c>
      <c r="F58" s="2">
        <v>-1348</v>
      </c>
      <c r="G58" s="2">
        <v>330</v>
      </c>
      <c r="H58" s="2">
        <v>0</v>
      </c>
      <c r="I58" t="s">
        <v>4434</v>
      </c>
      <c r="J58" t="str">
        <f t="shared" si="0"/>
        <v>{ name: "Infiltrating The Yiga Clan", landmark: "Side Quest", type: "Yiga Clan Hideout", region: 15, level: "Surface", x: -3617, y: -1348, z: 330, weight: 0, details: `&lt;strong&gt;Start:&lt;/strong&gt; &lt;strong&gt;Start:&lt;/strong&gt; Talk to Mimos&lt;br&gt;&lt;strong&gt;Reward:&lt;/strong&gt; Access to the Yiga Clan Hideout, Earthwake Technique, Thunder Helm` },</v>
      </c>
    </row>
    <row r="59" spans="1:10" x14ac:dyDescent="0.2">
      <c r="A59" t="s">
        <v>4394</v>
      </c>
      <c r="B59" s="7" t="s">
        <v>987</v>
      </c>
      <c r="C59" s="2">
        <v>15</v>
      </c>
      <c r="D59" s="2" t="s">
        <v>785</v>
      </c>
      <c r="E59" s="2">
        <v>-2441</v>
      </c>
      <c r="F59" s="2">
        <v>-1797</v>
      </c>
      <c r="G59" s="2">
        <v>110</v>
      </c>
      <c r="H59" s="2">
        <v>0</v>
      </c>
      <c r="I59" t="s">
        <v>4435</v>
      </c>
      <c r="J59" t="str">
        <f t="shared" si="0"/>
        <v>{ name: "The Yiga Clan Exam", landmark: "Side Quest", type: "Yiga Blademaster Station", region: 15, level: "Surface", x: -2441, y: -1797, z: 110, weight: 0, details: `&lt;strong&gt;Start:&lt;/strong&gt; &lt;strong&gt;Start:&lt;/strong&gt; Talk to Yiga Blademaster&lt;br&gt;&lt;strong&gt;Reward:&lt;/strong&gt; Ruby, Eightfold Longblade (Untarnished)` },</v>
      </c>
    </row>
    <row r="60" spans="1:10" x14ac:dyDescent="0.2">
      <c r="A60" t="s">
        <v>4387</v>
      </c>
      <c r="B60" s="7" t="s">
        <v>991</v>
      </c>
      <c r="C60" s="2">
        <v>0</v>
      </c>
      <c r="D60" s="2" t="s">
        <v>783</v>
      </c>
      <c r="E60" s="2">
        <v>458</v>
      </c>
      <c r="F60" s="2">
        <v>-790</v>
      </c>
      <c r="G60" s="2">
        <v>1556</v>
      </c>
      <c r="H60" s="2">
        <v>0</v>
      </c>
      <c r="I60" t="s">
        <v>4430</v>
      </c>
      <c r="J60" t="str">
        <f>"{ name: "&amp;CHAR(34)&amp;A60&amp;CHAR(34)&amp;", landmark: "&amp;CHAR(34)&amp;"Side Quest"&amp;CHAR(34)&amp;", type: "&amp;CHAR(34)&amp;B60&amp;CHAR(34)&amp;", region: "&amp;C60&amp;", level: "&amp;CHAR(34)&amp;D60&amp;CHAR(34)&amp;", x: "&amp;E60&amp;", y: "&amp;F60&amp;", z: "&amp;G60&amp;", weight: "&amp;H60&amp;", details: `&lt;strong&gt;Start:&lt;/strong&gt; "&amp;I60&amp;"` },"</f>
        <v>{ name: "Legend of the Great Sky Island", landmark: "Side Quest", type: "Great Sky Island", region: 0, level: "Sky", x: 458, y: -790, z: 1556, weight: 0, details: `&lt;strong&gt;Start:&lt;/strong&gt; &lt;strong&gt;Start:&lt;/strong&gt; Talk to Steward Construct&lt;br&gt;&lt;strong&gt;Reward:&lt;/strong&gt; Zonai Fabric` },</v>
      </c>
    </row>
    <row r="61" spans="1:10" x14ac:dyDescent="0.2">
      <c r="A61" t="s">
        <v>4395</v>
      </c>
      <c r="B61" s="7" t="s">
        <v>1308</v>
      </c>
      <c r="C61" s="2">
        <v>2</v>
      </c>
      <c r="D61" s="2" t="s">
        <v>994</v>
      </c>
      <c r="E61" s="2">
        <v>-797</v>
      </c>
      <c r="F61" s="2">
        <v>-1919</v>
      </c>
      <c r="G61" s="2">
        <v>-523</v>
      </c>
      <c r="H61" s="2">
        <v>0</v>
      </c>
      <c r="I61" t="s">
        <v>4436</v>
      </c>
      <c r="J61" t="str">
        <f t="shared" si="0"/>
        <v>{ name: "Master Kohga Of The Yiga Clan", landmark: "Side Quest", type: "Great Abandoned Central Mine", region: 2, level: "Depths", x: -797, y: -1919, z: -523, weight: 0, details: `&lt;strong&gt;Start:&lt;/strong&gt; &lt;strong&gt;Start:&lt;/strong&gt; Talk to Kohga&lt;br&gt;&lt;strong&gt;Reward:&lt;/strong&gt; Schema Stones` },</v>
      </c>
    </row>
  </sheetData>
  <autoFilter ref="A1:J68" xr:uid="{9B66D1FE-B66F-F348-9F83-5F8C8FFF29B7}">
    <sortState xmlns:xlrd2="http://schemas.microsoft.com/office/spreadsheetml/2017/richdata2" ref="A2:J68">
      <sortCondition ref="D1:D68"/>
    </sortState>
  </autoFilter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5DE19-C0A8-F542-BA43-17C2A2ACA7C9}">
  <sheetPr>
    <tabColor theme="7"/>
  </sheetPr>
  <dimension ref="A1:J296"/>
  <sheetViews>
    <sheetView topLeftCell="A275" zoomScaleNormal="100" workbookViewId="0">
      <selection activeCell="A295" sqref="A295"/>
    </sheetView>
  </sheetViews>
  <sheetFormatPr baseColWidth="10" defaultRowHeight="16" x14ac:dyDescent="0.2"/>
  <cols>
    <col min="1" max="1" width="37.83203125" bestFit="1" customWidth="1"/>
    <col min="2" max="2" width="25.5" bestFit="1" customWidth="1"/>
    <col min="3" max="8" width="10.83203125" style="2"/>
  </cols>
  <sheetData>
    <row r="1" spans="1:10" s="6" customFormat="1" x14ac:dyDescent="0.2">
      <c r="A1" s="6" t="s">
        <v>781</v>
      </c>
      <c r="B1" s="6" t="s">
        <v>2083</v>
      </c>
      <c r="C1" s="4" t="s">
        <v>2074</v>
      </c>
      <c r="D1" s="4" t="s">
        <v>777</v>
      </c>
      <c r="E1" s="4" t="s">
        <v>778</v>
      </c>
      <c r="F1" s="4" t="s">
        <v>779</v>
      </c>
      <c r="G1" s="4" t="s">
        <v>780</v>
      </c>
      <c r="H1" s="4" t="s">
        <v>2837</v>
      </c>
      <c r="I1" s="6" t="s">
        <v>2081</v>
      </c>
      <c r="J1" s="6" t="s">
        <v>2075</v>
      </c>
    </row>
    <row r="2" spans="1:10" x14ac:dyDescent="0.2">
      <c r="A2" t="s">
        <v>4057</v>
      </c>
      <c r="B2" t="s">
        <v>2990</v>
      </c>
      <c r="C2" s="2">
        <v>1</v>
      </c>
      <c r="D2" s="2" t="s">
        <v>785</v>
      </c>
      <c r="E2" s="2">
        <v>-770</v>
      </c>
      <c r="F2" s="2">
        <v>811</v>
      </c>
      <c r="G2" s="2">
        <v>58</v>
      </c>
      <c r="H2" s="2">
        <v>0</v>
      </c>
      <c r="J2" t="str">
        <f t="shared" ref="J2:J33" si="0">"{ name: "&amp;CHAR(34)&amp;A2&amp;CHAR(34)&amp;", landmark: "&amp;CHAR(34)&amp;"Talus"&amp;CHAR(34)&amp;", type: "&amp;CHAR(34)&amp;B2&amp;CHAR(34)&amp;", region: "&amp;C2&amp;", level: "&amp;CHAR(34)&amp;D2&amp;CHAR(34)&amp;", x: "&amp;E2&amp;", y: "&amp;F2&amp;", z: "&amp;G2&amp;", weight: "&amp;H2&amp;", details: "&amp;CHAR(34)&amp;I2&amp;CHAR(34)&amp;" },"</f>
        <v>{ name: "Hyrule Castle West", landmark: "Talus", type: "Battle Talus", region: 1, level: "Surface", x: -770, y: 811, z: 58, weight: 0, details: "" },</v>
      </c>
    </row>
    <row r="3" spans="1:10" x14ac:dyDescent="0.2">
      <c r="A3" t="s">
        <v>1584</v>
      </c>
      <c r="B3" t="s">
        <v>2990</v>
      </c>
      <c r="C3" s="2">
        <v>1</v>
      </c>
      <c r="D3" s="2" t="s">
        <v>785</v>
      </c>
      <c r="E3" s="2">
        <v>202</v>
      </c>
      <c r="F3" s="2">
        <v>531</v>
      </c>
      <c r="G3" s="2">
        <v>40</v>
      </c>
      <c r="H3" s="2">
        <v>0</v>
      </c>
      <c r="J3" t="str">
        <f t="shared" si="0"/>
        <v>{ name: "Romani Plains", landmark: "Talus", type: "Battle Talus", region: 1, level: "Surface", x: 202, y: 531, z: 40, weight: 0, details: "" },</v>
      </c>
    </row>
    <row r="4" spans="1:10" x14ac:dyDescent="0.2">
      <c r="A4" t="s">
        <v>1084</v>
      </c>
      <c r="B4" t="s">
        <v>4115</v>
      </c>
      <c r="C4" s="2">
        <v>2</v>
      </c>
      <c r="D4" s="2" t="s">
        <v>785</v>
      </c>
      <c r="E4" s="2">
        <v>-2860</v>
      </c>
      <c r="F4" s="2">
        <v>-521</v>
      </c>
      <c r="G4" s="2">
        <v>24</v>
      </c>
      <c r="H4" s="2">
        <v>0</v>
      </c>
      <c r="J4" t="str">
        <f t="shared" si="0"/>
        <v>{ name: "Tamio River", landmark: "Talus", type: "Stone Talus (Luminous)", region: 2, level: "Surface", x: -2860, y: -521, z: 24, weight: 0, details: "" },</v>
      </c>
    </row>
    <row r="5" spans="1:10" x14ac:dyDescent="0.2">
      <c r="A5" t="s">
        <v>4058</v>
      </c>
      <c r="B5" t="s">
        <v>4115</v>
      </c>
      <c r="C5" s="2">
        <v>2</v>
      </c>
      <c r="D5" s="2" t="s">
        <v>785</v>
      </c>
      <c r="E5" s="2">
        <v>-2221</v>
      </c>
      <c r="F5" s="2">
        <v>-585</v>
      </c>
      <c r="G5" s="2">
        <v>275</v>
      </c>
      <c r="H5" s="2">
        <v>0</v>
      </c>
      <c r="J5" t="str">
        <f t="shared" si="0"/>
        <v>{ name: "Satori Mountain South", landmark: "Talus", type: "Stone Talus (Luminous)", region: 2, level: "Surface", x: -2221, y: -585, z: 275, weight: 0, details: "" },</v>
      </c>
    </row>
    <row r="6" spans="1:10" x14ac:dyDescent="0.2">
      <c r="A6" t="s">
        <v>4059</v>
      </c>
      <c r="B6" t="s">
        <v>2990</v>
      </c>
      <c r="C6" s="2">
        <v>2</v>
      </c>
      <c r="D6" s="2" t="s">
        <v>785</v>
      </c>
      <c r="E6" s="2">
        <v>-1364</v>
      </c>
      <c r="F6" s="2">
        <v>-789</v>
      </c>
      <c r="G6" s="2">
        <v>22</v>
      </c>
      <c r="H6" s="2">
        <v>0</v>
      </c>
      <c r="J6" t="str">
        <f t="shared" si="0"/>
        <v>{ name: "Gleeok Bridge West", landmark: "Talus", type: "Battle Talus", region: 2, level: "Surface", x: -1364, y: -789, z: 22, weight: 0, details: "" },</v>
      </c>
    </row>
    <row r="7" spans="1:10" x14ac:dyDescent="0.2">
      <c r="A7" t="s">
        <v>1714</v>
      </c>
      <c r="B7" t="s">
        <v>2990</v>
      </c>
      <c r="C7" s="2">
        <v>2</v>
      </c>
      <c r="D7" s="2" t="s">
        <v>785</v>
      </c>
      <c r="E7" s="2">
        <v>-109</v>
      </c>
      <c r="F7" s="2">
        <v>-802</v>
      </c>
      <c r="G7" s="2">
        <v>47</v>
      </c>
      <c r="H7" s="2">
        <v>0</v>
      </c>
      <c r="J7" t="str">
        <f t="shared" si="0"/>
        <v>{ name: "Windvane Meadow", landmark: "Talus", type: "Battle Talus", region: 2, level: "Surface", x: -109, y: -802, z: 47, weight: 0, details: "" },</v>
      </c>
    </row>
    <row r="8" spans="1:10" x14ac:dyDescent="0.2">
      <c r="A8" t="s">
        <v>1311</v>
      </c>
      <c r="B8" t="s">
        <v>2990</v>
      </c>
      <c r="C8" s="2">
        <v>2</v>
      </c>
      <c r="D8" s="2" t="s">
        <v>785</v>
      </c>
      <c r="E8" s="2">
        <v>-1092</v>
      </c>
      <c r="F8" s="2">
        <v>-1659</v>
      </c>
      <c r="G8" s="2">
        <v>85</v>
      </c>
      <c r="H8" s="2">
        <v>0</v>
      </c>
      <c r="J8" t="str">
        <f t="shared" si="0"/>
        <v>{ name: "Great Plateau", landmark: "Talus", type: "Battle Talus", region: 2, level: "Surface", x: -1092, y: -1659, z: 85, weight: 0, details: "" },</v>
      </c>
    </row>
    <row r="9" spans="1:10" x14ac:dyDescent="0.2">
      <c r="A9" t="s">
        <v>1040</v>
      </c>
      <c r="B9" t="s">
        <v>2990</v>
      </c>
      <c r="C9" s="2">
        <v>3</v>
      </c>
      <c r="D9" s="2" t="s">
        <v>785</v>
      </c>
      <c r="E9" s="2">
        <v>-3109</v>
      </c>
      <c r="F9" s="2">
        <v>1287</v>
      </c>
      <c r="G9" s="2">
        <v>166</v>
      </c>
      <c r="H9" s="2">
        <v>0</v>
      </c>
      <c r="J9" t="str">
        <f t="shared" si="0"/>
        <v>{ name: "Kolami Bridge", landmark: "Talus", type: "Battle Talus", region: 3, level: "Surface", x: -3109, y: 1287, z: 166, weight: 0, details: "" },</v>
      </c>
    </row>
    <row r="10" spans="1:10" x14ac:dyDescent="0.2">
      <c r="A10" t="s">
        <v>4056</v>
      </c>
      <c r="B10" t="s">
        <v>2994</v>
      </c>
      <c r="C10" s="2">
        <v>3</v>
      </c>
      <c r="D10" s="2" t="s">
        <v>785</v>
      </c>
      <c r="E10" s="2">
        <v>-3387</v>
      </c>
      <c r="F10" s="2">
        <v>1076</v>
      </c>
      <c r="G10" s="2">
        <v>209</v>
      </c>
      <c r="H10" s="2">
        <v>0</v>
      </c>
      <c r="I10" t="s">
        <v>2082</v>
      </c>
      <c r="J10" t="str">
        <f t="shared" si="0"/>
        <v>{ name: "Strock Lake South", landmark: "Talus", type: "Stone Talus", region: 3, level: "Surface", x: -3387, y: 1076, z: 209, weight: 0, details: " " },</v>
      </c>
    </row>
    <row r="11" spans="1:10" x14ac:dyDescent="0.2">
      <c r="A11" t="s">
        <v>1515</v>
      </c>
      <c r="B11" t="s">
        <v>2990</v>
      </c>
      <c r="C11" s="2">
        <v>3</v>
      </c>
      <c r="D11" s="2" t="s">
        <v>785</v>
      </c>
      <c r="E11" s="2">
        <v>-1448</v>
      </c>
      <c r="F11" s="2">
        <v>1026</v>
      </c>
      <c r="G11" s="2">
        <v>147</v>
      </c>
      <c r="H11" s="2">
        <v>0</v>
      </c>
      <c r="J11" t="str">
        <f t="shared" si="0"/>
        <v>{ name: "North Hyrule Plain", landmark: "Talus", type: "Battle Talus", region: 3, level: "Surface", x: -1448, y: 1026, z: 147, weight: 0, details: "" },</v>
      </c>
    </row>
    <row r="12" spans="1:10" x14ac:dyDescent="0.2">
      <c r="A12" t="s">
        <v>1540</v>
      </c>
      <c r="B12" t="s">
        <v>2994</v>
      </c>
      <c r="C12" s="2">
        <v>3</v>
      </c>
      <c r="D12" s="2" t="s">
        <v>785</v>
      </c>
      <c r="E12" s="2">
        <v>-3298</v>
      </c>
      <c r="F12" s="2">
        <v>649</v>
      </c>
      <c r="G12" s="2">
        <v>198</v>
      </c>
      <c r="H12" s="2">
        <v>0</v>
      </c>
      <c r="J12" t="str">
        <f t="shared" si="0"/>
        <v>{ name: "Piper Ridge", landmark: "Talus", type: "Stone Talus", region: 3, level: "Surface", x: -3298, y: 649, z: 198, weight: 0, details: "" },</v>
      </c>
    </row>
    <row r="13" spans="1:10" x14ac:dyDescent="0.2">
      <c r="A13" t="s">
        <v>1659</v>
      </c>
      <c r="B13" t="s">
        <v>2993</v>
      </c>
      <c r="C13" s="2">
        <v>3</v>
      </c>
      <c r="D13" s="2" t="s">
        <v>785</v>
      </c>
      <c r="E13" s="2">
        <v>-3491</v>
      </c>
      <c r="F13" s="2">
        <v>171</v>
      </c>
      <c r="G13" s="2">
        <v>-91</v>
      </c>
      <c r="H13" s="2">
        <v>0</v>
      </c>
      <c r="J13" t="str">
        <f t="shared" si="0"/>
        <v>{ name: "Tanagar Canyon", landmark: "Talus", type: "Rare Stone Talus", region: 3, level: "Surface", x: -3491, y: 171, z: -91, weight: 0, details: "" },</v>
      </c>
    </row>
    <row r="14" spans="1:10" x14ac:dyDescent="0.2">
      <c r="A14" t="s">
        <v>4060</v>
      </c>
      <c r="B14" t="s">
        <v>2990</v>
      </c>
      <c r="C14" s="2">
        <v>3</v>
      </c>
      <c r="D14" s="2" t="s">
        <v>785</v>
      </c>
      <c r="E14" s="2">
        <v>-2550</v>
      </c>
      <c r="F14" s="2">
        <v>-111</v>
      </c>
      <c r="G14" s="2">
        <v>138</v>
      </c>
      <c r="H14" s="2">
        <v>0</v>
      </c>
      <c r="J14" t="str">
        <f t="shared" si="0"/>
        <v>{ name: "Washa's Bluff East", landmark: "Talus", type: "Battle Talus", region: 3, level: "Surface", x: -2550, y: -111, z: 138, weight: 0, details: "" },</v>
      </c>
    </row>
    <row r="15" spans="1:10" x14ac:dyDescent="0.2">
      <c r="A15" t="s">
        <v>4063</v>
      </c>
      <c r="B15" t="s">
        <v>2991</v>
      </c>
      <c r="C15" s="2">
        <v>4</v>
      </c>
      <c r="D15" s="2" t="s">
        <v>785</v>
      </c>
      <c r="E15" s="2">
        <v>-4433</v>
      </c>
      <c r="F15" s="2">
        <v>3387</v>
      </c>
      <c r="G15" s="2">
        <v>293</v>
      </c>
      <c r="H15" s="2">
        <v>0</v>
      </c>
      <c r="J15" t="str">
        <f t="shared" si="0"/>
        <v>{ name: "Hebra West Summit North", landmark: "Talus", type: "Frost Talus", region: 4, level: "Surface", x: -4433, y: 3387, z: 293, weight: 0, details: "" },</v>
      </c>
    </row>
    <row r="16" spans="1:10" x14ac:dyDescent="0.2">
      <c r="A16" t="s">
        <v>4064</v>
      </c>
      <c r="B16" t="s">
        <v>2991</v>
      </c>
      <c r="C16" s="2">
        <v>4</v>
      </c>
      <c r="D16" s="2" t="s">
        <v>785</v>
      </c>
      <c r="E16" s="2">
        <v>-2685</v>
      </c>
      <c r="F16" s="2">
        <v>3353</v>
      </c>
      <c r="G16" s="2">
        <v>249</v>
      </c>
      <c r="H16" s="2">
        <v>0</v>
      </c>
      <c r="J16" t="str">
        <f t="shared" si="0"/>
        <v>{ name: "Hebra East Summit North", landmark: "Talus", type: "Frost Talus", region: 4, level: "Surface", x: -2685, y: 3353, z: 249, weight: 0, details: "" },</v>
      </c>
    </row>
    <row r="17" spans="1:10" x14ac:dyDescent="0.2">
      <c r="A17" t="s">
        <v>4062</v>
      </c>
      <c r="B17" t="s">
        <v>2991</v>
      </c>
      <c r="C17" s="2">
        <v>4</v>
      </c>
      <c r="D17" s="2" t="s">
        <v>785</v>
      </c>
      <c r="E17" s="2">
        <v>-4500</v>
      </c>
      <c r="F17" s="2">
        <v>2450</v>
      </c>
      <c r="G17" s="2">
        <v>123</v>
      </c>
      <c r="H17" s="2">
        <v>0</v>
      </c>
      <c r="J17" t="str">
        <f t="shared" si="0"/>
        <v>{ name: "Hebra West Summit South", landmark: "Talus", type: "Frost Talus", region: 4, level: "Surface", x: -4500, y: 2450, z: 123, weight: 0, details: "" },</v>
      </c>
    </row>
    <row r="18" spans="1:10" x14ac:dyDescent="0.2">
      <c r="A18" t="s">
        <v>4061</v>
      </c>
      <c r="B18" t="s">
        <v>2990</v>
      </c>
      <c r="C18" s="2">
        <v>4</v>
      </c>
      <c r="D18" s="2" t="s">
        <v>785</v>
      </c>
      <c r="E18" s="2">
        <v>-4393</v>
      </c>
      <c r="F18" s="2">
        <v>1935</v>
      </c>
      <c r="G18" s="2">
        <v>122</v>
      </c>
      <c r="H18" s="2">
        <v>0</v>
      </c>
      <c r="I18" t="s">
        <v>2082</v>
      </c>
      <c r="J18" t="str">
        <f t="shared" si="0"/>
        <v>{ name: "West Hebra", landmark: "Talus", type: "Battle Talus", region: 4, level: "Surface", x: -4393, y: 1935, z: 122, weight: 0, details: " " },</v>
      </c>
    </row>
    <row r="19" spans="1:10" x14ac:dyDescent="0.2">
      <c r="A19" t="s">
        <v>1198</v>
      </c>
      <c r="B19" t="s">
        <v>4115</v>
      </c>
      <c r="C19" s="2">
        <v>6</v>
      </c>
      <c r="D19" s="2" t="s">
        <v>785</v>
      </c>
      <c r="E19" s="2">
        <v>703</v>
      </c>
      <c r="F19" s="2">
        <v>3692</v>
      </c>
      <c r="G19" s="2">
        <v>105</v>
      </c>
      <c r="H19" s="2">
        <v>0</v>
      </c>
      <c r="J19" t="str">
        <f t="shared" si="0"/>
        <v>{ name: "Deplian Badlands", landmark: "Talus", type: "Stone Talus (Luminous)", region: 6, level: "Surface", x: 703, y: 3692, z: 105, weight: 0, details: "" },</v>
      </c>
    </row>
    <row r="20" spans="1:10" x14ac:dyDescent="0.2">
      <c r="A20" t="s">
        <v>1026</v>
      </c>
      <c r="B20" t="s">
        <v>2993</v>
      </c>
      <c r="C20" s="2">
        <v>6</v>
      </c>
      <c r="D20" s="2" t="s">
        <v>785</v>
      </c>
      <c r="E20" s="2">
        <v>-394</v>
      </c>
      <c r="F20" s="2">
        <v>2956</v>
      </c>
      <c r="G20" s="2">
        <v>157</v>
      </c>
      <c r="H20" s="2">
        <v>0</v>
      </c>
      <c r="J20" t="str">
        <f t="shared" si="0"/>
        <v>{ name: "Drenan Highlands", landmark: "Talus", type: "Rare Stone Talus", region: 6, level: "Surface", x: -394, y: 2956, z: 157, weight: 0, details: "" },</v>
      </c>
    </row>
    <row r="21" spans="1:10" x14ac:dyDescent="0.2">
      <c r="A21" t="s">
        <v>4065</v>
      </c>
      <c r="B21" t="s">
        <v>2994</v>
      </c>
      <c r="C21" s="2">
        <v>6</v>
      </c>
      <c r="D21" s="2" t="s">
        <v>785</v>
      </c>
      <c r="E21" s="2">
        <v>98</v>
      </c>
      <c r="F21" s="2">
        <v>2370</v>
      </c>
      <c r="G21" s="2">
        <v>185</v>
      </c>
      <c r="H21" s="2">
        <v>0</v>
      </c>
      <c r="J21" t="str">
        <f t="shared" si="0"/>
        <v>{ name: "Lurker in the Lost Woods", landmark: "Talus", type: "Stone Talus", region: 6, level: "Surface", x: 98, y: 2370, z: 185, weight: 0, details: "" },</v>
      </c>
    </row>
    <row r="22" spans="1:10" x14ac:dyDescent="0.2">
      <c r="A22" t="s">
        <v>4066</v>
      </c>
      <c r="B22" t="s">
        <v>2992</v>
      </c>
      <c r="C22" s="2">
        <v>7</v>
      </c>
      <c r="D22" s="2" t="s">
        <v>785</v>
      </c>
      <c r="E22" s="2">
        <v>2479</v>
      </c>
      <c r="F22" s="2">
        <v>3637</v>
      </c>
      <c r="G22" s="2">
        <v>332</v>
      </c>
      <c r="H22" s="2">
        <v>0</v>
      </c>
      <c r="J22" t="str">
        <f t="shared" si="0"/>
        <v>{ name: "Eldin Eastern Highlands", landmark: "Talus", type: "Igneo Talus", region: 7, level: "Surface", x: 2479, y: 3637, z: 332, weight: 0, details: "" },</v>
      </c>
    </row>
    <row r="23" spans="1:10" x14ac:dyDescent="0.2">
      <c r="A23" t="s">
        <v>1401</v>
      </c>
      <c r="B23" t="s">
        <v>2992</v>
      </c>
      <c r="C23" s="2">
        <v>7</v>
      </c>
      <c r="D23" s="2" t="s">
        <v>785</v>
      </c>
      <c r="E23" s="2">
        <v>1944</v>
      </c>
      <c r="F23" s="2">
        <v>3194</v>
      </c>
      <c r="G23" s="2">
        <v>427</v>
      </c>
      <c r="H23" s="2">
        <v>0</v>
      </c>
      <c r="J23" t="str">
        <f t="shared" si="0"/>
        <v>{ name: "Lake Darman", landmark: "Talus", type: "Igneo Talus", region: 7, level: "Surface", x: 1944, y: 3194, z: 427, weight: 0, details: "" },</v>
      </c>
    </row>
    <row r="24" spans="1:10" x14ac:dyDescent="0.2">
      <c r="A24" t="s">
        <v>1035</v>
      </c>
      <c r="B24" t="s">
        <v>4115</v>
      </c>
      <c r="C24" s="2">
        <v>7</v>
      </c>
      <c r="D24" s="2" t="s">
        <v>785</v>
      </c>
      <c r="E24" s="2">
        <v>2710</v>
      </c>
      <c r="F24" s="2">
        <v>3303</v>
      </c>
      <c r="G24" s="2">
        <v>248</v>
      </c>
      <c r="H24" s="2">
        <v>0</v>
      </c>
      <c r="J24" t="str">
        <f t="shared" si="0"/>
        <v>{ name: "Gut Check Rock", landmark: "Talus", type: "Stone Talus (Luminous)", region: 7, level: "Surface", x: 2710, y: 3303, z: 248, weight: 0, details: "" },</v>
      </c>
    </row>
    <row r="25" spans="1:10" x14ac:dyDescent="0.2">
      <c r="A25" t="s">
        <v>872</v>
      </c>
      <c r="B25" t="s">
        <v>2992</v>
      </c>
      <c r="C25" s="2">
        <v>7</v>
      </c>
      <c r="D25" s="2" t="s">
        <v>785</v>
      </c>
      <c r="E25" s="2">
        <v>2630</v>
      </c>
      <c r="F25" s="2">
        <v>2745</v>
      </c>
      <c r="G25" s="2">
        <v>533</v>
      </c>
      <c r="H25" s="2">
        <v>0</v>
      </c>
      <c r="J25" t="str">
        <f t="shared" si="0"/>
        <v>{ name: "Death Mountain East Tunnel", landmark: "Talus", type: "Igneo Talus", region: 7, level: "Surface", x: 2630, y: 2745, z: 533, weight: 0, details: "" },</v>
      </c>
    </row>
    <row r="26" spans="1:10" x14ac:dyDescent="0.2">
      <c r="A26" t="s">
        <v>4067</v>
      </c>
      <c r="B26" t="s">
        <v>2992</v>
      </c>
      <c r="C26" s="2">
        <v>7</v>
      </c>
      <c r="D26" s="2" t="s">
        <v>785</v>
      </c>
      <c r="E26" s="2">
        <v>2015</v>
      </c>
      <c r="F26" s="2">
        <v>2398</v>
      </c>
      <c r="G26" s="2">
        <v>463</v>
      </c>
      <c r="H26" s="2">
        <v>0</v>
      </c>
      <c r="J26" t="str">
        <f t="shared" si="0"/>
        <v>{ name: "Goro Cave", landmark: "Talus", type: "Igneo Talus", region: 7, level: "Surface", x: 2015, y: 2398, z: 463, weight: 0, details: "" },</v>
      </c>
    </row>
    <row r="27" spans="1:10" x14ac:dyDescent="0.2">
      <c r="A27" t="s">
        <v>4068</v>
      </c>
      <c r="B27" t="s">
        <v>2992</v>
      </c>
      <c r="C27" s="2">
        <v>7</v>
      </c>
      <c r="D27" s="2" t="s">
        <v>785</v>
      </c>
      <c r="E27" s="2">
        <v>1291</v>
      </c>
      <c r="F27" s="2">
        <v>1717</v>
      </c>
      <c r="G27" s="2">
        <v>262</v>
      </c>
      <c r="H27" s="2">
        <v>0</v>
      </c>
      <c r="J27" t="str">
        <f t="shared" si="0"/>
        <v>{ name: "Goronbi River West", landmark: "Talus", type: "Igneo Talus", region: 7, level: "Surface", x: 1291, y: 1717, z: 262, weight: 0, details: "" },</v>
      </c>
    </row>
    <row r="28" spans="1:10" x14ac:dyDescent="0.2">
      <c r="A28" t="s">
        <v>1467</v>
      </c>
      <c r="B28" t="s">
        <v>2992</v>
      </c>
      <c r="C28" s="2">
        <v>7</v>
      </c>
      <c r="D28" s="2" t="s">
        <v>785</v>
      </c>
      <c r="E28" s="2">
        <v>2215</v>
      </c>
      <c r="F28" s="2">
        <v>1780</v>
      </c>
      <c r="G28" s="2">
        <v>322</v>
      </c>
      <c r="H28" s="2">
        <v>0</v>
      </c>
      <c r="J28" t="str">
        <f t="shared" si="0"/>
        <v>{ name: "Medingo Pool", landmark: "Talus", type: "Igneo Talus", region: 7, level: "Surface", x: 2215, y: 1780, z: 322, weight: 0, details: "" },</v>
      </c>
    </row>
    <row r="29" spans="1:10" x14ac:dyDescent="0.2">
      <c r="A29" t="s">
        <v>1510</v>
      </c>
      <c r="B29" t="s">
        <v>2994</v>
      </c>
      <c r="C29" s="2">
        <v>8</v>
      </c>
      <c r="D29" s="2" t="s">
        <v>785</v>
      </c>
      <c r="E29" s="2">
        <v>4063</v>
      </c>
      <c r="F29" s="2">
        <v>2973</v>
      </c>
      <c r="G29" s="2">
        <v>160</v>
      </c>
      <c r="H29" s="2">
        <v>0</v>
      </c>
      <c r="J29" t="str">
        <f t="shared" si="0"/>
        <v>{ name: "North Akkala Foothill", landmark: "Talus", type: "Stone Talus", region: 8, level: "Surface", x: 4063, y: 2973, z: 160, weight: 0, details: "" },</v>
      </c>
    </row>
    <row r="30" spans="1:10" x14ac:dyDescent="0.2">
      <c r="A30" t="s">
        <v>1509</v>
      </c>
      <c r="B30" t="s">
        <v>2993</v>
      </c>
      <c r="C30" s="2">
        <v>8</v>
      </c>
      <c r="D30" s="2" t="s">
        <v>785</v>
      </c>
      <c r="E30" s="2">
        <v>4678</v>
      </c>
      <c r="F30" s="2">
        <v>2998</v>
      </c>
      <c r="G30" s="2">
        <v>15</v>
      </c>
      <c r="H30" s="2">
        <v>0</v>
      </c>
      <c r="J30" t="str">
        <f t="shared" si="0"/>
        <v>{ name: "North Akkala Beach", landmark: "Talus", type: "Rare Stone Talus", region: 8, level: "Surface", x: 4678, y: 2998, z: 15, weight: 0, details: "" },</v>
      </c>
    </row>
    <row r="31" spans="1:10" x14ac:dyDescent="0.2">
      <c r="A31" t="s">
        <v>834</v>
      </c>
      <c r="B31" t="s">
        <v>2990</v>
      </c>
      <c r="C31" s="2">
        <v>8</v>
      </c>
      <c r="D31" s="2" t="s">
        <v>785</v>
      </c>
      <c r="E31" s="2">
        <v>4181</v>
      </c>
      <c r="F31" s="2">
        <v>2228</v>
      </c>
      <c r="G31" s="2">
        <v>27</v>
      </c>
      <c r="H31" s="2">
        <v>0</v>
      </c>
      <c r="J31" t="str">
        <f t="shared" si="0"/>
        <v>{ name: "East Akkala Plains", landmark: "Talus", type: "Battle Talus", region: 8, level: "Surface", x: 4181, y: 2228, z: 27, weight: 0, details: "" },</v>
      </c>
    </row>
    <row r="32" spans="1:10" x14ac:dyDescent="0.2">
      <c r="A32" t="s">
        <v>4069</v>
      </c>
      <c r="B32" t="s">
        <v>2990</v>
      </c>
      <c r="C32" s="2">
        <v>8</v>
      </c>
      <c r="D32" s="2" t="s">
        <v>785</v>
      </c>
      <c r="E32" s="2">
        <v>2974</v>
      </c>
      <c r="F32" s="2">
        <v>1488</v>
      </c>
      <c r="G32" s="2">
        <v>292</v>
      </c>
      <c r="H32" s="2">
        <v>0</v>
      </c>
      <c r="J32" t="str">
        <f t="shared" si="0"/>
        <v>{ name: "South Akkala Plains West", landmark: "Talus", type: "Battle Talus", region: 8, level: "Surface", x: 2974, y: 1488, z: 292, weight: 0, details: "" },</v>
      </c>
    </row>
    <row r="33" spans="1:10" x14ac:dyDescent="0.2">
      <c r="A33" t="s">
        <v>1380</v>
      </c>
      <c r="B33" t="s">
        <v>2990</v>
      </c>
      <c r="C33" s="2">
        <v>9</v>
      </c>
      <c r="D33" s="2" t="s">
        <v>785</v>
      </c>
      <c r="E33" s="2">
        <v>3951</v>
      </c>
      <c r="F33" s="2">
        <v>1189</v>
      </c>
      <c r="G33" s="2">
        <v>251</v>
      </c>
      <c r="H33" s="2">
        <v>0</v>
      </c>
      <c r="J33" t="str">
        <f t="shared" si="0"/>
        <v>{ name: "Kaepora Pass", landmark: "Talus", type: "Battle Talus", region: 9, level: "Surface", x: 3951, y: 1189, z: 251, weight: 0, details: "" },</v>
      </c>
    </row>
    <row r="34" spans="1:10" x14ac:dyDescent="0.2">
      <c r="A34" t="s">
        <v>1679</v>
      </c>
      <c r="B34" t="s">
        <v>4115</v>
      </c>
      <c r="C34" s="2">
        <v>9</v>
      </c>
      <c r="D34" s="2" t="s">
        <v>785</v>
      </c>
      <c r="E34" s="2">
        <v>2483</v>
      </c>
      <c r="F34" s="2">
        <v>908</v>
      </c>
      <c r="G34" s="2">
        <v>77</v>
      </c>
      <c r="H34" s="2">
        <v>0</v>
      </c>
      <c r="J34" t="str">
        <f t="shared" ref="J34:J65" si="1">"{ name: "&amp;CHAR(34)&amp;A34&amp;CHAR(34)&amp;", landmark: "&amp;CHAR(34)&amp;"Talus"&amp;CHAR(34)&amp;", type: "&amp;CHAR(34)&amp;B34&amp;CHAR(34)&amp;", region: "&amp;C34&amp;", level: "&amp;CHAR(34)&amp;D34&amp;CHAR(34)&amp;", x: "&amp;E34&amp;", y: "&amp;F34&amp;", z: "&amp;G34&amp;", weight: "&amp;H34&amp;", details: "&amp;CHAR(34)&amp;I34&amp;CHAR(34)&amp;" },"</f>
        <v>{ name: "Trilby Plain", landmark: "Talus", type: "Stone Talus (Luminous)", region: 9, level: "Surface", x: 2483, y: 908, z: 77, weight: 0, details: "" },</v>
      </c>
    </row>
    <row r="35" spans="1:10" x14ac:dyDescent="0.2">
      <c r="A35" t="s">
        <v>977</v>
      </c>
      <c r="B35" t="s">
        <v>4115</v>
      </c>
      <c r="C35" s="2">
        <v>9</v>
      </c>
      <c r="D35" s="2" t="s">
        <v>785</v>
      </c>
      <c r="E35" s="2">
        <v>4141</v>
      </c>
      <c r="F35" s="2">
        <v>543</v>
      </c>
      <c r="G35" s="2">
        <v>194</v>
      </c>
      <c r="H35" s="2">
        <v>0</v>
      </c>
      <c r="J35" t="str">
        <f t="shared" si="1"/>
        <v>{ name: "Ulria Grotto South Cave", landmark: "Talus", type: "Stone Talus (Luminous)", region: 9, level: "Surface", x: 4141, y: 543, z: 194, weight: 0, details: "" },</v>
      </c>
    </row>
    <row r="36" spans="1:10" x14ac:dyDescent="0.2">
      <c r="A36" t="s">
        <v>1656</v>
      </c>
      <c r="B36" t="s">
        <v>4115</v>
      </c>
      <c r="C36" s="2">
        <v>9</v>
      </c>
      <c r="D36" s="2" t="s">
        <v>785</v>
      </c>
      <c r="E36" s="2">
        <v>4191</v>
      </c>
      <c r="F36" s="2">
        <v>518</v>
      </c>
      <c r="G36" s="2">
        <v>357</v>
      </c>
      <c r="H36" s="2">
        <v>0</v>
      </c>
      <c r="J36" t="str">
        <f t="shared" si="1"/>
        <v>{ name: "Tal Tal Peak", landmark: "Talus", type: "Stone Talus (Luminous)", region: 9, level: "Surface", x: 4191, y: 518, z: 357, weight: 0, details: "" },</v>
      </c>
    </row>
    <row r="37" spans="1:10" x14ac:dyDescent="0.2">
      <c r="A37" t="s">
        <v>856</v>
      </c>
      <c r="B37" t="s">
        <v>4115</v>
      </c>
      <c r="C37" s="2">
        <v>9</v>
      </c>
      <c r="D37" s="2" t="s">
        <v>785</v>
      </c>
      <c r="E37" s="2">
        <v>3628</v>
      </c>
      <c r="F37" s="2">
        <v>274</v>
      </c>
      <c r="G37" s="2">
        <v>-89</v>
      </c>
      <c r="H37" s="2">
        <v>0</v>
      </c>
      <c r="I37" t="s">
        <v>2082</v>
      </c>
      <c r="J37" t="str">
        <f t="shared" si="1"/>
        <v>{ name: "Ancient Zora Waterworks", landmark: "Talus", type: "Stone Talus (Luminous)", region: 9, level: "Surface", x: 3628, y: 274, z: -89, weight: 0, details: " " },</v>
      </c>
    </row>
    <row r="38" spans="1:10" x14ac:dyDescent="0.2">
      <c r="A38" t="s">
        <v>869</v>
      </c>
      <c r="B38" t="s">
        <v>4115</v>
      </c>
      <c r="C38" s="2">
        <v>10</v>
      </c>
      <c r="D38" s="2" t="s">
        <v>785</v>
      </c>
      <c r="E38" s="2">
        <v>575</v>
      </c>
      <c r="F38" s="2">
        <v>766</v>
      </c>
      <c r="G38" s="2">
        <v>21</v>
      </c>
      <c r="H38" s="2">
        <v>0</v>
      </c>
      <c r="J38" t="str">
        <f t="shared" si="1"/>
        <v>{ name: "Crenel Hills Cave", landmark: "Talus", type: "Stone Talus (Luminous)", region: 10, level: "Surface", x: 575, y: 766, z: 21, weight: 0, details: "" },</v>
      </c>
    </row>
    <row r="39" spans="1:10" x14ac:dyDescent="0.2">
      <c r="A39" t="s">
        <v>4079</v>
      </c>
      <c r="B39" t="s">
        <v>2990</v>
      </c>
      <c r="C39" s="2">
        <v>10</v>
      </c>
      <c r="D39" s="2" t="s">
        <v>785</v>
      </c>
      <c r="E39" s="2">
        <v>677</v>
      </c>
      <c r="F39" s="2">
        <v>506</v>
      </c>
      <c r="G39" s="2">
        <v>41</v>
      </c>
      <c r="H39" s="2">
        <v>0</v>
      </c>
      <c r="J39" t="str">
        <f t="shared" si="1"/>
        <v>{ name: "Crenel Road", landmark: "Talus", type: "Battle Talus", region: 10, level: "Surface", x: 677, y: 506, z: 41, weight: 0, details: "" },</v>
      </c>
    </row>
    <row r="40" spans="1:10" x14ac:dyDescent="0.2">
      <c r="A40" t="s">
        <v>4071</v>
      </c>
      <c r="B40" t="s">
        <v>4115</v>
      </c>
      <c r="C40" s="2">
        <v>10</v>
      </c>
      <c r="D40" s="2" t="s">
        <v>785</v>
      </c>
      <c r="E40" s="2">
        <v>1483</v>
      </c>
      <c r="F40" s="2">
        <v>-975</v>
      </c>
      <c r="G40" s="2">
        <v>22</v>
      </c>
      <c r="H40" s="2">
        <v>0</v>
      </c>
      <c r="J40" t="str">
        <f t="shared" si="1"/>
        <v>{ name: "Byroad to Lanayru Wetlands", landmark: "Talus", type: "Stone Talus (Luminous)", region: 10, level: "Surface", x: 1483, y: -975, z: 22, weight: 0, details: "" },</v>
      </c>
    </row>
    <row r="41" spans="1:10" x14ac:dyDescent="0.2">
      <c r="A41" t="s">
        <v>1074</v>
      </c>
      <c r="B41" t="s">
        <v>2990</v>
      </c>
      <c r="C41" s="2">
        <v>10</v>
      </c>
      <c r="D41" s="2" t="s">
        <v>785</v>
      </c>
      <c r="E41" s="2">
        <v>1256</v>
      </c>
      <c r="F41" s="2">
        <v>-1165</v>
      </c>
      <c r="G41" s="2">
        <v>119</v>
      </c>
      <c r="H41" s="2">
        <v>0</v>
      </c>
      <c r="J41" t="str">
        <f t="shared" si="1"/>
        <v>{ name: "Sahasra Slope", landmark: "Talus", type: "Battle Talus", region: 10, level: "Surface", x: 1256, y: -1165, z: 119, weight: 0, details: "" },</v>
      </c>
    </row>
    <row r="42" spans="1:10" x14ac:dyDescent="0.2">
      <c r="A42" t="s">
        <v>4070</v>
      </c>
      <c r="B42" t="s">
        <v>2991</v>
      </c>
      <c r="C42" s="2">
        <v>11</v>
      </c>
      <c r="D42" s="2" t="s">
        <v>785</v>
      </c>
      <c r="E42" s="2">
        <v>4057</v>
      </c>
      <c r="F42" s="2">
        <v>-1056</v>
      </c>
      <c r="G42" s="2">
        <v>318</v>
      </c>
      <c r="H42" s="2">
        <v>0</v>
      </c>
      <c r="J42" t="str">
        <f t="shared" si="1"/>
        <v>{ name: "Lanayru Range North", landmark: "Talus", type: "Frost Talus", region: 11, level: "Surface", x: 4057, y: -1056, z: 318, weight: 0, details: "" },</v>
      </c>
    </row>
    <row r="43" spans="1:10" x14ac:dyDescent="0.2">
      <c r="A43" t="s">
        <v>1531</v>
      </c>
      <c r="B43" t="s">
        <v>4115</v>
      </c>
      <c r="C43" s="2">
        <v>11</v>
      </c>
      <c r="D43" s="2" t="s">
        <v>785</v>
      </c>
      <c r="E43" s="2">
        <v>3029</v>
      </c>
      <c r="F43" s="2">
        <v>-1778</v>
      </c>
      <c r="G43" s="2">
        <v>19</v>
      </c>
      <c r="H43" s="2">
        <v>0</v>
      </c>
      <c r="J43" t="str">
        <f t="shared" si="1"/>
        <v>{ name: "Ovli Plain", landmark: "Talus", type: "Stone Talus (Luminous)", region: 11, level: "Surface", x: 3029, y: -1778, z: 19, weight: 0, details: "" },</v>
      </c>
    </row>
    <row r="44" spans="1:10" x14ac:dyDescent="0.2">
      <c r="A44" t="s">
        <v>4073</v>
      </c>
      <c r="B44" t="s">
        <v>4115</v>
      </c>
      <c r="C44" s="2">
        <v>12</v>
      </c>
      <c r="D44" s="2" t="s">
        <v>785</v>
      </c>
      <c r="E44" s="2">
        <v>3195</v>
      </c>
      <c r="F44" s="2">
        <v>-2958</v>
      </c>
      <c r="G44" s="2">
        <v>77</v>
      </c>
      <c r="H44" s="2">
        <v>0</v>
      </c>
      <c r="J44" t="str">
        <f t="shared" si="1"/>
        <v>{ name: "Loshlo Harbor West", landmark: "Talus", type: "Stone Talus (Luminous)", region: 12, level: "Surface", x: 3195, y: -2958, z: 77, weight: 0, details: "" },</v>
      </c>
    </row>
    <row r="45" spans="1:10" x14ac:dyDescent="0.2">
      <c r="A45" t="s">
        <v>1276</v>
      </c>
      <c r="B45" t="s">
        <v>2990</v>
      </c>
      <c r="C45" s="2">
        <v>12</v>
      </c>
      <c r="D45" s="2" t="s">
        <v>785</v>
      </c>
      <c r="E45" s="2">
        <v>3277</v>
      </c>
      <c r="F45" s="2">
        <v>-3408</v>
      </c>
      <c r="G45" s="2">
        <v>39</v>
      </c>
      <c r="H45" s="2">
        <v>0</v>
      </c>
      <c r="J45" t="str">
        <f t="shared" si="1"/>
        <v>{ name: "Gama Cove", landmark: "Talus", type: "Battle Talus", region: 12, level: "Surface", x: 3277, y: -3408, z: 39, weight: 0, details: "" },</v>
      </c>
    </row>
    <row r="46" spans="1:10" x14ac:dyDescent="0.2">
      <c r="A46" t="s">
        <v>4072</v>
      </c>
      <c r="B46" t="s">
        <v>2990</v>
      </c>
      <c r="C46" s="2">
        <v>13</v>
      </c>
      <c r="D46" s="2" t="s">
        <v>785</v>
      </c>
      <c r="E46" s="2">
        <v>770</v>
      </c>
      <c r="F46" s="2">
        <v>-1223</v>
      </c>
      <c r="G46" s="2">
        <v>36</v>
      </c>
      <c r="H46" s="2">
        <v>0</v>
      </c>
      <c r="J46" t="str">
        <f t="shared" si="1"/>
        <v>{ name: "Batrea Lake East", landmark: "Talus", type: "Battle Talus", region: 13, level: "Surface", x: 770, y: -1223, z: 36, weight: 0, details: "" },</v>
      </c>
    </row>
    <row r="47" spans="1:10" x14ac:dyDescent="0.2">
      <c r="A47" t="s">
        <v>1206</v>
      </c>
      <c r="B47" t="s">
        <v>4115</v>
      </c>
      <c r="C47" s="2">
        <v>13</v>
      </c>
      <c r="D47" s="2" t="s">
        <v>785</v>
      </c>
      <c r="E47" s="2">
        <v>340</v>
      </c>
      <c r="F47" s="2">
        <v>-1984</v>
      </c>
      <c r="G47" s="2">
        <v>-31</v>
      </c>
      <c r="H47" s="2">
        <v>0</v>
      </c>
      <c r="J47" t="str">
        <f t="shared" si="1"/>
        <v>{ name: "Deya Village Ruins Well", landmark: "Talus", type: "Stone Talus (Luminous)", region: 13, level: "Surface", x: 340, y: -1984, z: -31, weight: 0, details: "" },</v>
      </c>
    </row>
    <row r="48" spans="1:10" x14ac:dyDescent="0.2">
      <c r="A48" t="s">
        <v>846</v>
      </c>
      <c r="B48" t="s">
        <v>2990</v>
      </c>
      <c r="C48" s="2">
        <v>13</v>
      </c>
      <c r="D48" s="2" t="s">
        <v>785</v>
      </c>
      <c r="E48" s="2">
        <v>587</v>
      </c>
      <c r="F48" s="2">
        <v>-1934</v>
      </c>
      <c r="G48" s="2">
        <v>76</v>
      </c>
      <c r="H48" s="2">
        <v>0</v>
      </c>
      <c r="J48" t="str">
        <f t="shared" si="1"/>
        <v>{ name: "Hills of Baumer", landmark: "Talus", type: "Battle Talus", region: 13, level: "Surface", x: 587, y: -1934, z: 76, weight: 0, details: "" },</v>
      </c>
    </row>
    <row r="49" spans="1:10" x14ac:dyDescent="0.2">
      <c r="A49" t="s">
        <v>1317</v>
      </c>
      <c r="B49" t="s">
        <v>2993</v>
      </c>
      <c r="C49" s="2">
        <v>13</v>
      </c>
      <c r="D49" s="2" t="s">
        <v>785</v>
      </c>
      <c r="E49" s="2">
        <v>1019</v>
      </c>
      <c r="F49" s="2">
        <v>-3383</v>
      </c>
      <c r="G49" s="2">
        <v>35</v>
      </c>
      <c r="H49" s="2">
        <v>0</v>
      </c>
      <c r="J49" t="str">
        <f t="shared" si="1"/>
        <v>{ name: "Guchini Plain", landmark: "Talus", type: "Rare Stone Talus", region: 13, level: "Surface", x: 1019, y: -3383, z: 35, weight: 0, details: "" },</v>
      </c>
    </row>
    <row r="50" spans="1:10" x14ac:dyDescent="0.2">
      <c r="A50" t="s">
        <v>1403</v>
      </c>
      <c r="B50" t="s">
        <v>2993</v>
      </c>
      <c r="C50" s="2">
        <v>13</v>
      </c>
      <c r="D50" s="2" t="s">
        <v>785</v>
      </c>
      <c r="E50" s="2">
        <v>1826</v>
      </c>
      <c r="F50" s="2">
        <v>-3495</v>
      </c>
      <c r="G50" s="2">
        <v>39</v>
      </c>
      <c r="H50" s="2">
        <v>0</v>
      </c>
      <c r="J50" t="str">
        <f t="shared" si="1"/>
        <v>{ name: "Lake Floria", landmark: "Talus", type: "Rare Stone Talus", region: 13, level: "Surface", x: 1826, y: -3495, z: 39, weight: 0, details: "" },</v>
      </c>
    </row>
    <row r="51" spans="1:10" x14ac:dyDescent="0.2">
      <c r="A51" t="s">
        <v>4074</v>
      </c>
      <c r="B51" t="s">
        <v>2993</v>
      </c>
      <c r="C51" s="2">
        <v>13</v>
      </c>
      <c r="D51" s="2" t="s">
        <v>785</v>
      </c>
      <c r="E51" s="2">
        <v>524</v>
      </c>
      <c r="F51" s="2">
        <v>-3710</v>
      </c>
      <c r="G51" s="2">
        <v>70</v>
      </c>
      <c r="H51" s="2">
        <v>0</v>
      </c>
      <c r="J51" t="str">
        <f t="shared" si="1"/>
        <v>{ name: "Horse God Bridge West", landmark: "Talus", type: "Rare Stone Talus", region: 13, level: "Surface", x: 524, y: -3710, z: 70, weight: 0, details: "" },</v>
      </c>
    </row>
    <row r="52" spans="1:10" x14ac:dyDescent="0.2">
      <c r="A52" t="s">
        <v>1634</v>
      </c>
      <c r="B52" t="s">
        <v>2993</v>
      </c>
      <c r="C52" s="2">
        <v>14</v>
      </c>
      <c r="D52" s="2" t="s">
        <v>785</v>
      </c>
      <c r="E52" s="2">
        <v>-2306</v>
      </c>
      <c r="F52" s="2">
        <v>-2453</v>
      </c>
      <c r="G52" s="2">
        <v>363</v>
      </c>
      <c r="H52" s="2">
        <v>0</v>
      </c>
      <c r="J52" t="str">
        <f t="shared" si="1"/>
        <v>{ name: "Spectacle Rock", landmark: "Talus", type: "Rare Stone Talus", region: 14, level: "Surface", x: -2306, y: -2453, z: 363, weight: 0, details: "" },</v>
      </c>
    </row>
    <row r="53" spans="1:10" x14ac:dyDescent="0.2">
      <c r="A53" t="s">
        <v>4075</v>
      </c>
      <c r="B53" t="s">
        <v>2991</v>
      </c>
      <c r="C53" s="2">
        <v>15</v>
      </c>
      <c r="D53" s="2" t="s">
        <v>785</v>
      </c>
      <c r="E53" s="2">
        <v>-4321</v>
      </c>
      <c r="F53" s="2">
        <v>-1203</v>
      </c>
      <c r="G53" s="2">
        <v>393</v>
      </c>
      <c r="H53" s="2">
        <v>0</v>
      </c>
      <c r="J53" t="str">
        <f t="shared" si="1"/>
        <v>{ name: "East Rutimala Hill", landmark: "Talus", type: "Frost Talus", region: 15, level: "Surface", x: -4321, y: -1203, z: 393, weight: 0, details: "" },</v>
      </c>
    </row>
    <row r="54" spans="1:10" x14ac:dyDescent="0.2">
      <c r="A54" t="s">
        <v>1427</v>
      </c>
      <c r="B54" t="s">
        <v>2991</v>
      </c>
      <c r="C54" s="2">
        <v>15</v>
      </c>
      <c r="D54" s="2" t="s">
        <v>785</v>
      </c>
      <c r="E54" s="2">
        <v>-2833</v>
      </c>
      <c r="F54" s="2">
        <v>-1326</v>
      </c>
      <c r="G54" s="2">
        <v>555</v>
      </c>
      <c r="H54" s="2">
        <v>0</v>
      </c>
      <c r="J54" t="str">
        <f t="shared" si="1"/>
        <v>{ name: "Laparoh Mesa", landmark: "Talus", type: "Frost Talus", region: 15, level: "Surface", x: -2833, y: -1326, z: 555, weight: 0, details: "" },</v>
      </c>
    </row>
    <row r="55" spans="1:10" x14ac:dyDescent="0.2">
      <c r="A55" t="s">
        <v>4076</v>
      </c>
      <c r="B55" t="s">
        <v>2990</v>
      </c>
      <c r="C55" s="2">
        <v>15</v>
      </c>
      <c r="D55" s="2" t="s">
        <v>785</v>
      </c>
      <c r="E55" s="2">
        <v>-3987</v>
      </c>
      <c r="F55" s="2">
        <v>-1703</v>
      </c>
      <c r="G55" s="2">
        <v>317</v>
      </c>
      <c r="H55" s="2">
        <v>0</v>
      </c>
      <c r="J55" t="str">
        <f t="shared" si="1"/>
        <v>{ name: "Biridia Lookout West", landmark: "Talus", type: "Battle Talus", region: 15, level: "Surface", x: -3987, y: -1703, z: 317, weight: 0, details: "" },</v>
      </c>
    </row>
    <row r="56" spans="1:10" x14ac:dyDescent="0.2">
      <c r="A56" t="s">
        <v>964</v>
      </c>
      <c r="B56" t="s">
        <v>2993</v>
      </c>
      <c r="C56" s="2">
        <v>15</v>
      </c>
      <c r="D56" s="2" t="s">
        <v>785</v>
      </c>
      <c r="E56" s="2">
        <v>-2600</v>
      </c>
      <c r="F56" s="2">
        <v>-1782</v>
      </c>
      <c r="G56" s="2">
        <v>187</v>
      </c>
      <c r="H56" s="2">
        <v>0</v>
      </c>
      <c r="J56" t="str">
        <f t="shared" si="1"/>
        <v>{ name: "Taafei Hill Cave", landmark: "Talus", type: "Rare Stone Talus", region: 15, level: "Surface", x: -2600, y: -1782, z: 187, weight: 0, details: "" },</v>
      </c>
    </row>
    <row r="57" spans="1:10" x14ac:dyDescent="0.2">
      <c r="A57" t="s">
        <v>4077</v>
      </c>
      <c r="B57" t="s">
        <v>2994</v>
      </c>
      <c r="C57" s="2">
        <v>1</v>
      </c>
      <c r="D57" s="2" t="s">
        <v>994</v>
      </c>
      <c r="E57" s="2">
        <v>-4</v>
      </c>
      <c r="F57" s="2">
        <v>-12</v>
      </c>
      <c r="G57" s="2">
        <v>-451</v>
      </c>
      <c r="H57" s="2">
        <v>0</v>
      </c>
      <c r="J57" t="str">
        <f t="shared" si="1"/>
        <v>{ name: "Central Hyrule Depths", landmark: "Talus", type: "Stone Talus", region: 1, level: "Depths", x: -4, y: -12, z: -451, weight: 0, details: "" },</v>
      </c>
    </row>
    <row r="58" spans="1:10" x14ac:dyDescent="0.2">
      <c r="A58" t="s">
        <v>4091</v>
      </c>
      <c r="B58" t="s">
        <v>4115</v>
      </c>
      <c r="C58" s="2">
        <v>2</v>
      </c>
      <c r="D58" s="2" t="s">
        <v>994</v>
      </c>
      <c r="E58" s="2">
        <v>-2221</v>
      </c>
      <c r="F58" s="2">
        <v>-585</v>
      </c>
      <c r="G58" s="2">
        <v>-690</v>
      </c>
      <c r="H58" s="2">
        <v>0</v>
      </c>
      <c r="J58" t="str">
        <f t="shared" si="1"/>
        <v>{ name: "South Hyrule Field Depths #01", landmark: "Talus", type: "Stone Talus (Luminous)", region: 2, level: "Depths", x: -2221, y: -585, z: -690, weight: 0, details: "" },</v>
      </c>
    </row>
    <row r="59" spans="1:10" x14ac:dyDescent="0.2">
      <c r="A59" t="s">
        <v>4092</v>
      </c>
      <c r="B59" t="s">
        <v>2990</v>
      </c>
      <c r="C59" s="2">
        <v>2</v>
      </c>
      <c r="D59" s="2" t="s">
        <v>994</v>
      </c>
      <c r="E59" s="2">
        <v>-109</v>
      </c>
      <c r="F59" s="2">
        <v>-802</v>
      </c>
      <c r="G59" s="2">
        <v>-467</v>
      </c>
      <c r="H59" s="2">
        <v>0</v>
      </c>
      <c r="J59" t="str">
        <f t="shared" si="1"/>
        <v>{ name: "South Hyrule Field Depths #02", landmark: "Talus", type: "Battle Talus", region: 2, level: "Depths", x: -109, y: -802, z: -467, weight: 0, details: "" },</v>
      </c>
    </row>
    <row r="60" spans="1:10" x14ac:dyDescent="0.2">
      <c r="A60" t="s">
        <v>4093</v>
      </c>
      <c r="B60" t="s">
        <v>2994</v>
      </c>
      <c r="C60" s="2">
        <v>2</v>
      </c>
      <c r="D60" s="2" t="s">
        <v>994</v>
      </c>
      <c r="E60" s="2">
        <v>-460</v>
      </c>
      <c r="F60" s="2">
        <v>-1005</v>
      </c>
      <c r="G60" s="2">
        <v>-467</v>
      </c>
      <c r="H60" s="2">
        <v>0</v>
      </c>
      <c r="J60" t="str">
        <f t="shared" si="1"/>
        <v>{ name: "South Hyrule Field Depths #03", landmark: "Talus", type: "Stone Talus", region: 2, level: "Depths", x: -460, y: -1005, z: -467, weight: 0, details: "" },</v>
      </c>
    </row>
    <row r="61" spans="1:10" x14ac:dyDescent="0.2">
      <c r="A61" t="s">
        <v>4094</v>
      </c>
      <c r="B61" t="s">
        <v>2993</v>
      </c>
      <c r="C61" s="2">
        <v>3</v>
      </c>
      <c r="D61" s="2" t="s">
        <v>994</v>
      </c>
      <c r="E61" s="2">
        <v>-2635</v>
      </c>
      <c r="F61" s="2">
        <v>1492</v>
      </c>
      <c r="G61" s="2">
        <v>-391</v>
      </c>
      <c r="H61" s="2">
        <v>0</v>
      </c>
      <c r="J61" t="str">
        <f t="shared" si="1"/>
        <v>{ name: "Hyrule Ridge Depths #01", landmark: "Talus", type: "Rare Stone Talus", region: 3, level: "Depths", x: -2635, y: 1492, z: -391, weight: 0, details: "" },</v>
      </c>
    </row>
    <row r="62" spans="1:10" x14ac:dyDescent="0.2">
      <c r="A62" t="s">
        <v>4095</v>
      </c>
      <c r="B62" t="s">
        <v>2990</v>
      </c>
      <c r="C62" s="2">
        <v>3</v>
      </c>
      <c r="D62" s="2" t="s">
        <v>994</v>
      </c>
      <c r="E62" s="2">
        <v>-3108</v>
      </c>
      <c r="F62" s="2">
        <v>1288</v>
      </c>
      <c r="G62" s="2">
        <v>-583</v>
      </c>
      <c r="H62" s="2">
        <v>0</v>
      </c>
      <c r="J62" t="str">
        <f t="shared" si="1"/>
        <v>{ name: "Hyrule Ridge Depths #02", landmark: "Talus", type: "Battle Talus", region: 3, level: "Depths", x: -3108, y: 1288, z: -583, weight: 0, details: "" },</v>
      </c>
    </row>
    <row r="63" spans="1:10" x14ac:dyDescent="0.2">
      <c r="A63" t="s">
        <v>4096</v>
      </c>
      <c r="B63" t="s">
        <v>2993</v>
      </c>
      <c r="C63" s="2">
        <v>3</v>
      </c>
      <c r="D63" s="2" t="s">
        <v>994</v>
      </c>
      <c r="E63" s="2">
        <v>-3387</v>
      </c>
      <c r="F63" s="2">
        <v>1076</v>
      </c>
      <c r="G63" s="2">
        <v>-625</v>
      </c>
      <c r="H63" s="2">
        <v>0</v>
      </c>
      <c r="J63" t="str">
        <f t="shared" si="1"/>
        <v>{ name: "Hyrule Ridge Depths #03", landmark: "Talus", type: "Rare Stone Talus", region: 3, level: "Depths", x: -3387, y: 1076, z: -625, weight: 0, details: "" },</v>
      </c>
    </row>
    <row r="64" spans="1:10" x14ac:dyDescent="0.2">
      <c r="A64" t="s">
        <v>4097</v>
      </c>
      <c r="B64" t="s">
        <v>2990</v>
      </c>
      <c r="C64" s="2">
        <v>3</v>
      </c>
      <c r="D64" s="2" t="s">
        <v>994</v>
      </c>
      <c r="E64" s="2">
        <v>-2527</v>
      </c>
      <c r="F64" s="2">
        <v>-107</v>
      </c>
      <c r="G64" s="2">
        <v>-554</v>
      </c>
      <c r="H64" s="2">
        <v>0</v>
      </c>
      <c r="J64" t="str">
        <f t="shared" si="1"/>
        <v>{ name: "Hyrule Ridge Depths #04", landmark: "Talus", type: "Battle Talus", region: 3, level: "Depths", x: -2527, y: -107, z: -554, weight: 0, details: "" },</v>
      </c>
    </row>
    <row r="65" spans="1:10" x14ac:dyDescent="0.2">
      <c r="A65" t="s">
        <v>4098</v>
      </c>
      <c r="B65" t="s">
        <v>2993</v>
      </c>
      <c r="C65" s="2">
        <v>4</v>
      </c>
      <c r="D65" s="2" t="s">
        <v>994</v>
      </c>
      <c r="E65" s="2">
        <v>-4433</v>
      </c>
      <c r="F65" s="2">
        <v>3387</v>
      </c>
      <c r="G65" s="2">
        <v>-708</v>
      </c>
      <c r="H65" s="2">
        <v>0</v>
      </c>
      <c r="J65" t="str">
        <f t="shared" si="1"/>
        <v>{ name: "Hebra Mountains Depths #01", landmark: "Talus", type: "Rare Stone Talus", region: 4, level: "Depths", x: -4433, y: 3387, z: -708, weight: 0, details: "" },</v>
      </c>
    </row>
    <row r="66" spans="1:10" x14ac:dyDescent="0.2">
      <c r="A66" t="s">
        <v>4099</v>
      </c>
      <c r="B66" t="s">
        <v>2993</v>
      </c>
      <c r="C66" s="2">
        <v>4</v>
      </c>
      <c r="D66" s="2" t="s">
        <v>994</v>
      </c>
      <c r="E66" s="2">
        <v>-4500</v>
      </c>
      <c r="F66" s="2">
        <v>2450</v>
      </c>
      <c r="G66" s="2">
        <v>-541</v>
      </c>
      <c r="H66" s="2">
        <v>0</v>
      </c>
      <c r="J66" t="str">
        <f t="shared" ref="J66:J88" si="2">"{ name: "&amp;CHAR(34)&amp;A66&amp;CHAR(34)&amp;", landmark: "&amp;CHAR(34)&amp;"Talus"&amp;CHAR(34)&amp;", type: "&amp;CHAR(34)&amp;B66&amp;CHAR(34)&amp;", region: "&amp;C66&amp;", level: "&amp;CHAR(34)&amp;D66&amp;CHAR(34)&amp;", x: "&amp;E66&amp;", y: "&amp;F66&amp;", z: "&amp;G66&amp;", weight: "&amp;H66&amp;", details: "&amp;CHAR(34)&amp;I66&amp;CHAR(34)&amp;" },"</f>
        <v>{ name: "Hebra Mountains Depths #02", landmark: "Talus", type: "Rare Stone Talus", region: 4, level: "Depths", x: -4500, y: 2450, z: -541, weight: 0, details: "" },</v>
      </c>
    </row>
    <row r="67" spans="1:10" x14ac:dyDescent="0.2">
      <c r="A67" t="s">
        <v>4100</v>
      </c>
      <c r="B67" t="s">
        <v>2991</v>
      </c>
      <c r="C67" s="2">
        <v>4</v>
      </c>
      <c r="D67" s="2" t="s">
        <v>994</v>
      </c>
      <c r="E67" s="2">
        <v>-3629</v>
      </c>
      <c r="F67" s="2">
        <v>2196</v>
      </c>
      <c r="G67" s="2">
        <v>-569</v>
      </c>
      <c r="H67" s="2">
        <v>0</v>
      </c>
      <c r="J67" t="str">
        <f t="shared" si="2"/>
        <v>{ name: "Hebra Mountains Depths #03", landmark: "Talus", type: "Frost Talus", region: 4, level: "Depths", x: -3629, y: 2196, z: -569, weight: 0, details: "" },</v>
      </c>
    </row>
    <row r="68" spans="1:10" x14ac:dyDescent="0.2">
      <c r="A68" t="s">
        <v>4101</v>
      </c>
      <c r="B68" t="s">
        <v>2990</v>
      </c>
      <c r="C68" s="2">
        <v>4</v>
      </c>
      <c r="D68" s="2" t="s">
        <v>994</v>
      </c>
      <c r="E68" s="2">
        <v>-4393</v>
      </c>
      <c r="F68" s="2">
        <v>1935</v>
      </c>
      <c r="G68" s="2">
        <v>-540</v>
      </c>
      <c r="H68" s="2">
        <v>0</v>
      </c>
      <c r="J68" t="str">
        <f t="shared" si="2"/>
        <v>{ name: "Hebra Mountains Depths #04", landmark: "Talus", type: "Battle Talus", region: 4, level: "Depths", x: -4393, y: 1935, z: -540, weight: 0, details: "" },</v>
      </c>
    </row>
    <row r="69" spans="1:10" x14ac:dyDescent="0.2">
      <c r="A69" t="s">
        <v>4102</v>
      </c>
      <c r="B69" t="s">
        <v>4115</v>
      </c>
      <c r="C69" s="2">
        <v>6</v>
      </c>
      <c r="D69" s="2" t="s">
        <v>994</v>
      </c>
      <c r="E69" s="2">
        <v>951</v>
      </c>
      <c r="F69" s="2">
        <v>3673</v>
      </c>
      <c r="G69" s="2">
        <v>-533</v>
      </c>
      <c r="H69" s="2">
        <v>0</v>
      </c>
      <c r="J69" t="str">
        <f t="shared" si="2"/>
        <v>{ name: "Great Hyrule Forest Depths #01", landmark: "Talus", type: "Stone Talus (Luminous)", region: 6, level: "Depths", x: 951, y: 3673, z: -533, weight: 0, details: "" },</v>
      </c>
    </row>
    <row r="70" spans="1:10" x14ac:dyDescent="0.2">
      <c r="A70" t="s">
        <v>4103</v>
      </c>
      <c r="B70" t="s">
        <v>4115</v>
      </c>
      <c r="C70" s="2">
        <v>6</v>
      </c>
      <c r="D70" s="2" t="s">
        <v>994</v>
      </c>
      <c r="E70" s="2">
        <v>-394</v>
      </c>
      <c r="F70" s="2">
        <v>2956</v>
      </c>
      <c r="G70" s="2">
        <v>-575</v>
      </c>
      <c r="H70" s="2">
        <v>0</v>
      </c>
      <c r="J70" t="str">
        <f t="shared" si="2"/>
        <v>{ name: "Great Hyrule Forest Depths #02", landmark: "Talus", type: "Stone Talus (Luminous)", region: 6, level: "Depths", x: -394, y: 2956, z: -575, weight: 0, details: "" },</v>
      </c>
    </row>
    <row r="71" spans="1:10" x14ac:dyDescent="0.2">
      <c r="A71" t="s">
        <v>4104</v>
      </c>
      <c r="B71" t="s">
        <v>4115</v>
      </c>
      <c r="C71" s="2">
        <v>7</v>
      </c>
      <c r="D71" s="2" t="s">
        <v>994</v>
      </c>
      <c r="E71" s="2">
        <v>2479</v>
      </c>
      <c r="F71" s="2">
        <v>3637</v>
      </c>
      <c r="G71" s="2">
        <v>-746</v>
      </c>
      <c r="H71" s="2">
        <v>0</v>
      </c>
      <c r="J71" t="str">
        <f t="shared" si="2"/>
        <v>{ name: "Eldin Depths #01", landmark: "Talus", type: "Stone Talus (Luminous)", region: 7, level: "Depths", x: 2479, y: 3637, z: -746, weight: 0, details: "" },</v>
      </c>
    </row>
    <row r="72" spans="1:10" x14ac:dyDescent="0.2">
      <c r="A72" t="s">
        <v>4105</v>
      </c>
      <c r="B72" t="s">
        <v>2992</v>
      </c>
      <c r="C72" s="2">
        <v>7</v>
      </c>
      <c r="D72" s="2" t="s">
        <v>994</v>
      </c>
      <c r="E72" s="2">
        <v>1454</v>
      </c>
      <c r="F72" s="2">
        <v>3175</v>
      </c>
      <c r="G72" s="2">
        <v>-811</v>
      </c>
      <c r="H72" s="2">
        <v>0</v>
      </c>
      <c r="J72" t="str">
        <f t="shared" si="2"/>
        <v>{ name: "Eldin Depths #02", landmark: "Talus", type: "Igneo Talus", region: 7, level: "Depths", x: 1454, y: 3175, z: -811, weight: 0, details: "" },</v>
      </c>
    </row>
    <row r="73" spans="1:10" x14ac:dyDescent="0.2">
      <c r="A73" t="s">
        <v>4080</v>
      </c>
      <c r="B73" t="s">
        <v>2992</v>
      </c>
      <c r="C73" s="2">
        <v>7</v>
      </c>
      <c r="D73" s="2" t="s">
        <v>994</v>
      </c>
      <c r="E73" s="2">
        <v>2913</v>
      </c>
      <c r="F73" s="2">
        <v>2556</v>
      </c>
      <c r="G73" s="2">
        <v>-933</v>
      </c>
      <c r="H73" s="2">
        <v>0</v>
      </c>
      <c r="J73" t="str">
        <f t="shared" si="2"/>
        <v>{ name: "Death Mountain Depths", landmark: "Talus", type: "Igneo Talus", region: 7, level: "Depths", x: 2913, y: 2556, z: -933, weight: 0, details: "" },</v>
      </c>
    </row>
    <row r="74" spans="1:10" x14ac:dyDescent="0.2">
      <c r="A74" t="s">
        <v>4081</v>
      </c>
      <c r="B74" t="s">
        <v>2992</v>
      </c>
      <c r="C74" s="2">
        <v>7</v>
      </c>
      <c r="D74" s="2" t="s">
        <v>994</v>
      </c>
      <c r="E74" s="2">
        <v>1672</v>
      </c>
      <c r="F74" s="2">
        <v>1610</v>
      </c>
      <c r="G74" s="2">
        <v>-701</v>
      </c>
      <c r="H74" s="2">
        <v>0</v>
      </c>
      <c r="J74" t="str">
        <f t="shared" si="2"/>
        <v>{ name: "Eldin Canyon Depths", landmark: "Talus", type: "Igneo Talus", region: 7, level: "Depths", x: 1672, y: 1610, z: -701, weight: 0, details: "" },</v>
      </c>
    </row>
    <row r="75" spans="1:10" x14ac:dyDescent="0.2">
      <c r="A75" t="s">
        <v>4084</v>
      </c>
      <c r="B75" t="s">
        <v>4115</v>
      </c>
      <c r="C75" s="2">
        <v>8</v>
      </c>
      <c r="D75" s="2" t="s">
        <v>994</v>
      </c>
      <c r="E75" s="2">
        <v>4678</v>
      </c>
      <c r="F75" s="2">
        <v>2998</v>
      </c>
      <c r="G75" s="2">
        <v>-435</v>
      </c>
      <c r="H75" s="2">
        <v>0</v>
      </c>
      <c r="J75" t="str">
        <f t="shared" si="2"/>
        <v>{ name: "North Akkala Depths", landmark: "Talus", type: "Stone Talus (Luminous)", region: 8, level: "Depths", x: 4678, y: 2998, z: -435, weight: 0, details: "" },</v>
      </c>
    </row>
    <row r="76" spans="1:10" x14ac:dyDescent="0.2">
      <c r="A76" t="s">
        <v>4083</v>
      </c>
      <c r="B76" t="s">
        <v>2990</v>
      </c>
      <c r="C76" s="2">
        <v>8</v>
      </c>
      <c r="D76" s="2" t="s">
        <v>994</v>
      </c>
      <c r="E76" s="2">
        <v>2985</v>
      </c>
      <c r="F76" s="2">
        <v>1449</v>
      </c>
      <c r="G76" s="2">
        <v>-705</v>
      </c>
      <c r="H76" s="2">
        <v>0</v>
      </c>
      <c r="J76" t="str">
        <f t="shared" si="2"/>
        <v>{ name: "Akkala Depths", landmark: "Talus", type: "Battle Talus", region: 8, level: "Depths", x: 2985, y: 1449, z: -705, weight: 0, details: "" },</v>
      </c>
    </row>
    <row r="77" spans="1:10" x14ac:dyDescent="0.2">
      <c r="A77" t="s">
        <v>4085</v>
      </c>
      <c r="B77" t="s">
        <v>4115</v>
      </c>
      <c r="C77" s="2">
        <v>9</v>
      </c>
      <c r="D77" s="2" t="s">
        <v>994</v>
      </c>
      <c r="E77" s="2">
        <v>4191</v>
      </c>
      <c r="F77" s="2">
        <v>518</v>
      </c>
      <c r="G77" s="2">
        <v>-770</v>
      </c>
      <c r="H77" s="2">
        <v>0</v>
      </c>
      <c r="J77" t="str">
        <f t="shared" si="2"/>
        <v>{ name: "Lanayru Depths", landmark: "Talus", type: "Stone Talus (Luminous)", region: 9, level: "Depths", x: 4191, y: 518, z: -770, weight: 0, details: "" },</v>
      </c>
    </row>
    <row r="78" spans="1:10" x14ac:dyDescent="0.2">
      <c r="A78" t="s">
        <v>4106</v>
      </c>
      <c r="B78" t="s">
        <v>2993</v>
      </c>
      <c r="C78" s="2">
        <v>10</v>
      </c>
      <c r="D78" s="2" t="s">
        <v>994</v>
      </c>
      <c r="E78" s="2">
        <v>697</v>
      </c>
      <c r="F78" s="2">
        <v>513</v>
      </c>
      <c r="G78" s="2">
        <v>-462</v>
      </c>
      <c r="H78" s="2">
        <v>0</v>
      </c>
      <c r="J78" t="str">
        <f t="shared" si="2"/>
        <v>{ name: "Lanayru Wetlands Depths #01", landmark: "Talus", type: "Rare Stone Talus", region: 10, level: "Depths", x: 697, y: 513, z: -462, weight: 0, details: "" },</v>
      </c>
    </row>
    <row r="79" spans="1:10" x14ac:dyDescent="0.2">
      <c r="A79" t="s">
        <v>4107</v>
      </c>
      <c r="B79" t="s">
        <v>2993</v>
      </c>
      <c r="C79" s="2">
        <v>10</v>
      </c>
      <c r="D79" s="2" t="s">
        <v>994</v>
      </c>
      <c r="E79" s="2">
        <v>1483</v>
      </c>
      <c r="F79" s="2">
        <v>-975</v>
      </c>
      <c r="G79" s="2">
        <v>-576</v>
      </c>
      <c r="H79" s="2">
        <v>0</v>
      </c>
      <c r="J79" t="str">
        <f t="shared" si="2"/>
        <v>{ name: "Lanayru Wetlands Depths #02", landmark: "Talus", type: "Rare Stone Talus", region: 10, level: "Depths", x: 1483, y: -975, z: -576, weight: 0, details: "" },</v>
      </c>
    </row>
    <row r="80" spans="1:10" x14ac:dyDescent="0.2">
      <c r="A80" t="s">
        <v>4108</v>
      </c>
      <c r="B80" t="s">
        <v>4115</v>
      </c>
      <c r="C80" s="2">
        <v>11</v>
      </c>
      <c r="D80" s="2" t="s">
        <v>994</v>
      </c>
      <c r="E80" s="2">
        <v>4057</v>
      </c>
      <c r="F80" s="2">
        <v>-1056</v>
      </c>
      <c r="G80" s="2">
        <v>-733</v>
      </c>
      <c r="H80" s="2">
        <v>0</v>
      </c>
      <c r="J80" t="str">
        <f t="shared" si="2"/>
        <v>{ name: "Mount Lanayru Depths #01", landmark: "Talus", type: "Stone Talus (Luminous)", region: 11, level: "Depths", x: 4057, y: -1056, z: -733, weight: 0, details: "" },</v>
      </c>
    </row>
    <row r="81" spans="1:10" x14ac:dyDescent="0.2">
      <c r="A81" t="s">
        <v>4109</v>
      </c>
      <c r="B81" t="s">
        <v>4115</v>
      </c>
      <c r="C81" s="2">
        <v>11</v>
      </c>
      <c r="D81" s="2" t="s">
        <v>994</v>
      </c>
      <c r="E81" s="2">
        <v>3029</v>
      </c>
      <c r="F81" s="2">
        <v>-1779</v>
      </c>
      <c r="G81" s="2">
        <v>-440</v>
      </c>
      <c r="H81" s="2">
        <v>0</v>
      </c>
      <c r="J81" t="str">
        <f t="shared" si="2"/>
        <v>{ name: "Mount Lanayru Depths #02", landmark: "Talus", type: "Stone Talus (Luminous)", region: 11, level: "Depths", x: 3029, y: -1779, z: -440, weight: 0, details: "" },</v>
      </c>
    </row>
    <row r="82" spans="1:10" x14ac:dyDescent="0.2">
      <c r="A82" t="s">
        <v>4110</v>
      </c>
      <c r="B82" t="s">
        <v>2991</v>
      </c>
      <c r="C82" s="2">
        <v>11</v>
      </c>
      <c r="D82" s="2" t="s">
        <v>994</v>
      </c>
      <c r="E82" s="2">
        <v>2642</v>
      </c>
      <c r="F82" s="2">
        <v>-1943</v>
      </c>
      <c r="G82" s="2">
        <v>-507</v>
      </c>
      <c r="H82" s="2">
        <v>0</v>
      </c>
      <c r="J82" t="str">
        <f t="shared" si="2"/>
        <v>{ name: "Mount Lanayru Depths #03", landmark: "Talus", type: "Frost Talus", region: 11, level: "Depths", x: 2642, y: -1943, z: -507, weight: 0, details: "" },</v>
      </c>
    </row>
    <row r="83" spans="1:10" x14ac:dyDescent="0.2">
      <c r="A83" t="s">
        <v>4087</v>
      </c>
      <c r="B83" t="s">
        <v>2990</v>
      </c>
      <c r="C83" s="2">
        <v>12</v>
      </c>
      <c r="D83" s="2" t="s">
        <v>994</v>
      </c>
      <c r="E83" s="2">
        <v>3277</v>
      </c>
      <c r="F83" s="2">
        <v>-3408</v>
      </c>
      <c r="G83" s="2">
        <v>-460</v>
      </c>
      <c r="H83" s="2">
        <v>0</v>
      </c>
      <c r="J83" t="str">
        <f t="shared" si="2"/>
        <v>{ name: "East Necluda Depths", landmark: "Talus", type: "Battle Talus", region: 12, level: "Depths", x: 3277, y: -3408, z: -460, weight: 0, details: "" },</v>
      </c>
    </row>
    <row r="84" spans="1:10" x14ac:dyDescent="0.2">
      <c r="A84" t="s">
        <v>4111</v>
      </c>
      <c r="B84" t="s">
        <v>2994</v>
      </c>
      <c r="C84" s="2">
        <v>13</v>
      </c>
      <c r="D84" s="2" t="s">
        <v>994</v>
      </c>
      <c r="E84" s="2">
        <v>-826</v>
      </c>
      <c r="F84" s="2">
        <v>-3350</v>
      </c>
      <c r="G84" s="2">
        <v>-516</v>
      </c>
      <c r="H84" s="2">
        <v>0</v>
      </c>
      <c r="J84" t="str">
        <f t="shared" si="2"/>
        <v>{ name: "Faron Depths #01", landmark: "Talus", type: "Stone Talus", region: 13, level: "Depths", x: -826, y: -3350, z: -516, weight: 0, details: "" },</v>
      </c>
    </row>
    <row r="85" spans="1:10" x14ac:dyDescent="0.2">
      <c r="A85" t="s">
        <v>4112</v>
      </c>
      <c r="B85" t="s">
        <v>4115</v>
      </c>
      <c r="C85" s="2">
        <v>13</v>
      </c>
      <c r="D85" s="2" t="s">
        <v>994</v>
      </c>
      <c r="E85" s="2">
        <v>1056</v>
      </c>
      <c r="F85" s="2">
        <v>-3417</v>
      </c>
      <c r="G85" s="2">
        <v>-457</v>
      </c>
      <c r="H85" s="2">
        <v>0</v>
      </c>
      <c r="J85" t="str">
        <f t="shared" si="2"/>
        <v>{ name: "Faron Depths #02", landmark: "Talus", type: "Stone Talus (Luminous)", region: 13, level: "Depths", x: 1056, y: -3417, z: -457, weight: 0, details: "" },</v>
      </c>
    </row>
    <row r="86" spans="1:10" x14ac:dyDescent="0.2">
      <c r="A86" t="s">
        <v>4089</v>
      </c>
      <c r="B86" t="s">
        <v>2994</v>
      </c>
      <c r="C86" s="2">
        <v>14</v>
      </c>
      <c r="D86" s="2" t="s">
        <v>994</v>
      </c>
      <c r="E86" s="2">
        <v>-3531</v>
      </c>
      <c r="F86" s="2">
        <v>-2443</v>
      </c>
      <c r="G86" s="2">
        <v>-464</v>
      </c>
      <c r="H86" s="2">
        <v>0</v>
      </c>
      <c r="J86" t="str">
        <f t="shared" si="2"/>
        <v>{ name: "Gerudo Depths", landmark: "Talus", type: "Stone Talus", region: 14, level: "Depths", x: -3531, y: -2443, z: -464, weight: 0, details: "" },</v>
      </c>
    </row>
    <row r="87" spans="1:10" x14ac:dyDescent="0.2">
      <c r="A87" t="s">
        <v>4113</v>
      </c>
      <c r="B87" t="s">
        <v>2991</v>
      </c>
      <c r="C87" s="2">
        <v>15</v>
      </c>
      <c r="D87" s="2" t="s">
        <v>994</v>
      </c>
      <c r="E87" s="2">
        <v>-4723</v>
      </c>
      <c r="F87" s="2">
        <v>-391</v>
      </c>
      <c r="G87" s="2">
        <v>-1054</v>
      </c>
      <c r="H87" s="2">
        <v>0</v>
      </c>
      <c r="J87" t="str">
        <f t="shared" si="2"/>
        <v>{ name: "Gerudo Highlands Depths #01", landmark: "Talus", type: "Frost Talus", region: 15, level: "Depths", x: -4723, y: -391, z: -1054, weight: 0, details: "" },</v>
      </c>
    </row>
    <row r="88" spans="1:10" x14ac:dyDescent="0.2">
      <c r="A88" t="s">
        <v>4114</v>
      </c>
      <c r="B88" t="s">
        <v>2994</v>
      </c>
      <c r="C88" s="2">
        <v>15</v>
      </c>
      <c r="D88" s="2" t="s">
        <v>994</v>
      </c>
      <c r="E88" s="2">
        <v>-4010</v>
      </c>
      <c r="F88" s="2">
        <v>-1696</v>
      </c>
      <c r="G88" s="2">
        <v>-729</v>
      </c>
      <c r="H88" s="2">
        <v>0</v>
      </c>
      <c r="J88" t="str">
        <f t="shared" si="2"/>
        <v>{ name: "Gerudo Highlands Depths #02", landmark: "Talus", type: "Stone Talus", region: 15, level: "Depths", x: -4010, y: -1696, z: -729, weight: 0, details: "" },</v>
      </c>
    </row>
    <row r="90" spans="1:10" x14ac:dyDescent="0.2">
      <c r="A90" s="6" t="s">
        <v>781</v>
      </c>
      <c r="B90" s="6" t="s">
        <v>2083</v>
      </c>
      <c r="C90" s="4" t="s">
        <v>2074</v>
      </c>
      <c r="D90" s="4" t="s">
        <v>777</v>
      </c>
      <c r="E90" s="4" t="s">
        <v>778</v>
      </c>
      <c r="F90" s="4" t="s">
        <v>779</v>
      </c>
      <c r="G90" s="4" t="s">
        <v>780</v>
      </c>
      <c r="H90" s="4" t="s">
        <v>2837</v>
      </c>
      <c r="I90" s="6" t="s">
        <v>2081</v>
      </c>
      <c r="J90" s="6" t="s">
        <v>2075</v>
      </c>
    </row>
    <row r="91" spans="1:10" x14ac:dyDescent="0.2">
      <c r="A91" t="s">
        <v>4116</v>
      </c>
      <c r="B91" t="s">
        <v>4117</v>
      </c>
      <c r="C91" s="2" t="s">
        <v>2503</v>
      </c>
      <c r="D91" s="2" t="s">
        <v>783</v>
      </c>
      <c r="E91" s="2">
        <v>492</v>
      </c>
      <c r="F91" s="2">
        <v>-1516</v>
      </c>
      <c r="G91" s="2">
        <v>1426</v>
      </c>
      <c r="H91" s="2">
        <v>0</v>
      </c>
      <c r="J91" t="str">
        <f t="shared" ref="J91:J125" si="3">"{ name: "&amp;CHAR(34)&amp;A91&amp;CHAR(34)&amp;", landmark: "&amp;CHAR(34)&amp;"Flux Construct"&amp;CHAR(34)&amp;", type: "&amp;CHAR(34)&amp;B91&amp;CHAR(34)&amp;", region: "&amp;C91&amp;", level: "&amp;CHAR(34)&amp;D91&amp;CHAR(34)&amp;", x: "&amp;E91&amp;", y: "&amp;F91&amp;", z: "&amp;G91&amp;", weight: "&amp;H91&amp;", details: "&amp;CHAR(34)&amp;I91&amp;CHAR(34)&amp;" },"</f>
        <v>{ name: "Guardian of the Great Sky Island", landmark: "Flux Construct", type: "Flux Construct I", region: [0,13], level: "Sky", x: 492, y: -1516, z: 1426, weight: 0, details: "" },</v>
      </c>
    </row>
    <row r="92" spans="1:10" x14ac:dyDescent="0.2">
      <c r="A92" t="s">
        <v>4120</v>
      </c>
      <c r="B92" t="s">
        <v>4118</v>
      </c>
      <c r="C92" s="2">
        <v>2</v>
      </c>
      <c r="D92" s="2" t="s">
        <v>783</v>
      </c>
      <c r="E92" s="2">
        <v>-2290</v>
      </c>
      <c r="F92" s="2">
        <v>-412</v>
      </c>
      <c r="G92" s="2">
        <v>891</v>
      </c>
      <c r="H92" s="2">
        <v>0</v>
      </c>
      <c r="J92" t="str">
        <f t="shared" si="3"/>
        <v>{ name: "Guardian of the West Hyrule Sky Archipelago", landmark: "Flux Construct", type: "Flux Construct III", region: 2, level: "Sky", x: -2290, y: -412, z: 891, weight: 0, details: "" },</v>
      </c>
    </row>
    <row r="93" spans="1:10" x14ac:dyDescent="0.2">
      <c r="A93" t="s">
        <v>4122</v>
      </c>
      <c r="B93" t="s">
        <v>4119</v>
      </c>
      <c r="C93" s="2">
        <v>2</v>
      </c>
      <c r="D93" s="2" t="s">
        <v>783</v>
      </c>
      <c r="E93" s="2">
        <v>-1344</v>
      </c>
      <c r="F93" s="2">
        <v>-1548</v>
      </c>
      <c r="G93" s="2">
        <v>800</v>
      </c>
      <c r="H93" s="2">
        <v>0</v>
      </c>
      <c r="J93" t="str">
        <f t="shared" si="3"/>
        <v>{ name: "Guardian of the South Hyrule Sky Archipelago", landmark: "Flux Construct", type: "Flux Construct II", region: 2, level: "Sky", x: -1344, y: -1548, z: 800, weight: 0, details: "" },</v>
      </c>
    </row>
    <row r="94" spans="1:10" x14ac:dyDescent="0.2">
      <c r="A94" t="s">
        <v>4498</v>
      </c>
      <c r="B94" t="s">
        <v>4118</v>
      </c>
      <c r="C94" s="2">
        <v>3</v>
      </c>
      <c r="D94" s="2" t="s">
        <v>783</v>
      </c>
      <c r="E94" s="2">
        <v>-3450</v>
      </c>
      <c r="F94" s="2">
        <v>658</v>
      </c>
      <c r="G94" s="2">
        <v>1421</v>
      </c>
      <c r="H94" s="2">
        <v>0</v>
      </c>
      <c r="J94" t="str">
        <f t="shared" si="3"/>
        <v>{ name: "Guardian of the Tabantha Sky Archipelago", landmark: "Flux Construct", type: "Flux Construct III", region: 3, level: "Sky", x: -3450, y: 658, z: 1421, weight: 0, details: "" },</v>
      </c>
    </row>
    <row r="95" spans="1:10" x14ac:dyDescent="0.2">
      <c r="A95" t="s">
        <v>4121</v>
      </c>
      <c r="B95" t="s">
        <v>4117</v>
      </c>
      <c r="C95" s="2">
        <v>4</v>
      </c>
      <c r="D95" s="2" t="s">
        <v>783</v>
      </c>
      <c r="E95" s="2">
        <v>-3472</v>
      </c>
      <c r="F95" s="2">
        <v>3519</v>
      </c>
      <c r="G95" s="2">
        <v>926</v>
      </c>
      <c r="H95" s="2">
        <v>0</v>
      </c>
      <c r="J95" t="str">
        <f t="shared" si="3"/>
        <v>{ name: "Guardian of the Rising Island Chain", landmark: "Flux Construct", type: "Flux Construct I", region: 4, level: "Sky", x: -3472, y: 3519, z: 926, weight: 0, details: "" },</v>
      </c>
    </row>
    <row r="96" spans="1:10" x14ac:dyDescent="0.2">
      <c r="A96" t="s">
        <v>4499</v>
      </c>
      <c r="B96" t="s">
        <v>4117</v>
      </c>
      <c r="C96" s="2">
        <v>4</v>
      </c>
      <c r="D96" s="2" t="s">
        <v>783</v>
      </c>
      <c r="E96" s="2">
        <v>-3834</v>
      </c>
      <c r="F96" s="2">
        <v>2721</v>
      </c>
      <c r="G96" s="2">
        <v>547</v>
      </c>
      <c r="H96" s="2">
        <v>0</v>
      </c>
      <c r="J96" t="str">
        <f t="shared" si="3"/>
        <v>{ name: "Guardian of the West Hebra Sky Archipelago", landmark: "Flux Construct", type: "Flux Construct I", region: 4, level: "Sky", x: -3834, y: 2721, z: 547, weight: 0, details: "" },</v>
      </c>
    </row>
    <row r="97" spans="1:10" x14ac:dyDescent="0.2">
      <c r="A97" t="s">
        <v>4123</v>
      </c>
      <c r="B97" t="s">
        <v>4117</v>
      </c>
      <c r="C97" s="2">
        <v>6</v>
      </c>
      <c r="D97" s="2" t="s">
        <v>783</v>
      </c>
      <c r="E97" s="2">
        <v>442</v>
      </c>
      <c r="F97" s="2">
        <v>2468</v>
      </c>
      <c r="G97" s="2">
        <v>1645</v>
      </c>
      <c r="H97" s="2">
        <v>0</v>
      </c>
      <c r="J97" t="str">
        <f t="shared" si="3"/>
        <v>{ name: "Guardian of the North Hyrule Sky Archipelago", landmark: "Flux Construct", type: "Flux Construct I", region: 6, level: "Sky", x: 442, y: 2468, z: 1645, weight: 0, details: "" },</v>
      </c>
    </row>
    <row r="98" spans="1:10" x14ac:dyDescent="0.2">
      <c r="A98" t="s">
        <v>4124</v>
      </c>
      <c r="B98" t="s">
        <v>4118</v>
      </c>
      <c r="C98" s="2">
        <v>8</v>
      </c>
      <c r="D98" s="2" t="s">
        <v>783</v>
      </c>
      <c r="E98" s="2">
        <v>3301</v>
      </c>
      <c r="F98" s="2">
        <v>3434</v>
      </c>
      <c r="G98" s="2">
        <v>793</v>
      </c>
      <c r="H98" s="2">
        <v>0</v>
      </c>
      <c r="J98" t="str">
        <f t="shared" si="3"/>
        <v>{ name: "Guardian of the North Akkala Sky Archipelago", landmark: "Flux Construct", type: "Flux Construct III", region: 8, level: "Sky", x: 3301, y: 3434, z: 793, weight: 0, details: "" },</v>
      </c>
    </row>
    <row r="99" spans="1:10" x14ac:dyDescent="0.2">
      <c r="A99" t="s">
        <v>4125</v>
      </c>
      <c r="B99" t="s">
        <v>4119</v>
      </c>
      <c r="C99" s="2">
        <v>8</v>
      </c>
      <c r="D99" s="2" t="s">
        <v>783</v>
      </c>
      <c r="E99" s="2">
        <v>3674</v>
      </c>
      <c r="F99" s="2">
        <v>1809</v>
      </c>
      <c r="G99" s="2">
        <v>984</v>
      </c>
      <c r="H99" s="2">
        <v>0</v>
      </c>
      <c r="J99" t="str">
        <f t="shared" si="3"/>
        <v>{ name: "Guardian of the Sokkala Sky Archipelago", landmark: "Flux Construct", type: "Flux Construct II", region: 8, level: "Sky", x: 3674, y: 1809, z: 984, weight: 0, details: "" },</v>
      </c>
    </row>
    <row r="100" spans="1:10" x14ac:dyDescent="0.2">
      <c r="A100" t="s">
        <v>4500</v>
      </c>
      <c r="B100" t="s">
        <v>4119</v>
      </c>
      <c r="C100" s="2">
        <v>9</v>
      </c>
      <c r="D100" s="2" t="s">
        <v>783</v>
      </c>
      <c r="E100" s="2">
        <v>3386</v>
      </c>
      <c r="F100" s="2">
        <v>633</v>
      </c>
      <c r="G100" s="2">
        <v>1280</v>
      </c>
      <c r="H100" s="2">
        <v>0</v>
      </c>
      <c r="J100" t="str">
        <f t="shared" si="3"/>
        <v>{ name: "Guardian of the Wellspring Island", landmark: "Flux Construct", type: "Flux Construct II", region: 9, level: "Sky", x: 3386, y: 633, z: 1280, weight: 0, details: "" },</v>
      </c>
    </row>
    <row r="101" spans="1:10" x14ac:dyDescent="0.2">
      <c r="A101" t="s">
        <v>4501</v>
      </c>
      <c r="B101" t="s">
        <v>4119</v>
      </c>
      <c r="C101" s="2">
        <v>9</v>
      </c>
      <c r="D101" s="2" t="s">
        <v>783</v>
      </c>
      <c r="E101" s="2">
        <v>3000</v>
      </c>
      <c r="F101" s="2">
        <v>-252</v>
      </c>
      <c r="G101" s="2">
        <v>891</v>
      </c>
      <c r="H101" s="2">
        <v>0</v>
      </c>
      <c r="J101" t="str">
        <f t="shared" si="3"/>
        <v>{ name: "Guardian of the Lanayru Sky Archipelago", landmark: "Flux Construct", type: "Flux Construct II", region: 9, level: "Sky", x: 3000, y: -252, z: 891, weight: 0, details: "" },</v>
      </c>
    </row>
    <row r="102" spans="1:10" x14ac:dyDescent="0.2">
      <c r="A102" t="s">
        <v>4502</v>
      </c>
      <c r="B102" t="s">
        <v>4118</v>
      </c>
      <c r="C102" s="2">
        <v>12</v>
      </c>
      <c r="D102" s="2" t="s">
        <v>783</v>
      </c>
      <c r="E102" s="2">
        <v>3044</v>
      </c>
      <c r="F102" s="2">
        <v>-2757</v>
      </c>
      <c r="G102" s="2">
        <v>1192</v>
      </c>
      <c r="H102" s="2">
        <v>0</v>
      </c>
      <c r="J102" t="str">
        <f t="shared" si="3"/>
        <v>{ name: "Guardian of the Necluda Sky Archipelago", landmark: "Flux Construct", type: "Flux Construct III", region: 12, level: "Sky", x: 3044, y: -2757, z: 1192, weight: 0, details: "" },</v>
      </c>
    </row>
    <row r="103" spans="1:10" x14ac:dyDescent="0.2">
      <c r="A103" t="s">
        <v>4503</v>
      </c>
      <c r="B103" t="s">
        <v>4118</v>
      </c>
      <c r="C103" s="2">
        <v>12</v>
      </c>
      <c r="D103" s="2" t="s">
        <v>783</v>
      </c>
      <c r="E103" s="2">
        <v>2559</v>
      </c>
      <c r="F103" s="2">
        <v>-3601</v>
      </c>
      <c r="G103" s="2">
        <v>891</v>
      </c>
      <c r="H103" s="2">
        <v>0</v>
      </c>
      <c r="J103" t="str">
        <f t="shared" si="3"/>
        <v>{ name: "Guardian of the South Necluda Sky Archipelago", landmark: "Flux Construct", type: "Flux Construct III", region: 12, level: "Sky", x: 2559, y: -3601, z: 891, weight: 0, details: "" },</v>
      </c>
    </row>
    <row r="104" spans="1:10" x14ac:dyDescent="0.2">
      <c r="A104" t="s">
        <v>4504</v>
      </c>
      <c r="B104" t="s">
        <v>4118</v>
      </c>
      <c r="C104" s="2">
        <v>13</v>
      </c>
      <c r="D104" s="2" t="s">
        <v>783</v>
      </c>
      <c r="E104" s="2">
        <v>-326</v>
      </c>
      <c r="F104" s="2">
        <v>-2591</v>
      </c>
      <c r="G104" s="2">
        <v>891</v>
      </c>
      <c r="H104" s="2">
        <v>0</v>
      </c>
      <c r="J104" t="str">
        <f t="shared" si="3"/>
        <v>{ name: "Guardian of the Faron Sky Archipelago", landmark: "Flux Construct", type: "Flux Construct III", region: 13, level: "Sky", x: -326, y: -2591, z: 891, weight: 0, details: "" },</v>
      </c>
    </row>
    <row r="105" spans="1:10" x14ac:dyDescent="0.2">
      <c r="A105" t="s">
        <v>4505</v>
      </c>
      <c r="B105" t="s">
        <v>4118</v>
      </c>
      <c r="C105" s="2">
        <v>13</v>
      </c>
      <c r="D105" s="2" t="s">
        <v>783</v>
      </c>
      <c r="E105" s="2">
        <v>1133</v>
      </c>
      <c r="F105" s="2">
        <v>-3273</v>
      </c>
      <c r="G105" s="2">
        <v>756</v>
      </c>
      <c r="H105" s="2">
        <v>0</v>
      </c>
      <c r="J105" t="str">
        <f t="shared" si="3"/>
        <v>{ name: "Guardian of the Thunderhead Isles", landmark: "Flux Construct", type: "Flux Construct III", region: 13, level: "Sky", x: 1133, y: -3273, z: 756, weight: 0, details: "" },</v>
      </c>
    </row>
    <row r="106" spans="1:10" x14ac:dyDescent="0.2">
      <c r="A106" t="s">
        <v>4077</v>
      </c>
      <c r="B106" t="s">
        <v>4117</v>
      </c>
      <c r="C106" s="2">
        <v>1</v>
      </c>
      <c r="D106" s="2" t="s">
        <v>994</v>
      </c>
      <c r="E106" s="2">
        <v>717</v>
      </c>
      <c r="F106" s="2">
        <v>-644</v>
      </c>
      <c r="G106" s="2">
        <v>-437</v>
      </c>
      <c r="H106" s="2">
        <v>0</v>
      </c>
      <c r="J106" t="str">
        <f t="shared" si="3"/>
        <v>{ name: "Central Hyrule Depths", landmark: "Flux Construct", type: "Flux Construct I", region: 1, level: "Depths", x: 717, y: -644, z: -437, weight: 0, details: "" },</v>
      </c>
    </row>
    <row r="107" spans="1:10" x14ac:dyDescent="0.2">
      <c r="A107" t="s">
        <v>4078</v>
      </c>
      <c r="B107" t="s">
        <v>4118</v>
      </c>
      <c r="C107" s="2">
        <v>3</v>
      </c>
      <c r="D107" s="2" t="s">
        <v>994</v>
      </c>
      <c r="E107" s="2">
        <v>-2620</v>
      </c>
      <c r="F107" s="2">
        <v>1705</v>
      </c>
      <c r="G107" s="2">
        <v>-663</v>
      </c>
      <c r="H107" s="2">
        <v>0</v>
      </c>
      <c r="J107" t="str">
        <f t="shared" si="3"/>
        <v>{ name: "Hyrule Ridge Depths", landmark: "Flux Construct", type: "Flux Construct III", region: 3, level: "Depths", x: -2620, y: 1705, z: -663, weight: 0, details: "" },</v>
      </c>
    </row>
    <row r="108" spans="1:10" x14ac:dyDescent="0.2">
      <c r="A108" t="s">
        <v>4126</v>
      </c>
      <c r="B108" t="s">
        <v>4118</v>
      </c>
      <c r="C108" s="2">
        <v>4</v>
      </c>
      <c r="D108" s="2" t="s">
        <v>994</v>
      </c>
      <c r="E108" s="2">
        <v>-4413</v>
      </c>
      <c r="F108" s="2">
        <v>2240</v>
      </c>
      <c r="G108" s="2">
        <v>-524</v>
      </c>
      <c r="H108" s="2">
        <v>0</v>
      </c>
      <c r="J108" t="str">
        <f t="shared" si="3"/>
        <v>{ name: "Hebra Depths", landmark: "Flux Construct", type: "Flux Construct III", region: 4, level: "Depths", x: -4413, y: 2240, z: -524, weight: 0, details: "" },</v>
      </c>
    </row>
    <row r="109" spans="1:10" x14ac:dyDescent="0.2">
      <c r="A109" t="s">
        <v>1517</v>
      </c>
      <c r="B109" t="s">
        <v>4118</v>
      </c>
      <c r="C109" s="2">
        <v>5</v>
      </c>
      <c r="D109" s="2" t="s">
        <v>994</v>
      </c>
      <c r="E109" s="2">
        <v>-807</v>
      </c>
      <c r="F109" s="2">
        <v>3541</v>
      </c>
      <c r="G109" s="2">
        <v>-658</v>
      </c>
      <c r="H109" s="2">
        <v>0</v>
      </c>
      <c r="J109" t="str">
        <f t="shared" si="3"/>
        <v>{ name: "North Lomei Depths Labyrinth", landmark: "Flux Construct", type: "Flux Construct III", region: 5, level: "Depths", x: -807, y: 3541, z: -658, weight: 0, details: "" },</v>
      </c>
    </row>
    <row r="110" spans="1:10" x14ac:dyDescent="0.2">
      <c r="A110" t="s">
        <v>4102</v>
      </c>
      <c r="B110" t="s">
        <v>4119</v>
      </c>
      <c r="C110" s="2">
        <v>6</v>
      </c>
      <c r="D110" s="2" t="s">
        <v>994</v>
      </c>
      <c r="E110" s="2">
        <v>225</v>
      </c>
      <c r="F110" s="2">
        <v>3674</v>
      </c>
      <c r="G110" s="2">
        <v>-490</v>
      </c>
      <c r="H110" s="2">
        <v>0</v>
      </c>
      <c r="J110" t="str">
        <f t="shared" si="3"/>
        <v>{ name: "Great Hyrule Forest Depths #01", landmark: "Flux Construct", type: "Flux Construct II", region: 6, level: "Depths", x: 225, y: 3674, z: -490, weight: 0, details: "" },</v>
      </c>
    </row>
    <row r="111" spans="1:10" x14ac:dyDescent="0.2">
      <c r="A111" t="s">
        <v>4103</v>
      </c>
      <c r="B111" t="s">
        <v>4119</v>
      </c>
      <c r="C111" s="2">
        <v>6</v>
      </c>
      <c r="D111" s="2" t="s">
        <v>994</v>
      </c>
      <c r="E111" s="2">
        <v>-723</v>
      </c>
      <c r="F111" s="2">
        <v>1263</v>
      </c>
      <c r="G111" s="2">
        <v>-493</v>
      </c>
      <c r="H111" s="2">
        <v>0</v>
      </c>
      <c r="J111" t="str">
        <f t="shared" si="3"/>
        <v>{ name: "Great Hyrule Forest Depths #02", landmark: "Flux Construct", type: "Flux Construct II", region: 6, level: "Depths", x: -723, y: 1263, z: -493, weight: 0, details: "" },</v>
      </c>
    </row>
    <row r="112" spans="1:10" x14ac:dyDescent="0.2">
      <c r="A112" t="s">
        <v>4082</v>
      </c>
      <c r="B112" t="s">
        <v>4119</v>
      </c>
      <c r="C112" s="2">
        <v>7</v>
      </c>
      <c r="D112" s="2" t="s">
        <v>994</v>
      </c>
      <c r="E112" s="2">
        <v>2680</v>
      </c>
      <c r="F112" s="2">
        <v>3473</v>
      </c>
      <c r="G112" s="2">
        <v>-654</v>
      </c>
      <c r="H112" s="2">
        <v>0</v>
      </c>
      <c r="J112" t="str">
        <f t="shared" si="3"/>
        <v>{ name: "Eldin Depths", landmark: "Flux Construct", type: "Flux Construct II", region: 7, level: "Depths", x: 2680, y: 3473, z: -654, weight: 0, details: "" },</v>
      </c>
    </row>
    <row r="113" spans="1:10" x14ac:dyDescent="0.2">
      <c r="A113" t="s">
        <v>1437</v>
      </c>
      <c r="B113" t="s">
        <v>4118</v>
      </c>
      <c r="C113" s="2">
        <v>8</v>
      </c>
      <c r="D113" s="2" t="s">
        <v>994</v>
      </c>
      <c r="E113" s="2">
        <v>4653</v>
      </c>
      <c r="F113" s="2">
        <v>3691</v>
      </c>
      <c r="G113" s="2">
        <v>-426</v>
      </c>
      <c r="H113" s="2">
        <v>0</v>
      </c>
      <c r="J113" t="str">
        <f t="shared" si="3"/>
        <v>{ name: "Lomei Depths Labyrinth", landmark: "Flux Construct", type: "Flux Construct III", region: 8, level: "Depths", x: 4653, y: 3691, z: -426, weight: 0, details: "" },</v>
      </c>
    </row>
    <row r="114" spans="1:10" x14ac:dyDescent="0.2">
      <c r="A114" t="s">
        <v>4084</v>
      </c>
      <c r="B114" t="s">
        <v>4119</v>
      </c>
      <c r="C114" s="2">
        <v>8</v>
      </c>
      <c r="D114" s="2" t="s">
        <v>994</v>
      </c>
      <c r="E114" s="2">
        <v>3701</v>
      </c>
      <c r="F114" s="2">
        <v>2906</v>
      </c>
      <c r="G114" s="2">
        <v>-451</v>
      </c>
      <c r="H114" s="2">
        <v>0</v>
      </c>
      <c r="J114" t="str">
        <f t="shared" si="3"/>
        <v>{ name: "North Akkala Depths", landmark: "Flux Construct", type: "Flux Construct II", region: 8, level: "Depths", x: 3701, y: 2906, z: -451, weight: 0, details: "" },</v>
      </c>
    </row>
    <row r="115" spans="1:10" x14ac:dyDescent="0.2">
      <c r="A115" t="s">
        <v>4085</v>
      </c>
      <c r="B115" t="s">
        <v>4119</v>
      </c>
      <c r="C115" s="2">
        <v>9</v>
      </c>
      <c r="D115" s="2" t="s">
        <v>994</v>
      </c>
      <c r="E115" s="2">
        <v>3198</v>
      </c>
      <c r="F115" s="2">
        <v>1020</v>
      </c>
      <c r="G115" s="2">
        <v>-816</v>
      </c>
      <c r="H115" s="2">
        <v>0</v>
      </c>
      <c r="J115" t="str">
        <f t="shared" si="3"/>
        <v>{ name: "Lanayru Depths", landmark: "Flux Construct", type: "Flux Construct II", region: 9, level: "Depths", x: 3198, y: 1020, z: -816, weight: 0, details: "" },</v>
      </c>
    </row>
    <row r="116" spans="1:10" x14ac:dyDescent="0.2">
      <c r="A116" t="s">
        <v>4106</v>
      </c>
      <c r="B116" t="s">
        <v>4118</v>
      </c>
      <c r="C116" s="2">
        <v>10</v>
      </c>
      <c r="D116" s="2" t="s">
        <v>994</v>
      </c>
      <c r="E116" s="2">
        <v>870</v>
      </c>
      <c r="F116" s="2">
        <v>678</v>
      </c>
      <c r="G116" s="2">
        <v>-517</v>
      </c>
      <c r="H116" s="2">
        <v>0</v>
      </c>
      <c r="J116" t="str">
        <f t="shared" si="3"/>
        <v>{ name: "Lanayru Wetlands Depths #01", landmark: "Flux Construct", type: "Flux Construct III", region: 10, level: "Depths", x: 870, y: 678, z: -517, weight: 0, details: "" },</v>
      </c>
    </row>
    <row r="117" spans="1:10" x14ac:dyDescent="0.2">
      <c r="A117" t="s">
        <v>4107</v>
      </c>
      <c r="B117" t="s">
        <v>4119</v>
      </c>
      <c r="C117" s="2">
        <v>10</v>
      </c>
      <c r="D117" s="2" t="s">
        <v>994</v>
      </c>
      <c r="E117" s="2">
        <v>2639</v>
      </c>
      <c r="F117" s="2">
        <v>-937</v>
      </c>
      <c r="G117" s="2">
        <v>-633</v>
      </c>
      <c r="H117" s="2">
        <v>0</v>
      </c>
      <c r="J117" t="str">
        <f t="shared" si="3"/>
        <v>{ name: "Lanayru Wetlands Depths #02", landmark: "Flux Construct", type: "Flux Construct II", region: 10, level: "Depths", x: 2639, y: -937, z: -633, weight: 0, details: "" },</v>
      </c>
    </row>
    <row r="118" spans="1:10" x14ac:dyDescent="0.2">
      <c r="A118" t="s">
        <v>4127</v>
      </c>
      <c r="B118" t="s">
        <v>4119</v>
      </c>
      <c r="C118" s="2">
        <v>10</v>
      </c>
      <c r="D118" s="2" t="s">
        <v>994</v>
      </c>
      <c r="E118" s="2">
        <v>2512</v>
      </c>
      <c r="F118" s="2">
        <v>-1272</v>
      </c>
      <c r="G118" s="2">
        <v>-622</v>
      </c>
      <c r="H118" s="2">
        <v>0</v>
      </c>
      <c r="J118" t="str">
        <f t="shared" si="3"/>
        <v>{ name: "Lanayru Wetlands Depths #03", landmark: "Flux Construct", type: "Flux Construct II", region: 10, level: "Depths", x: 2512, y: -1272, z: -622, weight: 0, details: "" },</v>
      </c>
    </row>
    <row r="119" spans="1:10" x14ac:dyDescent="0.2">
      <c r="A119" t="s">
        <v>4086</v>
      </c>
      <c r="B119" t="s">
        <v>4119</v>
      </c>
      <c r="C119" s="2">
        <v>11</v>
      </c>
      <c r="D119" s="2" t="s">
        <v>994</v>
      </c>
      <c r="E119" s="2">
        <v>3527</v>
      </c>
      <c r="F119" s="2">
        <v>-1340</v>
      </c>
      <c r="G119" s="2">
        <v>-582</v>
      </c>
      <c r="H119" s="2">
        <v>0</v>
      </c>
      <c r="J119" t="str">
        <f t="shared" si="3"/>
        <v>{ name: "Mount Lanayru Depths", landmark: "Flux Construct", type: "Flux Construct II", region: 11, level: "Depths", x: 3527, y: -1340, z: -582, weight: 0, details: "" },</v>
      </c>
    </row>
    <row r="120" spans="1:10" x14ac:dyDescent="0.2">
      <c r="A120" t="s">
        <v>4087</v>
      </c>
      <c r="B120" t="s">
        <v>4118</v>
      </c>
      <c r="C120" s="2">
        <v>12</v>
      </c>
      <c r="D120" s="2" t="s">
        <v>994</v>
      </c>
      <c r="E120" s="2">
        <v>3263</v>
      </c>
      <c r="F120" s="2">
        <v>-3703</v>
      </c>
      <c r="G120" s="2">
        <v>-426</v>
      </c>
      <c r="H120" s="2">
        <v>0</v>
      </c>
      <c r="J120" t="str">
        <f t="shared" si="3"/>
        <v>{ name: "East Necluda Depths", landmark: "Flux Construct", type: "Flux Construct III", region: 12, level: "Depths", x: 3263, y: -3703, z: -426, weight: 0, details: "" },</v>
      </c>
    </row>
    <row r="121" spans="1:10" x14ac:dyDescent="0.2">
      <c r="A121" t="s">
        <v>4088</v>
      </c>
      <c r="B121" t="s">
        <v>4117</v>
      </c>
      <c r="C121" s="2">
        <v>13</v>
      </c>
      <c r="D121" s="2" t="s">
        <v>994</v>
      </c>
      <c r="E121" s="2">
        <v>101</v>
      </c>
      <c r="F121" s="2">
        <v>-3714</v>
      </c>
      <c r="G121" s="2">
        <v>-432</v>
      </c>
      <c r="H121" s="2">
        <v>0</v>
      </c>
      <c r="J121" t="str">
        <f t="shared" si="3"/>
        <v>{ name: "Faron Depths", landmark: "Flux Construct", type: "Flux Construct I", region: 13, level: "Depths", x: 101, y: -3714, z: -432, weight: 0, details: "" },</v>
      </c>
    </row>
    <row r="122" spans="1:10" x14ac:dyDescent="0.2">
      <c r="A122" t="s">
        <v>1628</v>
      </c>
      <c r="B122" t="s">
        <v>4118</v>
      </c>
      <c r="C122" s="2">
        <v>14</v>
      </c>
      <c r="D122" s="2" t="s">
        <v>994</v>
      </c>
      <c r="E122" s="2">
        <v>-1788</v>
      </c>
      <c r="F122" s="2">
        <v>-3456</v>
      </c>
      <c r="G122" s="2">
        <v>-501</v>
      </c>
      <c r="H122" s="2">
        <v>0</v>
      </c>
      <c r="J122" t="str">
        <f t="shared" si="3"/>
        <v>{ name: "South Lomei Depths Labyrinth", landmark: "Flux Construct", type: "Flux Construct III", region: 14, level: "Depths", x: -1788, y: -3456, z: -501, weight: 0, details: "" },</v>
      </c>
    </row>
    <row r="123" spans="1:10" x14ac:dyDescent="0.2">
      <c r="A123" t="s">
        <v>4089</v>
      </c>
      <c r="B123" t="s">
        <v>4119</v>
      </c>
      <c r="C123" s="2">
        <v>14</v>
      </c>
      <c r="D123" s="2" t="s">
        <v>994</v>
      </c>
      <c r="E123" s="2">
        <v>-4147</v>
      </c>
      <c r="F123" s="2">
        <v>-2961</v>
      </c>
      <c r="G123" s="2">
        <v>-464</v>
      </c>
      <c r="H123" s="2">
        <v>0</v>
      </c>
      <c r="J123" t="str">
        <f t="shared" si="3"/>
        <v>{ name: "Gerudo Depths", landmark: "Flux Construct", type: "Flux Construct II", region: 14, level: "Depths", x: -4147, y: -2961, z: -464, weight: 0, details: "" },</v>
      </c>
    </row>
    <row r="124" spans="1:10" x14ac:dyDescent="0.2">
      <c r="A124" t="s">
        <v>4113</v>
      </c>
      <c r="B124" t="s">
        <v>4118</v>
      </c>
      <c r="C124" s="2">
        <v>15</v>
      </c>
      <c r="D124" s="2" t="s">
        <v>994</v>
      </c>
      <c r="E124" s="2">
        <v>-4086</v>
      </c>
      <c r="F124" s="2">
        <v>-953</v>
      </c>
      <c r="G124" s="2">
        <v>-1079</v>
      </c>
      <c r="H124" s="2">
        <v>0</v>
      </c>
      <c r="J124" t="str">
        <f t="shared" si="3"/>
        <v>{ name: "Gerudo Highlands Depths #01", landmark: "Flux Construct", type: "Flux Construct III", region: 15, level: "Depths", x: -4086, y: -953, z: -1079, weight: 0, details: "" },</v>
      </c>
    </row>
    <row r="125" spans="1:10" x14ac:dyDescent="0.2">
      <c r="A125" t="s">
        <v>4114</v>
      </c>
      <c r="B125" t="s">
        <v>4117</v>
      </c>
      <c r="C125" s="2">
        <v>15</v>
      </c>
      <c r="D125" s="2" t="s">
        <v>994</v>
      </c>
      <c r="E125" s="2">
        <v>-2182</v>
      </c>
      <c r="F125" s="2">
        <v>-1503</v>
      </c>
      <c r="G125" s="2">
        <v>-662</v>
      </c>
      <c r="H125" s="2">
        <v>0</v>
      </c>
      <c r="J125" t="str">
        <f t="shared" si="3"/>
        <v>{ name: "Gerudo Highlands Depths #02", landmark: "Flux Construct", type: "Flux Construct I", region: 15, level: "Depths", x: -2182, y: -1503, z: -662, weight: 0, details: "" },</v>
      </c>
    </row>
    <row r="127" spans="1:10" x14ac:dyDescent="0.2">
      <c r="A127" s="6" t="s">
        <v>781</v>
      </c>
      <c r="B127" s="6" t="s">
        <v>2083</v>
      </c>
      <c r="C127" s="4" t="s">
        <v>2074</v>
      </c>
      <c r="D127" s="4" t="s">
        <v>777</v>
      </c>
      <c r="E127" s="4" t="s">
        <v>778</v>
      </c>
      <c r="F127" s="4" t="s">
        <v>779</v>
      </c>
      <c r="G127" s="4" t="s">
        <v>780</v>
      </c>
      <c r="H127" s="4" t="s">
        <v>2837</v>
      </c>
      <c r="I127" s="6" t="s">
        <v>2081</v>
      </c>
      <c r="J127" s="6" t="s">
        <v>2075</v>
      </c>
    </row>
    <row r="128" spans="1:10" x14ac:dyDescent="0.2">
      <c r="A128" t="s">
        <v>842</v>
      </c>
      <c r="B128" t="s">
        <v>2996</v>
      </c>
      <c r="C128" s="2">
        <v>1</v>
      </c>
      <c r="D128" s="2" t="s">
        <v>785</v>
      </c>
      <c r="E128" s="2">
        <v>-154</v>
      </c>
      <c r="F128" s="2">
        <v>1064</v>
      </c>
      <c r="G128" s="2">
        <v>223</v>
      </c>
      <c r="H128" s="2">
        <v>0</v>
      </c>
      <c r="J128" t="str">
        <f t="shared" ref="J128:J159" si="4">"{ name: "&amp;CHAR(34)&amp;A128&amp;CHAR(34)&amp;", landmark: "&amp;CHAR(34)&amp;"Hinox"&amp;CHAR(34)&amp;", type: "&amp;CHAR(34)&amp;B128&amp;CHAR(34)&amp;", region: "&amp;C128&amp;", level: "&amp;CHAR(34)&amp;D128&amp;CHAR(34)&amp;", x: "&amp;E128&amp;", y: "&amp;F128&amp;", z: "&amp;G128&amp;", weight: "&amp;H128&amp;", details: "&amp;CHAR(34)&amp;I128&amp;CHAR(34)&amp;" },"</f>
        <v>{ name: "Hyrule Castle", landmark: "Hinox", type: "Black Hinox ", region: 1, level: "Surface", x: -154, y: 1064, z: 223, weight: 0, details: "" },</v>
      </c>
    </row>
    <row r="129" spans="1:10" x14ac:dyDescent="0.2">
      <c r="A129" t="s">
        <v>1158</v>
      </c>
      <c r="B129" t="s">
        <v>4128</v>
      </c>
      <c r="C129" s="2">
        <v>1</v>
      </c>
      <c r="D129" s="2" t="s">
        <v>785</v>
      </c>
      <c r="E129" s="2">
        <v>-1080</v>
      </c>
      <c r="F129" s="2">
        <v>462</v>
      </c>
      <c r="G129" s="2">
        <v>47</v>
      </c>
      <c r="H129" s="2">
        <v>0</v>
      </c>
      <c r="J129" t="str">
        <f t="shared" si="4"/>
        <v>{ name: "Carok Bridge", landmark: "Hinox", type: "Hinox", region: 1, level: "Surface", x: -1080, y: 462, z: 47, weight: 0, details: "" },</v>
      </c>
    </row>
    <row r="130" spans="1:10" x14ac:dyDescent="0.2">
      <c r="A130" t="s">
        <v>950</v>
      </c>
      <c r="B130" t="s">
        <v>2997</v>
      </c>
      <c r="C130" s="2">
        <v>1</v>
      </c>
      <c r="D130" s="2" t="s">
        <v>785</v>
      </c>
      <c r="E130" s="2">
        <v>-322</v>
      </c>
      <c r="F130" s="2">
        <v>458</v>
      </c>
      <c r="G130" s="2">
        <v>-24</v>
      </c>
      <c r="H130" s="2">
        <v>0</v>
      </c>
      <c r="J130" t="str">
        <f t="shared" si="4"/>
        <v>{ name: "Royal Hidden Passage", landmark: "Hinox", type: "Stalnox ", region: 1, level: "Surface", x: -322, y: 458, z: -24, weight: 0, details: "" },</v>
      </c>
    </row>
    <row r="131" spans="1:10" x14ac:dyDescent="0.2">
      <c r="A131" t="s">
        <v>1286</v>
      </c>
      <c r="B131" t="s">
        <v>2997</v>
      </c>
      <c r="C131" s="2">
        <v>1</v>
      </c>
      <c r="D131" s="2" t="s">
        <v>785</v>
      </c>
      <c r="E131" s="2">
        <v>-1177</v>
      </c>
      <c r="F131" s="2">
        <v>-115</v>
      </c>
      <c r="G131" s="2">
        <v>46</v>
      </c>
      <c r="H131" s="2">
        <v>0</v>
      </c>
      <c r="J131" t="str">
        <f t="shared" si="4"/>
        <v>{ name: "Giant's Forest", landmark: "Hinox", type: "Stalnox ", region: 1, level: "Surface", x: -1177, y: -115, z: 46, weight: 0, details: "" },</v>
      </c>
    </row>
    <row r="132" spans="1:10" x14ac:dyDescent="0.2">
      <c r="A132" t="s">
        <v>955</v>
      </c>
      <c r="B132" t="s">
        <v>4128</v>
      </c>
      <c r="C132" s="2">
        <v>2</v>
      </c>
      <c r="D132" s="2" t="s">
        <v>785</v>
      </c>
      <c r="E132" s="2">
        <v>-2275</v>
      </c>
      <c r="F132" s="2">
        <v>-723</v>
      </c>
      <c r="G132" s="2">
        <v>116</v>
      </c>
      <c r="H132" s="2">
        <v>0</v>
      </c>
      <c r="J132" t="str">
        <f t="shared" si="4"/>
        <v>{ name: "Satori Mountain Foothill Cave", landmark: "Hinox", type: "Hinox", region: 2, level: "Surface", x: -2275, y: -723, z: 116, weight: 0, details: "" },</v>
      </c>
    </row>
    <row r="133" spans="1:10" x14ac:dyDescent="0.2">
      <c r="A133" t="s">
        <v>1185</v>
      </c>
      <c r="B133" t="s">
        <v>2995</v>
      </c>
      <c r="C133" s="2">
        <v>2</v>
      </c>
      <c r="D133" s="2" t="s">
        <v>785</v>
      </c>
      <c r="E133" s="2">
        <v>-2014</v>
      </c>
      <c r="F133" s="2">
        <v>-1200</v>
      </c>
      <c r="G133" s="2">
        <v>112</v>
      </c>
      <c r="H133" s="2">
        <v>0</v>
      </c>
      <c r="J133" t="str">
        <f t="shared" si="4"/>
        <v>{ name: "Dalite Forest", landmark: "Hinox", type: "Blue Hinox ", region: 2, level: "Surface", x: -2014, y: -1200, z: 112, weight: 0, details: "" },</v>
      </c>
    </row>
    <row r="134" spans="1:10" x14ac:dyDescent="0.2">
      <c r="A134" t="s">
        <v>1072</v>
      </c>
      <c r="B134" t="s">
        <v>4128</v>
      </c>
      <c r="C134" s="2">
        <v>3</v>
      </c>
      <c r="D134" s="2" t="s">
        <v>785</v>
      </c>
      <c r="E134" s="2">
        <v>-1246</v>
      </c>
      <c r="F134" s="2">
        <v>2109</v>
      </c>
      <c r="G134" s="2">
        <v>116</v>
      </c>
      <c r="H134" s="2">
        <v>0</v>
      </c>
      <c r="J134" t="str">
        <f t="shared" si="4"/>
        <v>{ name: "Rowan Plain", landmark: "Hinox", type: "Hinox", region: 3, level: "Surface", x: -1246, y: 2109, z: 116, weight: 0, details: "" },</v>
      </c>
    </row>
    <row r="135" spans="1:10" x14ac:dyDescent="0.2">
      <c r="A135" t="s">
        <v>4129</v>
      </c>
      <c r="B135" t="s">
        <v>2997</v>
      </c>
      <c r="C135" s="2">
        <v>3</v>
      </c>
      <c r="D135" s="2" t="s">
        <v>785</v>
      </c>
      <c r="E135" s="2">
        <v>-3794</v>
      </c>
      <c r="F135" s="2">
        <v>1557</v>
      </c>
      <c r="G135" s="2">
        <v>150</v>
      </c>
      <c r="H135" s="2">
        <v>0</v>
      </c>
      <c r="J135" t="str">
        <f t="shared" si="4"/>
        <v>{ name: "Lake Totori South", landmark: "Hinox", type: "Stalnox ", region: 3, level: "Surface", x: -3794, y: 1557, z: 150, weight: 0, details: "" },</v>
      </c>
    </row>
    <row r="136" spans="1:10" x14ac:dyDescent="0.2">
      <c r="A136" t="s">
        <v>969</v>
      </c>
      <c r="B136" t="s">
        <v>2997</v>
      </c>
      <c r="C136" s="2">
        <v>3</v>
      </c>
      <c r="D136" s="2" t="s">
        <v>785</v>
      </c>
      <c r="E136" s="2">
        <v>-2058</v>
      </c>
      <c r="F136" s="2">
        <v>1559</v>
      </c>
      <c r="G136" s="2">
        <v>-57</v>
      </c>
      <c r="H136" s="2">
        <v>0</v>
      </c>
      <c r="J136" t="str">
        <f t="shared" si="4"/>
        <v>{ name: "Tanagar Canyon East Cave", landmark: "Hinox", type: "Stalnox ", region: 3, level: "Surface", x: -2058, y: 1559, z: -57, weight: 0, details: "" },</v>
      </c>
    </row>
    <row r="137" spans="1:10" x14ac:dyDescent="0.2">
      <c r="A137" t="s">
        <v>1690</v>
      </c>
      <c r="B137" t="s">
        <v>4128</v>
      </c>
      <c r="C137" s="2">
        <v>3</v>
      </c>
      <c r="D137" s="2" t="s">
        <v>785</v>
      </c>
      <c r="E137" s="2">
        <v>-2736</v>
      </c>
      <c r="F137" s="2">
        <v>1334</v>
      </c>
      <c r="G137" s="2">
        <v>169</v>
      </c>
      <c r="H137" s="2">
        <v>0</v>
      </c>
      <c r="J137" t="str">
        <f t="shared" si="4"/>
        <v>{ name: "Upland Lindor", landmark: "Hinox", type: "Hinox", region: 3, level: "Surface", x: -2736, y: 1334, z: 169, weight: 0, details: "" },</v>
      </c>
    </row>
    <row r="138" spans="1:10" x14ac:dyDescent="0.2">
      <c r="A138" t="s">
        <v>1049</v>
      </c>
      <c r="B138" t="s">
        <v>4128</v>
      </c>
      <c r="C138" s="2">
        <v>3</v>
      </c>
      <c r="D138" s="2" t="s">
        <v>785</v>
      </c>
      <c r="E138" s="2">
        <v>-2221</v>
      </c>
      <c r="F138" s="2">
        <v>759</v>
      </c>
      <c r="G138" s="2">
        <v>113</v>
      </c>
      <c r="H138" s="2">
        <v>0</v>
      </c>
      <c r="J138" t="str">
        <f t="shared" si="4"/>
        <v>{ name: "Ludfo's Bog", landmark: "Hinox", type: "Hinox", region: 3, level: "Surface", x: -2221, y: 759, z: 113, weight: 0, details: "" },</v>
      </c>
    </row>
    <row r="139" spans="1:10" x14ac:dyDescent="0.2">
      <c r="A139" t="s">
        <v>1340</v>
      </c>
      <c r="B139" t="s">
        <v>2995</v>
      </c>
      <c r="C139" s="2">
        <v>4</v>
      </c>
      <c r="D139" s="2" t="s">
        <v>785</v>
      </c>
      <c r="E139" s="2">
        <v>-3655</v>
      </c>
      <c r="F139" s="2">
        <v>3806</v>
      </c>
      <c r="G139" s="2">
        <v>238</v>
      </c>
      <c r="H139" s="2">
        <v>0</v>
      </c>
      <c r="J139" t="str">
        <f t="shared" si="4"/>
        <v>{ name: "Hebra North Crest", landmark: "Hinox", type: "Blue Hinox ", region: 4, level: "Surface", x: -3655, y: 3806, z: 238, weight: 0, details: "" },</v>
      </c>
    </row>
    <row r="140" spans="1:10" x14ac:dyDescent="0.2">
      <c r="A140" t="s">
        <v>1339</v>
      </c>
      <c r="B140" t="s">
        <v>4128</v>
      </c>
      <c r="C140" s="2">
        <v>5</v>
      </c>
      <c r="D140" s="2" t="s">
        <v>785</v>
      </c>
      <c r="E140" s="2">
        <v>-2825</v>
      </c>
      <c r="F140" s="2">
        <v>2433</v>
      </c>
      <c r="G140" s="2">
        <v>409</v>
      </c>
      <c r="H140" s="2">
        <v>0</v>
      </c>
      <c r="J140" t="str">
        <f t="shared" si="4"/>
        <v>{ name: "Hebra Headspring", landmark: "Hinox", type: "Hinox", region: 5, level: "Surface", x: -2825, y: 2433, z: 409, weight: 0, details: "" },</v>
      </c>
    </row>
    <row r="141" spans="1:10" x14ac:dyDescent="0.2">
      <c r="A141" t="s">
        <v>4130</v>
      </c>
      <c r="B141" t="s">
        <v>2996</v>
      </c>
      <c r="C141" s="2">
        <v>6</v>
      </c>
      <c r="D141" s="2" t="s">
        <v>785</v>
      </c>
      <c r="E141" s="2">
        <v>840</v>
      </c>
      <c r="F141" s="2">
        <v>3363</v>
      </c>
      <c r="G141" s="2">
        <v>207</v>
      </c>
      <c r="H141" s="2">
        <v>0</v>
      </c>
      <c r="J141" t="str">
        <f t="shared" si="4"/>
        <v>{ name: "Deplian Badlands South", landmark: "Hinox", type: "Black Hinox ", region: 6, level: "Surface", x: 840, y: 3363, z: 207, weight: 0, details: "" },</v>
      </c>
    </row>
    <row r="142" spans="1:10" x14ac:dyDescent="0.2">
      <c r="A142" t="s">
        <v>1112</v>
      </c>
      <c r="B142" t="s">
        <v>4128</v>
      </c>
      <c r="C142" s="2">
        <v>6</v>
      </c>
      <c r="D142" s="2" t="s">
        <v>785</v>
      </c>
      <c r="E142" s="2">
        <v>-407</v>
      </c>
      <c r="F142" s="2">
        <v>2011</v>
      </c>
      <c r="G142" s="2">
        <v>186</v>
      </c>
      <c r="H142" s="2">
        <v>0</v>
      </c>
      <c r="J142" t="str">
        <f t="shared" si="4"/>
        <v>{ name: "Aldor Foothills", landmark: "Hinox", type: "Hinox", region: 6, level: "Surface", x: -407, y: 2011, z: 186, weight: 0, details: "" },</v>
      </c>
    </row>
    <row r="143" spans="1:10" x14ac:dyDescent="0.2">
      <c r="A143" t="s">
        <v>4131</v>
      </c>
      <c r="B143" t="s">
        <v>4128</v>
      </c>
      <c r="C143" s="2">
        <v>6</v>
      </c>
      <c r="D143" s="2" t="s">
        <v>785</v>
      </c>
      <c r="E143" s="2">
        <v>-742</v>
      </c>
      <c r="F143" s="2">
        <v>1263</v>
      </c>
      <c r="G143" s="2">
        <v>92</v>
      </c>
      <c r="H143" s="2">
        <v>0</v>
      </c>
      <c r="J143" t="str">
        <f t="shared" si="4"/>
        <v>{ name: "Irch Plain South", landmark: "Hinox", type: "Hinox", region: 6, level: "Surface", x: -742, y: 1263, z: 92, weight: 0, details: "" },</v>
      </c>
    </row>
    <row r="144" spans="1:10" x14ac:dyDescent="0.2">
      <c r="A144" t="s">
        <v>1401</v>
      </c>
      <c r="B144" t="s">
        <v>2997</v>
      </c>
      <c r="C144" s="2">
        <v>7</v>
      </c>
      <c r="D144" s="2" t="s">
        <v>785</v>
      </c>
      <c r="E144" s="2">
        <v>2142</v>
      </c>
      <c r="F144" s="2">
        <v>3011</v>
      </c>
      <c r="G144" s="2">
        <v>435</v>
      </c>
      <c r="H144" s="2">
        <v>0</v>
      </c>
      <c r="J144" t="str">
        <f t="shared" si="4"/>
        <v>{ name: "Lake Darman", landmark: "Hinox", type: "Stalnox ", region: 7, level: "Surface", x: 2142, y: 3011, z: 435, weight: 0, details: "" },</v>
      </c>
    </row>
    <row r="145" spans="1:10" x14ac:dyDescent="0.2">
      <c r="A145" t="s">
        <v>1679</v>
      </c>
      <c r="B145" t="s">
        <v>4128</v>
      </c>
      <c r="C145" s="2">
        <v>7</v>
      </c>
      <c r="D145" s="2" t="s">
        <v>785</v>
      </c>
      <c r="E145" s="2">
        <v>1305</v>
      </c>
      <c r="F145" s="2">
        <v>910</v>
      </c>
      <c r="G145" s="2">
        <v>39</v>
      </c>
      <c r="H145" s="2">
        <v>0</v>
      </c>
      <c r="J145" t="str">
        <f t="shared" si="4"/>
        <v>{ name: "Trilby Plain", landmark: "Hinox", type: "Hinox", region: 7, level: "Surface", x: 1305, y: 910, z: 39, weight: 0, details: "" },</v>
      </c>
    </row>
    <row r="146" spans="1:10" x14ac:dyDescent="0.2">
      <c r="A146" t="s">
        <v>923</v>
      </c>
      <c r="B146" t="s">
        <v>2996</v>
      </c>
      <c r="C146" s="2">
        <v>8</v>
      </c>
      <c r="D146" s="2" t="s">
        <v>785</v>
      </c>
      <c r="E146" s="2">
        <v>4603</v>
      </c>
      <c r="F146" s="2">
        <v>3530</v>
      </c>
      <c r="G146" s="2">
        <v>-52</v>
      </c>
      <c r="H146" s="2">
        <v>0</v>
      </c>
      <c r="J146" t="str">
        <f t="shared" si="4"/>
        <v>{ name: "North Akkala Beach Cave", landmark: "Hinox", type: "Black Hinox ", region: 8, level: "Surface", x: 4603, y: 3530, z: -52, weight: 0, details: "" },</v>
      </c>
    </row>
    <row r="147" spans="1:10" x14ac:dyDescent="0.2">
      <c r="A147" t="s">
        <v>957</v>
      </c>
      <c r="B147" t="s">
        <v>2997</v>
      </c>
      <c r="C147" s="2">
        <v>8</v>
      </c>
      <c r="D147" s="2" t="s">
        <v>785</v>
      </c>
      <c r="E147" s="2">
        <v>3435</v>
      </c>
      <c r="F147" s="2">
        <v>3327</v>
      </c>
      <c r="G147" s="2">
        <v>-124</v>
      </c>
      <c r="H147" s="2">
        <v>0</v>
      </c>
      <c r="J147" t="str">
        <f t="shared" si="4"/>
        <v>{ name: "Skull Lake Cave", landmark: "Hinox", type: "Stalnox ", region: 8, level: "Surface", x: 3435, y: 3327, z: -124, weight: 0, details: "" },</v>
      </c>
    </row>
    <row r="148" spans="1:10" x14ac:dyDescent="0.2">
      <c r="A148" t="s">
        <v>4132</v>
      </c>
      <c r="B148" t="s">
        <v>2996</v>
      </c>
      <c r="C148" s="2">
        <v>8</v>
      </c>
      <c r="D148" s="2" t="s">
        <v>785</v>
      </c>
      <c r="E148" s="2">
        <v>4643</v>
      </c>
      <c r="F148" s="2">
        <v>1778</v>
      </c>
      <c r="G148" s="2">
        <v>42</v>
      </c>
      <c r="H148" s="2">
        <v>0</v>
      </c>
      <c r="J148" t="str">
        <f t="shared" si="4"/>
        <v>{ name: "Malin Bay East", landmark: "Hinox", type: "Black Hinox ", region: 8, level: "Surface", x: 4643, y: 1778, z: 42, weight: 0, details: "" },</v>
      </c>
    </row>
    <row r="149" spans="1:10" x14ac:dyDescent="0.2">
      <c r="A149" t="s">
        <v>976</v>
      </c>
      <c r="B149" t="s">
        <v>2995</v>
      </c>
      <c r="C149" s="2">
        <v>9</v>
      </c>
      <c r="D149" s="2" t="s">
        <v>785</v>
      </c>
      <c r="E149" s="2">
        <v>4435</v>
      </c>
      <c r="F149" s="2">
        <v>740</v>
      </c>
      <c r="G149" s="2">
        <v>122</v>
      </c>
      <c r="H149" s="2">
        <v>0</v>
      </c>
      <c r="J149" t="str">
        <f t="shared" si="4"/>
        <v>{ name: "Ulria Grotto East Cave", landmark: "Hinox", type: "Blue Hinox ", region: 9, level: "Surface", x: 4435, y: 740, z: 122, weight: 0, details: "" },</v>
      </c>
    </row>
    <row r="150" spans="1:10" x14ac:dyDescent="0.2">
      <c r="A150" t="s">
        <v>1595</v>
      </c>
      <c r="B150" t="s">
        <v>2995</v>
      </c>
      <c r="C150" s="2">
        <v>9</v>
      </c>
      <c r="D150" s="2" t="s">
        <v>785</v>
      </c>
      <c r="E150" s="2">
        <v>3401</v>
      </c>
      <c r="F150" s="2">
        <v>271</v>
      </c>
      <c r="G150" s="2">
        <v>256</v>
      </c>
      <c r="H150" s="2">
        <v>0</v>
      </c>
      <c r="J150" t="str">
        <f t="shared" si="4"/>
        <v>{ name: "Ruto Precipice", landmark: "Hinox", type: "Blue Hinox ", region: 9, level: "Surface", x: 3401, y: 271, z: 256, weight: 0, details: "" },</v>
      </c>
    </row>
    <row r="151" spans="1:10" x14ac:dyDescent="0.2">
      <c r="A151" t="s">
        <v>1721</v>
      </c>
      <c r="B151" t="s">
        <v>2997</v>
      </c>
      <c r="C151" s="2">
        <v>10</v>
      </c>
      <c r="D151" s="2" t="s">
        <v>785</v>
      </c>
      <c r="E151" s="2">
        <v>1434</v>
      </c>
      <c r="F151" s="2">
        <v>-137</v>
      </c>
      <c r="G151" s="2">
        <v>-1</v>
      </c>
      <c r="H151" s="2">
        <v>0</v>
      </c>
      <c r="J151" t="str">
        <f t="shared" si="4"/>
        <v>{ name: "Zauz Island Well", landmark: "Hinox", type: "Stalnox ", region: 10, level: "Surface", x: 1434, y: -137, z: -1, weight: 0, details: "" },</v>
      </c>
    </row>
    <row r="152" spans="1:10" x14ac:dyDescent="0.2">
      <c r="A152" t="s">
        <v>1453</v>
      </c>
      <c r="B152" t="s">
        <v>4128</v>
      </c>
      <c r="C152" s="2">
        <v>10</v>
      </c>
      <c r="D152" s="2" t="s">
        <v>785</v>
      </c>
      <c r="E152" s="2">
        <v>1470</v>
      </c>
      <c r="F152" s="2">
        <v>-1330</v>
      </c>
      <c r="G152" s="2">
        <v>109</v>
      </c>
      <c r="H152" s="2">
        <v>0</v>
      </c>
      <c r="J152" t="str">
        <f t="shared" si="4"/>
        <v>{ name: "Mable Ridge", landmark: "Hinox", type: "Hinox", region: 10, level: "Surface", x: 1470, y: -1330, z: 109, weight: 0, details: "" },</v>
      </c>
    </row>
    <row r="153" spans="1:10" x14ac:dyDescent="0.2">
      <c r="A153" t="s">
        <v>1538</v>
      </c>
      <c r="B153" t="s">
        <v>2997</v>
      </c>
      <c r="C153" s="2">
        <v>10</v>
      </c>
      <c r="D153" s="2" t="s">
        <v>785</v>
      </c>
      <c r="E153" s="2">
        <v>2414</v>
      </c>
      <c r="F153" s="2">
        <v>-1167</v>
      </c>
      <c r="G153" s="2">
        <v>207</v>
      </c>
      <c r="H153" s="2">
        <v>0</v>
      </c>
      <c r="J153" t="str">
        <f t="shared" si="4"/>
        <v>{ name: "Phalian Highlands", landmark: "Hinox", type: "Stalnox ", region: 10, level: "Surface", x: 2414, y: -1167, z: 207, weight: 0, details: "" },</v>
      </c>
    </row>
    <row r="154" spans="1:10" x14ac:dyDescent="0.2">
      <c r="A154" t="s">
        <v>3157</v>
      </c>
      <c r="B154" t="s">
        <v>2995</v>
      </c>
      <c r="C154" s="2">
        <v>10</v>
      </c>
      <c r="D154" s="2" t="s">
        <v>785</v>
      </c>
      <c r="E154" s="2">
        <v>1273</v>
      </c>
      <c r="F154" s="2">
        <v>-2175</v>
      </c>
      <c r="G154" s="2">
        <v>258</v>
      </c>
      <c r="H154" s="2">
        <v>0</v>
      </c>
      <c r="J154" t="str">
        <f t="shared" si="4"/>
        <v>{ name: "Dueling Peaks South", landmark: "Hinox", type: "Blue Hinox ", region: 10, level: "Surface", x: 1273, y: -2175, z: 258, weight: 0, details: "" },</v>
      </c>
    </row>
    <row r="155" spans="1:10" x14ac:dyDescent="0.2">
      <c r="A155" t="s">
        <v>4134</v>
      </c>
      <c r="B155" t="s">
        <v>2995</v>
      </c>
      <c r="C155" s="2">
        <v>11</v>
      </c>
      <c r="D155" s="2" t="s">
        <v>785</v>
      </c>
      <c r="E155" s="2">
        <v>3160</v>
      </c>
      <c r="F155" s="2">
        <v>-2596</v>
      </c>
      <c r="G155" s="2">
        <v>116</v>
      </c>
      <c r="H155" s="2">
        <v>0</v>
      </c>
      <c r="J155" t="str">
        <f t="shared" si="4"/>
        <v>{ name: "Ebon Mountain West", landmark: "Hinox", type: "Blue Hinox ", region: 11, level: "Surface", x: 3160, y: -2596, z: 116, weight: 0, details: "" },</v>
      </c>
    </row>
    <row r="156" spans="1:10" x14ac:dyDescent="0.2">
      <c r="A156" t="s">
        <v>1136</v>
      </c>
      <c r="B156" t="s">
        <v>4128</v>
      </c>
      <c r="C156" s="2">
        <v>12</v>
      </c>
      <c r="D156" s="2" t="s">
        <v>785</v>
      </c>
      <c r="E156" s="2">
        <v>2051</v>
      </c>
      <c r="F156" s="2">
        <v>-2004</v>
      </c>
      <c r="G156" s="2">
        <v>32</v>
      </c>
      <c r="H156" s="2">
        <v>0</v>
      </c>
      <c r="J156" t="str">
        <f t="shared" si="4"/>
        <v>{ name: "Blatchery Plain", landmark: "Hinox", type: "Hinox", region: 12, level: "Surface", x: 2051, y: -2004, z: 32, weight: 0, details: "" },</v>
      </c>
    </row>
    <row r="157" spans="1:10" x14ac:dyDescent="0.2">
      <c r="A157" t="s">
        <v>1320</v>
      </c>
      <c r="B157" t="s">
        <v>2997</v>
      </c>
      <c r="C157" s="2">
        <v>12</v>
      </c>
      <c r="D157" s="2" t="s">
        <v>785</v>
      </c>
      <c r="E157" s="2">
        <v>2771</v>
      </c>
      <c r="F157" s="2">
        <v>-2713</v>
      </c>
      <c r="G157" s="2">
        <v>162</v>
      </c>
      <c r="H157" s="2">
        <v>0</v>
      </c>
      <c r="J157" t="str">
        <f t="shared" si="4"/>
        <v>{ name: "Hanu Pond", landmark: "Hinox", type: "Stalnox ", region: 12, level: "Surface", x: 2771, y: -2713, z: 162, weight: 0, details: "" },</v>
      </c>
    </row>
    <row r="158" spans="1:10" x14ac:dyDescent="0.2">
      <c r="A158" t="s">
        <v>4133</v>
      </c>
      <c r="B158" t="s">
        <v>4128</v>
      </c>
      <c r="C158" s="2">
        <v>13</v>
      </c>
      <c r="D158" s="2" t="s">
        <v>785</v>
      </c>
      <c r="E158" s="2">
        <v>693</v>
      </c>
      <c r="F158" s="2">
        <v>-1081</v>
      </c>
      <c r="G158" s="2">
        <v>23</v>
      </c>
      <c r="H158" s="2">
        <v>0</v>
      </c>
      <c r="J158" t="str">
        <f t="shared" si="4"/>
        <v>{ name: "Horwell Bridge South", landmark: "Hinox", type: "Hinox", region: 13, level: "Surface", x: 693, y: -1081, z: 23, weight: 0, details: "" },</v>
      </c>
    </row>
    <row r="159" spans="1:10" x14ac:dyDescent="0.2">
      <c r="A159" t="s">
        <v>1543</v>
      </c>
      <c r="B159" t="s">
        <v>2997</v>
      </c>
      <c r="C159" s="2">
        <v>13</v>
      </c>
      <c r="D159" s="2" t="s">
        <v>785</v>
      </c>
      <c r="E159" s="2">
        <v>780</v>
      </c>
      <c r="F159" s="2">
        <v>-1954</v>
      </c>
      <c r="G159" s="2">
        <v>26</v>
      </c>
      <c r="H159" s="2">
        <v>0</v>
      </c>
      <c r="J159" t="str">
        <f t="shared" si="4"/>
        <v>{ name: "Popla Foothills", landmark: "Hinox", type: "Stalnox ", region: 13, level: "Surface", x: 780, y: -1954, z: 26, weight: 0, details: "" },</v>
      </c>
    </row>
    <row r="160" spans="1:10" x14ac:dyDescent="0.2">
      <c r="A160" t="s">
        <v>1379</v>
      </c>
      <c r="B160" t="s">
        <v>2996</v>
      </c>
      <c r="C160" s="2">
        <v>13</v>
      </c>
      <c r="D160" s="2" t="s">
        <v>785</v>
      </c>
      <c r="E160" s="2">
        <v>1562</v>
      </c>
      <c r="F160" s="2">
        <v>-2416</v>
      </c>
      <c r="G160" s="2">
        <v>201</v>
      </c>
      <c r="H160" s="2">
        <v>0</v>
      </c>
      <c r="J160" t="str">
        <f t="shared" ref="J160:J191" si="5">"{ name: "&amp;CHAR(34)&amp;A160&amp;CHAR(34)&amp;", landmark: "&amp;CHAR(34)&amp;"Hinox"&amp;CHAR(34)&amp;", type: "&amp;CHAR(34)&amp;B160&amp;CHAR(34)&amp;", region: "&amp;C160&amp;", level: "&amp;CHAR(34)&amp;D160&amp;CHAR(34)&amp;", x: "&amp;E160&amp;", y: "&amp;F160&amp;", z: "&amp;G160&amp;", weight: "&amp;H160&amp;", details: "&amp;CHAR(34)&amp;I160&amp;CHAR(34)&amp;" },"</f>
        <v>{ name: "Jia Highlands", landmark: "Hinox", type: "Black Hinox ", region: 13, level: "Surface", x: 1562, y: -2416, z: 201, weight: 0, details: "" },</v>
      </c>
    </row>
    <row r="161" spans="1:10" x14ac:dyDescent="0.2">
      <c r="A161" t="s">
        <v>1313</v>
      </c>
      <c r="B161" t="s">
        <v>2995</v>
      </c>
      <c r="C161" s="2">
        <v>13</v>
      </c>
      <c r="D161" s="2" t="s">
        <v>785</v>
      </c>
      <c r="E161" s="2">
        <v>-807</v>
      </c>
      <c r="F161" s="2">
        <v>-3019</v>
      </c>
      <c r="G161" s="2">
        <v>129</v>
      </c>
      <c r="H161" s="2">
        <v>0</v>
      </c>
      <c r="J161" t="str">
        <f t="shared" si="5"/>
        <v>{ name: "Grinnden Plains", landmark: "Hinox", type: "Blue Hinox ", region: 13, level: "Surface", x: -807, y: -3019, z: 129, weight: 0, details: "" },</v>
      </c>
    </row>
    <row r="162" spans="1:10" x14ac:dyDescent="0.2">
      <c r="A162" t="s">
        <v>4135</v>
      </c>
      <c r="B162" t="s">
        <v>2996</v>
      </c>
      <c r="C162" s="2">
        <v>13</v>
      </c>
      <c r="D162" s="2" t="s">
        <v>785</v>
      </c>
      <c r="E162" s="2">
        <v>1098</v>
      </c>
      <c r="F162" s="2">
        <v>-2872</v>
      </c>
      <c r="G162" s="2">
        <v>79</v>
      </c>
      <c r="H162" s="2">
        <v>0</v>
      </c>
      <c r="J162" t="str">
        <f t="shared" si="5"/>
        <v>{ name: "Harker Lake East", landmark: "Hinox", type: "Black Hinox ", region: 13, level: "Surface", x: 1098, y: -2872, z: 79, weight: 0, details: "" },</v>
      </c>
    </row>
    <row r="163" spans="1:10" x14ac:dyDescent="0.2">
      <c r="A163" t="s">
        <v>4136</v>
      </c>
      <c r="B163" t="s">
        <v>2995</v>
      </c>
      <c r="C163" s="2">
        <v>13</v>
      </c>
      <c r="D163" s="2" t="s">
        <v>785</v>
      </c>
      <c r="E163" s="2">
        <v>1652</v>
      </c>
      <c r="F163" s="2">
        <v>-2911</v>
      </c>
      <c r="G163" s="2">
        <v>165</v>
      </c>
      <c r="H163" s="2">
        <v>0</v>
      </c>
      <c r="J163" t="str">
        <f t="shared" si="5"/>
        <v>{ name: "The Middle Hinox Brother", landmark: "Hinox", type: "Blue Hinox ", region: 13, level: "Surface", x: 1652, y: -2911, z: 165, weight: 0, details: "" },</v>
      </c>
    </row>
    <row r="164" spans="1:10" x14ac:dyDescent="0.2">
      <c r="A164" t="s">
        <v>4137</v>
      </c>
      <c r="B164" t="s">
        <v>4128</v>
      </c>
      <c r="C164" s="2">
        <v>13</v>
      </c>
      <c r="D164" s="2" t="s">
        <v>785</v>
      </c>
      <c r="E164" s="2">
        <v>1879</v>
      </c>
      <c r="F164" s="2">
        <v>-2948</v>
      </c>
      <c r="G164" s="2">
        <v>-27</v>
      </c>
      <c r="H164" s="2">
        <v>0</v>
      </c>
      <c r="J164" t="str">
        <f t="shared" si="5"/>
        <v>{ name: "The Youngest Hinox Brother", landmark: "Hinox", type: "Hinox", region: 13, level: "Surface", x: 1879, y: -2948, z: -27, weight: 0, details: "" },</v>
      </c>
    </row>
    <row r="165" spans="1:10" x14ac:dyDescent="0.2">
      <c r="A165" t="s">
        <v>4138</v>
      </c>
      <c r="B165" t="s">
        <v>2996</v>
      </c>
      <c r="C165" s="2">
        <v>13</v>
      </c>
      <c r="D165" s="2" t="s">
        <v>785</v>
      </c>
      <c r="E165" s="2">
        <v>2025</v>
      </c>
      <c r="F165" s="2">
        <v>-3061</v>
      </c>
      <c r="G165" s="2">
        <v>106</v>
      </c>
      <c r="H165" s="2">
        <v>0</v>
      </c>
      <c r="J165" t="str">
        <f t="shared" si="5"/>
        <v>{ name: "The Eldest Hinox Brother", landmark: "Hinox", type: "Black Hinox ", region: 13, level: "Surface", x: 2025, y: -3061, z: 106, weight: 0, details: "" },</v>
      </c>
    </row>
    <row r="166" spans="1:10" x14ac:dyDescent="0.2">
      <c r="A166" t="s">
        <v>1125</v>
      </c>
      <c r="B166" t="s">
        <v>2996</v>
      </c>
      <c r="C166" s="2">
        <v>13</v>
      </c>
      <c r="D166" s="2" t="s">
        <v>785</v>
      </c>
      <c r="E166" s="2">
        <v>1687</v>
      </c>
      <c r="F166" s="2">
        <v>-3873</v>
      </c>
      <c r="G166" s="2">
        <v>15</v>
      </c>
      <c r="H166" s="2">
        <v>0</v>
      </c>
      <c r="J166" t="str">
        <f t="shared" si="5"/>
        <v>{ name: "Aris Beach", landmark: "Hinox", type: "Black Hinox ", region: 13, level: "Surface", x: 1687, y: -3873, z: 15, weight: 0, details: "" },</v>
      </c>
    </row>
    <row r="167" spans="1:10" x14ac:dyDescent="0.2">
      <c r="A167" t="s">
        <v>1053</v>
      </c>
      <c r="B167" t="s">
        <v>2996</v>
      </c>
      <c r="C167" s="2">
        <v>15</v>
      </c>
      <c r="D167" s="2" t="s">
        <v>785</v>
      </c>
      <c r="E167" s="2">
        <v>-4205</v>
      </c>
      <c r="F167" s="2">
        <v>-1292</v>
      </c>
      <c r="G167" s="2">
        <v>433</v>
      </c>
      <c r="H167" s="2">
        <v>0</v>
      </c>
      <c r="J167" t="str">
        <f t="shared" si="5"/>
        <v>{ name: "Meadela's Mantle", landmark: "Hinox", type: "Black Hinox ", region: 15, level: "Surface", x: -4205, y: -1292, z: 433, weight: 0, details: "" },</v>
      </c>
    </row>
    <row r="168" spans="1:10" x14ac:dyDescent="0.2">
      <c r="A168" t="s">
        <v>4139</v>
      </c>
      <c r="B168" t="s">
        <v>2997</v>
      </c>
      <c r="C168" s="2">
        <v>1</v>
      </c>
      <c r="D168" s="2" t="s">
        <v>994</v>
      </c>
      <c r="E168" s="2">
        <v>-1093</v>
      </c>
      <c r="F168" s="2">
        <v>47</v>
      </c>
      <c r="G168" s="2">
        <v>-465</v>
      </c>
      <c r="H168" s="2">
        <v>0</v>
      </c>
      <c r="J168" t="str">
        <f t="shared" si="5"/>
        <v>{ name: "Central Hyrule Depths #01", landmark: "Hinox", type: "Stalnox ", region: 1, level: "Depths", x: -1093, y: 47, z: -465, weight: 0, details: "" },</v>
      </c>
    </row>
    <row r="169" spans="1:10" x14ac:dyDescent="0.2">
      <c r="A169" t="s">
        <v>4140</v>
      </c>
      <c r="B169" t="s">
        <v>4128</v>
      </c>
      <c r="C169" s="2">
        <v>1</v>
      </c>
      <c r="D169" s="2" t="s">
        <v>994</v>
      </c>
      <c r="E169" s="2">
        <v>366</v>
      </c>
      <c r="F169" s="2">
        <v>-7</v>
      </c>
      <c r="G169" s="2">
        <v>-456</v>
      </c>
      <c r="H169" s="2">
        <v>0</v>
      </c>
      <c r="J169" t="str">
        <f t="shared" si="5"/>
        <v>{ name: "Central Hyrule Depths #02", landmark: "Hinox", type: "Hinox", region: 1, level: "Depths", x: 366, y: -7, z: -456, weight: 0, details: "" },</v>
      </c>
    </row>
    <row r="170" spans="1:10" x14ac:dyDescent="0.2">
      <c r="A170" t="s">
        <v>4141</v>
      </c>
      <c r="B170" t="s">
        <v>2997</v>
      </c>
      <c r="C170" s="2">
        <v>1</v>
      </c>
      <c r="D170" s="2" t="s">
        <v>994</v>
      </c>
      <c r="E170" s="2">
        <v>-1177</v>
      </c>
      <c r="F170" s="2">
        <v>-115</v>
      </c>
      <c r="G170" s="2">
        <v>-466</v>
      </c>
      <c r="H170" s="2">
        <v>0</v>
      </c>
      <c r="J170" t="str">
        <f t="shared" si="5"/>
        <v>{ name: "Central Hyrule Depths #03", landmark: "Hinox", type: "Stalnox ", region: 1, level: "Depths", x: -1177, y: -115, z: -466, weight: 0, details: "" },</v>
      </c>
    </row>
    <row r="171" spans="1:10" x14ac:dyDescent="0.2">
      <c r="A171" t="s">
        <v>4091</v>
      </c>
      <c r="B171" t="s">
        <v>4128</v>
      </c>
      <c r="C171" s="2">
        <v>2</v>
      </c>
      <c r="D171" s="2" t="s">
        <v>994</v>
      </c>
      <c r="E171" s="2">
        <v>-1070</v>
      </c>
      <c r="F171" s="2">
        <v>-821</v>
      </c>
      <c r="G171" s="2">
        <v>-458</v>
      </c>
      <c r="H171" s="2">
        <v>0</v>
      </c>
      <c r="J171" t="str">
        <f t="shared" si="5"/>
        <v>{ name: "South Hyrule Field Depths #01", landmark: "Hinox", type: "Hinox", region: 2, level: "Depths", x: -1070, y: -821, z: -458, weight: 0, details: "" },</v>
      </c>
    </row>
    <row r="172" spans="1:10" x14ac:dyDescent="0.2">
      <c r="A172" t="s">
        <v>4092</v>
      </c>
      <c r="B172" t="s">
        <v>4128</v>
      </c>
      <c r="C172" s="2">
        <v>2</v>
      </c>
      <c r="D172" s="2" t="s">
        <v>994</v>
      </c>
      <c r="E172" s="2">
        <v>46</v>
      </c>
      <c r="F172" s="2">
        <v>-1335</v>
      </c>
      <c r="G172" s="2">
        <v>-446</v>
      </c>
      <c r="H172" s="2">
        <v>0</v>
      </c>
      <c r="J172" t="str">
        <f t="shared" si="5"/>
        <v>{ name: "South Hyrule Field Depths #02", landmark: "Hinox", type: "Hinox", region: 2, level: "Depths", x: 46, y: -1335, z: -446, weight: 0, details: "" },</v>
      </c>
    </row>
    <row r="173" spans="1:10" x14ac:dyDescent="0.2">
      <c r="A173" t="s">
        <v>4094</v>
      </c>
      <c r="B173" t="s">
        <v>2997</v>
      </c>
      <c r="C173" s="2">
        <v>3</v>
      </c>
      <c r="D173" s="2" t="s">
        <v>994</v>
      </c>
      <c r="E173" s="2">
        <v>-3793</v>
      </c>
      <c r="F173" s="2">
        <v>1557</v>
      </c>
      <c r="G173" s="2">
        <v>-568</v>
      </c>
      <c r="H173" s="2">
        <v>0</v>
      </c>
      <c r="J173" t="str">
        <f t="shared" si="5"/>
        <v>{ name: "Hyrule Ridge Depths #01", landmark: "Hinox", type: "Stalnox ", region: 3, level: "Depths", x: -3793, y: 1557, z: -568, weight: 0, details: "" },</v>
      </c>
    </row>
    <row r="174" spans="1:10" x14ac:dyDescent="0.2">
      <c r="A174" t="s">
        <v>4095</v>
      </c>
      <c r="B174" t="s">
        <v>2995</v>
      </c>
      <c r="C174" s="2">
        <v>3</v>
      </c>
      <c r="D174" s="2" t="s">
        <v>994</v>
      </c>
      <c r="E174" s="2">
        <v>-2736</v>
      </c>
      <c r="F174" s="2">
        <v>1334</v>
      </c>
      <c r="G174" s="2">
        <v>-586</v>
      </c>
      <c r="H174" s="2">
        <v>0</v>
      </c>
      <c r="J174" t="str">
        <f t="shared" si="5"/>
        <v>{ name: "Hyrule Ridge Depths #02", landmark: "Hinox", type: "Blue Hinox ", region: 3, level: "Depths", x: -2736, y: 1334, z: -586, weight: 0, details: "" },</v>
      </c>
    </row>
    <row r="175" spans="1:10" x14ac:dyDescent="0.2">
      <c r="A175" t="s">
        <v>4142</v>
      </c>
      <c r="B175" t="s">
        <v>2996</v>
      </c>
      <c r="C175" s="2">
        <v>4</v>
      </c>
      <c r="D175" s="2" t="s">
        <v>994</v>
      </c>
      <c r="E175" s="2">
        <v>-3655</v>
      </c>
      <c r="F175" s="2">
        <v>3806</v>
      </c>
      <c r="G175" s="2">
        <v>-654</v>
      </c>
      <c r="H175" s="2">
        <v>0</v>
      </c>
      <c r="J175" t="str">
        <f t="shared" si="5"/>
        <v>{ name: "North Hebra Depths", landmark: "Hinox", type: "Black Hinox ", region: 4, level: "Depths", x: -3655, y: 3806, z: -654, weight: 0, details: "" },</v>
      </c>
    </row>
    <row r="176" spans="1:10" x14ac:dyDescent="0.2">
      <c r="A176" t="s">
        <v>4143</v>
      </c>
      <c r="B176" t="s">
        <v>2996</v>
      </c>
      <c r="C176" s="2">
        <v>5</v>
      </c>
      <c r="D176" s="2" t="s">
        <v>994</v>
      </c>
      <c r="E176" s="2">
        <v>-2783</v>
      </c>
      <c r="F176" s="2">
        <v>2031</v>
      </c>
      <c r="G176" s="2">
        <v>-732</v>
      </c>
      <c r="H176" s="2">
        <v>0</v>
      </c>
      <c r="J176" t="str">
        <f t="shared" si="5"/>
        <v>{ name: "Tabantha Tundra South Depths", landmark: "Hinox", type: "Black Hinox ", region: 5, level: "Depths", x: -2783, y: 2031, z: -732, weight: 0, details: "" },</v>
      </c>
    </row>
    <row r="177" spans="1:10" x14ac:dyDescent="0.2">
      <c r="A177" t="s">
        <v>4102</v>
      </c>
      <c r="B177" t="s">
        <v>2997</v>
      </c>
      <c r="C177" s="2">
        <v>6</v>
      </c>
      <c r="D177" s="2" t="s">
        <v>994</v>
      </c>
      <c r="E177" s="2">
        <v>913</v>
      </c>
      <c r="F177" s="2">
        <v>2908</v>
      </c>
      <c r="G177" s="2">
        <v>-653</v>
      </c>
      <c r="H177" s="2">
        <v>0</v>
      </c>
      <c r="J177" t="str">
        <f t="shared" si="5"/>
        <v>{ name: "Great Hyrule Forest Depths #01", landmark: "Hinox", type: "Stalnox ", region: 6, level: "Depths", x: 913, y: 2908, z: -653, weight: 0, details: "" },</v>
      </c>
    </row>
    <row r="178" spans="1:10" x14ac:dyDescent="0.2">
      <c r="A178" t="s">
        <v>4103</v>
      </c>
      <c r="B178" t="s">
        <v>2996</v>
      </c>
      <c r="C178" s="2">
        <v>6</v>
      </c>
      <c r="D178" s="2" t="s">
        <v>994</v>
      </c>
      <c r="E178" s="2">
        <v>-146</v>
      </c>
      <c r="F178" s="2">
        <v>2382</v>
      </c>
      <c r="G178" s="2">
        <v>-598</v>
      </c>
      <c r="H178" s="2">
        <v>0</v>
      </c>
      <c r="J178" t="str">
        <f t="shared" si="5"/>
        <v>{ name: "Great Hyrule Forest Depths #02", landmark: "Hinox", type: "Black Hinox ", region: 6, level: "Depths", x: -146, y: 2382, z: -598, weight: 0, details: "" },</v>
      </c>
    </row>
    <row r="179" spans="1:10" x14ac:dyDescent="0.2">
      <c r="A179" t="s">
        <v>4080</v>
      </c>
      <c r="B179" t="s">
        <v>2997</v>
      </c>
      <c r="C179" s="2">
        <v>7</v>
      </c>
      <c r="D179" s="2" t="s">
        <v>994</v>
      </c>
      <c r="E179" s="2">
        <v>2138</v>
      </c>
      <c r="F179" s="2">
        <v>3008</v>
      </c>
      <c r="G179" s="2">
        <v>-846</v>
      </c>
      <c r="H179" s="2">
        <v>0</v>
      </c>
      <c r="J179" t="str">
        <f t="shared" si="5"/>
        <v>{ name: "Death Mountain Depths", landmark: "Hinox", type: "Stalnox ", region: 7, level: "Depths", x: 2138, y: 3008, z: -846, weight: 0, details: "" },</v>
      </c>
    </row>
    <row r="180" spans="1:10" x14ac:dyDescent="0.2">
      <c r="A180" t="s">
        <v>4082</v>
      </c>
      <c r="B180" t="s">
        <v>2995</v>
      </c>
      <c r="C180" s="2">
        <v>7</v>
      </c>
      <c r="D180" s="2" t="s">
        <v>994</v>
      </c>
      <c r="E180" s="2">
        <v>1305</v>
      </c>
      <c r="F180" s="2">
        <v>910</v>
      </c>
      <c r="G180" s="2">
        <v>-459</v>
      </c>
      <c r="H180" s="2">
        <v>0</v>
      </c>
      <c r="J180" t="str">
        <f t="shared" si="5"/>
        <v>{ name: "Eldin Depths", landmark: "Hinox", type: "Blue Hinox ", region: 7, level: "Depths", x: 1305, y: 910, z: -459, weight: 0, details: "" },</v>
      </c>
    </row>
    <row r="181" spans="1:10" x14ac:dyDescent="0.2">
      <c r="A181" t="s">
        <v>4144</v>
      </c>
      <c r="B181" t="s">
        <v>2997</v>
      </c>
      <c r="C181" s="2">
        <v>8</v>
      </c>
      <c r="D181" s="2" t="s">
        <v>994</v>
      </c>
      <c r="E181" s="2">
        <v>3257</v>
      </c>
      <c r="F181" s="2">
        <v>3445</v>
      </c>
      <c r="G181" s="2">
        <v>-411</v>
      </c>
      <c r="H181" s="2">
        <v>0</v>
      </c>
      <c r="J181" t="str">
        <f t="shared" si="5"/>
        <v>{ name: "Skull Lake Depths", landmark: "Hinox", type: "Stalnox ", region: 8, level: "Depths", x: 3257, y: 3445, z: -411, weight: 0, details: "" },</v>
      </c>
    </row>
    <row r="182" spans="1:10" x14ac:dyDescent="0.2">
      <c r="A182" t="s">
        <v>4145</v>
      </c>
      <c r="B182" t="s">
        <v>2996</v>
      </c>
      <c r="C182" s="2">
        <v>8</v>
      </c>
      <c r="D182" s="2" t="s">
        <v>994</v>
      </c>
      <c r="E182" s="2">
        <v>4643</v>
      </c>
      <c r="F182" s="2">
        <v>1778</v>
      </c>
      <c r="G182" s="2">
        <v>-462</v>
      </c>
      <c r="H182" s="2">
        <v>0</v>
      </c>
      <c r="J182" t="str">
        <f t="shared" si="5"/>
        <v>{ name: "South Akkala Depths", landmark: "Hinox", type: "Black Hinox ", region: 8, level: "Depths", x: 4643, y: 1778, z: -462, weight: 0, details: "" },</v>
      </c>
    </row>
    <row r="183" spans="1:10" x14ac:dyDescent="0.2">
      <c r="A183" t="s">
        <v>4106</v>
      </c>
      <c r="B183" t="s">
        <v>2997</v>
      </c>
      <c r="C183" s="2">
        <v>10</v>
      </c>
      <c r="D183" s="2" t="s">
        <v>994</v>
      </c>
      <c r="E183" s="2">
        <v>2244</v>
      </c>
      <c r="F183" s="2">
        <v>-1134</v>
      </c>
      <c r="G183" s="2">
        <v>-656</v>
      </c>
      <c r="H183" s="2">
        <v>0</v>
      </c>
      <c r="J183" t="str">
        <f t="shared" si="5"/>
        <v>{ name: "Lanayru Wetlands Depths #01", landmark: "Hinox", type: "Stalnox ", region: 10, level: "Depths", x: 2244, y: -1134, z: -656, weight: 0, details: "" },</v>
      </c>
    </row>
    <row r="184" spans="1:10" x14ac:dyDescent="0.2">
      <c r="A184" t="s">
        <v>4107</v>
      </c>
      <c r="B184" t="s">
        <v>2996</v>
      </c>
      <c r="C184" s="2">
        <v>10</v>
      </c>
      <c r="D184" s="2" t="s">
        <v>994</v>
      </c>
      <c r="E184" s="2">
        <v>1470</v>
      </c>
      <c r="F184" s="2">
        <v>-1330</v>
      </c>
      <c r="G184" s="2">
        <v>-528</v>
      </c>
      <c r="H184" s="2">
        <v>0</v>
      </c>
      <c r="J184" t="str">
        <f t="shared" si="5"/>
        <v>{ name: "Lanayru Wetlands Depths #02", landmark: "Hinox", type: "Black Hinox ", region: 10, level: "Depths", x: 1470, y: -1330, z: -528, weight: 0, details: "" },</v>
      </c>
    </row>
    <row r="185" spans="1:10" x14ac:dyDescent="0.2">
      <c r="A185" t="s">
        <v>4147</v>
      </c>
      <c r="B185" t="s">
        <v>2996</v>
      </c>
      <c r="C185" s="2">
        <v>12</v>
      </c>
      <c r="D185" s="2" t="s">
        <v>994</v>
      </c>
      <c r="E185" s="2">
        <v>2051</v>
      </c>
      <c r="F185" s="2">
        <v>-2004</v>
      </c>
      <c r="G185" s="2">
        <v>-452</v>
      </c>
      <c r="H185" s="2">
        <v>0</v>
      </c>
      <c r="J185" t="str">
        <f t="shared" si="5"/>
        <v>{ name: "East Necluda Depths #01", landmark: "Hinox", type: "Black Hinox ", region: 12, level: "Depths", x: 2051, y: -2004, z: -452, weight: 0, details: "" },</v>
      </c>
    </row>
    <row r="186" spans="1:10" x14ac:dyDescent="0.2">
      <c r="A186" t="s">
        <v>4146</v>
      </c>
      <c r="B186" t="s">
        <v>2997</v>
      </c>
      <c r="C186" s="2">
        <v>12</v>
      </c>
      <c r="D186" s="2" t="s">
        <v>994</v>
      </c>
      <c r="E186" s="2">
        <v>2875</v>
      </c>
      <c r="F186" s="2">
        <v>-2405</v>
      </c>
      <c r="G186" s="2">
        <v>-548</v>
      </c>
      <c r="H186" s="2">
        <v>0</v>
      </c>
      <c r="J186" t="str">
        <f t="shared" si="5"/>
        <v>{ name: "East Necluda Depths #02", landmark: "Hinox", type: "Stalnox ", region: 12, level: "Depths", x: 2875, y: -2405, z: -548, weight: 0, details: "" },</v>
      </c>
    </row>
    <row r="187" spans="1:10" x14ac:dyDescent="0.2">
      <c r="A187" t="s">
        <v>4111</v>
      </c>
      <c r="B187" t="s">
        <v>2997</v>
      </c>
      <c r="C187" s="2">
        <v>13</v>
      </c>
      <c r="D187" s="2" t="s">
        <v>994</v>
      </c>
      <c r="E187" s="2">
        <v>779</v>
      </c>
      <c r="F187" s="2">
        <v>-1956</v>
      </c>
      <c r="G187" s="2">
        <v>-446</v>
      </c>
      <c r="H187" s="2">
        <v>0</v>
      </c>
      <c r="J187" t="str">
        <f t="shared" si="5"/>
        <v>{ name: "Faron Depths #01", landmark: "Hinox", type: "Stalnox ", region: 13, level: "Depths", x: 779, y: -1956, z: -446, weight: 0, details: "" },</v>
      </c>
    </row>
    <row r="188" spans="1:10" x14ac:dyDescent="0.2">
      <c r="A188" t="s">
        <v>4112</v>
      </c>
      <c r="B188" t="s">
        <v>2995</v>
      </c>
      <c r="C188" s="2">
        <v>13</v>
      </c>
      <c r="D188" s="2" t="s">
        <v>994</v>
      </c>
      <c r="E188" s="2">
        <v>1562</v>
      </c>
      <c r="F188" s="2">
        <v>-2416</v>
      </c>
      <c r="G188" s="2">
        <v>-617</v>
      </c>
      <c r="H188" s="2">
        <v>0</v>
      </c>
      <c r="J188" t="str">
        <f t="shared" si="5"/>
        <v>{ name: "Faron Depths #02", landmark: "Hinox", type: "Blue Hinox ", region: 13, level: "Depths", x: 1562, y: -2416, z: -617, weight: 0, details: "" },</v>
      </c>
    </row>
    <row r="189" spans="1:10" x14ac:dyDescent="0.2">
      <c r="A189" t="s">
        <v>4148</v>
      </c>
      <c r="B189" t="s">
        <v>2995</v>
      </c>
      <c r="C189" s="2">
        <v>13</v>
      </c>
      <c r="D189" s="2" t="s">
        <v>994</v>
      </c>
      <c r="E189" s="2">
        <v>1213</v>
      </c>
      <c r="F189" s="2">
        <v>-2672</v>
      </c>
      <c r="G189" s="2">
        <v>-571</v>
      </c>
      <c r="H189" s="2">
        <v>0</v>
      </c>
      <c r="J189" t="str">
        <f t="shared" si="5"/>
        <v>{ name: "Faron Depths #03", landmark: "Hinox", type: "Blue Hinox ", region: 13, level: "Depths", x: 1213, y: -2672, z: -571, weight: 0, details: "" },</v>
      </c>
    </row>
    <row r="190" spans="1:10" x14ac:dyDescent="0.2">
      <c r="A190" t="s">
        <v>4149</v>
      </c>
      <c r="B190" t="s">
        <v>2995</v>
      </c>
      <c r="C190" s="2">
        <v>13</v>
      </c>
      <c r="D190" s="2" t="s">
        <v>994</v>
      </c>
      <c r="E190" s="2">
        <v>1098</v>
      </c>
      <c r="F190" s="2">
        <v>-2872</v>
      </c>
      <c r="G190" s="2">
        <v>-495</v>
      </c>
      <c r="H190" s="2">
        <v>0</v>
      </c>
      <c r="J190" t="str">
        <f t="shared" si="5"/>
        <v>{ name: "Faron Depths #04", landmark: "Hinox", type: "Blue Hinox ", region: 13, level: "Depths", x: 1098, y: -2872, z: -495, weight: 0, details: "" },</v>
      </c>
    </row>
    <row r="191" spans="1:10" x14ac:dyDescent="0.2">
      <c r="A191" t="s">
        <v>4150</v>
      </c>
      <c r="B191" t="s">
        <v>2995</v>
      </c>
      <c r="C191" s="2">
        <v>13</v>
      </c>
      <c r="D191" s="2" t="s">
        <v>994</v>
      </c>
      <c r="E191" s="2">
        <v>1652</v>
      </c>
      <c r="F191" s="2">
        <v>-2911</v>
      </c>
      <c r="G191" s="2">
        <v>-683</v>
      </c>
      <c r="H191" s="2">
        <v>0</v>
      </c>
      <c r="J191" t="str">
        <f t="shared" si="5"/>
        <v>{ name: "Faron Depths #05", landmark: "Hinox", type: "Blue Hinox ", region: 13, level: "Depths", x: 1652, y: -2911, z: -683, weight: 0, details: "" },</v>
      </c>
    </row>
    <row r="192" spans="1:10" x14ac:dyDescent="0.2">
      <c r="A192" t="s">
        <v>4151</v>
      </c>
      <c r="B192" t="s">
        <v>2996</v>
      </c>
      <c r="C192" s="2">
        <v>13</v>
      </c>
      <c r="D192" s="2" t="s">
        <v>994</v>
      </c>
      <c r="E192" s="2">
        <v>1687</v>
      </c>
      <c r="F192" s="2">
        <v>-3873</v>
      </c>
      <c r="G192" s="2">
        <v>-436</v>
      </c>
      <c r="H192" s="2">
        <v>0</v>
      </c>
      <c r="J192" t="str">
        <f t="shared" ref="J192:J196" si="6">"{ name: "&amp;CHAR(34)&amp;A192&amp;CHAR(34)&amp;", landmark: "&amp;CHAR(34)&amp;"Hinox"&amp;CHAR(34)&amp;", type: "&amp;CHAR(34)&amp;B192&amp;CHAR(34)&amp;", region: "&amp;C192&amp;", level: "&amp;CHAR(34)&amp;D192&amp;CHAR(34)&amp;", x: "&amp;E192&amp;", y: "&amp;F192&amp;", z: "&amp;G192&amp;", weight: "&amp;H192&amp;", details: "&amp;CHAR(34)&amp;I192&amp;CHAR(34)&amp;" },"</f>
        <v>{ name: "Faron Depths #06", landmark: "Hinox", type: "Black Hinox ", region: 13, level: "Depths", x: 1687, y: -3873, z: -436, weight: 0, details: "" },</v>
      </c>
    </row>
    <row r="193" spans="1:10" x14ac:dyDescent="0.2">
      <c r="A193" t="s">
        <v>4154</v>
      </c>
      <c r="B193" t="s">
        <v>4128</v>
      </c>
      <c r="C193" s="2">
        <v>14</v>
      </c>
      <c r="D193" s="2" t="s">
        <v>994</v>
      </c>
      <c r="E193" s="2">
        <v>-1439</v>
      </c>
      <c r="F193" s="2">
        <v>-2366</v>
      </c>
      <c r="G193" s="2">
        <v>-535</v>
      </c>
      <c r="H193" s="2">
        <v>0</v>
      </c>
      <c r="J193" t="str">
        <f t="shared" si="6"/>
        <v>{ name: "Gerudo Canyon Depths", landmark: "Hinox", type: "Hinox", region: 14, level: "Depths", x: -1439, y: -2366, z: -535, weight: 0, details: "" },</v>
      </c>
    </row>
    <row r="194" spans="1:10" x14ac:dyDescent="0.2">
      <c r="A194" t="s">
        <v>4152</v>
      </c>
      <c r="B194" t="s">
        <v>2995</v>
      </c>
      <c r="C194" s="2">
        <v>14</v>
      </c>
      <c r="D194" s="2" t="s">
        <v>994</v>
      </c>
      <c r="E194" s="2">
        <v>-4325</v>
      </c>
      <c r="F194" s="2">
        <v>-3465</v>
      </c>
      <c r="G194" s="2">
        <v>-457</v>
      </c>
      <c r="H194" s="2">
        <v>0</v>
      </c>
      <c r="J194" t="str">
        <f t="shared" si="6"/>
        <v>{ name: "Gerudo Depths #01", landmark: "Hinox", type: "Blue Hinox ", region: 14, level: "Depths", x: -4325, y: -3465, z: -457, weight: 0, details: "" },</v>
      </c>
    </row>
    <row r="195" spans="1:10" x14ac:dyDescent="0.2">
      <c r="A195" t="s">
        <v>4153</v>
      </c>
      <c r="B195" t="s">
        <v>2997</v>
      </c>
      <c r="C195" s="2">
        <v>14</v>
      </c>
      <c r="D195" s="2" t="s">
        <v>994</v>
      </c>
      <c r="E195" s="2">
        <v>-3571</v>
      </c>
      <c r="F195" s="2">
        <v>-3555</v>
      </c>
      <c r="G195" s="2">
        <v>-448</v>
      </c>
      <c r="H195" s="2">
        <v>0</v>
      </c>
      <c r="J195" t="str">
        <f t="shared" si="6"/>
        <v>{ name: "Gerudo Depths #02", landmark: "Hinox", type: "Stalnox ", region: 14, level: "Depths", x: -3571, y: -3555, z: -448, weight: 0, details: "" },</v>
      </c>
    </row>
    <row r="196" spans="1:10" x14ac:dyDescent="0.2">
      <c r="A196" t="s">
        <v>4090</v>
      </c>
      <c r="B196" t="s">
        <v>2996</v>
      </c>
      <c r="C196" s="2">
        <v>15</v>
      </c>
      <c r="D196" s="2" t="s">
        <v>994</v>
      </c>
      <c r="E196" s="2">
        <v>-4205</v>
      </c>
      <c r="F196" s="2">
        <v>-1292</v>
      </c>
      <c r="G196" s="2">
        <v>-844</v>
      </c>
      <c r="H196" s="2">
        <v>0</v>
      </c>
      <c r="J196" t="str">
        <f t="shared" si="6"/>
        <v>{ name: "Gerudo Highlands Depths", landmark: "Hinox", type: "Black Hinox ", region: 15, level: "Depths", x: -4205, y: -1292, z: -844, weight: 0, details: "" },</v>
      </c>
    </row>
    <row r="198" spans="1:10" x14ac:dyDescent="0.2">
      <c r="A198" s="6" t="s">
        <v>781</v>
      </c>
      <c r="B198" s="6" t="s">
        <v>2083</v>
      </c>
      <c r="C198" s="4" t="s">
        <v>2074</v>
      </c>
      <c r="D198" s="4" t="s">
        <v>777</v>
      </c>
      <c r="E198" s="4" t="s">
        <v>778</v>
      </c>
      <c r="F198" s="4" t="s">
        <v>779</v>
      </c>
      <c r="G198" s="4" t="s">
        <v>780</v>
      </c>
      <c r="H198" s="4" t="s">
        <v>2837</v>
      </c>
      <c r="I198" s="6" t="s">
        <v>2081</v>
      </c>
      <c r="J198" s="6" t="s">
        <v>2075</v>
      </c>
    </row>
    <row r="199" spans="1:10" x14ac:dyDescent="0.2">
      <c r="A199" t="s">
        <v>4139</v>
      </c>
      <c r="B199" t="s">
        <v>2999</v>
      </c>
      <c r="C199" s="2">
        <v>1</v>
      </c>
      <c r="D199" s="2" t="s">
        <v>994</v>
      </c>
      <c r="E199" s="2">
        <v>-764</v>
      </c>
      <c r="F199" s="2">
        <v>833</v>
      </c>
      <c r="G199" s="2">
        <v>-444</v>
      </c>
      <c r="H199" s="2">
        <v>0</v>
      </c>
      <c r="J199" t="str">
        <f t="shared" ref="J199:J238" si="7">"{ name: "&amp;CHAR(34)&amp;A199&amp;CHAR(34)&amp;", landmark: "&amp;CHAR(34)&amp;"Frox"&amp;CHAR(34)&amp;", type: "&amp;CHAR(34)&amp;B199&amp;CHAR(34)&amp;", region: "&amp;C199&amp;", level: "&amp;CHAR(34)&amp;D199&amp;CHAR(34)&amp;", x: "&amp;E199&amp;", y: "&amp;F199&amp;", z: "&amp;G199&amp;", weight: "&amp;H199&amp;", details: "&amp;CHAR(34)&amp;I199&amp;CHAR(34)&amp;" },"</f>
        <v>{ name: "Central Hyrule Depths #01", landmark: "Frox", type: "Blue-White Frox ", region: 1, level: "Depths", x: -764, y: 833, z: -444, weight: 0, details: "" },</v>
      </c>
    </row>
    <row r="200" spans="1:10" x14ac:dyDescent="0.2">
      <c r="A200" t="s">
        <v>4140</v>
      </c>
      <c r="B200" t="s">
        <v>2999</v>
      </c>
      <c r="C200" s="2">
        <v>1</v>
      </c>
      <c r="D200" s="2" t="s">
        <v>994</v>
      </c>
      <c r="E200" s="2">
        <v>204</v>
      </c>
      <c r="F200" s="2">
        <v>890</v>
      </c>
      <c r="G200" s="2">
        <v>-452</v>
      </c>
      <c r="H200" s="2">
        <v>0</v>
      </c>
      <c r="J200" t="str">
        <f t="shared" si="7"/>
        <v>{ name: "Central Hyrule Depths #02", landmark: "Frox", type: "Blue-White Frox ", region: 1, level: "Depths", x: 204, y: 890, z: -452, weight: 0, details: "" },</v>
      </c>
    </row>
    <row r="201" spans="1:10" x14ac:dyDescent="0.2">
      <c r="A201" t="s">
        <v>4141</v>
      </c>
      <c r="B201" t="s">
        <v>4155</v>
      </c>
      <c r="C201" s="2">
        <v>1</v>
      </c>
      <c r="D201" s="2" t="s">
        <v>994</v>
      </c>
      <c r="E201" s="2">
        <v>-572</v>
      </c>
      <c r="F201" s="2">
        <v>223</v>
      </c>
      <c r="G201" s="2">
        <v>-444</v>
      </c>
      <c r="H201" s="2">
        <v>0</v>
      </c>
      <c r="J201" t="str">
        <f t="shared" si="7"/>
        <v>{ name: "Central Hyrule Depths #03", landmark: "Frox", type: "Frox", region: 1, level: "Depths", x: -572, y: 223, z: -444, weight: 0, details: "" },</v>
      </c>
    </row>
    <row r="202" spans="1:10" x14ac:dyDescent="0.2">
      <c r="A202" t="s">
        <v>4091</v>
      </c>
      <c r="B202" t="s">
        <v>2998</v>
      </c>
      <c r="C202" s="2">
        <v>2</v>
      </c>
      <c r="D202" s="2" t="s">
        <v>994</v>
      </c>
      <c r="E202" s="2">
        <v>-1619</v>
      </c>
      <c r="F202" s="2">
        <v>-395</v>
      </c>
      <c r="G202" s="2">
        <v>-478</v>
      </c>
      <c r="H202" s="2">
        <v>0</v>
      </c>
      <c r="J202" t="str">
        <f t="shared" si="7"/>
        <v>{ name: "South Hyrule Field Depths #01", landmark: "Frox", type: "Obsidian Frox ", region: 2, level: "Depths", x: -1619, y: -395, z: -478, weight: 0, details: "" },</v>
      </c>
    </row>
    <row r="203" spans="1:10" x14ac:dyDescent="0.2">
      <c r="A203" t="s">
        <v>4092</v>
      </c>
      <c r="B203" t="s">
        <v>4155</v>
      </c>
      <c r="C203" s="2">
        <v>2</v>
      </c>
      <c r="D203" s="2" t="s">
        <v>994</v>
      </c>
      <c r="E203" s="2">
        <v>177</v>
      </c>
      <c r="F203" s="2">
        <v>-863</v>
      </c>
      <c r="G203" s="2">
        <v>-456</v>
      </c>
      <c r="H203" s="2">
        <v>0</v>
      </c>
      <c r="J203" t="str">
        <f t="shared" si="7"/>
        <v>{ name: "South Hyrule Field Depths #02", landmark: "Frox", type: "Frox", region: 2, level: "Depths", x: 177, y: -863, z: -456, weight: 0, details: "" },</v>
      </c>
    </row>
    <row r="204" spans="1:10" x14ac:dyDescent="0.2">
      <c r="A204" t="s">
        <v>4093</v>
      </c>
      <c r="B204" t="s">
        <v>4155</v>
      </c>
      <c r="C204" s="2">
        <v>2</v>
      </c>
      <c r="D204" s="2" t="s">
        <v>994</v>
      </c>
      <c r="E204" s="2">
        <v>-794</v>
      </c>
      <c r="F204" s="2">
        <v>-1089</v>
      </c>
      <c r="G204" s="2">
        <v>-449</v>
      </c>
      <c r="H204" s="2">
        <v>0</v>
      </c>
      <c r="J204" t="str">
        <f t="shared" si="7"/>
        <v>{ name: "South Hyrule Field Depths #03", landmark: "Frox", type: "Frox", region: 2, level: "Depths", x: -794, y: -1089, z: -449, weight: 0, details: "" },</v>
      </c>
    </row>
    <row r="205" spans="1:10" x14ac:dyDescent="0.2">
      <c r="A205" t="s">
        <v>4156</v>
      </c>
      <c r="B205" t="s">
        <v>4155</v>
      </c>
      <c r="C205" s="2">
        <v>2</v>
      </c>
      <c r="D205" s="2" t="s">
        <v>994</v>
      </c>
      <c r="E205" s="2">
        <v>-293</v>
      </c>
      <c r="F205" s="2">
        <v>-1814</v>
      </c>
      <c r="G205" s="2">
        <v>-441</v>
      </c>
      <c r="H205" s="2">
        <v>0</v>
      </c>
      <c r="J205" t="str">
        <f t="shared" si="7"/>
        <v>{ name: "South Hyrule Field Depths #04", landmark: "Frox", type: "Frox", region: 2, level: "Depths", x: -293, y: -1814, z: -441, weight: 0, details: "" },</v>
      </c>
    </row>
    <row r="206" spans="1:10" x14ac:dyDescent="0.2">
      <c r="A206" t="s">
        <v>4094</v>
      </c>
      <c r="B206" t="s">
        <v>2998</v>
      </c>
      <c r="C206" s="2">
        <v>3</v>
      </c>
      <c r="D206" s="2" t="s">
        <v>994</v>
      </c>
      <c r="E206" s="2">
        <v>-875</v>
      </c>
      <c r="F206" s="2">
        <v>1742</v>
      </c>
      <c r="G206" s="2">
        <v>-523</v>
      </c>
      <c r="H206" s="2">
        <v>0</v>
      </c>
      <c r="J206" t="str">
        <f t="shared" si="7"/>
        <v>{ name: "Hyrule Ridge Depths #01", landmark: "Frox", type: "Obsidian Frox ", region: 3, level: "Depths", x: -875, y: 1742, z: -523, weight: 0, details: "" },</v>
      </c>
    </row>
    <row r="207" spans="1:10" x14ac:dyDescent="0.2">
      <c r="A207" t="s">
        <v>4095</v>
      </c>
      <c r="B207" t="s">
        <v>2999</v>
      </c>
      <c r="C207" s="2">
        <v>3</v>
      </c>
      <c r="D207" s="2" t="s">
        <v>994</v>
      </c>
      <c r="E207" s="2">
        <v>-3719</v>
      </c>
      <c r="F207" s="2">
        <v>1003</v>
      </c>
      <c r="G207" s="2">
        <v>-529</v>
      </c>
      <c r="H207" s="2">
        <v>0</v>
      </c>
      <c r="J207" t="str">
        <f t="shared" si="7"/>
        <v>{ name: "Hyrule Ridge Depths #02", landmark: "Frox", type: "Blue-White Frox ", region: 3, level: "Depths", x: -3719, y: 1003, z: -529, weight: 0, details: "" },</v>
      </c>
    </row>
    <row r="208" spans="1:10" x14ac:dyDescent="0.2">
      <c r="A208" t="s">
        <v>4096</v>
      </c>
      <c r="B208" t="s">
        <v>2998</v>
      </c>
      <c r="C208" s="2">
        <v>3</v>
      </c>
      <c r="D208" s="2" t="s">
        <v>994</v>
      </c>
      <c r="E208" s="2">
        <v>-1340</v>
      </c>
      <c r="F208" s="2">
        <v>973</v>
      </c>
      <c r="G208" s="2">
        <v>-519</v>
      </c>
      <c r="H208" s="2">
        <v>0</v>
      </c>
      <c r="J208" t="str">
        <f t="shared" si="7"/>
        <v>{ name: "Hyrule Ridge Depths #03", landmark: "Frox", type: "Obsidian Frox ", region: 3, level: "Depths", x: -1340, y: 973, z: -519, weight: 0, details: "" },</v>
      </c>
    </row>
    <row r="209" spans="1:10" x14ac:dyDescent="0.2">
      <c r="A209" t="s">
        <v>4097</v>
      </c>
      <c r="B209" t="s">
        <v>2999</v>
      </c>
      <c r="C209" s="2">
        <v>3</v>
      </c>
      <c r="D209" s="2" t="s">
        <v>994</v>
      </c>
      <c r="E209" s="2">
        <v>-3891</v>
      </c>
      <c r="F209" s="2">
        <v>560</v>
      </c>
      <c r="G209" s="2">
        <v>-551</v>
      </c>
      <c r="H209" s="2">
        <v>0</v>
      </c>
      <c r="J209" t="str">
        <f t="shared" si="7"/>
        <v>{ name: "Hyrule Ridge Depths #04", landmark: "Frox", type: "Blue-White Frox ", region: 3, level: "Depths", x: -3891, y: 560, z: -551, weight: 0, details: "" },</v>
      </c>
    </row>
    <row r="210" spans="1:10" x14ac:dyDescent="0.2">
      <c r="A210" t="s">
        <v>4157</v>
      </c>
      <c r="B210" t="s">
        <v>2998</v>
      </c>
      <c r="C210" s="2">
        <v>3</v>
      </c>
      <c r="D210" s="2" t="s">
        <v>994</v>
      </c>
      <c r="E210" s="2">
        <v>-2249</v>
      </c>
      <c r="F210" s="2">
        <v>451</v>
      </c>
      <c r="G210" s="2">
        <v>-527</v>
      </c>
      <c r="H210" s="2">
        <v>0</v>
      </c>
      <c r="J210" t="str">
        <f t="shared" si="7"/>
        <v>{ name: "Hyrule Ridge Depths #05", landmark: "Frox", type: "Obsidian Frox ", region: 3, level: "Depths", x: -2249, y: 451, z: -527, weight: 0, details: "" },</v>
      </c>
    </row>
    <row r="211" spans="1:10" x14ac:dyDescent="0.2">
      <c r="A211" t="s">
        <v>4158</v>
      </c>
      <c r="B211" t="s">
        <v>2999</v>
      </c>
      <c r="C211" s="2">
        <v>4</v>
      </c>
      <c r="D211" s="2" t="s">
        <v>994</v>
      </c>
      <c r="E211" s="2">
        <v>-4398</v>
      </c>
      <c r="F211" s="2">
        <v>2661</v>
      </c>
      <c r="G211" s="2">
        <v>-643</v>
      </c>
      <c r="H211" s="2">
        <v>0</v>
      </c>
      <c r="J211" t="str">
        <f t="shared" si="7"/>
        <v>{ name: "Hebra Depths #01", landmark: "Frox", type: "Blue-White Frox ", region: 4, level: "Depths", x: -4398, y: 2661, z: -643, weight: 0, details: "" },</v>
      </c>
    </row>
    <row r="212" spans="1:10" x14ac:dyDescent="0.2">
      <c r="A212" t="s">
        <v>4159</v>
      </c>
      <c r="B212" t="s">
        <v>2999</v>
      </c>
      <c r="C212" s="2">
        <v>4</v>
      </c>
      <c r="D212" s="2" t="s">
        <v>994</v>
      </c>
      <c r="E212" s="2">
        <v>-3191</v>
      </c>
      <c r="F212" s="2">
        <v>2671</v>
      </c>
      <c r="G212" s="2">
        <v>-860</v>
      </c>
      <c r="H212" s="2">
        <v>0</v>
      </c>
      <c r="J212" t="str">
        <f t="shared" si="7"/>
        <v>{ name: "Hebra Depths #02", landmark: "Frox", type: "Blue-White Frox ", region: 4, level: "Depths", x: -3191, y: 2671, z: -860, weight: 0, details: "" },</v>
      </c>
    </row>
    <row r="213" spans="1:10" x14ac:dyDescent="0.2">
      <c r="A213" t="s">
        <v>4160</v>
      </c>
      <c r="B213" t="s">
        <v>2999</v>
      </c>
      <c r="C213" s="2">
        <v>5</v>
      </c>
      <c r="D213" s="2" t="s">
        <v>994</v>
      </c>
      <c r="E213" s="2">
        <v>-1780</v>
      </c>
      <c r="F213" s="2">
        <v>3658</v>
      </c>
      <c r="G213" s="2">
        <v>-653</v>
      </c>
      <c r="H213" s="2">
        <v>0</v>
      </c>
      <c r="J213" t="str">
        <f t="shared" si="7"/>
        <v>{ name: "Tabantha Tundra Depths #01", landmark: "Frox", type: "Blue-White Frox ", region: 5, level: "Depths", x: -1780, y: 3658, z: -653, weight: 0, details: "" },</v>
      </c>
    </row>
    <row r="214" spans="1:10" x14ac:dyDescent="0.2">
      <c r="A214" t="s">
        <v>4161</v>
      </c>
      <c r="B214" t="s">
        <v>2999</v>
      </c>
      <c r="C214" s="2">
        <v>5</v>
      </c>
      <c r="D214" s="2" t="s">
        <v>994</v>
      </c>
      <c r="E214" s="2">
        <v>-1839</v>
      </c>
      <c r="F214" s="2">
        <v>2413</v>
      </c>
      <c r="G214" s="2">
        <v>-652</v>
      </c>
      <c r="H214" s="2">
        <v>0</v>
      </c>
      <c r="J214" t="str">
        <f t="shared" si="7"/>
        <v>{ name: "Tabantha Tundra Depths #02", landmark: "Frox", type: "Blue-White Frox ", region: 5, level: "Depths", x: -1839, y: 2413, z: -652, weight: 0, details: "" },</v>
      </c>
    </row>
    <row r="215" spans="1:10" x14ac:dyDescent="0.2">
      <c r="A215" t="s">
        <v>4162</v>
      </c>
      <c r="B215" t="s">
        <v>2999</v>
      </c>
      <c r="C215" s="2">
        <v>5</v>
      </c>
      <c r="D215" s="2" t="s">
        <v>994</v>
      </c>
      <c r="E215" s="2">
        <v>-2280</v>
      </c>
      <c r="F215" s="2">
        <v>1934</v>
      </c>
      <c r="G215" s="2">
        <v>-687</v>
      </c>
      <c r="H215" s="2">
        <v>0</v>
      </c>
      <c r="J215" t="str">
        <f t="shared" si="7"/>
        <v>{ name: "Tabantha Tundra Depths #03", landmark: "Frox", type: "Blue-White Frox ", region: 5, level: "Depths", x: -2280, y: 1934, z: -687, weight: 0, details: "" },</v>
      </c>
    </row>
    <row r="216" spans="1:10" x14ac:dyDescent="0.2">
      <c r="A216" t="s">
        <v>4102</v>
      </c>
      <c r="B216" t="s">
        <v>2998</v>
      </c>
      <c r="C216" s="2">
        <v>6</v>
      </c>
      <c r="D216" s="2" t="s">
        <v>994</v>
      </c>
      <c r="E216" s="2">
        <v>552</v>
      </c>
      <c r="F216" s="2">
        <v>3440</v>
      </c>
      <c r="G216" s="2">
        <v>-569</v>
      </c>
      <c r="H216" s="2">
        <v>0</v>
      </c>
      <c r="J216" t="str">
        <f t="shared" si="7"/>
        <v>{ name: "Great Hyrule Forest Depths #01", landmark: "Frox", type: "Obsidian Frox ", region: 6, level: "Depths", x: 552, y: 3440, z: -569, weight: 0, details: "" },</v>
      </c>
    </row>
    <row r="217" spans="1:10" x14ac:dyDescent="0.2">
      <c r="A217" t="s">
        <v>4103</v>
      </c>
      <c r="B217" t="s">
        <v>2998</v>
      </c>
      <c r="C217" s="2">
        <v>6</v>
      </c>
      <c r="D217" s="2" t="s">
        <v>994</v>
      </c>
      <c r="E217" s="2">
        <v>-960</v>
      </c>
      <c r="F217" s="2">
        <v>2852</v>
      </c>
      <c r="G217" s="2">
        <v>-596</v>
      </c>
      <c r="H217" s="2">
        <v>0</v>
      </c>
      <c r="J217" t="str">
        <f t="shared" si="7"/>
        <v>{ name: "Great Hyrule Forest Depths #02", landmark: "Frox", type: "Obsidian Frox ", region: 6, level: "Depths", x: -960, y: 2852, z: -596, weight: 0, details: "" },</v>
      </c>
    </row>
    <row r="218" spans="1:10" x14ac:dyDescent="0.2">
      <c r="A218" t="s">
        <v>4163</v>
      </c>
      <c r="B218" t="s">
        <v>2998</v>
      </c>
      <c r="C218" s="2">
        <v>6</v>
      </c>
      <c r="D218" s="2" t="s">
        <v>994</v>
      </c>
      <c r="E218" s="2">
        <v>-190</v>
      </c>
      <c r="F218" s="2">
        <v>2938</v>
      </c>
      <c r="G218" s="2">
        <v>-593</v>
      </c>
      <c r="H218" s="2">
        <v>0</v>
      </c>
      <c r="J218" t="str">
        <f t="shared" si="7"/>
        <v>{ name: "Great Hyrule Forest Depths #03", landmark: "Frox", type: "Obsidian Frox ", region: 6, level: "Depths", x: -190, y: 2938, z: -593, weight: 0, details: "" },</v>
      </c>
    </row>
    <row r="219" spans="1:10" x14ac:dyDescent="0.2">
      <c r="A219" t="s">
        <v>4082</v>
      </c>
      <c r="B219" t="s">
        <v>4155</v>
      </c>
      <c r="C219" s="2">
        <v>7</v>
      </c>
      <c r="D219" s="2" t="s">
        <v>994</v>
      </c>
      <c r="E219" s="2">
        <v>2119</v>
      </c>
      <c r="F219" s="2">
        <v>1750</v>
      </c>
      <c r="G219" s="2">
        <v>-728</v>
      </c>
      <c r="H219" s="2">
        <v>0</v>
      </c>
      <c r="J219" t="str">
        <f t="shared" si="7"/>
        <v>{ name: "Eldin Depths", landmark: "Frox", type: "Frox", region: 7, level: "Depths", x: 2119, y: 1750, z: -728, weight: 0, details: "" },</v>
      </c>
    </row>
    <row r="220" spans="1:10" x14ac:dyDescent="0.2">
      <c r="A220" t="s">
        <v>4083</v>
      </c>
      <c r="B220" t="s">
        <v>2998</v>
      </c>
      <c r="C220" s="2">
        <v>8</v>
      </c>
      <c r="D220" s="2" t="s">
        <v>994</v>
      </c>
      <c r="E220" s="2">
        <v>4028</v>
      </c>
      <c r="F220" s="2">
        <v>2188</v>
      </c>
      <c r="G220" s="2">
        <v>-449</v>
      </c>
      <c r="H220" s="2">
        <v>0</v>
      </c>
      <c r="J220" t="str">
        <f t="shared" si="7"/>
        <v>{ name: "Akkala Depths", landmark: "Frox", type: "Obsidian Frox ", region: 8, level: "Depths", x: 4028, y: 2188, z: -449, weight: 0, details: "" },</v>
      </c>
    </row>
    <row r="221" spans="1:10" x14ac:dyDescent="0.2">
      <c r="A221" t="s">
        <v>4164</v>
      </c>
      <c r="B221" t="s">
        <v>2998</v>
      </c>
      <c r="C221" s="2">
        <v>9</v>
      </c>
      <c r="D221" s="2" t="s">
        <v>994</v>
      </c>
      <c r="E221" s="2">
        <v>2491</v>
      </c>
      <c r="F221" s="2">
        <v>842</v>
      </c>
      <c r="G221" s="2">
        <v>-479</v>
      </c>
      <c r="H221" s="2">
        <v>0</v>
      </c>
      <c r="J221" t="str">
        <f t="shared" si="7"/>
        <v>{ name: "Lanayru Depths #01", landmark: "Frox", type: "Obsidian Frox ", region: 9, level: "Depths", x: 2491, y: 842, z: -479, weight: 0, details: "" },</v>
      </c>
    </row>
    <row r="222" spans="1:10" x14ac:dyDescent="0.2">
      <c r="A222" t="s">
        <v>4165</v>
      </c>
      <c r="B222" t="s">
        <v>2998</v>
      </c>
      <c r="C222" s="2">
        <v>9</v>
      </c>
      <c r="D222" s="2" t="s">
        <v>994</v>
      </c>
      <c r="E222" s="2">
        <v>4142</v>
      </c>
      <c r="F222" s="2">
        <v>1002</v>
      </c>
      <c r="G222" s="2">
        <v>-661</v>
      </c>
      <c r="H222" s="2">
        <v>0</v>
      </c>
      <c r="J222" t="str">
        <f t="shared" si="7"/>
        <v>{ name: "Lanayru Depths #02", landmark: "Frox", type: "Obsidian Frox ", region: 9, level: "Depths", x: 4142, y: 1002, z: -661, weight: 0, details: "" },</v>
      </c>
    </row>
    <row r="223" spans="1:10" x14ac:dyDescent="0.2">
      <c r="A223" t="s">
        <v>4106</v>
      </c>
      <c r="B223" t="s">
        <v>2999</v>
      </c>
      <c r="C223" s="2">
        <v>10</v>
      </c>
      <c r="D223" s="2" t="s">
        <v>994</v>
      </c>
      <c r="E223" s="2">
        <v>1069</v>
      </c>
      <c r="F223" s="2">
        <v>-41</v>
      </c>
      <c r="G223" s="2">
        <v>-445</v>
      </c>
      <c r="H223" s="2">
        <v>0</v>
      </c>
      <c r="J223" t="str">
        <f t="shared" si="7"/>
        <v>{ name: "Lanayru Wetlands Depths #01", landmark: "Frox", type: "Blue-White Frox ", region: 10, level: "Depths", x: 1069, y: -41, z: -445, weight: 0, details: "" },</v>
      </c>
    </row>
    <row r="224" spans="1:10" x14ac:dyDescent="0.2">
      <c r="A224" t="s">
        <v>4107</v>
      </c>
      <c r="B224" t="s">
        <v>2998</v>
      </c>
      <c r="C224" s="2">
        <v>10</v>
      </c>
      <c r="D224" s="2" t="s">
        <v>994</v>
      </c>
      <c r="E224" s="2">
        <v>3036</v>
      </c>
      <c r="F224" s="2">
        <v>-798</v>
      </c>
      <c r="G224" s="2">
        <v>-491</v>
      </c>
      <c r="H224" s="2">
        <v>0</v>
      </c>
      <c r="J224" t="str">
        <f t="shared" si="7"/>
        <v>{ name: "Lanayru Wetlands Depths #02", landmark: "Frox", type: "Obsidian Frox ", region: 10, level: "Depths", x: 3036, y: -798, z: -491, weight: 0, details: "" },</v>
      </c>
    </row>
    <row r="225" spans="1:10" x14ac:dyDescent="0.2">
      <c r="A225" t="s">
        <v>4087</v>
      </c>
      <c r="B225" t="s">
        <v>2999</v>
      </c>
      <c r="C225" s="2">
        <v>12</v>
      </c>
      <c r="D225" s="2" t="s">
        <v>994</v>
      </c>
      <c r="E225" s="2">
        <v>2127</v>
      </c>
      <c r="F225" s="2">
        <v>-3474</v>
      </c>
      <c r="G225" s="2">
        <v>-427</v>
      </c>
      <c r="H225" s="2">
        <v>0</v>
      </c>
      <c r="J225" t="str">
        <f t="shared" si="7"/>
        <v>{ name: "East Necluda Depths", landmark: "Frox", type: "Blue-White Frox ", region: 12, level: "Depths", x: 2127, y: -3474, z: -427, weight: 0, details: "" },</v>
      </c>
    </row>
    <row r="226" spans="1:10" x14ac:dyDescent="0.2">
      <c r="A226" t="s">
        <v>4111</v>
      </c>
      <c r="B226" t="s">
        <v>4155</v>
      </c>
      <c r="C226" s="2">
        <v>13</v>
      </c>
      <c r="D226" s="2" t="s">
        <v>994</v>
      </c>
      <c r="E226" s="2">
        <v>-846</v>
      </c>
      <c r="F226" s="2">
        <v>-2868</v>
      </c>
      <c r="G226" s="2">
        <v>-494</v>
      </c>
      <c r="H226" s="2">
        <v>0</v>
      </c>
      <c r="J226" t="str">
        <f t="shared" si="7"/>
        <v>{ name: "Faron Depths #01", landmark: "Frox", type: "Frox", region: 13, level: "Depths", x: -846, y: -2868, z: -494, weight: 0, details: "" },</v>
      </c>
    </row>
    <row r="227" spans="1:10" x14ac:dyDescent="0.2">
      <c r="A227" t="s">
        <v>4112</v>
      </c>
      <c r="B227" t="s">
        <v>4155</v>
      </c>
      <c r="C227" s="2">
        <v>13</v>
      </c>
      <c r="D227" s="2" t="s">
        <v>994</v>
      </c>
      <c r="E227" s="2">
        <v>-325</v>
      </c>
      <c r="F227" s="2">
        <v>-3142</v>
      </c>
      <c r="G227" s="2">
        <v>-445</v>
      </c>
      <c r="H227" s="2">
        <v>0</v>
      </c>
      <c r="J227" t="str">
        <f t="shared" si="7"/>
        <v>{ name: "Faron Depths #02", landmark: "Frox", type: "Frox", region: 13, level: "Depths", x: -325, y: -3142, z: -445, weight: 0, details: "" },</v>
      </c>
    </row>
    <row r="228" spans="1:10" x14ac:dyDescent="0.2">
      <c r="A228" t="s">
        <v>4148</v>
      </c>
      <c r="B228" t="s">
        <v>2998</v>
      </c>
      <c r="C228" s="2">
        <v>13</v>
      </c>
      <c r="D228" s="2" t="s">
        <v>994</v>
      </c>
      <c r="E228" s="2">
        <v>845</v>
      </c>
      <c r="F228" s="2">
        <v>-3388</v>
      </c>
      <c r="G228" s="2">
        <v>-454</v>
      </c>
      <c r="H228" s="2">
        <v>0</v>
      </c>
      <c r="J228" t="str">
        <f t="shared" si="7"/>
        <v>{ name: "Faron Depths #03", landmark: "Frox", type: "Obsidian Frox ", region: 13, level: "Depths", x: 845, y: -3388, z: -454, weight: 0, details: "" },</v>
      </c>
    </row>
    <row r="229" spans="1:10" x14ac:dyDescent="0.2">
      <c r="A229" t="s">
        <v>4166</v>
      </c>
      <c r="B229" t="s">
        <v>4155</v>
      </c>
      <c r="C229" s="2">
        <v>14</v>
      </c>
      <c r="D229" s="2" t="s">
        <v>994</v>
      </c>
      <c r="E229" s="2">
        <v>-2253</v>
      </c>
      <c r="F229" s="2">
        <v>-1975</v>
      </c>
      <c r="G229" s="2">
        <v>-561</v>
      </c>
      <c r="H229" s="2">
        <v>0</v>
      </c>
      <c r="J229" t="str">
        <f t="shared" si="7"/>
        <v>{ name: "Gerudo Canyon Depths #01", landmark: "Frox", type: "Frox", region: 14, level: "Depths", x: -2253, y: -1975, z: -561, weight: 0, details: "" },</v>
      </c>
    </row>
    <row r="230" spans="1:10" x14ac:dyDescent="0.2">
      <c r="A230" t="s">
        <v>4152</v>
      </c>
      <c r="B230" t="s">
        <v>2998</v>
      </c>
      <c r="C230" s="2">
        <v>14</v>
      </c>
      <c r="D230" s="2" t="s">
        <v>994</v>
      </c>
      <c r="E230" s="2">
        <v>-4094</v>
      </c>
      <c r="F230" s="2">
        <v>-2555</v>
      </c>
      <c r="G230" s="2">
        <v>-470</v>
      </c>
      <c r="H230" s="2">
        <v>0</v>
      </c>
      <c r="J230" t="str">
        <f t="shared" si="7"/>
        <v>{ name: "Gerudo Depths #01", landmark: "Frox", type: "Obsidian Frox ", region: 14, level: "Depths", x: -4094, y: -2555, z: -470, weight: 0, details: "" },</v>
      </c>
    </row>
    <row r="231" spans="1:10" x14ac:dyDescent="0.2">
      <c r="A231" t="s">
        <v>4153</v>
      </c>
      <c r="B231" t="s">
        <v>2998</v>
      </c>
      <c r="C231" s="2">
        <v>14</v>
      </c>
      <c r="D231" s="2" t="s">
        <v>994</v>
      </c>
      <c r="E231" s="2">
        <v>-2998</v>
      </c>
      <c r="F231" s="2">
        <v>-2680</v>
      </c>
      <c r="G231" s="2">
        <v>-442</v>
      </c>
      <c r="H231" s="2">
        <v>0</v>
      </c>
      <c r="J231" t="str">
        <f t="shared" si="7"/>
        <v>{ name: "Gerudo Depths #02", landmark: "Frox", type: "Obsidian Frox ", region: 14, level: "Depths", x: -2998, y: -2680, z: -442, weight: 0, details: "" },</v>
      </c>
    </row>
    <row r="232" spans="1:10" x14ac:dyDescent="0.2">
      <c r="A232" t="s">
        <v>4167</v>
      </c>
      <c r="B232" t="s">
        <v>4155</v>
      </c>
      <c r="C232" s="2">
        <v>14</v>
      </c>
      <c r="D232" s="2" t="s">
        <v>994</v>
      </c>
      <c r="E232" s="2">
        <v>-1910</v>
      </c>
      <c r="F232" s="2">
        <v>-2608</v>
      </c>
      <c r="G232" s="2">
        <v>-566</v>
      </c>
      <c r="H232" s="2">
        <v>0</v>
      </c>
      <c r="J232" t="str">
        <f t="shared" si="7"/>
        <v>{ name: "Gerudo Canyon Depths #02", landmark: "Frox", type: "Frox", region: 14, level: "Depths", x: -1910, y: -2608, z: -566, weight: 0, details: "" },</v>
      </c>
    </row>
    <row r="233" spans="1:10" x14ac:dyDescent="0.2">
      <c r="A233" t="s">
        <v>4168</v>
      </c>
      <c r="B233" t="s">
        <v>4155</v>
      </c>
      <c r="C233" s="2">
        <v>14</v>
      </c>
      <c r="D233" s="2" t="s">
        <v>994</v>
      </c>
      <c r="E233" s="2">
        <v>-3428</v>
      </c>
      <c r="F233" s="2">
        <v>-3229</v>
      </c>
      <c r="G233" s="2">
        <v>-447</v>
      </c>
      <c r="H233" s="2">
        <v>0</v>
      </c>
      <c r="J233" t="str">
        <f t="shared" si="7"/>
        <v>{ name: "Gerudo Depths #03", landmark: "Frox", type: "Frox", region: 14, level: "Depths", x: -3428, y: -3229, z: -447, weight: 0, details: "" },</v>
      </c>
    </row>
    <row r="234" spans="1:10" x14ac:dyDescent="0.2">
      <c r="A234" t="s">
        <v>4169</v>
      </c>
      <c r="B234" t="s">
        <v>4155</v>
      </c>
      <c r="C234" s="2">
        <v>14</v>
      </c>
      <c r="D234" s="2" t="s">
        <v>994</v>
      </c>
      <c r="E234" s="2">
        <v>-2771</v>
      </c>
      <c r="F234" s="2">
        <v>-3330</v>
      </c>
      <c r="G234" s="2">
        <v>-421</v>
      </c>
      <c r="H234" s="2">
        <v>0</v>
      </c>
      <c r="J234" t="str">
        <f t="shared" si="7"/>
        <v>{ name: "Gerudo Depths #04", landmark: "Frox", type: "Frox", region: 14, level: "Depths", x: -2771, y: -3330, z: -421, weight: 0, details: "" },</v>
      </c>
    </row>
    <row r="235" spans="1:10" x14ac:dyDescent="0.2">
      <c r="A235" t="s">
        <v>4170</v>
      </c>
      <c r="B235" t="s">
        <v>4155</v>
      </c>
      <c r="C235" s="2">
        <v>14</v>
      </c>
      <c r="D235" s="2" t="s">
        <v>994</v>
      </c>
      <c r="E235" s="2">
        <v>-2439</v>
      </c>
      <c r="F235" s="2">
        <v>-3123</v>
      </c>
      <c r="G235" s="2">
        <v>-454</v>
      </c>
      <c r="H235" s="2">
        <v>0</v>
      </c>
      <c r="J235" t="str">
        <f t="shared" si="7"/>
        <v>{ name: "Gerudo Depths #05", landmark: "Frox", type: "Frox", region: 14, level: "Depths", x: -2439, y: -3123, z: -454, weight: 0, details: "" },</v>
      </c>
    </row>
    <row r="236" spans="1:10" x14ac:dyDescent="0.2">
      <c r="A236" t="s">
        <v>4171</v>
      </c>
      <c r="B236" t="s">
        <v>2998</v>
      </c>
      <c r="C236" s="2">
        <v>14</v>
      </c>
      <c r="D236" s="2" t="s">
        <v>994</v>
      </c>
      <c r="E236" s="2">
        <v>-4674</v>
      </c>
      <c r="F236" s="2">
        <v>-3502</v>
      </c>
      <c r="G236" s="2">
        <v>-447</v>
      </c>
      <c r="H236" s="2">
        <v>0</v>
      </c>
      <c r="J236" t="str">
        <f t="shared" si="7"/>
        <v>{ name: "Gerudo Depths #06", landmark: "Frox", type: "Obsidian Frox ", region: 14, level: "Depths", x: -4674, y: -3502, z: -447, weight: 0, details: "" },</v>
      </c>
    </row>
    <row r="237" spans="1:10" x14ac:dyDescent="0.2">
      <c r="A237" t="s">
        <v>4113</v>
      </c>
      <c r="B237" t="s">
        <v>2999</v>
      </c>
      <c r="C237" s="2">
        <v>15</v>
      </c>
      <c r="D237" s="2" t="s">
        <v>994</v>
      </c>
      <c r="E237" s="2">
        <v>-4696</v>
      </c>
      <c r="F237" s="2">
        <v>-1228</v>
      </c>
      <c r="G237" s="2">
        <v>-910</v>
      </c>
      <c r="H237" s="2">
        <v>0</v>
      </c>
      <c r="J237" t="str">
        <f t="shared" si="7"/>
        <v>{ name: "Gerudo Highlands Depths #01", landmark: "Frox", type: "Blue-White Frox ", region: 15, level: "Depths", x: -4696, y: -1228, z: -910, weight: 0, details: "" },</v>
      </c>
    </row>
    <row r="238" spans="1:10" x14ac:dyDescent="0.2">
      <c r="A238" t="s">
        <v>4114</v>
      </c>
      <c r="B238" t="s">
        <v>2999</v>
      </c>
      <c r="C238" s="2">
        <v>15</v>
      </c>
      <c r="D238" s="2" t="s">
        <v>994</v>
      </c>
      <c r="E238" s="2">
        <v>-3628</v>
      </c>
      <c r="F238" s="2">
        <v>-1549</v>
      </c>
      <c r="G238" s="2">
        <v>-778</v>
      </c>
      <c r="H238" s="2">
        <v>0</v>
      </c>
      <c r="J238" t="str">
        <f t="shared" si="7"/>
        <v>{ name: "Gerudo Highlands Depths #02", landmark: "Frox", type: "Blue-White Frox ", region: 15, level: "Depths", x: -3628, y: -1549, z: -778, weight: 0, details: "" },</v>
      </c>
    </row>
    <row r="240" spans="1:10" x14ac:dyDescent="0.2">
      <c r="A240" s="6" t="s">
        <v>781</v>
      </c>
      <c r="B240" s="6" t="s">
        <v>2083</v>
      </c>
      <c r="C240" s="4" t="s">
        <v>2074</v>
      </c>
      <c r="D240" s="4" t="s">
        <v>777</v>
      </c>
      <c r="E240" s="4" t="s">
        <v>778</v>
      </c>
      <c r="F240" s="4" t="s">
        <v>779</v>
      </c>
      <c r="G240" s="4" t="s">
        <v>780</v>
      </c>
      <c r="H240" s="4" t="s">
        <v>2837</v>
      </c>
      <c r="I240" s="6" t="s">
        <v>2081</v>
      </c>
      <c r="J240" s="6" t="s">
        <v>2075</v>
      </c>
    </row>
    <row r="241" spans="1:10" x14ac:dyDescent="0.2">
      <c r="A241" t="s">
        <v>4172</v>
      </c>
      <c r="B241" t="s">
        <v>3000</v>
      </c>
      <c r="C241" s="2">
        <v>4</v>
      </c>
      <c r="D241" s="2" t="s">
        <v>783</v>
      </c>
      <c r="E241" s="2">
        <v>-4471</v>
      </c>
      <c r="F241" s="2">
        <v>2275</v>
      </c>
      <c r="G241" s="2">
        <v>1274</v>
      </c>
      <c r="H241" s="2">
        <v>0</v>
      </c>
      <c r="J241" t="str">
        <f t="shared" ref="J241:J254" si="8">"{ name: "&amp;CHAR(34)&amp;A241&amp;CHAR(34)&amp;", landmark: "&amp;CHAR(34)&amp;"Gleeok"&amp;CHAR(34)&amp;", type: "&amp;CHAR(34)&amp;B241&amp;CHAR(34)&amp;", region: "&amp;C241&amp;", level: "&amp;CHAR(34)&amp;D241&amp;CHAR(34)&amp;", x: "&amp;E241&amp;", y: "&amp;F241&amp;", z: "&amp;G241&amp;", weight: "&amp;H241&amp;", details: "&amp;CHAR(34)&amp;I241&amp;CHAR(34)&amp;" },"</f>
        <v>{ name: "Scourge of Hebra Sky", landmark: "Gleeok", type: "King Gleeok ", region: 4, level: "Sky", x: -4471, y: 2275, z: 1274, weight: 0, details: "" },</v>
      </c>
    </row>
    <row r="242" spans="1:10" x14ac:dyDescent="0.2">
      <c r="A242" t="s">
        <v>4174</v>
      </c>
      <c r="B242" t="s">
        <v>3000</v>
      </c>
      <c r="C242" s="2">
        <v>12</v>
      </c>
      <c r="D242" s="2" t="s">
        <v>783</v>
      </c>
      <c r="E242" s="2">
        <v>4652</v>
      </c>
      <c r="F242" s="2">
        <v>-3724</v>
      </c>
      <c r="G242" s="2">
        <v>1089</v>
      </c>
      <c r="H242" s="2">
        <v>0</v>
      </c>
      <c r="J242" t="str">
        <f t="shared" si="8"/>
        <v>{ name: "Scourge of Necluda Sky", landmark: "Gleeok", type: "King Gleeok ", region: 12, level: "Sky", x: 4652, y: -3724, z: 1089, weight: 0, details: "" },</v>
      </c>
    </row>
    <row r="243" spans="1:10" x14ac:dyDescent="0.2">
      <c r="A243" t="s">
        <v>4173</v>
      </c>
      <c r="B243" t="s">
        <v>3000</v>
      </c>
      <c r="C243" s="2">
        <v>14</v>
      </c>
      <c r="D243" s="2" t="s">
        <v>783</v>
      </c>
      <c r="E243" s="2">
        <v>-4448</v>
      </c>
      <c r="F243" s="2">
        <v>-2627</v>
      </c>
      <c r="G243" s="2">
        <v>1437</v>
      </c>
      <c r="H243" s="2">
        <v>0</v>
      </c>
      <c r="J243" t="str">
        <f t="shared" si="8"/>
        <v>{ name: "Scourge of Gerudo Sky", landmark: "Gleeok", type: "King Gleeok ", region: 14, level: "Sky", x: -4448, y: -2627, z: 1437, weight: 0, details: "" },</v>
      </c>
    </row>
    <row r="244" spans="1:10" x14ac:dyDescent="0.2">
      <c r="A244" t="s">
        <v>1170</v>
      </c>
      <c r="B244" t="s">
        <v>3003</v>
      </c>
      <c r="C244" s="2">
        <v>2</v>
      </c>
      <c r="D244" s="2" t="s">
        <v>785</v>
      </c>
      <c r="E244" s="2">
        <v>-1150</v>
      </c>
      <c r="F244" s="2">
        <v>-1263</v>
      </c>
      <c r="G244" s="2">
        <v>58</v>
      </c>
      <c r="H244" s="2">
        <v>0</v>
      </c>
      <c r="J244" t="str">
        <f t="shared" si="8"/>
        <v>{ name: "Coliseum Ruins", landmark: "Gleeok", type: "Thunder Gleeok ", region: 2, level: "Surface", x: -1150, y: -1263, z: 58, weight: 0, details: "" },</v>
      </c>
    </row>
    <row r="245" spans="1:10" x14ac:dyDescent="0.2">
      <c r="A245" t="s">
        <v>1561</v>
      </c>
      <c r="B245" t="s">
        <v>3002</v>
      </c>
      <c r="C245" s="2">
        <v>3</v>
      </c>
      <c r="D245" s="2" t="s">
        <v>785</v>
      </c>
      <c r="E245" s="2">
        <v>-3625</v>
      </c>
      <c r="F245" s="2">
        <v>420</v>
      </c>
      <c r="G245" s="2">
        <v>268</v>
      </c>
      <c r="H245" s="2">
        <v>0</v>
      </c>
      <c r="J245" t="str">
        <f t="shared" si="8"/>
        <v>{ name: "Rayne Highlands", landmark: "Gleeok", type: "Flame Gleeok ", region: 3, level: "Surface", x: -3625, y: 420, z: 268, weight: 0, details: "" },</v>
      </c>
    </row>
    <row r="246" spans="1:10" x14ac:dyDescent="0.2">
      <c r="A246" t="s">
        <v>1135</v>
      </c>
      <c r="B246" t="s">
        <v>3001</v>
      </c>
      <c r="C246" s="2">
        <v>4</v>
      </c>
      <c r="D246" s="2" t="s">
        <v>785</v>
      </c>
      <c r="E246" s="2">
        <v>-3743</v>
      </c>
      <c r="F246" s="2">
        <v>2992</v>
      </c>
      <c r="G246" s="2">
        <v>402</v>
      </c>
      <c r="H246" s="2">
        <v>0</v>
      </c>
      <c r="J246" t="str">
        <f t="shared" si="8"/>
        <v>{ name: "Biron Snowshelf", landmark: "Gleeok", type: "Frost Gleeok ", region: 4, level: "Surface", x: -3743, y: 2992, z: 402, weight: 0, details: "" },</v>
      </c>
    </row>
    <row r="247" spans="1:10" x14ac:dyDescent="0.2">
      <c r="A247" t="s">
        <v>1079</v>
      </c>
      <c r="B247" t="s">
        <v>3001</v>
      </c>
      <c r="C247" s="2">
        <v>5</v>
      </c>
      <c r="D247" s="2" t="s">
        <v>785</v>
      </c>
      <c r="E247" s="2">
        <v>-1835</v>
      </c>
      <c r="F247" s="2">
        <v>3009</v>
      </c>
      <c r="G247" s="2">
        <v>256</v>
      </c>
      <c r="H247" s="2">
        <v>0</v>
      </c>
      <c r="J247" t="str">
        <f t="shared" si="8"/>
        <v>{ name: "South Tabantha Snowfield", landmark: "Gleeok", type: "Frost Gleeok ", region: 5, level: "Surface", x: -1835, y: 3009, z: 256, weight: 0, details: "" },</v>
      </c>
    </row>
    <row r="248" spans="1:10" x14ac:dyDescent="0.2">
      <c r="A248" t="s">
        <v>4175</v>
      </c>
      <c r="B248" t="s">
        <v>3003</v>
      </c>
      <c r="C248" s="2">
        <v>8</v>
      </c>
      <c r="D248" s="2" t="s">
        <v>785</v>
      </c>
      <c r="E248" s="2">
        <v>3423</v>
      </c>
      <c r="F248" s="2">
        <v>1298</v>
      </c>
      <c r="G248" s="2">
        <v>344</v>
      </c>
      <c r="H248" s="2">
        <v>0</v>
      </c>
      <c r="J248" t="str">
        <f t="shared" si="8"/>
        <v>{ name: "South Akkala Plain", landmark: "Gleeok", type: "Thunder Gleeok ", region: 8, level: "Surface", x: 3423, y: 1298, z: 344, weight: 0, details: "" },</v>
      </c>
    </row>
    <row r="249" spans="1:10" x14ac:dyDescent="0.2">
      <c r="A249" t="s">
        <v>1680</v>
      </c>
      <c r="B249" t="s">
        <v>3002</v>
      </c>
      <c r="C249" s="2">
        <v>9</v>
      </c>
      <c r="D249" s="2" t="s">
        <v>785</v>
      </c>
      <c r="E249" s="2">
        <v>2239</v>
      </c>
      <c r="F249" s="2">
        <v>694</v>
      </c>
      <c r="G249" s="2">
        <v>793</v>
      </c>
      <c r="H249" s="2">
        <v>0</v>
      </c>
      <c r="J249" t="str">
        <f t="shared" si="8"/>
        <v>{ name: "Trilby Valley", landmark: "Gleeok", type: "Flame Gleeok ", region: 9, level: "Surface", x: 2239, y: 694, z: 793, weight: 0, details: "" },</v>
      </c>
    </row>
    <row r="250" spans="1:10" x14ac:dyDescent="0.2">
      <c r="A250" t="s">
        <v>1148</v>
      </c>
      <c r="B250" t="s">
        <v>3002</v>
      </c>
      <c r="C250" s="2">
        <v>13</v>
      </c>
      <c r="D250" s="2" t="s">
        <v>785</v>
      </c>
      <c r="E250" s="2">
        <v>-47</v>
      </c>
      <c r="F250" s="2">
        <v>-2491</v>
      </c>
      <c r="G250" s="2">
        <v>51</v>
      </c>
      <c r="H250" s="2">
        <v>0</v>
      </c>
      <c r="J250" t="str">
        <f t="shared" si="8"/>
        <v>{ name: "Bridge of Hylia", landmark: "Gleeok", type: "Flame Gleeok ", region: 13, level: "Surface", x: -47, y: -2491, z: 51, weight: 0, details: "" },</v>
      </c>
    </row>
    <row r="251" spans="1:10" x14ac:dyDescent="0.2">
      <c r="A251" t="s">
        <v>4176</v>
      </c>
      <c r="B251" t="s">
        <v>3003</v>
      </c>
      <c r="C251" s="2">
        <v>13</v>
      </c>
      <c r="D251" s="2" t="s">
        <v>785</v>
      </c>
      <c r="E251" s="2">
        <v>1059</v>
      </c>
      <c r="F251" s="2">
        <v>-3614</v>
      </c>
      <c r="G251" s="2">
        <v>89</v>
      </c>
      <c r="H251" s="2">
        <v>0</v>
      </c>
      <c r="J251" t="str">
        <f t="shared" si="8"/>
        <v>{ name: "Herin Lake South", landmark: "Gleeok", type: "Thunder Gleeok ", region: 13, level: "Surface", x: 1059, y: -3614, z: 89, weight: 0, details: "" },</v>
      </c>
    </row>
    <row r="252" spans="1:10" x14ac:dyDescent="0.2">
      <c r="A252" t="s">
        <v>1634</v>
      </c>
      <c r="B252" t="s">
        <v>3002</v>
      </c>
      <c r="C252" s="2">
        <v>14</v>
      </c>
      <c r="D252" s="2" t="s">
        <v>785</v>
      </c>
      <c r="E252" s="2">
        <v>-2115</v>
      </c>
      <c r="F252" s="2">
        <v>-2640</v>
      </c>
      <c r="G252" s="2">
        <v>407</v>
      </c>
      <c r="H252" s="2">
        <v>0</v>
      </c>
      <c r="J252" t="str">
        <f t="shared" si="8"/>
        <v>{ name: "Spectacle Rock", landmark: "Gleeok", type: "Flame Gleeok ", region: 14, level: "Surface", x: -2115, y: -2640, z: 407, weight: 0, details: "" },</v>
      </c>
    </row>
    <row r="253" spans="1:10" x14ac:dyDescent="0.2">
      <c r="A253" t="s">
        <v>4177</v>
      </c>
      <c r="B253" t="s">
        <v>3001</v>
      </c>
      <c r="C253" s="2">
        <v>15</v>
      </c>
      <c r="D253" s="2" t="s">
        <v>785</v>
      </c>
      <c r="E253" s="2">
        <v>-4024</v>
      </c>
      <c r="F253" s="2">
        <v>-956</v>
      </c>
      <c r="G253" s="2">
        <v>708</v>
      </c>
      <c r="H253" s="2">
        <v>0</v>
      </c>
      <c r="J253" t="str">
        <f t="shared" si="8"/>
        <v>{ name: "Gerudo Mountain", landmark: "Gleeok", type: "Frost Gleeok ", region: 15, level: "Surface", x: -4024, y: -956, z: 708, weight: 0, details: "" },</v>
      </c>
    </row>
    <row r="254" spans="1:10" x14ac:dyDescent="0.2">
      <c r="A254" t="s">
        <v>1292</v>
      </c>
      <c r="B254" t="s">
        <v>3000</v>
      </c>
      <c r="C254" s="2">
        <v>6</v>
      </c>
      <c r="D254" s="2" t="s">
        <v>994</v>
      </c>
      <c r="E254" s="2">
        <v>334</v>
      </c>
      <c r="F254" s="2">
        <v>3122</v>
      </c>
      <c r="G254" s="2">
        <v>-569</v>
      </c>
      <c r="H254" s="2">
        <v>0</v>
      </c>
      <c r="J254" t="str">
        <f t="shared" si="8"/>
        <v>{ name: "Gleeok Den", landmark: "Gleeok", type: "King Gleeok ", region: 6, level: "Depths", x: 334, y: 3122, z: -569, weight: 0, details: "" },</v>
      </c>
    </row>
    <row r="256" spans="1:10" x14ac:dyDescent="0.2">
      <c r="A256" s="6" t="s">
        <v>781</v>
      </c>
      <c r="B256" s="6" t="s">
        <v>2083</v>
      </c>
      <c r="C256" s="4" t="s">
        <v>2074</v>
      </c>
      <c r="D256" s="4" t="s">
        <v>777</v>
      </c>
      <c r="E256" s="4" t="s">
        <v>778</v>
      </c>
      <c r="F256" s="4" t="s">
        <v>779</v>
      </c>
      <c r="G256" s="4" t="s">
        <v>780</v>
      </c>
      <c r="H256" s="4" t="s">
        <v>2837</v>
      </c>
      <c r="I256" s="6" t="s">
        <v>2081</v>
      </c>
      <c r="J256" s="6" t="s">
        <v>2075</v>
      </c>
    </row>
    <row r="257" spans="1:10" x14ac:dyDescent="0.2">
      <c r="A257" t="s">
        <v>1677</v>
      </c>
      <c r="B257" t="s">
        <v>4178</v>
      </c>
      <c r="C257" s="2">
        <v>14</v>
      </c>
      <c r="D257" s="2" t="s">
        <v>785</v>
      </c>
      <c r="E257" s="2">
        <v>-4797</v>
      </c>
      <c r="F257" s="2">
        <v>-2800</v>
      </c>
      <c r="G257" s="2">
        <v>40</v>
      </c>
      <c r="H257" s="2">
        <v>0</v>
      </c>
      <c r="J257" t="str">
        <f>"{ name: "&amp;CHAR(34)&amp;A257&amp;CHAR(34)&amp;", landmark: "&amp;CHAR(34)&amp;"Molduga"&amp;CHAR(34)&amp;", type: "&amp;CHAR(34)&amp;B257&amp;CHAR(34)&amp;", region: "&amp;C257&amp;", level: "&amp;CHAR(34)&amp;D257&amp;CHAR(34)&amp;", x: "&amp;E257&amp;", y: "&amp;F257&amp;", z: "&amp;G257&amp;", weight: "&amp;H257&amp;", details: "&amp;CHAR(34)&amp;I257&amp;CHAR(34)&amp;" },"</f>
        <v>{ name: "Toruma Dunes", landmark: "Molduga", type: "Molduga", region: 14, level: "Surface", x: -4797, y: -2800, z: 40, weight: 0, details: "" },</v>
      </c>
    </row>
    <row r="258" spans="1:10" x14ac:dyDescent="0.2">
      <c r="A258" t="s">
        <v>798</v>
      </c>
      <c r="B258" t="s">
        <v>4178</v>
      </c>
      <c r="C258" s="2">
        <v>14</v>
      </c>
      <c r="D258" s="2" t="s">
        <v>785</v>
      </c>
      <c r="E258" s="2">
        <v>-4029</v>
      </c>
      <c r="F258" s="2">
        <v>-2589</v>
      </c>
      <c r="G258" s="2">
        <v>55</v>
      </c>
      <c r="H258" s="2">
        <v>0</v>
      </c>
      <c r="J258" t="str">
        <f t="shared" ref="J258:J260" si="9">"{ name: "&amp;CHAR(34)&amp;A258&amp;CHAR(34)&amp;", landmark: "&amp;CHAR(34)&amp;"Molduga"&amp;CHAR(34)&amp;", type: "&amp;CHAR(34)&amp;B258&amp;CHAR(34)&amp;", region: "&amp;C258&amp;", level: "&amp;CHAR(34)&amp;D258&amp;CHAR(34)&amp;", x: "&amp;E258&amp;", y: "&amp;F258&amp;", z: "&amp;G258&amp;", weight: "&amp;H258&amp;", details: "&amp;CHAR(34)&amp;I258&amp;CHAR(34)&amp;" },"</f>
        <v>{ name: "Gerudo Desert", landmark: "Molduga", type: "Molduga", region: 14, level: "Surface", x: -4029, y: -2589, z: 55, weight: 0, details: "" },</v>
      </c>
    </row>
    <row r="259" spans="1:10" x14ac:dyDescent="0.2">
      <c r="A259" t="s">
        <v>4179</v>
      </c>
      <c r="B259" t="s">
        <v>4178</v>
      </c>
      <c r="C259" s="2">
        <v>14</v>
      </c>
      <c r="D259" s="2" t="s">
        <v>785</v>
      </c>
      <c r="E259" s="2">
        <v>-3323</v>
      </c>
      <c r="F259" s="2">
        <v>-3316</v>
      </c>
      <c r="G259" s="2">
        <v>28</v>
      </c>
      <c r="H259" s="2">
        <v>0</v>
      </c>
      <c r="J259" t="str">
        <f t="shared" si="9"/>
        <v>{ name: "Palu Wasteland South", landmark: "Molduga", type: "Molduga", region: 14, level: "Surface", x: -3323, y: -3316, z: 28, weight: 0, details: "" },</v>
      </c>
    </row>
    <row r="260" spans="1:10" x14ac:dyDescent="0.2">
      <c r="A260" t="s">
        <v>1029</v>
      </c>
      <c r="B260" t="s">
        <v>4178</v>
      </c>
      <c r="C260" s="2">
        <v>14</v>
      </c>
      <c r="D260" s="2" t="s">
        <v>785</v>
      </c>
      <c r="E260" s="2">
        <v>-2401</v>
      </c>
      <c r="F260" s="2">
        <v>-3268</v>
      </c>
      <c r="G260" s="2">
        <v>34</v>
      </c>
      <c r="H260" s="2">
        <v>0</v>
      </c>
      <c r="J260" t="str">
        <f t="shared" si="9"/>
        <v>{ name: "East Barrens", landmark: "Molduga", type: "Molduga", region: 14, level: "Surface", x: -2401, y: -3268, z: 34, weight: 0, details: "" },</v>
      </c>
    </row>
    <row r="262" spans="1:10" x14ac:dyDescent="0.2">
      <c r="A262" s="6" t="s">
        <v>781</v>
      </c>
      <c r="B262" s="6" t="s">
        <v>2083</v>
      </c>
      <c r="C262" s="4" t="s">
        <v>2074</v>
      </c>
      <c r="D262" s="4" t="s">
        <v>777</v>
      </c>
      <c r="E262" s="4" t="s">
        <v>778</v>
      </c>
      <c r="F262" s="4" t="s">
        <v>779</v>
      </c>
      <c r="G262" s="4" t="s">
        <v>780</v>
      </c>
      <c r="H262" s="4" t="s">
        <v>2837</v>
      </c>
      <c r="I262" s="6" t="s">
        <v>2081</v>
      </c>
      <c r="J262" s="6" t="s">
        <v>2075</v>
      </c>
    </row>
    <row r="263" spans="1:10" x14ac:dyDescent="0.2">
      <c r="A263" t="s">
        <v>1690</v>
      </c>
      <c r="B263" t="s">
        <v>4180</v>
      </c>
      <c r="C263" s="2">
        <v>3</v>
      </c>
      <c r="D263" s="2" t="s">
        <v>785</v>
      </c>
      <c r="E263" s="2">
        <v>-2170</v>
      </c>
      <c r="F263" s="2">
        <v>1552</v>
      </c>
      <c r="G263" s="2">
        <v>226</v>
      </c>
      <c r="H263" s="2">
        <v>0</v>
      </c>
      <c r="J263" t="str">
        <f t="shared" ref="J263:J295" si="10">"{ name: "&amp;CHAR(34)&amp;A263&amp;CHAR(34)&amp;", landmark: "&amp;CHAR(34)&amp;"Lynel"&amp;CHAR(34)&amp;", type: "&amp;CHAR(34)&amp;B263&amp;CHAR(34)&amp;", region: "&amp;C263&amp;", level: "&amp;CHAR(34)&amp;D263&amp;CHAR(34)&amp;", x: "&amp;E263&amp;", y: "&amp;F263&amp;", z: "&amp;G263&amp;", weight: "&amp;H263&amp;", details: "&amp;CHAR(34)&amp;I263&amp;CHAR(34)&amp;" },"</f>
        <v>{ name: "Upland Lindor", landmark: "Lynel", type: "Lynel", region: 3, level: "Surface", x: -2170, y: 1552, z: 226, weight: 0, details: "" },</v>
      </c>
    </row>
    <row r="264" spans="1:10" x14ac:dyDescent="0.2">
      <c r="A264" t="s">
        <v>1706</v>
      </c>
      <c r="B264" t="s">
        <v>4180</v>
      </c>
      <c r="C264" s="2">
        <v>3</v>
      </c>
      <c r="D264" s="2" t="s">
        <v>785</v>
      </c>
      <c r="E264" s="2">
        <v>-1554</v>
      </c>
      <c r="F264" s="2">
        <v>138</v>
      </c>
      <c r="G264" s="2">
        <v>119</v>
      </c>
      <c r="H264" s="2">
        <v>0</v>
      </c>
      <c r="J264" t="str">
        <f t="shared" si="10"/>
        <v>{ name: "West Hyrule Plains", landmark: "Lynel", type: "Lynel", region: 3, level: "Surface", x: -1554, y: 138, z: 119, weight: 0, details: "" },</v>
      </c>
    </row>
    <row r="265" spans="1:10" x14ac:dyDescent="0.2">
      <c r="A265" t="s">
        <v>1347</v>
      </c>
      <c r="B265" t="s">
        <v>3004</v>
      </c>
      <c r="C265" s="2">
        <v>4</v>
      </c>
      <c r="D265" s="2" t="s">
        <v>785</v>
      </c>
      <c r="E265" s="2">
        <v>-4536</v>
      </c>
      <c r="F265" s="2">
        <v>2683</v>
      </c>
      <c r="G265" s="2">
        <v>236</v>
      </c>
      <c r="H265" s="2">
        <v>0</v>
      </c>
      <c r="J265" t="str">
        <f t="shared" si="10"/>
        <v>{ name: "Hebra West Summit", landmark: "Lynel", type: "Blue-Maned Lynel ", region: 4, level: "Surface", x: -4536, y: 2683, z: 236, weight: 0, details: "" },</v>
      </c>
    </row>
    <row r="266" spans="1:10" x14ac:dyDescent="0.2">
      <c r="A266" t="s">
        <v>1652</v>
      </c>
      <c r="B266" t="s">
        <v>4180</v>
      </c>
      <c r="C266" s="2">
        <v>5</v>
      </c>
      <c r="D266" s="2" t="s">
        <v>785</v>
      </c>
      <c r="E266" s="2">
        <v>-2799</v>
      </c>
      <c r="F266" s="2">
        <v>1840</v>
      </c>
      <c r="G266" s="2">
        <v>315</v>
      </c>
      <c r="H266" s="2">
        <v>0</v>
      </c>
      <c r="J266" t="str">
        <f t="shared" si="10"/>
        <v>{ name: "Tabantha Hills", landmark: "Lynel", type: "Lynel", region: 5, level: "Surface", x: -2799, y: 1840, z: 315, weight: 0, details: "" },</v>
      </c>
    </row>
    <row r="267" spans="1:10" x14ac:dyDescent="0.2">
      <c r="A267" t="s">
        <v>1512</v>
      </c>
      <c r="B267" t="s">
        <v>4180</v>
      </c>
      <c r="C267" s="2">
        <v>8</v>
      </c>
      <c r="D267" s="2" t="s">
        <v>785</v>
      </c>
      <c r="E267" s="2">
        <v>3681</v>
      </c>
      <c r="F267" s="2">
        <v>2959</v>
      </c>
      <c r="G267" s="2">
        <v>39</v>
      </c>
      <c r="H267" s="2">
        <v>0</v>
      </c>
      <c r="J267" t="str">
        <f t="shared" si="10"/>
        <v>{ name: "North Akkala Valley", landmark: "Lynel", type: "Lynel", region: 8, level: "Surface", x: 3681, y: 2959, z: 39, weight: 0, details: "" },</v>
      </c>
    </row>
    <row r="268" spans="1:10" x14ac:dyDescent="0.2">
      <c r="A268" t="s">
        <v>1686</v>
      </c>
      <c r="B268" t="s">
        <v>3005</v>
      </c>
      <c r="C268" s="2">
        <v>9</v>
      </c>
      <c r="D268" s="2" t="s">
        <v>785</v>
      </c>
      <c r="E268" s="2">
        <v>3877</v>
      </c>
      <c r="F268" s="2">
        <v>951</v>
      </c>
      <c r="G268" s="2">
        <v>256</v>
      </c>
      <c r="H268" s="2">
        <v>0</v>
      </c>
      <c r="J268" t="str">
        <f t="shared" si="10"/>
        <v>{ name: "Ukuku Plains", landmark: "Lynel", type: "White-Maned Lynel ", region: 9, level: "Surface", x: 3877, y: 951, z: 256, weight: 0, details: "" },</v>
      </c>
    </row>
    <row r="269" spans="1:10" x14ac:dyDescent="0.2">
      <c r="A269" t="s">
        <v>803</v>
      </c>
      <c r="B269" t="s">
        <v>3004</v>
      </c>
      <c r="C269" s="2">
        <v>10</v>
      </c>
      <c r="D269" s="2" t="s">
        <v>785</v>
      </c>
      <c r="E269" s="2">
        <v>1996</v>
      </c>
      <c r="F269" s="2">
        <v>-307</v>
      </c>
      <c r="G269" s="2">
        <v>22</v>
      </c>
      <c r="H269" s="2">
        <v>0</v>
      </c>
      <c r="J269" t="str">
        <f t="shared" si="10"/>
        <v>{ name: "Lanayru Wetlands", landmark: "Lynel", type: "Blue-Maned Lynel ", region: 10, level: "Surface", x: 1996, y: -307, z: 22, weight: 0, details: "" },</v>
      </c>
    </row>
    <row r="270" spans="1:10" x14ac:dyDescent="0.2">
      <c r="A270" t="s">
        <v>1554</v>
      </c>
      <c r="B270" t="s">
        <v>3004</v>
      </c>
      <c r="C270" s="2">
        <v>10</v>
      </c>
      <c r="D270" s="2" t="s">
        <v>785</v>
      </c>
      <c r="E270" s="2">
        <v>2501</v>
      </c>
      <c r="F270" s="2">
        <v>-519</v>
      </c>
      <c r="G270" s="2">
        <v>125</v>
      </c>
      <c r="H270" s="2">
        <v>0</v>
      </c>
      <c r="J270" t="str">
        <f t="shared" si="10"/>
        <v>{ name: "Rabia Plain", landmark: "Lynel", type: "Blue-Maned Lynel ", region: 10, level: "Surface", x: 2501, y: -519, z: 125, weight: 0, details: "" },</v>
      </c>
    </row>
    <row r="271" spans="1:10" x14ac:dyDescent="0.2">
      <c r="A271" t="s">
        <v>1419</v>
      </c>
      <c r="B271" t="s">
        <v>3004</v>
      </c>
      <c r="C271" s="2">
        <v>10</v>
      </c>
      <c r="D271" s="2" t="s">
        <v>785</v>
      </c>
      <c r="E271" s="2">
        <v>2661</v>
      </c>
      <c r="F271" s="2">
        <v>-946</v>
      </c>
      <c r="G271" s="2">
        <v>232</v>
      </c>
      <c r="H271" s="2">
        <v>0</v>
      </c>
      <c r="J271" t="str">
        <f t="shared" si="10"/>
        <v>{ name: "Lanayru Heights", landmark: "Lynel", type: "Blue-Maned Lynel ", region: 10, level: "Surface", x: 2661, y: -946, z: 232, weight: 0, details: "" },</v>
      </c>
    </row>
    <row r="272" spans="1:10" x14ac:dyDescent="0.2">
      <c r="A272" t="s">
        <v>1383</v>
      </c>
      <c r="B272" t="s">
        <v>3005</v>
      </c>
      <c r="C272" s="2">
        <v>13</v>
      </c>
      <c r="D272" s="2" t="s">
        <v>785</v>
      </c>
      <c r="E272" s="2">
        <v>1464</v>
      </c>
      <c r="F272" s="2">
        <v>-3036</v>
      </c>
      <c r="G272" s="2">
        <v>215</v>
      </c>
      <c r="H272" s="2">
        <v>0</v>
      </c>
      <c r="J272" t="str">
        <f t="shared" si="10"/>
        <v>{ name: "Kamah Plateau", landmark: "Lynel", type: "White-Maned Lynel ", region: 13, level: "Surface", x: 1464, y: -3036, z: 215, weight: 0, details: "" },</v>
      </c>
    </row>
    <row r="273" spans="1:10" x14ac:dyDescent="0.2">
      <c r="A273" t="s">
        <v>1322</v>
      </c>
      <c r="B273" t="s">
        <v>3004</v>
      </c>
      <c r="C273" s="2">
        <v>13</v>
      </c>
      <c r="D273" s="2" t="s">
        <v>785</v>
      </c>
      <c r="E273" s="2">
        <v>98</v>
      </c>
      <c r="F273" s="2">
        <v>-3367</v>
      </c>
      <c r="G273" s="2">
        <v>18</v>
      </c>
      <c r="H273" s="2">
        <v>0</v>
      </c>
      <c r="J273" t="str">
        <f t="shared" si="10"/>
        <v>{ name: "Harfin Valley", landmark: "Lynel", type: "Blue-Maned Lynel ", region: 13, level: "Surface", x: 98, y: -3367, z: 18, weight: 0, details: "" },</v>
      </c>
    </row>
    <row r="274" spans="1:10" x14ac:dyDescent="0.2">
      <c r="A274" t="s">
        <v>1499</v>
      </c>
      <c r="B274" t="s">
        <v>3004</v>
      </c>
      <c r="C274" s="2">
        <v>13</v>
      </c>
      <c r="D274" s="2" t="s">
        <v>785</v>
      </c>
      <c r="E274" s="2">
        <v>-590</v>
      </c>
      <c r="F274" s="2">
        <v>-3834</v>
      </c>
      <c r="G274" s="2">
        <v>62</v>
      </c>
      <c r="H274" s="2">
        <v>0</v>
      </c>
      <c r="J274" t="str">
        <f t="shared" si="10"/>
        <v>{ name: "Nautelle Wetlands", landmark: "Lynel", type: "Blue-Maned Lynel ", region: 13, level: "Surface", x: -590, y: -3834, z: 62, weight: 0, details: "" },</v>
      </c>
    </row>
    <row r="275" spans="1:10" x14ac:dyDescent="0.2">
      <c r="A275" t="s">
        <v>4182</v>
      </c>
      <c r="B275" t="s">
        <v>3004</v>
      </c>
      <c r="C275" s="2">
        <v>14</v>
      </c>
      <c r="D275" s="2" t="s">
        <v>785</v>
      </c>
      <c r="E275" s="2">
        <v>-1463</v>
      </c>
      <c r="F275" s="2">
        <v>-2708</v>
      </c>
      <c r="G275" s="2">
        <v>152</v>
      </c>
      <c r="H275" s="2">
        <v>0</v>
      </c>
      <c r="J275" t="str">
        <f t="shared" si="10"/>
        <v>{ name: "Starly Plateau", landmark: "Lynel", type: "Blue-Maned Lynel ", region: 14, level: "Surface", x: -1463, y: -2708, z: 152, weight: 0, details: "" },</v>
      </c>
    </row>
    <row r="276" spans="1:10" x14ac:dyDescent="0.2">
      <c r="A276" t="s">
        <v>1044</v>
      </c>
      <c r="B276" t="s">
        <v>4180</v>
      </c>
      <c r="C276" s="2">
        <v>15</v>
      </c>
      <c r="D276" s="2" t="s">
        <v>785</v>
      </c>
      <c r="E276" s="2">
        <v>-3378</v>
      </c>
      <c r="F276" s="2">
        <v>30</v>
      </c>
      <c r="G276" s="2">
        <v>105</v>
      </c>
      <c r="H276" s="2">
        <v>0</v>
      </c>
      <c r="J276" t="str">
        <f t="shared" si="10"/>
        <v>{ name: "Lake Illumeni", landmark: "Lynel", type: "Lynel", region: 15, level: "Surface", x: -3378, y: 30, z: 105, weight: 0, details: "" },</v>
      </c>
    </row>
    <row r="277" spans="1:10" x14ac:dyDescent="0.2">
      <c r="A277" t="s">
        <v>1574</v>
      </c>
      <c r="B277" t="s">
        <v>3005</v>
      </c>
      <c r="C277" s="2">
        <v>15</v>
      </c>
      <c r="D277" s="2" t="s">
        <v>785</v>
      </c>
      <c r="E277" s="2">
        <v>-4445</v>
      </c>
      <c r="F277" s="2">
        <v>-989</v>
      </c>
      <c r="G277" s="2">
        <v>511</v>
      </c>
      <c r="H277" s="2">
        <v>0</v>
      </c>
      <c r="J277" t="str">
        <f t="shared" si="10"/>
        <v>{ name: "Risoka Snowfield", landmark: "Lynel", type: "White-Maned Lynel ", region: 15, level: "Surface", x: -4445, y: -989, z: 511, weight: 0, details: "" },</v>
      </c>
    </row>
    <row r="278" spans="1:10" x14ac:dyDescent="0.2">
      <c r="A278" t="s">
        <v>4183</v>
      </c>
      <c r="B278" t="s">
        <v>3005</v>
      </c>
      <c r="C278" s="2">
        <v>1</v>
      </c>
      <c r="D278" s="2" t="s">
        <v>994</v>
      </c>
      <c r="E278" s="2">
        <v>-246</v>
      </c>
      <c r="F278" s="2">
        <v>792</v>
      </c>
      <c r="G278" s="2">
        <v>-1059</v>
      </c>
      <c r="H278" s="2">
        <v>0</v>
      </c>
      <c r="J278" t="str">
        <f t="shared" si="10"/>
        <v>{ name: "Hyrule Castle Depths", landmark: "Lynel", type: "White-Maned Lynel ", region: 1, level: "Depths", x: -246, y: 792, z: -1059, weight: 0, details: "" },</v>
      </c>
    </row>
    <row r="279" spans="1:10" x14ac:dyDescent="0.2">
      <c r="A279" t="s">
        <v>4184</v>
      </c>
      <c r="B279" t="s">
        <v>4181</v>
      </c>
      <c r="C279" s="2">
        <v>2</v>
      </c>
      <c r="D279" s="2" t="s">
        <v>994</v>
      </c>
      <c r="E279" s="2">
        <v>-1439</v>
      </c>
      <c r="F279" s="2">
        <v>-1262</v>
      </c>
      <c r="G279" s="2">
        <v>-464</v>
      </c>
      <c r="H279" s="2">
        <v>0</v>
      </c>
      <c r="J279" t="str">
        <f t="shared" si="10"/>
        <v>{ name: "Outskirt Stable Depths", landmark: "Lynel", type: "Armored Lynel", region: 2, level: "Depths", x: -1439, y: -1262, z: -464, weight: 0, details: "" },</v>
      </c>
    </row>
    <row r="280" spans="1:10" x14ac:dyDescent="0.2">
      <c r="A280" t="s">
        <v>4185</v>
      </c>
      <c r="B280" t="s">
        <v>4180</v>
      </c>
      <c r="C280" s="2">
        <v>2</v>
      </c>
      <c r="D280" s="2" t="s">
        <v>994</v>
      </c>
      <c r="E280" s="2">
        <v>-1167</v>
      </c>
      <c r="F280" s="2">
        <v>-1321</v>
      </c>
      <c r="G280" s="2">
        <v>-478</v>
      </c>
      <c r="H280" s="2">
        <v>0</v>
      </c>
      <c r="J280" t="str">
        <f t="shared" si="10"/>
        <v>{ name: "Floating Coliseum #01", landmark: "Lynel", type: "Lynel", region: 2, level: "Depths", x: -1167, y: -1321, z: -478, weight: 0, details: "" },</v>
      </c>
    </row>
    <row r="281" spans="1:10" x14ac:dyDescent="0.2">
      <c r="A281" t="s">
        <v>4186</v>
      </c>
      <c r="B281" t="s">
        <v>3004</v>
      </c>
      <c r="C281" s="2">
        <v>2</v>
      </c>
      <c r="D281" s="2" t="s">
        <v>994</v>
      </c>
      <c r="E281" s="2">
        <v>-1109</v>
      </c>
      <c r="F281" s="2">
        <v>-1305</v>
      </c>
      <c r="G281" s="2">
        <v>-478</v>
      </c>
      <c r="H281" s="2">
        <v>0</v>
      </c>
      <c r="J281" t="str">
        <f t="shared" si="10"/>
        <v>{ name: "Floating Coliseum #02", landmark: "Lynel", type: "Blue-Maned Lynel ", region: 2, level: "Depths", x: -1109, y: -1305, z: -478, weight: 0, details: "" },</v>
      </c>
    </row>
    <row r="282" spans="1:10" x14ac:dyDescent="0.2">
      <c r="A282" t="s">
        <v>4187</v>
      </c>
      <c r="B282" t="s">
        <v>3005</v>
      </c>
      <c r="C282" s="2">
        <v>2</v>
      </c>
      <c r="D282" s="2" t="s">
        <v>994</v>
      </c>
      <c r="E282" s="2">
        <v>-1207</v>
      </c>
      <c r="F282" s="2">
        <v>-1278</v>
      </c>
      <c r="G282" s="2">
        <v>-478</v>
      </c>
      <c r="H282" s="2">
        <v>0</v>
      </c>
      <c r="J282" t="str">
        <f t="shared" si="10"/>
        <v>{ name: "Floating Coliseum #03", landmark: "Lynel", type: "White-Maned Lynel ", region: 2, level: "Depths", x: -1207, y: -1278, z: -478, weight: 0, details: "" },</v>
      </c>
    </row>
    <row r="283" spans="1:10" x14ac:dyDescent="0.2">
      <c r="A283" t="s">
        <v>4188</v>
      </c>
      <c r="B283" t="s">
        <v>3006</v>
      </c>
      <c r="C283" s="2">
        <v>2</v>
      </c>
      <c r="D283" s="2" t="s">
        <v>994</v>
      </c>
      <c r="E283" s="2">
        <v>-1097</v>
      </c>
      <c r="F283" s="2">
        <v>-1249</v>
      </c>
      <c r="G283" s="2">
        <v>-478</v>
      </c>
      <c r="H283" s="2">
        <v>0</v>
      </c>
      <c r="J283" t="str">
        <f t="shared" si="10"/>
        <v>{ name: "Floating Coliseum #04", landmark: "Lynel", type: "Silver Lynel ", region: 2, level: "Depths", x: -1097, y: -1249, z: -478, weight: 0, details: "" },</v>
      </c>
    </row>
    <row r="284" spans="1:10" x14ac:dyDescent="0.2">
      <c r="A284" t="s">
        <v>4189</v>
      </c>
      <c r="B284" t="s">
        <v>3009</v>
      </c>
      <c r="C284" s="2">
        <v>2</v>
      </c>
      <c r="D284" s="2" t="s">
        <v>994</v>
      </c>
      <c r="E284" s="2">
        <v>-1192</v>
      </c>
      <c r="F284" s="2">
        <v>-1222</v>
      </c>
      <c r="G284" s="2">
        <v>-478</v>
      </c>
      <c r="H284" s="2">
        <v>0</v>
      </c>
      <c r="J284" t="str">
        <f t="shared" si="10"/>
        <v>{ name: "Floating Coliseum #05", landmark: "Lynel", type: "Armored Silver Lynel", region: 2, level: "Depths", x: -1192, y: -1222, z: -478, weight: 0, details: "" },</v>
      </c>
    </row>
    <row r="285" spans="1:10" x14ac:dyDescent="0.2">
      <c r="A285" t="s">
        <v>4190</v>
      </c>
      <c r="B285" t="s">
        <v>4181</v>
      </c>
      <c r="C285" s="2">
        <v>2</v>
      </c>
      <c r="D285" s="2" t="s">
        <v>994</v>
      </c>
      <c r="E285" s="2">
        <v>253</v>
      </c>
      <c r="F285" s="2">
        <v>-1187</v>
      </c>
      <c r="G285" s="2">
        <v>-453</v>
      </c>
      <c r="H285" s="2">
        <v>0</v>
      </c>
      <c r="J285" t="str">
        <f t="shared" si="10"/>
        <v>{ name: "Riverside Stable Depths", landmark: "Lynel", type: "Armored Lynel", region: 2, level: "Depths", x: 253, y: -1187, z: -453, weight: 0, details: "" },</v>
      </c>
    </row>
    <row r="286" spans="1:10" x14ac:dyDescent="0.2">
      <c r="A286" t="s">
        <v>4191</v>
      </c>
      <c r="B286" t="s">
        <v>3008</v>
      </c>
      <c r="C286" s="2">
        <v>3</v>
      </c>
      <c r="D286" s="2" t="s">
        <v>994</v>
      </c>
      <c r="E286" s="2">
        <v>-1224</v>
      </c>
      <c r="F286" s="2">
        <v>764</v>
      </c>
      <c r="G286" s="2">
        <v>-530</v>
      </c>
      <c r="H286" s="2">
        <v>0</v>
      </c>
      <c r="J286" t="str">
        <f t="shared" si="10"/>
        <v>{ name: "New Serenne Stable Depths", landmark: "Lynel", type: "Armored White-Maned Lynel", region: 3, level: "Depths", x: -1224, y: 764, z: -530, weight: 0, details: "" },</v>
      </c>
    </row>
    <row r="287" spans="1:10" x14ac:dyDescent="0.2">
      <c r="A287" t="s">
        <v>4192</v>
      </c>
      <c r="B287" t="s">
        <v>3008</v>
      </c>
      <c r="C287" s="2">
        <v>5</v>
      </c>
      <c r="D287" s="2" t="s">
        <v>994</v>
      </c>
      <c r="E287" s="2">
        <v>-1603</v>
      </c>
      <c r="F287" s="2">
        <v>2523</v>
      </c>
      <c r="G287" s="2">
        <v>-660</v>
      </c>
      <c r="H287" s="2">
        <v>0</v>
      </c>
      <c r="J287" t="str">
        <f t="shared" si="10"/>
        <v>{ name: "Snowfield Stable Depths", landmark: "Lynel", type: "Armored White-Maned Lynel", region: 5, level: "Depths", x: -1603, y: 2523, z: -660, weight: 0, details: "" },</v>
      </c>
    </row>
    <row r="288" spans="1:10" x14ac:dyDescent="0.2">
      <c r="A288" t="s">
        <v>4193</v>
      </c>
      <c r="B288" t="s">
        <v>3007</v>
      </c>
      <c r="C288" s="2">
        <v>7</v>
      </c>
      <c r="D288" s="2" t="s">
        <v>994</v>
      </c>
      <c r="E288" s="2">
        <v>1041</v>
      </c>
      <c r="F288" s="2">
        <v>1124</v>
      </c>
      <c r="G288" s="2">
        <v>-454</v>
      </c>
      <c r="H288" s="2">
        <v>0</v>
      </c>
      <c r="J288" t="str">
        <f t="shared" si="10"/>
        <v>{ name: "Woodland Stable Depths", landmark: "Lynel", type: "Armored Blue-Maned Lynel", region: 7, level: "Depths", x: 1041, y: 1124, z: -454, weight: 0, details: "" },</v>
      </c>
    </row>
    <row r="289" spans="1:10" x14ac:dyDescent="0.2">
      <c r="A289" t="s">
        <v>4194</v>
      </c>
      <c r="B289" t="s">
        <v>3007</v>
      </c>
      <c r="C289" s="2">
        <v>7</v>
      </c>
      <c r="D289" s="2" t="s">
        <v>994</v>
      </c>
      <c r="E289" s="2">
        <v>2604</v>
      </c>
      <c r="F289" s="2">
        <v>1145</v>
      </c>
      <c r="G289" s="2">
        <v>-575</v>
      </c>
      <c r="H289" s="2">
        <v>0</v>
      </c>
      <c r="J289" t="str">
        <f t="shared" si="10"/>
        <v>{ name: "Foothill Stable Depths", landmark: "Lynel", type: "Armored Blue-Maned Lynel", region: 7, level: "Depths", x: 2604, y: 1145, z: -575, weight: 0, details: "" },</v>
      </c>
    </row>
    <row r="290" spans="1:10" x14ac:dyDescent="0.2">
      <c r="A290" t="s">
        <v>4195</v>
      </c>
      <c r="B290" t="s">
        <v>3007</v>
      </c>
      <c r="C290" s="2">
        <v>8</v>
      </c>
      <c r="D290" s="2" t="s">
        <v>994</v>
      </c>
      <c r="E290" s="2">
        <v>4212</v>
      </c>
      <c r="F290" s="2">
        <v>2721</v>
      </c>
      <c r="G290" s="2">
        <v>-551</v>
      </c>
      <c r="H290" s="2">
        <v>0</v>
      </c>
      <c r="J290" t="str">
        <f t="shared" si="10"/>
        <v>{ name: "East Akkala Stable Depths", landmark: "Lynel", type: "Armored Blue-Maned Lynel", region: 8, level: "Depths", x: 4212, y: 2721, z: -551, weight: 0, details: "" },</v>
      </c>
    </row>
    <row r="291" spans="1:10" x14ac:dyDescent="0.2">
      <c r="A291" t="s">
        <v>4196</v>
      </c>
      <c r="B291" t="s">
        <v>3007</v>
      </c>
      <c r="C291" s="2">
        <v>8</v>
      </c>
      <c r="D291" s="2" t="s">
        <v>994</v>
      </c>
      <c r="E291" s="2">
        <v>3150</v>
      </c>
      <c r="F291" s="2">
        <v>1693</v>
      </c>
      <c r="G291" s="2">
        <v>-626</v>
      </c>
      <c r="H291" s="2">
        <v>0</v>
      </c>
      <c r="J291" t="str">
        <f t="shared" si="10"/>
        <v>{ name: "South Akkala Stable Depths", landmark: "Lynel", type: "Armored Blue-Maned Lynel", region: 8, level: "Depths", x: 3150, y: 1693, z: -626, weight: 0, details: "" },</v>
      </c>
    </row>
    <row r="292" spans="1:10" x14ac:dyDescent="0.2">
      <c r="A292" t="s">
        <v>4197</v>
      </c>
      <c r="B292" t="s">
        <v>3009</v>
      </c>
      <c r="C292" s="2" t="s">
        <v>2835</v>
      </c>
      <c r="D292" s="2" t="s">
        <v>994</v>
      </c>
      <c r="E292" s="2">
        <v>1084</v>
      </c>
      <c r="F292" s="2">
        <v>-267</v>
      </c>
      <c r="G292" s="2">
        <v>-446</v>
      </c>
      <c r="H292" s="2">
        <v>0</v>
      </c>
      <c r="J292" t="str">
        <f t="shared" si="10"/>
        <v>{ name: "Wetland Stable Depths", landmark: "Lynel", type: "Armored Silver Lynel", region: [10,12], level: "Depths", x: 1084, y: -267, z: -446, weight: 0, details: "" },</v>
      </c>
    </row>
    <row r="293" spans="1:10" x14ac:dyDescent="0.2">
      <c r="A293" t="s">
        <v>4198</v>
      </c>
      <c r="B293" t="s">
        <v>3008</v>
      </c>
      <c r="C293" s="2">
        <v>10</v>
      </c>
      <c r="D293" s="2" t="s">
        <v>994</v>
      </c>
      <c r="E293" s="2">
        <v>1761</v>
      </c>
      <c r="F293" s="2">
        <v>-1926</v>
      </c>
      <c r="G293" s="2">
        <v>-443</v>
      </c>
      <c r="H293" s="2">
        <v>0</v>
      </c>
      <c r="J293" t="str">
        <f t="shared" si="10"/>
        <v>{ name: "Dueling Peaks Stable Depths", landmark: "Lynel", type: "Armored White-Maned Lynel", region: 10, level: "Depths", x: 1761, y: -1926, z: -443, weight: 0, details: "" },</v>
      </c>
    </row>
    <row r="294" spans="1:10" x14ac:dyDescent="0.2">
      <c r="A294" t="s">
        <v>4199</v>
      </c>
      <c r="B294" t="s">
        <v>3008</v>
      </c>
      <c r="C294" s="2">
        <v>13</v>
      </c>
      <c r="D294" s="2" t="s">
        <v>994</v>
      </c>
      <c r="E294" s="2">
        <v>500</v>
      </c>
      <c r="F294" s="2">
        <v>-3457</v>
      </c>
      <c r="G294" s="2">
        <v>-479</v>
      </c>
      <c r="H294" s="2">
        <v>0</v>
      </c>
      <c r="J294" t="str">
        <f t="shared" si="10"/>
        <v>{ name: "Highland Stable Depths", landmark: "Lynel", type: "Armored White-Maned Lynel", region: 13, level: "Depths", x: 500, y: -3457, z: -479, weight: 0, details: "" },</v>
      </c>
    </row>
    <row r="295" spans="1:10" x14ac:dyDescent="0.2">
      <c r="A295" t="s">
        <v>4200</v>
      </c>
      <c r="B295" t="s">
        <v>3007</v>
      </c>
      <c r="C295" s="2">
        <v>13</v>
      </c>
      <c r="D295" s="2" t="s">
        <v>994</v>
      </c>
      <c r="E295" s="2">
        <v>1585</v>
      </c>
      <c r="F295" s="2">
        <v>-3496</v>
      </c>
      <c r="G295" s="2">
        <v>-491</v>
      </c>
      <c r="H295" s="2">
        <v>0</v>
      </c>
      <c r="J295" t="str">
        <f t="shared" si="10"/>
        <v>{ name: "Lakeside Stable Depths", landmark: "Lynel", type: "Armored Blue-Maned Lynel", region: 13, level: "Depths", x: 1585, y: -3496, z: -491, weight: 0, details: "" },</v>
      </c>
    </row>
    <row r="296" spans="1:10" x14ac:dyDescent="0.2">
      <c r="A296" t="s">
        <v>4154</v>
      </c>
      <c r="B296" t="s">
        <v>3007</v>
      </c>
      <c r="C296" s="2">
        <v>14</v>
      </c>
      <c r="D296" s="2" t="s">
        <v>994</v>
      </c>
      <c r="E296" s="2">
        <v>-2799</v>
      </c>
      <c r="F296" s="2">
        <v>-2238</v>
      </c>
      <c r="G296" s="2">
        <v>-462</v>
      </c>
      <c r="H296" s="2">
        <v>0</v>
      </c>
      <c r="J296" t="str">
        <f>"{ name: "&amp;CHAR(34)&amp;A296&amp;CHAR(34)&amp;", landmark: "&amp;CHAR(34)&amp;"Lynel"&amp;CHAR(34)&amp;", type: "&amp;CHAR(34)&amp;B296&amp;CHAR(34)&amp;", region: "&amp;C296&amp;", level: "&amp;CHAR(34)&amp;D296&amp;CHAR(34)&amp;", x: "&amp;E296&amp;", y: "&amp;F296&amp;", z: "&amp;G296&amp;", weight: "&amp;H296&amp;", details: "&amp;CHAR(34)&amp;I296&amp;CHAR(34)&amp;" },"</f>
        <v>{ name: "Gerudo Canyon Depths", landmark: "Lynel", type: "Armored Blue-Maned Lynel", region: 14, level: "Depths", x: -2799, y: -2238, z: -462, weight: 0, details: "" },</v>
      </c>
    </row>
  </sheetData>
  <autoFilter ref="A1:J88" xr:uid="{76F5DE19-C0A8-F542-BA43-17C2A2ACA7C9}"/>
  <phoneticPr fontId="1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30957-7D58-0C4B-9FD9-B756EB88F8E4}">
  <sheetPr codeName="Sheet26">
    <tabColor theme="7"/>
  </sheetPr>
  <dimension ref="A1:M27"/>
  <sheetViews>
    <sheetView workbookViewId="0">
      <selection activeCell="E5" sqref="E5"/>
    </sheetView>
  </sheetViews>
  <sheetFormatPr baseColWidth="10" defaultRowHeight="16" x14ac:dyDescent="0.2"/>
  <cols>
    <col min="1" max="1" width="17.6640625" bestFit="1" customWidth="1"/>
    <col min="2" max="2" width="17.83203125" bestFit="1" customWidth="1"/>
    <col min="5" max="8" width="10.83203125" style="2"/>
  </cols>
  <sheetData>
    <row r="1" spans="1:10" s="6" customFormat="1" x14ac:dyDescent="0.2">
      <c r="A1" s="6" t="s">
        <v>781</v>
      </c>
      <c r="B1" s="6" t="s">
        <v>2083</v>
      </c>
      <c r="C1" s="6" t="s">
        <v>2074</v>
      </c>
      <c r="D1" s="6" t="s">
        <v>777</v>
      </c>
      <c r="E1" s="4" t="s">
        <v>778</v>
      </c>
      <c r="F1" s="4" t="s">
        <v>779</v>
      </c>
      <c r="G1" s="4" t="s">
        <v>780</v>
      </c>
      <c r="H1" s="4" t="s">
        <v>2837</v>
      </c>
      <c r="I1" s="6" t="s">
        <v>2081</v>
      </c>
      <c r="J1" s="6" t="s">
        <v>2075</v>
      </c>
    </row>
    <row r="2" spans="1:10" x14ac:dyDescent="0.2">
      <c r="A2" t="s">
        <v>1584</v>
      </c>
      <c r="B2" t="s">
        <v>2412</v>
      </c>
      <c r="C2">
        <v>1</v>
      </c>
      <c r="D2" t="s">
        <v>785</v>
      </c>
      <c r="E2" s="2">
        <v>317</v>
      </c>
      <c r="F2" s="2">
        <v>542</v>
      </c>
      <c r="G2" s="2">
        <v>9</v>
      </c>
      <c r="H2" s="2">
        <v>0</v>
      </c>
      <c r="I2" t="s">
        <v>2082</v>
      </c>
      <c r="J2" t="str">
        <f>"{ name: "&amp;CHAR(34)&amp;A2&amp;CHAR(34)&amp;", landmark: "&amp;CHAR(34)&amp;"Cherry Tree"&amp;CHAR(34)&amp;", type: "&amp;CHAR(34)&amp;B2&amp;CHAR(34)&amp;", region: "&amp;C2&amp;", level: "&amp;CHAR(34)&amp;D2&amp;CHAR(34)&amp;", x: "&amp;E2&amp;", y: "&amp;F2&amp;", z: "&amp;G2&amp;", weight: "&amp;H2&amp;", details: "&amp;CHAR(34)&amp;I2&amp;CHAR(34)&amp;" },"</f>
        <v>{ name: "Romani Plains", landmark: "Cherry Tree", type: "Cherry Blossom Tree", region: 1, level: "Surface", x: 317, y: 542, z: 9, weight: 0, details: " " },</v>
      </c>
    </row>
    <row r="3" spans="1:10" x14ac:dyDescent="0.2">
      <c r="A3" t="s">
        <v>1604</v>
      </c>
      <c r="B3" t="s">
        <v>2412</v>
      </c>
      <c r="C3">
        <v>2</v>
      </c>
      <c r="D3" t="s">
        <v>785</v>
      </c>
      <c r="E3" s="2">
        <v>-2299</v>
      </c>
      <c r="F3" s="2">
        <v>-341</v>
      </c>
      <c r="G3" s="2">
        <v>336</v>
      </c>
      <c r="H3" s="2">
        <v>0</v>
      </c>
      <c r="J3" t="s">
        <v>2856</v>
      </c>
    </row>
    <row r="4" spans="1:10" x14ac:dyDescent="0.2">
      <c r="A4" t="s">
        <v>1535</v>
      </c>
      <c r="B4" t="s">
        <v>2412</v>
      </c>
      <c r="C4">
        <v>4</v>
      </c>
      <c r="D4" t="s">
        <v>785</v>
      </c>
      <c r="E4" s="2">
        <v>-4050</v>
      </c>
      <c r="F4" s="2">
        <v>1690</v>
      </c>
      <c r="G4" s="2">
        <v>185</v>
      </c>
      <c r="H4" s="2">
        <v>0</v>
      </c>
      <c r="J4" t="s">
        <v>2857</v>
      </c>
    </row>
    <row r="5" spans="1:10" x14ac:dyDescent="0.2">
      <c r="A5" t="s">
        <v>2413</v>
      </c>
      <c r="B5" t="s">
        <v>2412</v>
      </c>
      <c r="C5">
        <v>7</v>
      </c>
      <c r="D5" t="s">
        <v>785</v>
      </c>
      <c r="E5" s="2">
        <v>1239</v>
      </c>
      <c r="F5" s="2">
        <v>2957</v>
      </c>
      <c r="G5" s="2">
        <v>406</v>
      </c>
      <c r="H5" s="2">
        <v>0</v>
      </c>
      <c r="J5" t="s">
        <v>2858</v>
      </c>
    </row>
    <row r="6" spans="1:10" x14ac:dyDescent="0.2">
      <c r="A6" t="s">
        <v>1726</v>
      </c>
      <c r="B6" t="s">
        <v>2412</v>
      </c>
      <c r="C6">
        <v>9</v>
      </c>
      <c r="D6" t="s">
        <v>785</v>
      </c>
      <c r="E6" s="2">
        <v>2531</v>
      </c>
      <c r="F6" s="2">
        <v>-5</v>
      </c>
      <c r="G6" s="2">
        <v>130</v>
      </c>
      <c r="H6" s="2">
        <v>0</v>
      </c>
      <c r="J6" t="s">
        <v>2859</v>
      </c>
    </row>
    <row r="7" spans="1:10" x14ac:dyDescent="0.2">
      <c r="A7" t="s">
        <v>1238</v>
      </c>
      <c r="B7" t="s">
        <v>2412</v>
      </c>
      <c r="C7">
        <v>11</v>
      </c>
      <c r="D7" t="s">
        <v>785</v>
      </c>
      <c r="E7" s="2">
        <v>3358</v>
      </c>
      <c r="F7" s="2">
        <v>-2479</v>
      </c>
      <c r="G7" s="2">
        <v>267</v>
      </c>
      <c r="H7" s="2">
        <v>0</v>
      </c>
      <c r="J7" t="s">
        <v>2860</v>
      </c>
    </row>
    <row r="8" spans="1:10" x14ac:dyDescent="0.2">
      <c r="A8" t="s">
        <v>1317</v>
      </c>
      <c r="B8" t="s">
        <v>2412</v>
      </c>
      <c r="C8">
        <v>13</v>
      </c>
      <c r="D8" t="s">
        <v>785</v>
      </c>
      <c r="E8" s="2">
        <v>799</v>
      </c>
      <c r="F8" s="2">
        <v>-3502</v>
      </c>
      <c r="G8" s="2">
        <v>45</v>
      </c>
      <c r="H8" s="2">
        <v>0</v>
      </c>
      <c r="J8" t="s">
        <v>2861</v>
      </c>
    </row>
    <row r="9" spans="1:10" x14ac:dyDescent="0.2">
      <c r="A9" t="s">
        <v>1033</v>
      </c>
      <c r="B9" t="s">
        <v>2412</v>
      </c>
      <c r="C9">
        <v>14</v>
      </c>
      <c r="D9" t="s">
        <v>785</v>
      </c>
      <c r="E9" s="2">
        <v>-2315</v>
      </c>
      <c r="F9" s="2">
        <v>-2158</v>
      </c>
      <c r="G9" s="2">
        <v>237</v>
      </c>
      <c r="H9" s="2">
        <v>0</v>
      </c>
      <c r="J9" t="s">
        <v>2862</v>
      </c>
    </row>
    <row r="24" spans="9:13" x14ac:dyDescent="0.2">
      <c r="I24" t="s">
        <v>2082</v>
      </c>
      <c r="M24" t="s">
        <v>2082</v>
      </c>
    </row>
    <row r="27" spans="9:13" x14ac:dyDescent="0.2">
      <c r="I27" t="s">
        <v>2082</v>
      </c>
      <c r="M27" t="s">
        <v>2082</v>
      </c>
    </row>
  </sheetData>
  <autoFilter ref="A1:J1" xr:uid="{A095D5C8-FF81-DA46-ADE3-61DE071C2139}"/>
  <sortState xmlns:xlrd2="http://schemas.microsoft.com/office/spreadsheetml/2017/richdata2" ref="A2:J9">
    <sortCondition ref="C3:C9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FDD2C-001D-804B-8C2D-BE5087742E0C}">
  <sheetPr codeName="Sheet29">
    <tabColor theme="7"/>
  </sheetPr>
  <dimension ref="A1:J19"/>
  <sheetViews>
    <sheetView workbookViewId="0">
      <selection activeCell="J11" sqref="J11"/>
    </sheetView>
  </sheetViews>
  <sheetFormatPr baseColWidth="10" defaultRowHeight="16" x14ac:dyDescent="0.2"/>
  <cols>
    <col min="1" max="1" width="14" bestFit="1" customWidth="1"/>
    <col min="2" max="2" width="14.6640625" bestFit="1" customWidth="1"/>
    <col min="3" max="8" width="10.83203125" style="2"/>
  </cols>
  <sheetData>
    <row r="1" spans="1:10" s="6" customFormat="1" x14ac:dyDescent="0.2">
      <c r="A1" s="6" t="s">
        <v>781</v>
      </c>
      <c r="B1" s="6" t="s">
        <v>2083</v>
      </c>
      <c r="C1" s="4" t="s">
        <v>2074</v>
      </c>
      <c r="D1" s="4" t="s">
        <v>777</v>
      </c>
      <c r="E1" s="4" t="s">
        <v>778</v>
      </c>
      <c r="F1" s="4" t="s">
        <v>779</v>
      </c>
      <c r="G1" s="4" t="s">
        <v>780</v>
      </c>
      <c r="H1" s="4" t="s">
        <v>2837</v>
      </c>
      <c r="I1" s="6" t="s">
        <v>2081</v>
      </c>
      <c r="J1" s="6" t="s">
        <v>2075</v>
      </c>
    </row>
    <row r="2" spans="1:10" x14ac:dyDescent="0.2">
      <c r="A2" t="s">
        <v>1668</v>
      </c>
      <c r="B2" t="s">
        <v>2445</v>
      </c>
      <c r="C2" s="2" t="s">
        <v>2449</v>
      </c>
      <c r="D2" s="2" t="s">
        <v>783</v>
      </c>
      <c r="E2" s="2">
        <v>453</v>
      </c>
      <c r="F2" s="2">
        <v>-774</v>
      </c>
      <c r="G2" s="2">
        <v>1466</v>
      </c>
      <c r="H2" s="2">
        <v>0</v>
      </c>
      <c r="J2" t="str">
        <f>"{ name: "&amp;CHAR(34)&amp;A2&amp;CHAR(34)&amp;", landmark: "&amp;CHAR(34)&amp;"Statue"&amp;CHAR(34)&amp;", type: "&amp;CHAR(34)&amp;B2&amp;CHAR(34)&amp;", region: "&amp;C2&amp;", level: "&amp;CHAR(34)&amp;D2&amp;CHAR(34)&amp;", x: "&amp;E2&amp;", y: "&amp;F2&amp;", z: "&amp;G2&amp;", weight: "&amp;H2&amp;", details: "&amp;CHAR(34)&amp;I2&amp;CHAR(34)&amp;" },"</f>
        <v>{ name: "Temple of Time", landmark: "Statue", type: "Goddess Statue", region: [0,1], level: "Sky", x: 453, y: -774, z: 1466, weight: 0, details: "" },</v>
      </c>
    </row>
    <row r="3" spans="1:10" x14ac:dyDescent="0.2">
      <c r="A3" t="s">
        <v>1441</v>
      </c>
      <c r="B3" t="s">
        <v>2445</v>
      </c>
      <c r="C3" s="2">
        <v>1</v>
      </c>
      <c r="D3" s="2" t="s">
        <v>785</v>
      </c>
      <c r="E3" s="2">
        <v>-242</v>
      </c>
      <c r="F3" s="2">
        <v>86</v>
      </c>
      <c r="G3" s="2">
        <v>8</v>
      </c>
      <c r="H3" s="2">
        <v>0</v>
      </c>
      <c r="J3" t="s">
        <v>2840</v>
      </c>
    </row>
    <row r="4" spans="1:10" x14ac:dyDescent="0.2">
      <c r="A4" t="s">
        <v>1669</v>
      </c>
      <c r="B4" t="s">
        <v>2445</v>
      </c>
      <c r="C4" s="2">
        <v>2</v>
      </c>
      <c r="D4" s="2" t="s">
        <v>785</v>
      </c>
      <c r="E4" s="2">
        <v>-821</v>
      </c>
      <c r="F4" s="2">
        <v>-2027</v>
      </c>
      <c r="G4" s="2">
        <v>119</v>
      </c>
      <c r="H4" s="2">
        <v>0</v>
      </c>
      <c r="J4" t="s">
        <v>2841</v>
      </c>
    </row>
    <row r="5" spans="1:10" x14ac:dyDescent="0.2">
      <c r="A5" t="s">
        <v>847</v>
      </c>
      <c r="B5" t="s">
        <v>2445</v>
      </c>
      <c r="C5" s="2">
        <v>4</v>
      </c>
      <c r="D5" s="2" t="s">
        <v>785</v>
      </c>
      <c r="E5" s="2">
        <v>-3606</v>
      </c>
      <c r="F5" s="2">
        <v>1805</v>
      </c>
      <c r="G5" s="2">
        <v>180</v>
      </c>
      <c r="H5" s="2">
        <v>0</v>
      </c>
      <c r="J5" t="s">
        <v>2842</v>
      </c>
    </row>
    <row r="6" spans="1:10" x14ac:dyDescent="0.2">
      <c r="A6" t="s">
        <v>1273</v>
      </c>
      <c r="B6" t="s">
        <v>2445</v>
      </c>
      <c r="C6" s="2">
        <v>5</v>
      </c>
      <c r="D6" s="2" t="s">
        <v>785</v>
      </c>
      <c r="E6" s="2">
        <v>-1076</v>
      </c>
      <c r="F6" s="2">
        <v>2651</v>
      </c>
      <c r="G6" s="2">
        <v>-84</v>
      </c>
      <c r="H6" s="2">
        <v>0</v>
      </c>
      <c r="J6" t="s">
        <v>2843</v>
      </c>
    </row>
    <row r="7" spans="1:10" x14ac:dyDescent="0.2">
      <c r="A7" t="s">
        <v>1399</v>
      </c>
      <c r="B7" t="s">
        <v>2445</v>
      </c>
      <c r="C7" s="2">
        <v>6</v>
      </c>
      <c r="D7" s="2" t="s">
        <v>785</v>
      </c>
      <c r="E7" s="2">
        <v>416</v>
      </c>
      <c r="F7" s="2">
        <v>2178</v>
      </c>
      <c r="G7" s="2">
        <v>153</v>
      </c>
      <c r="H7" s="2">
        <v>0</v>
      </c>
      <c r="J7" t="s">
        <v>2844</v>
      </c>
    </row>
    <row r="8" spans="1:10" x14ac:dyDescent="0.2">
      <c r="A8" t="s">
        <v>1302</v>
      </c>
      <c r="B8" t="s">
        <v>2445</v>
      </c>
      <c r="C8" s="2">
        <v>7</v>
      </c>
      <c r="D8" s="2" t="s">
        <v>785</v>
      </c>
      <c r="E8" s="2">
        <v>1718</v>
      </c>
      <c r="F8" s="2">
        <v>2455</v>
      </c>
      <c r="G8" s="2">
        <v>393</v>
      </c>
      <c r="H8" s="2">
        <v>0</v>
      </c>
      <c r="J8" t="s">
        <v>2845</v>
      </c>
    </row>
    <row r="9" spans="1:10" x14ac:dyDescent="0.2">
      <c r="A9" t="s">
        <v>1028</v>
      </c>
      <c r="B9" t="s">
        <v>2445</v>
      </c>
      <c r="C9" s="2">
        <v>8</v>
      </c>
      <c r="D9" s="2" t="s">
        <v>785</v>
      </c>
      <c r="E9" s="2">
        <v>4260</v>
      </c>
      <c r="F9" s="2">
        <v>2810</v>
      </c>
      <c r="G9" s="2">
        <v>105</v>
      </c>
      <c r="H9" s="2">
        <v>0</v>
      </c>
      <c r="I9" t="s">
        <v>3152</v>
      </c>
      <c r="J9" t="s">
        <v>3153</v>
      </c>
    </row>
    <row r="10" spans="1:10" x14ac:dyDescent="0.2">
      <c r="A10" t="s">
        <v>1636</v>
      </c>
      <c r="B10" t="s">
        <v>2445</v>
      </c>
      <c r="C10" s="2">
        <v>8</v>
      </c>
      <c r="D10" s="2" t="s">
        <v>785</v>
      </c>
      <c r="E10" s="2">
        <v>3753</v>
      </c>
      <c r="F10" s="2">
        <v>2670</v>
      </c>
      <c r="G10" s="2">
        <v>2</v>
      </c>
      <c r="H10" s="2">
        <v>0</v>
      </c>
      <c r="J10" t="s">
        <v>2846</v>
      </c>
    </row>
    <row r="11" spans="1:10" x14ac:dyDescent="0.2">
      <c r="A11" t="s">
        <v>1664</v>
      </c>
      <c r="B11" t="s">
        <v>2445</v>
      </c>
      <c r="C11" s="2">
        <v>8</v>
      </c>
      <c r="D11" s="2" t="s">
        <v>785</v>
      </c>
      <c r="E11" s="2">
        <v>3974</v>
      </c>
      <c r="F11" s="2">
        <v>1612</v>
      </c>
      <c r="G11" s="2">
        <v>127</v>
      </c>
      <c r="H11" s="2">
        <v>0</v>
      </c>
      <c r="J11" t="s">
        <v>2847</v>
      </c>
    </row>
    <row r="12" spans="1:10" x14ac:dyDescent="0.2">
      <c r="A12" t="s">
        <v>1730</v>
      </c>
      <c r="B12" t="s">
        <v>2445</v>
      </c>
      <c r="C12" s="2">
        <v>9</v>
      </c>
      <c r="D12" s="2" t="s">
        <v>785</v>
      </c>
      <c r="E12" s="2">
        <v>3315</v>
      </c>
      <c r="F12" s="2">
        <v>500</v>
      </c>
      <c r="G12" s="2">
        <v>150</v>
      </c>
      <c r="H12" s="2">
        <v>0</v>
      </c>
      <c r="J12" t="s">
        <v>2848</v>
      </c>
    </row>
    <row r="13" spans="1:10" x14ac:dyDescent="0.2">
      <c r="A13" t="s">
        <v>999</v>
      </c>
      <c r="B13" t="s">
        <v>2445</v>
      </c>
      <c r="C13" s="2">
        <v>10</v>
      </c>
      <c r="D13" s="2" t="s">
        <v>785</v>
      </c>
      <c r="E13" s="2">
        <v>1836</v>
      </c>
      <c r="F13" s="2">
        <v>-996</v>
      </c>
      <c r="G13" s="2">
        <v>112</v>
      </c>
      <c r="H13" s="2">
        <v>0</v>
      </c>
      <c r="J13" t="s">
        <v>2849</v>
      </c>
    </row>
    <row r="14" spans="1:10" x14ac:dyDescent="0.2">
      <c r="A14" t="s">
        <v>1080</v>
      </c>
      <c r="B14" t="s">
        <v>2445</v>
      </c>
      <c r="C14" s="2">
        <v>13</v>
      </c>
      <c r="D14" s="2" t="s">
        <v>785</v>
      </c>
      <c r="E14" s="2">
        <v>875</v>
      </c>
      <c r="F14" s="2">
        <v>-2365</v>
      </c>
      <c r="G14" s="2">
        <v>16</v>
      </c>
      <c r="H14" s="2">
        <v>0</v>
      </c>
      <c r="J14" t="s">
        <v>2850</v>
      </c>
    </row>
    <row r="15" spans="1:10" x14ac:dyDescent="0.2">
      <c r="A15" t="s">
        <v>1329</v>
      </c>
      <c r="B15" t="s">
        <v>2445</v>
      </c>
      <c r="C15" s="2">
        <v>11</v>
      </c>
      <c r="D15" s="2" t="s">
        <v>785</v>
      </c>
      <c r="E15" s="2">
        <v>3426</v>
      </c>
      <c r="F15" s="2">
        <v>-2099</v>
      </c>
      <c r="G15" s="2">
        <v>130</v>
      </c>
      <c r="H15" s="2">
        <v>0</v>
      </c>
      <c r="J15" t="s">
        <v>2851</v>
      </c>
    </row>
    <row r="16" spans="1:10" x14ac:dyDescent="0.2">
      <c r="A16" t="s">
        <v>1637</v>
      </c>
      <c r="B16" t="s">
        <v>2445</v>
      </c>
      <c r="C16" s="2">
        <v>11</v>
      </c>
      <c r="D16" s="2" t="s">
        <v>785</v>
      </c>
      <c r="E16" s="2">
        <v>3915</v>
      </c>
      <c r="F16" s="2">
        <v>-1331</v>
      </c>
      <c r="G16" s="2">
        <v>465</v>
      </c>
      <c r="H16" s="2">
        <v>0</v>
      </c>
      <c r="J16" t="s">
        <v>2852</v>
      </c>
    </row>
    <row r="17" spans="1:10" x14ac:dyDescent="0.2">
      <c r="A17" t="s">
        <v>1447</v>
      </c>
      <c r="B17" t="s">
        <v>2445</v>
      </c>
      <c r="C17" s="2">
        <v>12</v>
      </c>
      <c r="D17" s="2" t="s">
        <v>785</v>
      </c>
      <c r="E17" s="2">
        <v>2921</v>
      </c>
      <c r="F17" s="2">
        <v>-3444</v>
      </c>
      <c r="G17" s="2">
        <v>0</v>
      </c>
      <c r="H17" s="2">
        <v>0</v>
      </c>
      <c r="J17" t="s">
        <v>2853</v>
      </c>
    </row>
    <row r="18" spans="1:10" x14ac:dyDescent="0.2">
      <c r="A18" t="s">
        <v>795</v>
      </c>
      <c r="B18" t="s">
        <v>2445</v>
      </c>
      <c r="C18" s="2">
        <v>13</v>
      </c>
      <c r="D18" s="2" t="s">
        <v>783</v>
      </c>
      <c r="E18" s="2">
        <v>1337</v>
      </c>
      <c r="F18" s="2">
        <v>-3311</v>
      </c>
      <c r="G18" s="2">
        <v>429</v>
      </c>
      <c r="H18" s="2">
        <v>0</v>
      </c>
      <c r="J18" t="s">
        <v>2854</v>
      </c>
    </row>
    <row r="19" spans="1:10" x14ac:dyDescent="0.2">
      <c r="A19" t="s">
        <v>1284</v>
      </c>
      <c r="B19" t="s">
        <v>2445</v>
      </c>
      <c r="C19" s="2">
        <v>14</v>
      </c>
      <c r="D19" s="2" t="s">
        <v>785</v>
      </c>
      <c r="E19" s="2">
        <v>-3876</v>
      </c>
      <c r="F19" s="2">
        <v>-2969</v>
      </c>
      <c r="G19" s="2">
        <v>33</v>
      </c>
      <c r="H19" s="2">
        <v>0</v>
      </c>
      <c r="J19" t="s">
        <v>2855</v>
      </c>
    </row>
  </sheetData>
  <autoFilter ref="A1:J1" xr:uid="{A095D5C8-FF81-DA46-ADE3-61DE071C2139}">
    <sortState xmlns:xlrd2="http://schemas.microsoft.com/office/spreadsheetml/2017/richdata2" ref="A2:J23">
      <sortCondition ref="B1:B23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929F9-68C4-0041-B215-66D07441D7AC}">
  <sheetPr codeName="Sheet8">
    <tabColor theme="7"/>
  </sheetPr>
  <dimension ref="A1:J82"/>
  <sheetViews>
    <sheetView workbookViewId="0">
      <selection activeCell="J5" sqref="J5"/>
    </sheetView>
  </sheetViews>
  <sheetFormatPr baseColWidth="10" defaultRowHeight="16" x14ac:dyDescent="0.2"/>
  <cols>
    <col min="1" max="1" width="22.6640625" bestFit="1" customWidth="1"/>
    <col min="2" max="2" width="13.33203125" bestFit="1" customWidth="1"/>
  </cols>
  <sheetData>
    <row r="1" spans="1:10" s="6" customFormat="1" x14ac:dyDescent="0.2">
      <c r="A1" s="6" t="s">
        <v>781</v>
      </c>
      <c r="B1" s="6" t="s">
        <v>2083</v>
      </c>
      <c r="C1" s="6" t="s">
        <v>2074</v>
      </c>
      <c r="D1" s="6" t="s">
        <v>777</v>
      </c>
      <c r="E1" s="6" t="s">
        <v>778</v>
      </c>
      <c r="F1" s="6" t="s">
        <v>779</v>
      </c>
      <c r="G1" s="6" t="s">
        <v>780</v>
      </c>
      <c r="H1" s="6" t="s">
        <v>2837</v>
      </c>
      <c r="I1" s="6" t="s">
        <v>2342</v>
      </c>
      <c r="J1" s="6" t="s">
        <v>2075</v>
      </c>
    </row>
    <row r="2" spans="1:10" x14ac:dyDescent="0.2">
      <c r="A2" t="s">
        <v>1020</v>
      </c>
      <c r="B2" t="s">
        <v>2343</v>
      </c>
      <c r="C2">
        <v>1</v>
      </c>
      <c r="D2" t="s">
        <v>785</v>
      </c>
      <c r="E2" s="2">
        <v>622</v>
      </c>
      <c r="F2" s="2">
        <v>381</v>
      </c>
      <c r="G2" s="2">
        <v>22</v>
      </c>
      <c r="H2" s="2">
        <v>0</v>
      </c>
      <c r="J2" t="str">
        <f>"{ name: "&amp;CHAR(34)&amp;A2&amp;CHAR(34)&amp;", landmark: "&amp;CHAR(34)&amp;"Hudson Sign"&amp;CHAR(34)&amp;", type: "&amp;CHAR(34)&amp;B2&amp;CHAR(34)&amp;", region: "&amp;C2&amp;", level: "&amp;CHAR(34)&amp;D2&amp;CHAR(34)&amp;", x: "&amp;E2&amp;", y: "&amp;F2&amp;", z: "&amp;G2&amp;", weight: "&amp;H2&amp;", details: "&amp;CHAR(34)&amp;I2&amp;CHAR(34)&amp;" },"</f>
        <v>{ name: "Applean Forest", landmark: "Hudson Sign", type: "Hudson Sign", region: 1, level: "Surface", x: 622, y: 381, z: 22, weight: 0, details: "" },</v>
      </c>
    </row>
    <row r="3" spans="1:10" x14ac:dyDescent="0.2">
      <c r="A3" t="s">
        <v>1039</v>
      </c>
      <c r="B3" t="s">
        <v>2343</v>
      </c>
      <c r="C3">
        <v>1</v>
      </c>
      <c r="D3" t="s">
        <v>785</v>
      </c>
      <c r="E3" s="2">
        <v>-268</v>
      </c>
      <c r="F3" s="2">
        <v>383</v>
      </c>
      <c r="G3" s="2">
        <v>33</v>
      </c>
      <c r="H3" s="2">
        <v>0</v>
      </c>
      <c r="J3" t="s">
        <v>2863</v>
      </c>
    </row>
    <row r="4" spans="1:10" x14ac:dyDescent="0.2">
      <c r="A4" t="s">
        <v>1050</v>
      </c>
      <c r="B4" t="s">
        <v>2343</v>
      </c>
      <c r="C4">
        <v>1</v>
      </c>
      <c r="D4" t="s">
        <v>785</v>
      </c>
      <c r="E4" s="2">
        <v>186</v>
      </c>
      <c r="F4" s="2">
        <v>268</v>
      </c>
      <c r="G4" s="2">
        <v>39</v>
      </c>
      <c r="H4" s="2">
        <v>0</v>
      </c>
      <c r="J4" t="s">
        <v>2864</v>
      </c>
    </row>
    <row r="5" spans="1:10" x14ac:dyDescent="0.2">
      <c r="A5" t="s">
        <v>1058</v>
      </c>
      <c r="B5" t="s">
        <v>2343</v>
      </c>
      <c r="C5">
        <v>1</v>
      </c>
      <c r="D5" t="s">
        <v>785</v>
      </c>
      <c r="E5" s="2">
        <v>-755</v>
      </c>
      <c r="F5" s="2">
        <v>243</v>
      </c>
      <c r="G5" s="2">
        <v>31</v>
      </c>
      <c r="H5" s="2">
        <v>0</v>
      </c>
      <c r="J5" t="s">
        <v>2865</v>
      </c>
    </row>
    <row r="6" spans="1:10" x14ac:dyDescent="0.2">
      <c r="A6" t="s">
        <v>1071</v>
      </c>
      <c r="B6" t="s">
        <v>2343</v>
      </c>
      <c r="C6">
        <v>1</v>
      </c>
      <c r="D6" t="s">
        <v>785</v>
      </c>
      <c r="E6" s="2">
        <v>674</v>
      </c>
      <c r="F6" s="2">
        <v>138</v>
      </c>
      <c r="G6" s="2">
        <v>38</v>
      </c>
      <c r="H6" s="2">
        <v>0</v>
      </c>
      <c r="J6" t="s">
        <v>2866</v>
      </c>
    </row>
    <row r="7" spans="1:10" x14ac:dyDescent="0.2">
      <c r="A7" t="s">
        <v>1030</v>
      </c>
      <c r="B7" t="s">
        <v>2343</v>
      </c>
      <c r="C7">
        <v>2</v>
      </c>
      <c r="D7" t="s">
        <v>785</v>
      </c>
      <c r="E7" s="2">
        <v>-678</v>
      </c>
      <c r="F7" s="2">
        <v>-864</v>
      </c>
      <c r="G7" s="2">
        <v>53</v>
      </c>
      <c r="H7" s="2">
        <v>0</v>
      </c>
      <c r="J7" t="s">
        <v>2867</v>
      </c>
    </row>
    <row r="8" spans="1:10" x14ac:dyDescent="0.2">
      <c r="A8" t="s">
        <v>1032</v>
      </c>
      <c r="B8" t="s">
        <v>2343</v>
      </c>
      <c r="C8">
        <v>2</v>
      </c>
      <c r="D8" t="s">
        <v>785</v>
      </c>
      <c r="E8" s="2">
        <v>-873</v>
      </c>
      <c r="F8" s="2">
        <v>-1472</v>
      </c>
      <c r="G8" s="2">
        <v>35</v>
      </c>
      <c r="H8" s="2">
        <v>0</v>
      </c>
      <c r="J8" t="s">
        <v>2868</v>
      </c>
    </row>
    <row r="9" spans="1:10" x14ac:dyDescent="0.2">
      <c r="A9" t="s">
        <v>1051</v>
      </c>
      <c r="B9" t="s">
        <v>2343</v>
      </c>
      <c r="C9">
        <v>2</v>
      </c>
      <c r="D9" t="s">
        <v>785</v>
      </c>
      <c r="E9" s="2">
        <v>-1437</v>
      </c>
      <c r="F9" s="2">
        <v>-1059</v>
      </c>
      <c r="G9" s="2">
        <v>50</v>
      </c>
      <c r="H9" s="2">
        <v>0</v>
      </c>
      <c r="J9" t="s">
        <v>2869</v>
      </c>
    </row>
    <row r="10" spans="1:10" x14ac:dyDescent="0.2">
      <c r="A10" t="s">
        <v>1060</v>
      </c>
      <c r="B10" t="s">
        <v>2343</v>
      </c>
      <c r="C10">
        <v>2</v>
      </c>
      <c r="D10" t="s">
        <v>785</v>
      </c>
      <c r="E10" s="2">
        <v>-1603</v>
      </c>
      <c r="F10" s="2">
        <v>-490</v>
      </c>
      <c r="G10" s="2">
        <v>125</v>
      </c>
      <c r="H10" s="2">
        <v>0</v>
      </c>
      <c r="J10" t="s">
        <v>2870</v>
      </c>
    </row>
    <row r="11" spans="1:10" x14ac:dyDescent="0.2">
      <c r="A11" t="s">
        <v>1077</v>
      </c>
      <c r="B11" t="s">
        <v>2343</v>
      </c>
      <c r="C11">
        <v>2</v>
      </c>
      <c r="D11" t="s">
        <v>785</v>
      </c>
      <c r="E11" s="2">
        <v>-150</v>
      </c>
      <c r="F11" s="2">
        <v>-2125</v>
      </c>
      <c r="G11" s="2">
        <v>30</v>
      </c>
      <c r="H11" s="2">
        <v>0</v>
      </c>
      <c r="J11" t="s">
        <v>2871</v>
      </c>
    </row>
    <row r="12" spans="1:10" x14ac:dyDescent="0.2">
      <c r="A12" t="s">
        <v>787</v>
      </c>
      <c r="B12" t="s">
        <v>2343</v>
      </c>
      <c r="C12">
        <v>3</v>
      </c>
      <c r="D12" t="s">
        <v>785</v>
      </c>
      <c r="E12" s="2">
        <v>-2504</v>
      </c>
      <c r="F12" s="2">
        <v>190</v>
      </c>
      <c r="G12" s="2">
        <v>155</v>
      </c>
      <c r="H12" s="2">
        <v>0</v>
      </c>
      <c r="J12" t="s">
        <v>2872</v>
      </c>
    </row>
    <row r="13" spans="1:10" x14ac:dyDescent="0.2">
      <c r="A13" t="s">
        <v>1040</v>
      </c>
      <c r="B13" t="s">
        <v>2343</v>
      </c>
      <c r="C13">
        <v>3</v>
      </c>
      <c r="D13" t="s">
        <v>785</v>
      </c>
      <c r="E13" s="2">
        <v>-3134</v>
      </c>
      <c r="F13" s="2">
        <v>1224</v>
      </c>
      <c r="G13" s="2">
        <v>227</v>
      </c>
      <c r="H13" s="2">
        <v>0</v>
      </c>
      <c r="J13" t="s">
        <v>2873</v>
      </c>
    </row>
    <row r="14" spans="1:10" x14ac:dyDescent="0.2">
      <c r="A14" t="s">
        <v>1045</v>
      </c>
      <c r="B14" t="s">
        <v>2343</v>
      </c>
      <c r="C14">
        <v>3</v>
      </c>
      <c r="D14" t="s">
        <v>785</v>
      </c>
      <c r="E14" s="2">
        <v>-3559</v>
      </c>
      <c r="F14" s="2">
        <v>1549</v>
      </c>
      <c r="G14" s="2">
        <v>148</v>
      </c>
      <c r="H14" s="2">
        <v>0</v>
      </c>
      <c r="J14" t="s">
        <v>2874</v>
      </c>
    </row>
    <row r="15" spans="1:10" x14ac:dyDescent="0.2">
      <c r="A15" t="s">
        <v>1049</v>
      </c>
      <c r="B15" t="s">
        <v>2343</v>
      </c>
      <c r="C15">
        <v>3</v>
      </c>
      <c r="D15" t="s">
        <v>785</v>
      </c>
      <c r="E15" s="2">
        <v>-1783</v>
      </c>
      <c r="F15" s="2">
        <v>660</v>
      </c>
      <c r="G15" s="2">
        <v>160</v>
      </c>
      <c r="H15" s="2">
        <v>0</v>
      </c>
      <c r="J15" t="s">
        <v>2875</v>
      </c>
    </row>
    <row r="16" spans="1:10" x14ac:dyDescent="0.2">
      <c r="A16" t="s">
        <v>1059</v>
      </c>
      <c r="B16" t="s">
        <v>2343</v>
      </c>
      <c r="C16">
        <v>3</v>
      </c>
      <c r="D16" t="s">
        <v>785</v>
      </c>
      <c r="E16" s="2">
        <v>-2700</v>
      </c>
      <c r="F16" s="2">
        <v>771</v>
      </c>
      <c r="G16" s="2">
        <v>315</v>
      </c>
      <c r="H16" s="2">
        <v>0</v>
      </c>
      <c r="J16" t="s">
        <v>2876</v>
      </c>
    </row>
    <row r="17" spans="1:10" x14ac:dyDescent="0.2">
      <c r="A17" t="s">
        <v>1072</v>
      </c>
      <c r="B17" t="s">
        <v>2343</v>
      </c>
      <c r="C17">
        <v>3</v>
      </c>
      <c r="D17" t="s">
        <v>785</v>
      </c>
      <c r="E17" s="2">
        <v>-1011</v>
      </c>
      <c r="F17" s="2">
        <v>2023</v>
      </c>
      <c r="G17" s="2">
        <v>126</v>
      </c>
      <c r="H17" s="2">
        <v>0</v>
      </c>
      <c r="J17" t="s">
        <v>2877</v>
      </c>
    </row>
    <row r="18" spans="1:10" x14ac:dyDescent="0.2">
      <c r="A18" t="s">
        <v>1075</v>
      </c>
      <c r="B18" t="s">
        <v>2343</v>
      </c>
      <c r="C18">
        <v>3</v>
      </c>
      <c r="D18" t="s">
        <v>785</v>
      </c>
      <c r="E18" s="2">
        <v>-1451</v>
      </c>
      <c r="F18" s="2">
        <v>1177</v>
      </c>
      <c r="G18" s="2">
        <v>150</v>
      </c>
      <c r="H18" s="2">
        <v>0</v>
      </c>
      <c r="J18" t="s">
        <v>2878</v>
      </c>
    </row>
    <row r="19" spans="1:10" x14ac:dyDescent="0.2">
      <c r="A19" t="s">
        <v>1082</v>
      </c>
      <c r="B19" t="s">
        <v>2343</v>
      </c>
      <c r="C19">
        <v>3</v>
      </c>
      <c r="D19" t="s">
        <v>785</v>
      </c>
      <c r="E19" s="2">
        <v>-3321</v>
      </c>
      <c r="F19" s="2">
        <v>505</v>
      </c>
      <c r="G19" s="2">
        <v>179</v>
      </c>
      <c r="H19" s="2">
        <v>0</v>
      </c>
      <c r="J19" t="s">
        <v>2879</v>
      </c>
    </row>
    <row r="20" spans="1:10" x14ac:dyDescent="0.2">
      <c r="A20" t="s">
        <v>1037</v>
      </c>
      <c r="B20" t="s">
        <v>2343</v>
      </c>
      <c r="C20">
        <v>4</v>
      </c>
      <c r="D20" t="s">
        <v>785</v>
      </c>
      <c r="E20" s="2">
        <v>-3613</v>
      </c>
      <c r="F20" s="2">
        <v>2188</v>
      </c>
      <c r="G20" s="2">
        <v>154</v>
      </c>
      <c r="H20" s="2">
        <v>0</v>
      </c>
      <c r="J20" t="s">
        <v>2880</v>
      </c>
    </row>
    <row r="21" spans="1:10" x14ac:dyDescent="0.2">
      <c r="A21" t="s">
        <v>1081</v>
      </c>
      <c r="B21" t="s">
        <v>2343</v>
      </c>
      <c r="C21">
        <v>4</v>
      </c>
      <c r="D21" t="s">
        <v>785</v>
      </c>
      <c r="E21" s="2">
        <v>-4113</v>
      </c>
      <c r="F21" s="2">
        <v>2759</v>
      </c>
      <c r="G21" s="2">
        <v>37</v>
      </c>
      <c r="H21" s="2">
        <v>0</v>
      </c>
      <c r="J21" t="s">
        <v>2881</v>
      </c>
    </row>
    <row r="22" spans="1:10" x14ac:dyDescent="0.2">
      <c r="A22" t="s">
        <v>1083</v>
      </c>
      <c r="B22" t="s">
        <v>2343</v>
      </c>
      <c r="C22">
        <v>4</v>
      </c>
      <c r="D22" t="s">
        <v>785</v>
      </c>
      <c r="E22" s="2">
        <v>-3256</v>
      </c>
      <c r="F22" s="2">
        <v>2571</v>
      </c>
      <c r="G22" s="2">
        <v>452</v>
      </c>
      <c r="H22" s="2">
        <v>0</v>
      </c>
      <c r="J22" t="s">
        <v>2882</v>
      </c>
    </row>
    <row r="23" spans="1:10" x14ac:dyDescent="0.2">
      <c r="A23" t="s">
        <v>1056</v>
      </c>
      <c r="B23" t="s">
        <v>2343</v>
      </c>
      <c r="C23">
        <v>5</v>
      </c>
      <c r="D23" t="s">
        <v>785</v>
      </c>
      <c r="E23" s="2">
        <v>-1075</v>
      </c>
      <c r="F23" s="2">
        <v>2797</v>
      </c>
      <c r="G23" s="2">
        <v>190</v>
      </c>
      <c r="H23" s="2">
        <v>0</v>
      </c>
      <c r="J23" t="s">
        <v>2883</v>
      </c>
    </row>
    <row r="24" spans="1:10" x14ac:dyDescent="0.2">
      <c r="A24" t="s">
        <v>1062</v>
      </c>
      <c r="B24" t="s">
        <v>2343</v>
      </c>
      <c r="C24">
        <v>5</v>
      </c>
      <c r="D24" t="s">
        <v>785</v>
      </c>
      <c r="E24" s="2">
        <v>-1612</v>
      </c>
      <c r="F24" s="2">
        <v>3339</v>
      </c>
      <c r="G24" s="2">
        <v>250</v>
      </c>
      <c r="H24" s="2">
        <v>0</v>
      </c>
      <c r="J24" t="s">
        <v>2884</v>
      </c>
    </row>
    <row r="25" spans="1:10" x14ac:dyDescent="0.2">
      <c r="A25" t="s">
        <v>1069</v>
      </c>
      <c r="B25" t="s">
        <v>2343</v>
      </c>
      <c r="C25">
        <v>5</v>
      </c>
      <c r="D25" t="s">
        <v>785</v>
      </c>
      <c r="E25" s="2">
        <v>-2211</v>
      </c>
      <c r="F25" s="2">
        <v>2929</v>
      </c>
      <c r="G25" s="2">
        <v>396</v>
      </c>
      <c r="H25" s="2">
        <v>0</v>
      </c>
      <c r="J25" t="s">
        <v>2885</v>
      </c>
    </row>
    <row r="26" spans="1:10" x14ac:dyDescent="0.2">
      <c r="A26" t="s">
        <v>1079</v>
      </c>
      <c r="B26" t="s">
        <v>2343</v>
      </c>
      <c r="C26">
        <v>5</v>
      </c>
      <c r="D26" t="s">
        <v>785</v>
      </c>
      <c r="E26" s="2">
        <v>-1870</v>
      </c>
      <c r="F26" s="2">
        <v>2324</v>
      </c>
      <c r="G26" s="2">
        <v>246</v>
      </c>
      <c r="H26" s="2">
        <v>0</v>
      </c>
      <c r="J26" t="s">
        <v>2886</v>
      </c>
    </row>
    <row r="27" spans="1:10" x14ac:dyDescent="0.2">
      <c r="A27" t="s">
        <v>1026</v>
      </c>
      <c r="B27" t="s">
        <v>2343</v>
      </c>
      <c r="C27">
        <v>6</v>
      </c>
      <c r="D27" t="s">
        <v>785</v>
      </c>
      <c r="E27" s="2">
        <v>-458</v>
      </c>
      <c r="F27" s="2">
        <v>3042</v>
      </c>
      <c r="G27" s="2">
        <v>119</v>
      </c>
      <c r="H27" s="2">
        <v>0</v>
      </c>
      <c r="J27" t="s">
        <v>2887</v>
      </c>
    </row>
    <row r="28" spans="1:10" x14ac:dyDescent="0.2">
      <c r="A28" t="s">
        <v>792</v>
      </c>
      <c r="B28" t="s">
        <v>2343</v>
      </c>
      <c r="C28">
        <v>6</v>
      </c>
      <c r="D28" t="s">
        <v>785</v>
      </c>
      <c r="E28" s="2">
        <v>1024</v>
      </c>
      <c r="F28" s="2">
        <v>3110</v>
      </c>
      <c r="G28" s="2">
        <v>282</v>
      </c>
      <c r="H28" s="2">
        <v>0</v>
      </c>
      <c r="J28" t="s">
        <v>2888</v>
      </c>
    </row>
    <row r="29" spans="1:10" x14ac:dyDescent="0.2">
      <c r="A29" t="s">
        <v>1038</v>
      </c>
      <c r="B29" t="s">
        <v>2343</v>
      </c>
      <c r="C29">
        <v>6</v>
      </c>
      <c r="D29" t="s">
        <v>785</v>
      </c>
      <c r="E29" s="2">
        <v>-333</v>
      </c>
      <c r="F29" s="2">
        <v>1344</v>
      </c>
      <c r="G29" s="2">
        <v>22</v>
      </c>
      <c r="H29" s="2">
        <v>0</v>
      </c>
      <c r="J29" t="s">
        <v>2889</v>
      </c>
    </row>
    <row r="30" spans="1:10" x14ac:dyDescent="0.2">
      <c r="A30" t="s">
        <v>1087</v>
      </c>
      <c r="B30" t="s">
        <v>2343</v>
      </c>
      <c r="C30">
        <v>6</v>
      </c>
      <c r="D30" t="s">
        <v>785</v>
      </c>
      <c r="E30" s="2">
        <v>493</v>
      </c>
      <c r="F30" s="2">
        <v>2939</v>
      </c>
      <c r="G30" s="2">
        <v>187</v>
      </c>
      <c r="H30" s="2">
        <v>0</v>
      </c>
      <c r="J30" t="s">
        <v>2890</v>
      </c>
    </row>
    <row r="31" spans="1:10" x14ac:dyDescent="0.2">
      <c r="A31" t="s">
        <v>1022</v>
      </c>
      <c r="B31" t="s">
        <v>2343</v>
      </c>
      <c r="C31">
        <v>7</v>
      </c>
      <c r="D31" t="s">
        <v>785</v>
      </c>
      <c r="E31" s="2">
        <v>2268</v>
      </c>
      <c r="F31" s="2">
        <v>2317</v>
      </c>
      <c r="G31" s="2">
        <v>523</v>
      </c>
      <c r="H31" s="2">
        <v>0</v>
      </c>
      <c r="J31" t="s">
        <v>2891</v>
      </c>
    </row>
    <row r="32" spans="1:10" x14ac:dyDescent="0.2">
      <c r="A32" t="s">
        <v>793</v>
      </c>
      <c r="B32" t="s">
        <v>2343</v>
      </c>
      <c r="C32">
        <v>7</v>
      </c>
      <c r="D32" t="s">
        <v>785</v>
      </c>
      <c r="E32" s="2">
        <v>2797</v>
      </c>
      <c r="F32" s="2">
        <v>2655</v>
      </c>
      <c r="G32" s="2">
        <v>670</v>
      </c>
      <c r="H32" s="2">
        <v>0</v>
      </c>
      <c r="J32" t="s">
        <v>2892</v>
      </c>
    </row>
    <row r="33" spans="1:10" x14ac:dyDescent="0.2">
      <c r="A33" t="s">
        <v>1025</v>
      </c>
      <c r="B33" t="s">
        <v>2343</v>
      </c>
      <c r="C33">
        <v>7</v>
      </c>
      <c r="D33" t="s">
        <v>785</v>
      </c>
      <c r="E33" s="2">
        <v>1980</v>
      </c>
      <c r="F33" s="2">
        <v>2656</v>
      </c>
      <c r="G33" s="2">
        <v>463</v>
      </c>
      <c r="H33" s="2">
        <v>0</v>
      </c>
      <c r="J33" t="s">
        <v>2893</v>
      </c>
    </row>
    <row r="34" spans="1:10" x14ac:dyDescent="0.2">
      <c r="A34" t="s">
        <v>1031</v>
      </c>
      <c r="B34" t="s">
        <v>2343</v>
      </c>
      <c r="C34">
        <v>7</v>
      </c>
      <c r="D34" t="s">
        <v>785</v>
      </c>
      <c r="E34" s="2">
        <v>2572</v>
      </c>
      <c r="F34" s="2">
        <v>1100</v>
      </c>
      <c r="G34" s="2">
        <v>147</v>
      </c>
      <c r="H34" s="2">
        <v>0</v>
      </c>
      <c r="J34" t="s">
        <v>2894</v>
      </c>
    </row>
    <row r="35" spans="1:10" x14ac:dyDescent="0.2">
      <c r="A35" t="s">
        <v>1035</v>
      </c>
      <c r="B35" t="s">
        <v>2343</v>
      </c>
      <c r="C35">
        <v>7</v>
      </c>
      <c r="D35" t="s">
        <v>785</v>
      </c>
      <c r="E35" s="2">
        <v>2820</v>
      </c>
      <c r="F35" s="2">
        <v>3549</v>
      </c>
      <c r="G35" s="2">
        <v>247</v>
      </c>
      <c r="H35" s="2">
        <v>0</v>
      </c>
      <c r="J35" t="s">
        <v>2895</v>
      </c>
    </row>
    <row r="36" spans="1:10" x14ac:dyDescent="0.2">
      <c r="A36" t="s">
        <v>1054</v>
      </c>
      <c r="B36" t="s">
        <v>2343</v>
      </c>
      <c r="C36">
        <v>7</v>
      </c>
      <c r="D36" t="s">
        <v>785</v>
      </c>
      <c r="E36" s="2">
        <v>1710</v>
      </c>
      <c r="F36" s="2">
        <v>965</v>
      </c>
      <c r="G36" s="2">
        <v>59</v>
      </c>
      <c r="H36" s="2">
        <v>0</v>
      </c>
      <c r="J36" t="s">
        <v>2896</v>
      </c>
    </row>
    <row r="37" spans="1:10" x14ac:dyDescent="0.2">
      <c r="A37" t="s">
        <v>1068</v>
      </c>
      <c r="B37" t="s">
        <v>2343</v>
      </c>
      <c r="C37">
        <v>7</v>
      </c>
      <c r="D37" t="s">
        <v>785</v>
      </c>
      <c r="E37" s="2">
        <v>1310</v>
      </c>
      <c r="F37" s="2">
        <v>1222</v>
      </c>
      <c r="G37" s="2">
        <v>126</v>
      </c>
      <c r="H37" s="2">
        <v>0</v>
      </c>
      <c r="J37" t="s">
        <v>2897</v>
      </c>
    </row>
    <row r="38" spans="1:10" x14ac:dyDescent="0.2">
      <c r="A38" t="s">
        <v>959</v>
      </c>
      <c r="B38" t="s">
        <v>2343</v>
      </c>
      <c r="C38">
        <v>7</v>
      </c>
      <c r="D38" t="s">
        <v>785</v>
      </c>
      <c r="E38" s="2">
        <v>1573</v>
      </c>
      <c r="F38" s="2">
        <v>2164</v>
      </c>
      <c r="G38" s="2">
        <v>346</v>
      </c>
      <c r="H38" s="2">
        <v>0</v>
      </c>
      <c r="J38" t="s">
        <v>2898</v>
      </c>
    </row>
    <row r="39" spans="1:10" x14ac:dyDescent="0.2">
      <c r="A39" t="s">
        <v>1086</v>
      </c>
      <c r="B39" t="s">
        <v>2343</v>
      </c>
      <c r="C39">
        <v>7</v>
      </c>
      <c r="D39" t="s">
        <v>785</v>
      </c>
      <c r="E39" s="2">
        <v>1346</v>
      </c>
      <c r="F39" s="2">
        <v>800</v>
      </c>
      <c r="G39" s="2">
        <v>33</v>
      </c>
      <c r="H39" s="2">
        <v>0</v>
      </c>
      <c r="J39" t="s">
        <v>2899</v>
      </c>
    </row>
    <row r="40" spans="1:10" x14ac:dyDescent="0.2">
      <c r="A40" t="s">
        <v>1019</v>
      </c>
      <c r="B40" t="s">
        <v>2343</v>
      </c>
      <c r="C40">
        <v>8</v>
      </c>
      <c r="D40" t="s">
        <v>785</v>
      </c>
      <c r="E40" s="2">
        <v>4450</v>
      </c>
      <c r="F40" s="2">
        <v>3075</v>
      </c>
      <c r="G40" s="2">
        <v>225</v>
      </c>
      <c r="H40" s="2">
        <v>0</v>
      </c>
      <c r="J40" t="s">
        <v>2900</v>
      </c>
    </row>
    <row r="41" spans="1:10" x14ac:dyDescent="0.2">
      <c r="A41" t="s">
        <v>1028</v>
      </c>
      <c r="B41" t="s">
        <v>2343</v>
      </c>
      <c r="C41">
        <v>8</v>
      </c>
      <c r="D41" t="s">
        <v>785</v>
      </c>
      <c r="E41" s="2">
        <v>4237</v>
      </c>
      <c r="F41" s="2">
        <v>2648</v>
      </c>
      <c r="G41" s="2">
        <v>129</v>
      </c>
      <c r="H41" s="2">
        <v>0</v>
      </c>
      <c r="J41" t="s">
        <v>2901</v>
      </c>
    </row>
    <row r="42" spans="1:10" x14ac:dyDescent="0.2">
      <c r="A42" t="s">
        <v>1043</v>
      </c>
      <c r="B42" t="s">
        <v>2343</v>
      </c>
      <c r="C42">
        <v>8</v>
      </c>
      <c r="D42" t="s">
        <v>785</v>
      </c>
      <c r="E42" s="2">
        <v>4086</v>
      </c>
      <c r="F42" s="2">
        <v>1874</v>
      </c>
      <c r="G42" s="2">
        <v>107</v>
      </c>
      <c r="H42" s="2">
        <v>0</v>
      </c>
      <c r="J42" t="s">
        <v>2902</v>
      </c>
    </row>
    <row r="43" spans="1:10" x14ac:dyDescent="0.2">
      <c r="A43" t="s">
        <v>1063</v>
      </c>
      <c r="B43" t="s">
        <v>2343</v>
      </c>
      <c r="C43">
        <v>8</v>
      </c>
      <c r="D43" t="s">
        <v>785</v>
      </c>
      <c r="E43" s="2">
        <v>3873</v>
      </c>
      <c r="F43" s="2">
        <v>2476</v>
      </c>
      <c r="G43" s="2">
        <v>65</v>
      </c>
      <c r="H43" s="2">
        <v>0</v>
      </c>
      <c r="J43" t="s">
        <v>2903</v>
      </c>
    </row>
    <row r="44" spans="1:10" x14ac:dyDescent="0.2">
      <c r="A44" t="s">
        <v>837</v>
      </c>
      <c r="B44" t="s">
        <v>2343</v>
      </c>
      <c r="C44">
        <v>8</v>
      </c>
      <c r="D44" t="s">
        <v>785</v>
      </c>
      <c r="E44" s="2">
        <v>3422</v>
      </c>
      <c r="F44" s="2">
        <v>3526</v>
      </c>
      <c r="G44" s="2">
        <v>218</v>
      </c>
      <c r="H44" s="2">
        <v>0</v>
      </c>
      <c r="J44" t="s">
        <v>2904</v>
      </c>
    </row>
    <row r="45" spans="1:10" x14ac:dyDescent="0.2">
      <c r="A45" t="s">
        <v>1078</v>
      </c>
      <c r="B45" t="s">
        <v>2343</v>
      </c>
      <c r="C45">
        <v>8</v>
      </c>
      <c r="D45" t="s">
        <v>785</v>
      </c>
      <c r="E45" s="2">
        <v>3163</v>
      </c>
      <c r="F45" s="2">
        <v>1625</v>
      </c>
      <c r="G45" s="2">
        <v>212</v>
      </c>
      <c r="H45" s="2">
        <v>0</v>
      </c>
      <c r="J45" t="s">
        <v>2905</v>
      </c>
    </row>
    <row r="46" spans="1:10" x14ac:dyDescent="0.2">
      <c r="A46" t="s">
        <v>1023</v>
      </c>
      <c r="B46" t="s">
        <v>2343</v>
      </c>
      <c r="C46">
        <v>9</v>
      </c>
      <c r="D46" t="s">
        <v>785</v>
      </c>
      <c r="E46" s="2">
        <v>3973</v>
      </c>
      <c r="F46" s="2">
        <v>-295</v>
      </c>
      <c r="G46" s="2">
        <v>43</v>
      </c>
      <c r="H46" s="2">
        <v>0</v>
      </c>
      <c r="J46" t="s">
        <v>2906</v>
      </c>
    </row>
    <row r="47" spans="1:10" x14ac:dyDescent="0.2">
      <c r="A47" t="s">
        <v>1048</v>
      </c>
      <c r="B47" t="s">
        <v>2343</v>
      </c>
      <c r="C47">
        <v>9</v>
      </c>
      <c r="D47" t="s">
        <v>785</v>
      </c>
      <c r="E47" s="2">
        <v>4334</v>
      </c>
      <c r="F47" s="2">
        <v>-570</v>
      </c>
      <c r="G47" s="2">
        <v>71</v>
      </c>
      <c r="H47" s="2">
        <v>0</v>
      </c>
      <c r="J47" t="s">
        <v>2907</v>
      </c>
    </row>
    <row r="48" spans="1:10" x14ac:dyDescent="0.2">
      <c r="A48" t="s">
        <v>1073</v>
      </c>
      <c r="B48" t="s">
        <v>2343</v>
      </c>
      <c r="C48">
        <v>9</v>
      </c>
      <c r="D48" t="s">
        <v>785</v>
      </c>
      <c r="E48" s="2">
        <v>3208</v>
      </c>
      <c r="F48" s="2">
        <v>131</v>
      </c>
      <c r="G48" s="2">
        <v>147</v>
      </c>
      <c r="H48" s="2">
        <v>0</v>
      </c>
      <c r="J48" t="s">
        <v>2908</v>
      </c>
    </row>
    <row r="49" spans="1:10" x14ac:dyDescent="0.2">
      <c r="A49" t="s">
        <v>1076</v>
      </c>
      <c r="B49" t="s">
        <v>2343</v>
      </c>
      <c r="C49">
        <v>9</v>
      </c>
      <c r="D49" t="s">
        <v>785</v>
      </c>
      <c r="E49" s="2">
        <v>3229</v>
      </c>
      <c r="F49" s="2">
        <v>-656</v>
      </c>
      <c r="G49" s="2">
        <v>13</v>
      </c>
      <c r="H49" s="2">
        <v>0</v>
      </c>
      <c r="J49" t="s">
        <v>2909</v>
      </c>
    </row>
    <row r="50" spans="1:10" x14ac:dyDescent="0.2">
      <c r="A50" t="s">
        <v>1088</v>
      </c>
      <c r="B50" t="s">
        <v>2343</v>
      </c>
      <c r="C50">
        <v>9</v>
      </c>
      <c r="D50" t="s">
        <v>785</v>
      </c>
      <c r="E50" s="2">
        <v>4296</v>
      </c>
      <c r="F50" s="2">
        <v>578</v>
      </c>
      <c r="G50" s="2">
        <v>283</v>
      </c>
      <c r="H50" s="2">
        <v>0</v>
      </c>
      <c r="J50" t="s">
        <v>2910</v>
      </c>
    </row>
    <row r="51" spans="1:10" x14ac:dyDescent="0.2">
      <c r="A51" t="s">
        <v>1089</v>
      </c>
      <c r="B51" t="s">
        <v>2343</v>
      </c>
      <c r="C51">
        <v>9</v>
      </c>
      <c r="D51" t="s">
        <v>785</v>
      </c>
      <c r="E51" s="2">
        <v>2933</v>
      </c>
      <c r="F51" s="2">
        <v>704</v>
      </c>
      <c r="G51" s="2">
        <v>359</v>
      </c>
      <c r="H51" s="2">
        <v>0</v>
      </c>
      <c r="J51" t="s">
        <v>2911</v>
      </c>
    </row>
    <row r="52" spans="1:10" x14ac:dyDescent="0.2">
      <c r="A52" t="s">
        <v>1091</v>
      </c>
      <c r="B52" t="s">
        <v>2343</v>
      </c>
      <c r="C52">
        <v>9</v>
      </c>
      <c r="D52" t="s">
        <v>785</v>
      </c>
      <c r="E52" s="2">
        <v>2094</v>
      </c>
      <c r="F52" s="2">
        <v>216</v>
      </c>
      <c r="G52" s="2">
        <v>28</v>
      </c>
      <c r="H52" s="2">
        <v>0</v>
      </c>
      <c r="J52" t="s">
        <v>2912</v>
      </c>
    </row>
    <row r="53" spans="1:10" x14ac:dyDescent="0.2">
      <c r="A53" t="s">
        <v>1047</v>
      </c>
      <c r="B53" t="s">
        <v>2343</v>
      </c>
      <c r="C53">
        <v>10</v>
      </c>
      <c r="D53" t="s">
        <v>785</v>
      </c>
      <c r="E53" s="2">
        <v>2374</v>
      </c>
      <c r="F53" s="2">
        <v>-679</v>
      </c>
      <c r="G53" s="2">
        <v>133</v>
      </c>
      <c r="H53" s="2">
        <v>0</v>
      </c>
      <c r="J53" t="s">
        <v>2913</v>
      </c>
    </row>
    <row r="54" spans="1:10" x14ac:dyDescent="0.2">
      <c r="A54" t="s">
        <v>1070</v>
      </c>
      <c r="B54" t="s">
        <v>2343</v>
      </c>
      <c r="C54">
        <v>10</v>
      </c>
      <c r="D54" t="s">
        <v>785</v>
      </c>
      <c r="E54" s="2">
        <v>2097</v>
      </c>
      <c r="F54" s="2">
        <v>-1265</v>
      </c>
      <c r="G54" s="2">
        <v>143</v>
      </c>
      <c r="H54" s="2">
        <v>0</v>
      </c>
      <c r="J54" t="s">
        <v>2914</v>
      </c>
    </row>
    <row r="55" spans="1:10" x14ac:dyDescent="0.2">
      <c r="A55" t="s">
        <v>1074</v>
      </c>
      <c r="B55" t="s">
        <v>2343</v>
      </c>
      <c r="C55">
        <v>10</v>
      </c>
      <c r="D55" t="s">
        <v>785</v>
      </c>
      <c r="E55" s="2">
        <v>1490</v>
      </c>
      <c r="F55" s="2">
        <v>-989</v>
      </c>
      <c r="G55" s="2">
        <v>164</v>
      </c>
      <c r="H55" s="2">
        <v>0</v>
      </c>
      <c r="J55" t="s">
        <v>2915</v>
      </c>
    </row>
    <row r="56" spans="1:10" x14ac:dyDescent="0.2">
      <c r="A56" t="s">
        <v>1024</v>
      </c>
      <c r="B56" t="s">
        <v>2343</v>
      </c>
      <c r="C56">
        <v>11</v>
      </c>
      <c r="D56" t="s">
        <v>785</v>
      </c>
      <c r="E56" s="2">
        <v>2674</v>
      </c>
      <c r="F56" s="2">
        <v>-1722</v>
      </c>
      <c r="G56" s="2">
        <v>52</v>
      </c>
      <c r="H56" s="2">
        <v>0</v>
      </c>
      <c r="J56" t="s">
        <v>2916</v>
      </c>
    </row>
    <row r="57" spans="1:10" x14ac:dyDescent="0.2">
      <c r="A57" t="s">
        <v>1052</v>
      </c>
      <c r="B57" t="s">
        <v>2343</v>
      </c>
      <c r="C57">
        <v>11</v>
      </c>
      <c r="D57" t="s">
        <v>785</v>
      </c>
      <c r="E57" s="2">
        <v>4651</v>
      </c>
      <c r="F57" s="2">
        <v>-2337</v>
      </c>
      <c r="G57" s="2">
        <v>67</v>
      </c>
      <c r="H57" s="2">
        <v>0</v>
      </c>
      <c r="J57" t="s">
        <v>2917</v>
      </c>
    </row>
    <row r="58" spans="1:10" x14ac:dyDescent="0.2">
      <c r="A58" t="s">
        <v>1055</v>
      </c>
      <c r="B58" t="s">
        <v>2343</v>
      </c>
      <c r="C58">
        <v>11</v>
      </c>
      <c r="D58" t="s">
        <v>785</v>
      </c>
      <c r="E58" s="2">
        <v>3142</v>
      </c>
      <c r="F58" s="2">
        <v>-2138</v>
      </c>
      <c r="G58" s="2">
        <v>74</v>
      </c>
      <c r="H58" s="2">
        <v>0</v>
      </c>
      <c r="J58" t="s">
        <v>2918</v>
      </c>
    </row>
    <row r="59" spans="1:10" x14ac:dyDescent="0.2">
      <c r="A59" t="s">
        <v>804</v>
      </c>
      <c r="B59" t="s">
        <v>2343</v>
      </c>
      <c r="C59">
        <v>11</v>
      </c>
      <c r="D59" t="s">
        <v>785</v>
      </c>
      <c r="E59" s="2">
        <v>4103</v>
      </c>
      <c r="F59" s="2">
        <v>-1144</v>
      </c>
      <c r="G59" s="2">
        <v>325</v>
      </c>
      <c r="H59" s="2">
        <v>0</v>
      </c>
      <c r="J59" t="s">
        <v>2919</v>
      </c>
    </row>
    <row r="60" spans="1:10" x14ac:dyDescent="0.2">
      <c r="A60" t="s">
        <v>1061</v>
      </c>
      <c r="B60" t="s">
        <v>2343</v>
      </c>
      <c r="C60">
        <v>11</v>
      </c>
      <c r="D60" t="s">
        <v>785</v>
      </c>
      <c r="E60" s="2">
        <v>3145</v>
      </c>
      <c r="F60" s="2">
        <v>-1819</v>
      </c>
      <c r="G60" s="2">
        <v>81</v>
      </c>
      <c r="H60" s="2">
        <v>0</v>
      </c>
      <c r="J60" t="s">
        <v>2920</v>
      </c>
    </row>
    <row r="61" spans="1:10" x14ac:dyDescent="0.2">
      <c r="A61" t="s">
        <v>1021</v>
      </c>
      <c r="B61" t="s">
        <v>2343</v>
      </c>
      <c r="C61">
        <v>12</v>
      </c>
      <c r="D61" t="s">
        <v>785</v>
      </c>
      <c r="E61" s="2">
        <v>1969</v>
      </c>
      <c r="F61" s="2">
        <v>-1899</v>
      </c>
      <c r="G61" s="2">
        <v>36</v>
      </c>
      <c r="H61" s="2">
        <v>0</v>
      </c>
      <c r="J61" t="s">
        <v>2921</v>
      </c>
    </row>
    <row r="62" spans="1:10" x14ac:dyDescent="0.2">
      <c r="A62" t="s">
        <v>1041</v>
      </c>
      <c r="B62" t="s">
        <v>2343</v>
      </c>
      <c r="C62">
        <v>12</v>
      </c>
      <c r="D62" t="s">
        <v>785</v>
      </c>
      <c r="E62" s="2">
        <v>2616</v>
      </c>
      <c r="F62" s="2">
        <v>-2595</v>
      </c>
      <c r="G62" s="2">
        <v>163</v>
      </c>
      <c r="H62" s="2">
        <v>0</v>
      </c>
      <c r="J62" t="s">
        <v>2922</v>
      </c>
    </row>
    <row r="63" spans="1:10" x14ac:dyDescent="0.2">
      <c r="A63" t="s">
        <v>1065</v>
      </c>
      <c r="B63" t="s">
        <v>2343</v>
      </c>
      <c r="C63">
        <v>12</v>
      </c>
      <c r="D63" t="s">
        <v>785</v>
      </c>
      <c r="E63" s="2">
        <v>3359</v>
      </c>
      <c r="F63" s="2">
        <v>-3494</v>
      </c>
      <c r="G63" s="2">
        <v>50</v>
      </c>
      <c r="H63" s="2">
        <v>0</v>
      </c>
      <c r="J63" t="s">
        <v>2923</v>
      </c>
    </row>
    <row r="64" spans="1:10" x14ac:dyDescent="0.2">
      <c r="A64" t="s">
        <v>1085</v>
      </c>
      <c r="B64" t="s">
        <v>2343</v>
      </c>
      <c r="C64">
        <v>12</v>
      </c>
      <c r="D64" t="s">
        <v>785</v>
      </c>
      <c r="E64" s="2">
        <v>2214</v>
      </c>
      <c r="F64" s="2">
        <v>-3369</v>
      </c>
      <c r="G64" s="2">
        <v>41</v>
      </c>
      <c r="H64" s="2">
        <v>0</v>
      </c>
      <c r="J64" t="s">
        <v>2924</v>
      </c>
    </row>
    <row r="65" spans="1:10" x14ac:dyDescent="0.2">
      <c r="A65" t="s">
        <v>1027</v>
      </c>
      <c r="B65" t="s">
        <v>2343</v>
      </c>
      <c r="C65">
        <v>13</v>
      </c>
      <c r="D65" t="s">
        <v>785</v>
      </c>
      <c r="E65" s="2">
        <v>922</v>
      </c>
      <c r="F65" s="2">
        <v>-995</v>
      </c>
      <c r="G65" s="2">
        <v>48</v>
      </c>
      <c r="H65" s="2">
        <v>0</v>
      </c>
      <c r="J65" t="s">
        <v>2925</v>
      </c>
    </row>
    <row r="66" spans="1:10" x14ac:dyDescent="0.2">
      <c r="A66" t="s">
        <v>1036</v>
      </c>
      <c r="B66" t="s">
        <v>2343</v>
      </c>
      <c r="C66">
        <v>13</v>
      </c>
      <c r="D66" t="s">
        <v>785</v>
      </c>
      <c r="E66" s="2">
        <v>254</v>
      </c>
      <c r="F66" s="2">
        <v>-3456</v>
      </c>
      <c r="G66" s="2">
        <v>89</v>
      </c>
      <c r="H66" s="2">
        <v>0</v>
      </c>
      <c r="J66" t="s">
        <v>2926</v>
      </c>
    </row>
    <row r="67" spans="1:10" x14ac:dyDescent="0.2">
      <c r="A67" t="s">
        <v>796</v>
      </c>
      <c r="B67" t="s">
        <v>2343</v>
      </c>
      <c r="C67">
        <v>13</v>
      </c>
      <c r="D67" t="s">
        <v>785</v>
      </c>
      <c r="E67" s="2">
        <v>104</v>
      </c>
      <c r="F67" s="2">
        <v>-2674</v>
      </c>
      <c r="G67" s="2">
        <v>-2</v>
      </c>
      <c r="H67" s="2">
        <v>0</v>
      </c>
      <c r="J67" t="s">
        <v>2927</v>
      </c>
    </row>
    <row r="68" spans="1:10" x14ac:dyDescent="0.2">
      <c r="A68" t="s">
        <v>1046</v>
      </c>
      <c r="B68" t="s">
        <v>2343</v>
      </c>
      <c r="C68">
        <v>13</v>
      </c>
      <c r="D68" t="s">
        <v>785</v>
      </c>
      <c r="E68" s="2">
        <v>1595</v>
      </c>
      <c r="F68" s="2">
        <v>-3470</v>
      </c>
      <c r="G68" s="2">
        <v>71</v>
      </c>
      <c r="H68" s="2">
        <v>0</v>
      </c>
      <c r="J68" t="s">
        <v>2928</v>
      </c>
    </row>
    <row r="69" spans="1:10" x14ac:dyDescent="0.2">
      <c r="A69" t="s">
        <v>1064</v>
      </c>
      <c r="B69" t="s">
        <v>2343</v>
      </c>
      <c r="C69">
        <v>13</v>
      </c>
      <c r="D69" t="s">
        <v>785</v>
      </c>
      <c r="E69" s="2">
        <v>389</v>
      </c>
      <c r="F69" s="2">
        <v>-1273</v>
      </c>
      <c r="G69" s="2">
        <v>27</v>
      </c>
      <c r="H69" s="2">
        <v>0</v>
      </c>
      <c r="J69" t="s">
        <v>2929</v>
      </c>
    </row>
    <row r="70" spans="1:10" x14ac:dyDescent="0.2">
      <c r="A70" t="s">
        <v>1067</v>
      </c>
      <c r="B70" t="s">
        <v>2343</v>
      </c>
      <c r="C70">
        <v>13</v>
      </c>
      <c r="D70" t="s">
        <v>785</v>
      </c>
      <c r="E70" s="2">
        <v>-204</v>
      </c>
      <c r="F70" s="2">
        <v>-3488</v>
      </c>
      <c r="G70" s="2">
        <v>35</v>
      </c>
      <c r="H70" s="2">
        <v>0</v>
      </c>
      <c r="J70" t="s">
        <v>2930</v>
      </c>
    </row>
    <row r="71" spans="1:10" x14ac:dyDescent="0.2">
      <c r="A71" t="s">
        <v>1080</v>
      </c>
      <c r="B71" t="s">
        <v>2343</v>
      </c>
      <c r="C71">
        <v>13</v>
      </c>
      <c r="D71" t="s">
        <v>785</v>
      </c>
      <c r="E71" s="2">
        <v>824</v>
      </c>
      <c r="F71" s="2">
        <v>-2329</v>
      </c>
      <c r="G71" s="2">
        <v>131</v>
      </c>
      <c r="H71" s="2">
        <v>0</v>
      </c>
      <c r="J71" t="s">
        <v>2931</v>
      </c>
    </row>
    <row r="72" spans="1:10" x14ac:dyDescent="0.2">
      <c r="A72" t="s">
        <v>1029</v>
      </c>
      <c r="B72" t="s">
        <v>2343</v>
      </c>
      <c r="C72">
        <v>14</v>
      </c>
      <c r="D72" t="s">
        <v>785</v>
      </c>
      <c r="E72" s="2">
        <v>-2963</v>
      </c>
      <c r="F72" s="2">
        <v>-3793</v>
      </c>
      <c r="G72" s="2">
        <v>42</v>
      </c>
      <c r="H72" s="2">
        <v>0</v>
      </c>
      <c r="J72" t="s">
        <v>2932</v>
      </c>
    </row>
    <row r="73" spans="1:10" x14ac:dyDescent="0.2">
      <c r="A73" t="s">
        <v>1033</v>
      </c>
      <c r="B73" t="s">
        <v>2343</v>
      </c>
      <c r="C73">
        <v>14</v>
      </c>
      <c r="D73" t="s">
        <v>785</v>
      </c>
      <c r="E73" s="2">
        <v>-2396</v>
      </c>
      <c r="F73" s="2">
        <v>-2161</v>
      </c>
      <c r="G73" s="2">
        <v>276</v>
      </c>
      <c r="H73" s="2">
        <v>0</v>
      </c>
      <c r="J73" t="s">
        <v>2933</v>
      </c>
    </row>
    <row r="74" spans="1:10" x14ac:dyDescent="0.2">
      <c r="A74" t="s">
        <v>997</v>
      </c>
      <c r="B74" t="s">
        <v>2343</v>
      </c>
      <c r="C74">
        <v>14</v>
      </c>
      <c r="D74" t="s">
        <v>785</v>
      </c>
      <c r="E74" s="2">
        <v>-1609</v>
      </c>
      <c r="F74" s="2">
        <v>-2249</v>
      </c>
      <c r="G74" s="2">
        <v>-4</v>
      </c>
      <c r="H74" s="2">
        <v>0</v>
      </c>
      <c r="J74" t="s">
        <v>2934</v>
      </c>
    </row>
    <row r="75" spans="1:10" x14ac:dyDescent="0.2">
      <c r="A75" t="s">
        <v>1034</v>
      </c>
      <c r="B75" t="s">
        <v>2343</v>
      </c>
      <c r="C75">
        <v>14</v>
      </c>
      <c r="D75" t="s">
        <v>785</v>
      </c>
      <c r="E75" s="2">
        <v>-2758</v>
      </c>
      <c r="F75" s="2">
        <v>-2263</v>
      </c>
      <c r="G75" s="2">
        <v>46</v>
      </c>
      <c r="H75" s="2">
        <v>0</v>
      </c>
      <c r="J75" t="s">
        <v>2935</v>
      </c>
    </row>
    <row r="76" spans="1:10" x14ac:dyDescent="0.2">
      <c r="A76" t="s">
        <v>1042</v>
      </c>
      <c r="B76" t="s">
        <v>2343</v>
      </c>
      <c r="C76">
        <v>14</v>
      </c>
      <c r="D76" t="s">
        <v>785</v>
      </c>
      <c r="E76" s="2">
        <v>-2087</v>
      </c>
      <c r="F76" s="2">
        <v>-1952</v>
      </c>
      <c r="G76" s="2">
        <v>149</v>
      </c>
      <c r="H76" s="2">
        <v>0</v>
      </c>
      <c r="J76" t="s">
        <v>2936</v>
      </c>
    </row>
    <row r="77" spans="1:10" x14ac:dyDescent="0.2">
      <c r="A77" t="s">
        <v>1057</v>
      </c>
      <c r="B77" t="s">
        <v>2343</v>
      </c>
      <c r="C77">
        <v>14</v>
      </c>
      <c r="D77" t="s">
        <v>785</v>
      </c>
      <c r="E77" s="2">
        <v>-1076</v>
      </c>
      <c r="F77" s="2">
        <v>-3351</v>
      </c>
      <c r="G77" s="2">
        <v>166</v>
      </c>
      <c r="H77" s="2">
        <v>0</v>
      </c>
      <c r="J77" t="s">
        <v>2937</v>
      </c>
    </row>
    <row r="78" spans="1:10" x14ac:dyDescent="0.2">
      <c r="A78" t="s">
        <v>1066</v>
      </c>
      <c r="B78" t="s">
        <v>2343</v>
      </c>
      <c r="C78">
        <v>14</v>
      </c>
      <c r="D78" t="s">
        <v>785</v>
      </c>
      <c r="E78" s="2">
        <v>-3438</v>
      </c>
      <c r="F78" s="2">
        <v>-3123</v>
      </c>
      <c r="G78" s="2">
        <v>66</v>
      </c>
      <c r="H78" s="2">
        <v>0</v>
      </c>
      <c r="J78" t="s">
        <v>2938</v>
      </c>
    </row>
    <row r="79" spans="1:10" x14ac:dyDescent="0.2">
      <c r="A79" t="s">
        <v>1090</v>
      </c>
      <c r="B79" t="s">
        <v>2343</v>
      </c>
      <c r="C79">
        <v>14</v>
      </c>
      <c r="D79" t="s">
        <v>785</v>
      </c>
      <c r="E79" s="2">
        <v>-1800</v>
      </c>
      <c r="F79" s="2">
        <v>-2616</v>
      </c>
      <c r="G79" s="2">
        <v>169</v>
      </c>
      <c r="H79" s="2">
        <v>0</v>
      </c>
      <c r="J79" t="s">
        <v>2939</v>
      </c>
    </row>
    <row r="80" spans="1:10" x14ac:dyDescent="0.2">
      <c r="A80" t="s">
        <v>1044</v>
      </c>
      <c r="B80" t="s">
        <v>2343</v>
      </c>
      <c r="C80">
        <v>15</v>
      </c>
      <c r="D80" t="s">
        <v>785</v>
      </c>
      <c r="E80" s="2">
        <v>-3382</v>
      </c>
      <c r="F80" s="2">
        <v>-220</v>
      </c>
      <c r="G80" s="2">
        <v>79</v>
      </c>
      <c r="H80" s="2">
        <v>0</v>
      </c>
      <c r="J80" t="s">
        <v>2940</v>
      </c>
    </row>
    <row r="81" spans="1:10" x14ac:dyDescent="0.2">
      <c r="A81" t="s">
        <v>1053</v>
      </c>
      <c r="B81" t="s">
        <v>2343</v>
      </c>
      <c r="C81">
        <v>15</v>
      </c>
      <c r="D81" t="s">
        <v>785</v>
      </c>
      <c r="E81" s="2">
        <v>-4108</v>
      </c>
      <c r="F81" s="2">
        <v>-1389</v>
      </c>
      <c r="G81" s="2">
        <v>459</v>
      </c>
      <c r="H81" s="2">
        <v>0</v>
      </c>
      <c r="J81" t="s">
        <v>2941</v>
      </c>
    </row>
    <row r="82" spans="1:10" x14ac:dyDescent="0.2">
      <c r="A82" t="s">
        <v>1084</v>
      </c>
      <c r="B82" t="s">
        <v>2343</v>
      </c>
      <c r="C82">
        <v>15</v>
      </c>
      <c r="D82" t="s">
        <v>785</v>
      </c>
      <c r="E82" s="2">
        <v>-2676</v>
      </c>
      <c r="F82" s="2">
        <v>-426</v>
      </c>
      <c r="G82" s="2">
        <v>22</v>
      </c>
      <c r="H82" s="2">
        <v>0</v>
      </c>
      <c r="J82" t="s">
        <v>2942</v>
      </c>
    </row>
  </sheetData>
  <autoFilter ref="A1:G82" xr:uid="{9F268EE0-ED4E-D644-BE8D-34069771440A}">
    <sortState xmlns:xlrd2="http://schemas.microsoft.com/office/spreadsheetml/2017/richdata2" ref="A2:G82">
      <sortCondition ref="C1:C82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5D5C8-FF81-DA46-ADE3-61DE071C2139}">
  <sheetPr codeName="Sheet9">
    <tabColor theme="7"/>
  </sheetPr>
  <dimension ref="A1:J65"/>
  <sheetViews>
    <sheetView workbookViewId="0">
      <selection activeCell="E31" sqref="E31"/>
    </sheetView>
  </sheetViews>
  <sheetFormatPr baseColWidth="10" defaultRowHeight="16" x14ac:dyDescent="0.2"/>
  <cols>
    <col min="1" max="1" width="27.6640625" bestFit="1" customWidth="1"/>
    <col min="2" max="2" width="15.33203125" bestFit="1" customWidth="1"/>
    <col min="3" max="8" width="10.83203125" style="2"/>
    <col min="9" max="9" width="50.5" bestFit="1" customWidth="1"/>
  </cols>
  <sheetData>
    <row r="1" spans="1:10" s="6" customFormat="1" x14ac:dyDescent="0.2">
      <c r="A1" s="6" t="s">
        <v>781</v>
      </c>
      <c r="B1" s="6" t="s">
        <v>2083</v>
      </c>
      <c r="C1" s="4" t="s">
        <v>2074</v>
      </c>
      <c r="D1" s="4" t="s">
        <v>777</v>
      </c>
      <c r="E1" s="4" t="s">
        <v>778</v>
      </c>
      <c r="F1" s="4" t="s">
        <v>779</v>
      </c>
      <c r="G1" s="4" t="s">
        <v>780</v>
      </c>
      <c r="H1" s="4" t="s">
        <v>2837</v>
      </c>
      <c r="I1" s="6" t="s">
        <v>2081</v>
      </c>
      <c r="J1" s="6" t="s">
        <v>2075</v>
      </c>
    </row>
    <row r="2" spans="1:10" x14ac:dyDescent="0.2">
      <c r="A2" t="s">
        <v>4201</v>
      </c>
      <c r="B2" t="s">
        <v>2378</v>
      </c>
      <c r="C2" s="2">
        <v>2</v>
      </c>
      <c r="D2" s="2" t="s">
        <v>783</v>
      </c>
      <c r="E2" s="2">
        <v>-1456</v>
      </c>
      <c r="F2" s="2">
        <v>-1585</v>
      </c>
      <c r="G2" s="2">
        <v>1220</v>
      </c>
      <c r="H2" s="2">
        <v>0</v>
      </c>
      <c r="I2" t="s">
        <v>4567</v>
      </c>
      <c r="J2" t="str">
        <f>"{ name: "&amp;CHAR(34)&amp;A2&amp;CHAR(34)&amp;", landmark: "&amp;CHAR(34)&amp;"Old Map"&amp;CHAR(34)&amp;", type: "&amp;CHAR(34)&amp;B2&amp;CHAR(34)&amp;", region: "&amp;C2&amp;", level: "&amp;CHAR(34)&amp;D2&amp;CHAR(34)&amp;", x: "&amp;E2&amp;", y: "&amp;F2&amp;", z: "&amp;G2&amp;", weight: "&amp;H2&amp;", details: `"&amp;I2&amp;"` },"</f>
        <v>{ name: "South Hyrule Sky #01", landmark: "Old Map", type: "Old Map", region: 2, level: "Sky", x: -1456, y: -1585, z: 1220, weight: 0, details: `&lt;strong&gt;Leads to:&lt;/strong&gt; &lt;img src="icons/treasure.png" style="height: 20px; width: 20px; vertical-align: middle; margin-right: 5px;"&gt;&lt;span style="color: #c6a96a; font-weight: bold;"&gt;Trousers of the Hero&lt;/span&gt;` },</v>
      </c>
    </row>
    <row r="3" spans="1:10" x14ac:dyDescent="0.2">
      <c r="A3" t="s">
        <v>4202</v>
      </c>
      <c r="B3" t="s">
        <v>2378</v>
      </c>
      <c r="C3" s="2">
        <v>2</v>
      </c>
      <c r="D3" s="2" t="s">
        <v>783</v>
      </c>
      <c r="E3" s="2">
        <v>-1231</v>
      </c>
      <c r="F3" s="2">
        <v>-1403</v>
      </c>
      <c r="G3" s="2">
        <v>1007</v>
      </c>
      <c r="H3" s="2">
        <v>0</v>
      </c>
      <c r="I3" t="s">
        <v>4568</v>
      </c>
      <c r="J3" t="str">
        <f t="shared" ref="J3:J32" si="0">"{ name: "&amp;CHAR(34)&amp;A3&amp;CHAR(34)&amp;", landmark: "&amp;CHAR(34)&amp;"Old Map"&amp;CHAR(34)&amp;", type: "&amp;CHAR(34)&amp;B3&amp;CHAR(34)&amp;", region: "&amp;C3&amp;", level: "&amp;CHAR(34)&amp;D3&amp;CHAR(34)&amp;", x: "&amp;E3&amp;", y: "&amp;F3&amp;", z: "&amp;G3&amp;", weight: "&amp;H3&amp;", details: `"&amp;I3&amp;"` },"</f>
        <v>{ name: "South Hyrule Sky #02", landmark: "Old Map", type: "Old Map", region: 2, level: "Sky", x: -1231, y: -1403, z: 1007, weight: 0, details: `&lt;strong&gt;Leads to:&lt;/strong&gt; &lt;img src="icons/treasure.png" style="height: 20px; width: 20px; vertical-align: middle; margin-right: 5px;"&gt;&lt;span style="color: #c6a96a; font-weight: bold;"&gt;Tunic of the Hero&lt;/span&gt;` },</v>
      </c>
    </row>
    <row r="4" spans="1:10" x14ac:dyDescent="0.2">
      <c r="A4" t="s">
        <v>4203</v>
      </c>
      <c r="B4" t="s">
        <v>2378</v>
      </c>
      <c r="C4" s="2">
        <v>2</v>
      </c>
      <c r="D4" s="2" t="s">
        <v>783</v>
      </c>
      <c r="E4" s="2">
        <v>-1334</v>
      </c>
      <c r="F4" s="2">
        <v>-1548</v>
      </c>
      <c r="G4" s="2">
        <v>801</v>
      </c>
      <c r="H4" s="2">
        <v>0</v>
      </c>
      <c r="I4" t="s">
        <v>4569</v>
      </c>
      <c r="J4" t="str">
        <f t="shared" si="0"/>
        <v>{ name: "South Hyrule Sky #03", landmark: "Old Map", type: "Old Map", region: 2, level: "Sky", x: -1334, y: -1548, z: 801, weight: 0, details: `&lt;strong&gt;Leads to:&lt;/strong&gt; &lt;img src="icons/treasure.png" style="height: 20px; width: 20px; vertical-align: middle; margin-right: 5px;"&gt;&lt;span style="color: #c6a96a; font-weight: bold;"&gt;Cap of the Hero&lt;/span&gt;` },</v>
      </c>
    </row>
    <row r="5" spans="1:10" x14ac:dyDescent="0.2">
      <c r="A5" t="s">
        <v>4204</v>
      </c>
      <c r="B5" t="s">
        <v>2378</v>
      </c>
      <c r="C5" s="2">
        <v>2</v>
      </c>
      <c r="D5" s="2" t="s">
        <v>783</v>
      </c>
      <c r="E5" s="2">
        <v>-818</v>
      </c>
      <c r="F5" s="2">
        <v>-1594</v>
      </c>
      <c r="G5" s="2">
        <v>861</v>
      </c>
      <c r="H5" s="2">
        <v>0</v>
      </c>
      <c r="I5" t="s">
        <v>4570</v>
      </c>
      <c r="J5" t="str">
        <f t="shared" si="0"/>
        <v>{ name: "South Hyrule Sky #04", landmark: "Old Map", type: "Old Map", region: 2, level: "Sky", x: -818, y: -1594, z: 861, weight: 0, details: `&lt;strong&gt;Leads to:&lt;/strong&gt; &lt;img src="icons/treasure.png" style="height: 20px; width: 20px; vertical-align: middle; margin-right: 5px;"&gt;&lt;span style="color: #c6a96a; font-weight: bold;"&gt;Sheik's Mask&lt;/span&gt;` },</v>
      </c>
    </row>
    <row r="6" spans="1:10" x14ac:dyDescent="0.2">
      <c r="A6" t="s">
        <v>2442</v>
      </c>
      <c r="B6" t="s">
        <v>2378</v>
      </c>
      <c r="C6" s="2">
        <v>3</v>
      </c>
      <c r="D6" s="2" t="s">
        <v>783</v>
      </c>
      <c r="E6" s="2">
        <v>-3437</v>
      </c>
      <c r="F6" s="2">
        <v>1431</v>
      </c>
      <c r="G6" s="2">
        <v>1193</v>
      </c>
      <c r="H6" s="2">
        <v>0</v>
      </c>
      <c r="I6" t="s">
        <v>4571</v>
      </c>
      <c r="J6" t="str">
        <f t="shared" si="0"/>
        <v>{ name: "North Tabantha Sky", landmark: "Old Map", type: "Old Map", region: 3, level: "Sky", x: -3437, y: 1431, z: 1193, weight: 0, details: `&lt;strong&gt;Leads to:&lt;/strong&gt; &lt;img src="icons/treasure.png" style="height: 20px; width: 20px; vertical-align: middle; margin-right: 5px;"&gt;&lt;span style="color: #c6a96a; font-weight: bold;"&gt;Tunic of the Wild&lt;/span&gt;` },</v>
      </c>
    </row>
    <row r="7" spans="1:10" x14ac:dyDescent="0.2">
      <c r="A7" t="s">
        <v>4205</v>
      </c>
      <c r="B7" t="s">
        <v>2378</v>
      </c>
      <c r="C7" s="2">
        <v>3</v>
      </c>
      <c r="D7" s="2" t="s">
        <v>783</v>
      </c>
      <c r="E7" s="2">
        <v>-3931</v>
      </c>
      <c r="F7" s="2">
        <v>609</v>
      </c>
      <c r="G7" s="2">
        <v>1708</v>
      </c>
      <c r="H7" s="2">
        <v>0</v>
      </c>
      <c r="I7" t="s">
        <v>4572</v>
      </c>
      <c r="J7" t="str">
        <f t="shared" si="0"/>
        <v>{ name: "Tabantha Sky #01", landmark: "Old Map", type: "Old Map", region: 3, level: "Sky", x: -3931, y: 609, z: 1708, weight: 0, details: `&lt;strong&gt;Leads to:&lt;/strong&gt; &lt;img src="icons/treasure.png" style="height: 20px; width: 20px; vertical-align: middle; margin-right: 5px;"&gt;&lt;span style="color: #c6a96a; font-weight: bold;"&gt;Trousers of the Wild&lt;/span&gt;` },</v>
      </c>
    </row>
    <row r="8" spans="1:10" x14ac:dyDescent="0.2">
      <c r="A8" t="s">
        <v>4206</v>
      </c>
      <c r="B8" t="s">
        <v>2378</v>
      </c>
      <c r="C8" s="2">
        <v>3</v>
      </c>
      <c r="D8" s="2" t="s">
        <v>783</v>
      </c>
      <c r="E8" s="2">
        <v>-3636</v>
      </c>
      <c r="F8" s="2">
        <v>466</v>
      </c>
      <c r="G8" s="2">
        <v>1661</v>
      </c>
      <c r="H8" s="2">
        <v>0</v>
      </c>
      <c r="I8" t="s">
        <v>4573</v>
      </c>
      <c r="J8" t="str">
        <f t="shared" si="0"/>
        <v>{ name: "Tabantha Sky #02", landmark: "Old Map", type: "Old Map", region: 3, level: "Sky", x: -3636, y: 466, z: 1661, weight: 0, details: `&lt;strong&gt;Leads to:&lt;/strong&gt; &lt;img src="icons/treasure.png" style="height: 20px; width: 20px; vertical-align: middle; margin-right: 5px;"&gt;&lt;span style="color: #c6a96a; font-weight: bold;"&gt;Cap of the Wild&lt;/span&gt;` },</v>
      </c>
    </row>
    <row r="9" spans="1:10" x14ac:dyDescent="0.2">
      <c r="A9" t="s">
        <v>2351</v>
      </c>
      <c r="B9" t="s">
        <v>2378</v>
      </c>
      <c r="C9" s="2">
        <v>4</v>
      </c>
      <c r="D9" s="2" t="s">
        <v>783</v>
      </c>
      <c r="E9" s="2">
        <v>-3462</v>
      </c>
      <c r="F9" s="2">
        <v>3519</v>
      </c>
      <c r="G9" s="2">
        <v>930</v>
      </c>
      <c r="H9" s="2">
        <v>0</v>
      </c>
      <c r="I9" t="s">
        <v>4574</v>
      </c>
      <c r="J9" t="str">
        <f t="shared" si="0"/>
        <v>{ name: "Rising Island Chain", landmark: "Old Map", type: "Old Map", region: 4, level: "Sky", x: -3462, y: 3519, z: 930, weight: 0, details: `&lt;strong&gt;Leads to:&lt;/strong&gt; &lt;img src="icons/treasure.png" style="height: 20px; width: 20px; vertical-align: middle; margin-right: 5px;"&gt;&lt;span style="color: #c6a96a; font-weight: bold;"&gt;Miner's Mask&lt;/span&gt;` },</v>
      </c>
    </row>
    <row r="10" spans="1:10" x14ac:dyDescent="0.2">
      <c r="A10" t="s">
        <v>4207</v>
      </c>
      <c r="B10" t="s">
        <v>2378</v>
      </c>
      <c r="C10" s="2">
        <v>4</v>
      </c>
      <c r="D10" s="2" t="s">
        <v>783</v>
      </c>
      <c r="E10" s="2">
        <v>-3860</v>
      </c>
      <c r="F10" s="2">
        <v>2922</v>
      </c>
      <c r="G10" s="2">
        <v>747</v>
      </c>
      <c r="H10" s="2">
        <v>0</v>
      </c>
      <c r="I10" t="s">
        <v>4575</v>
      </c>
      <c r="J10" t="str">
        <f t="shared" si="0"/>
        <v>{ name: "West Hebra Sky #01", landmark: "Old Map", type: "Old Map", region: 4, level: "Sky", x: -3860, y: 2922, z: 747, weight: 0, details: `&lt;strong&gt;Leads to:&lt;/strong&gt; &lt;img src="icons/treasure.png" style="height: 20px; width: 20px; vertical-align: middle; margin-right: 5px;"&gt;&lt;span style="color: #c6a96a; font-weight: bold;"&gt;Miner's Top&lt;/span&gt;` },</v>
      </c>
    </row>
    <row r="11" spans="1:10" x14ac:dyDescent="0.2">
      <c r="A11" t="s">
        <v>4208</v>
      </c>
      <c r="B11" t="s">
        <v>2378</v>
      </c>
      <c r="C11" s="2">
        <v>4</v>
      </c>
      <c r="D11" s="2" t="s">
        <v>783</v>
      </c>
      <c r="E11" s="2">
        <v>-3824</v>
      </c>
      <c r="F11" s="2">
        <v>2721</v>
      </c>
      <c r="G11" s="2">
        <v>544</v>
      </c>
      <c r="H11" s="2">
        <v>0</v>
      </c>
      <c r="I11" t="s">
        <v>4576</v>
      </c>
      <c r="J11" t="str">
        <f t="shared" si="0"/>
        <v>{ name: "West Hebra Sky #02", landmark: "Old Map", type: "Old Map", region: 4, level: "Sky", x: -3824, y: 2721, z: 544, weight: 0, details: `&lt;strong&gt;Leads to:&lt;/strong&gt; &lt;img src="icons/treasure.png" style="height: 20px; width: 20px; vertical-align: middle; margin-right: 5px;"&gt;&lt;span style="color: #c6a96a; font-weight: bold;"&gt;Miner's Trousers&lt;/span&gt;` },</v>
      </c>
    </row>
    <row r="12" spans="1:10" x14ac:dyDescent="0.2">
      <c r="A12" t="s">
        <v>2273</v>
      </c>
      <c r="B12" t="s">
        <v>2378</v>
      </c>
      <c r="C12" s="2">
        <v>5</v>
      </c>
      <c r="D12" s="2" t="s">
        <v>783</v>
      </c>
      <c r="E12" s="2">
        <v>-1648</v>
      </c>
      <c r="F12" s="2">
        <v>3508</v>
      </c>
      <c r="G12" s="2">
        <v>747</v>
      </c>
      <c r="H12" s="2">
        <v>0</v>
      </c>
      <c r="I12" t="s">
        <v>4577</v>
      </c>
      <c r="J12" t="str">
        <f t="shared" si="0"/>
        <v>{ name: "East Hebra Sky", landmark: "Old Map", type: "Old Map", region: 5, level: "Sky", x: -1648, y: 3508, z: 747, weight: 0, details: `&lt;strong&gt;Leads to:&lt;/strong&gt; &lt;img src="icons/treasure.png" style="height: 20px; width: 20px; vertical-align: middle; margin-right: 5px;"&gt;&lt;span style="color: #c6a96a; font-weight: bold;"&gt;Ravio's Hood&lt;/span&gt;` },</v>
      </c>
    </row>
    <row r="13" spans="1:10" x14ac:dyDescent="0.2">
      <c r="A13" t="s">
        <v>2274</v>
      </c>
      <c r="B13" t="s">
        <v>2378</v>
      </c>
      <c r="C13" s="2">
        <v>6</v>
      </c>
      <c r="D13" s="2" t="s">
        <v>783</v>
      </c>
      <c r="E13" s="2">
        <v>435</v>
      </c>
      <c r="F13" s="2">
        <v>2196</v>
      </c>
      <c r="G13" s="2">
        <v>2243</v>
      </c>
      <c r="H13" s="2">
        <v>0</v>
      </c>
      <c r="I13" t="s">
        <v>4578</v>
      </c>
      <c r="J13" t="str">
        <f t="shared" si="0"/>
        <v>{ name: "North Hyrule Sky", landmark: "Old Map", type: "Old Map", region: 6, level: "Sky", x: 435, y: 2196, z: 2243, weight: 0, details: `&lt;strong&gt;Leads to:&lt;/strong&gt; &lt;img src="icons/treasure.png" style="height: 20px; width: 20px; vertical-align: middle; margin-right: 5px;"&gt;&lt;span style="color: #c6a96a; font-weight: bold;"&gt;Korok Mask&lt;/span&gt;` },</v>
      </c>
    </row>
    <row r="14" spans="1:10" x14ac:dyDescent="0.2">
      <c r="A14" t="s">
        <v>2277</v>
      </c>
      <c r="B14" t="s">
        <v>2378</v>
      </c>
      <c r="C14" s="2">
        <v>7</v>
      </c>
      <c r="D14" s="2" t="s">
        <v>783</v>
      </c>
      <c r="E14" s="2">
        <v>1809</v>
      </c>
      <c r="F14" s="2">
        <v>1014</v>
      </c>
      <c r="G14" s="2">
        <v>1183</v>
      </c>
      <c r="H14" s="2">
        <v>0</v>
      </c>
      <c r="I14" t="s">
        <v>4579</v>
      </c>
      <c r="J14" t="str">
        <f t="shared" si="0"/>
        <v>{ name: "South Eldin Sky", landmark: "Old Map", type: "Old Map", region: 7, level: "Sky", x: 1809, y: 1014, z: 1183, weight: 0, details: `&lt;strong&gt;Leads to:&lt;/strong&gt; &lt;img src="icons/treasure.png" style="height: 20px; width: 20px; vertical-align: middle; margin-right: 5px;"&gt;&lt;span style="color: #c6a96a; font-weight: bold;"&gt;Biggoron's Sword&lt;/span&gt;` },</v>
      </c>
    </row>
    <row r="15" spans="1:10" x14ac:dyDescent="0.2">
      <c r="A15" t="s">
        <v>4209</v>
      </c>
      <c r="B15" t="s">
        <v>2378</v>
      </c>
      <c r="C15" s="2">
        <v>8</v>
      </c>
      <c r="D15" s="2" t="s">
        <v>783</v>
      </c>
      <c r="E15" s="2">
        <v>4267</v>
      </c>
      <c r="F15" s="2">
        <v>3108</v>
      </c>
      <c r="G15" s="2">
        <v>783</v>
      </c>
      <c r="H15" s="2">
        <v>0</v>
      </c>
      <c r="I15" t="s">
        <v>4580</v>
      </c>
      <c r="J15" t="str">
        <f t="shared" si="0"/>
        <v>{ name: "North Akkala Sky #01", landmark: "Old Map", type: "Old Map", region: 8, level: "Sky", x: 4267, y: 3108, z: 783, weight: 0, details: `&lt;strong&gt;Leads to:&lt;/strong&gt; &lt;img src="icons/treasure.png" style="height: 20px; width: 20px; vertical-align: middle; margin-right: 5px;"&gt;&lt;span style="color: #c6a96a; font-weight: bold;"&gt;Trousers of Twilight&lt;/span&gt;` },</v>
      </c>
    </row>
    <row r="16" spans="1:10" x14ac:dyDescent="0.2">
      <c r="A16" t="s">
        <v>4210</v>
      </c>
      <c r="B16" t="s">
        <v>2378</v>
      </c>
      <c r="C16" s="2">
        <v>8</v>
      </c>
      <c r="D16" s="2" t="s">
        <v>783</v>
      </c>
      <c r="E16" s="2">
        <v>3285</v>
      </c>
      <c r="F16" s="2">
        <v>3444</v>
      </c>
      <c r="G16" s="2">
        <v>794</v>
      </c>
      <c r="H16" s="2">
        <v>0</v>
      </c>
      <c r="I16" t="s">
        <v>4581</v>
      </c>
      <c r="J16" t="str">
        <f t="shared" si="0"/>
        <v>{ name: "North Akkala Sky #02", landmark: "Old Map", type: "Old Map", region: 8, level: "Sky", x: 3285, y: 3444, z: 794, weight: 0, details: `&lt;strong&gt;Leads to:&lt;/strong&gt; &lt;img src="icons/treasure.png" style="height: 20px; width: 20px; vertical-align: middle; margin-right: 5px;"&gt;&lt;span style="color: #c6a96a; font-weight: bold;"&gt;Cap of Twilight&lt;/span&gt;` },</v>
      </c>
    </row>
    <row r="17" spans="1:10" x14ac:dyDescent="0.2">
      <c r="A17" t="s">
        <v>2276</v>
      </c>
      <c r="B17" t="s">
        <v>2378</v>
      </c>
      <c r="C17" s="2">
        <v>8</v>
      </c>
      <c r="D17" s="2" t="s">
        <v>783</v>
      </c>
      <c r="E17" s="2">
        <v>3661</v>
      </c>
      <c r="F17" s="2">
        <v>1800</v>
      </c>
      <c r="G17" s="2">
        <v>988</v>
      </c>
      <c r="H17" s="2">
        <v>0</v>
      </c>
      <c r="I17" t="s">
        <v>4582</v>
      </c>
      <c r="J17" t="str">
        <f t="shared" si="0"/>
        <v>{ name: "Sokkala Sky", landmark: "Old Map", type: "Old Map", region: 8, level: "Sky", x: 3661, y: 1800, z: 988, weight: 0, details: `&lt;strong&gt;Leads to:&lt;/strong&gt; &lt;img src="icons/treasure.png" style="height: 20px; width: 20px; vertical-align: middle; margin-right: 5px;"&gt;&lt;span style="color: #c6a96a; font-weight: bold;"&gt;Tunic of Twilight&lt;/span&gt;` },</v>
      </c>
    </row>
    <row r="18" spans="1:10" x14ac:dyDescent="0.2">
      <c r="A18" t="s">
        <v>4211</v>
      </c>
      <c r="B18" t="s">
        <v>2378</v>
      </c>
      <c r="C18" s="2">
        <v>9</v>
      </c>
      <c r="D18" s="2" t="s">
        <v>783</v>
      </c>
      <c r="E18" s="2">
        <v>3691</v>
      </c>
      <c r="F18" s="2">
        <v>592</v>
      </c>
      <c r="G18" s="2">
        <v>1245</v>
      </c>
      <c r="H18" s="2">
        <v>0</v>
      </c>
      <c r="I18" t="s">
        <v>4583</v>
      </c>
      <c r="J18" t="str">
        <f t="shared" si="0"/>
        <v>{ name: "Wellspring Island #01", landmark: "Old Map", type: "Old Map", region: 9, level: "Sky", x: 3691, y: 592, z: 1245, weight: 0, details: `&lt;strong&gt;Leads to:&lt;/strong&gt; &lt;img src="icons/treasure.png" style="height: 20px; width: 20px; vertical-align: middle; margin-right: 5px;"&gt;&lt;span style="color: #c6a96a; font-weight: bold;"&gt;Trousers of the Wind&lt;/span&gt;` },</v>
      </c>
    </row>
    <row r="19" spans="1:10" x14ac:dyDescent="0.2">
      <c r="A19" t="s">
        <v>4212</v>
      </c>
      <c r="B19" t="s">
        <v>2378</v>
      </c>
      <c r="C19" s="2">
        <v>9</v>
      </c>
      <c r="D19" s="2" t="s">
        <v>783</v>
      </c>
      <c r="E19" s="2">
        <v>3201</v>
      </c>
      <c r="F19" s="2">
        <v>598</v>
      </c>
      <c r="G19" s="2">
        <v>1417</v>
      </c>
      <c r="H19" s="2">
        <v>0</v>
      </c>
      <c r="I19" t="s">
        <v>4584</v>
      </c>
      <c r="J19" t="str">
        <f t="shared" si="0"/>
        <v>{ name: "Wellspring Island #02", landmark: "Old Map", type: "Old Map", region: 9, level: "Sky", x: 3201, y: 598, z: 1417, weight: 0, details: `&lt;strong&gt;Leads to:&lt;/strong&gt; &lt;img src="icons/treasure.png" style="height: 20px; width: 20px; vertical-align: middle; margin-right: 5px;"&gt;&lt;span style="color: #c6a96a; font-weight: bold;"&gt;Cap of the Wind&lt;/span&gt;` },</v>
      </c>
    </row>
    <row r="20" spans="1:10" x14ac:dyDescent="0.2">
      <c r="A20" t="s">
        <v>1423</v>
      </c>
      <c r="B20" t="s">
        <v>2378</v>
      </c>
      <c r="C20" s="2">
        <v>9</v>
      </c>
      <c r="D20" s="2" t="s">
        <v>783</v>
      </c>
      <c r="E20" s="2">
        <v>3167</v>
      </c>
      <c r="F20" s="2">
        <v>459</v>
      </c>
      <c r="G20" s="2">
        <v>935</v>
      </c>
      <c r="H20" s="2">
        <v>0</v>
      </c>
      <c r="I20" t="s">
        <v>4585</v>
      </c>
      <c r="J20" t="str">
        <f t="shared" si="0"/>
        <v>{ name: "Lanayru Sky", landmark: "Old Map", type: "Old Map", region: 9, level: "Sky", x: 3167, y: 459, z: 935, weight: 0, details: `&lt;strong&gt;Leads to:&lt;/strong&gt; &lt;img src="icons/treasure.png" style="height: 20px; width: 20px; vertical-align: middle; margin-right: 5px;"&gt;&lt;span style="color: #c6a96a; font-weight: bold;"&gt;Tunic of the Wind&lt;/span&gt;` },</v>
      </c>
    </row>
    <row r="21" spans="1:10" x14ac:dyDescent="0.2">
      <c r="A21" t="s">
        <v>1162</v>
      </c>
      <c r="B21" t="s">
        <v>2378</v>
      </c>
      <c r="C21" s="2">
        <v>10</v>
      </c>
      <c r="D21" s="2" t="s">
        <v>783</v>
      </c>
      <c r="E21" s="2">
        <v>1662</v>
      </c>
      <c r="F21" s="2">
        <v>-352</v>
      </c>
      <c r="G21" s="2">
        <v>400</v>
      </c>
      <c r="H21" s="2">
        <v>0</v>
      </c>
      <c r="I21" t="s">
        <v>4586</v>
      </c>
      <c r="J21" t="str">
        <f t="shared" si="0"/>
        <v>{ name: "Central Hyrule Sky", landmark: "Old Map", type: "Old Map", region: 10, level: "Sky", x: 1662, y: -352, z: 400, weight: 0, details: `&lt;strong&gt;Leads to:&lt;/strong&gt; &lt;img src="icons/treasure.png" style="height: 20px; width: 20px; vertical-align: middle; margin-right: 5px;"&gt;&lt;span style="color: #c6a96a; font-weight: bold;"&gt;Cap of Time&lt;/span&gt;` },</v>
      </c>
    </row>
    <row r="22" spans="1:10" x14ac:dyDescent="0.2">
      <c r="A22" t="s">
        <v>4213</v>
      </c>
      <c r="B22" t="s">
        <v>2378</v>
      </c>
      <c r="C22" s="2">
        <v>10</v>
      </c>
      <c r="D22" s="2" t="s">
        <v>783</v>
      </c>
      <c r="E22" s="2">
        <v>1852</v>
      </c>
      <c r="F22" s="2">
        <v>-980</v>
      </c>
      <c r="G22" s="2">
        <v>927</v>
      </c>
      <c r="H22" s="2">
        <v>0</v>
      </c>
      <c r="I22" t="s">
        <v>4587</v>
      </c>
      <c r="J22" t="str">
        <f t="shared" si="0"/>
        <v>{ name: "North Necluda Sky #01", landmark: "Old Map", type: "Old Map", region: 10, level: "Sky", x: 1852, y: -980, z: 927, weight: 0, details: `&lt;strong&gt;Leads to:&lt;/strong&gt; &lt;img src="icons/treasure.png" style="height: 20px; width: 20px; vertical-align: middle; margin-right: 5px;"&gt;&lt;span style="color: #c6a96a; font-weight: bold;"&gt;Tunic of Time&lt;/span&gt;` },</v>
      </c>
    </row>
    <row r="23" spans="1:10" x14ac:dyDescent="0.2">
      <c r="A23" t="s">
        <v>4214</v>
      </c>
      <c r="B23" t="s">
        <v>2378</v>
      </c>
      <c r="C23" s="2">
        <v>10</v>
      </c>
      <c r="D23" s="2" t="s">
        <v>783</v>
      </c>
      <c r="E23" s="2">
        <v>1814</v>
      </c>
      <c r="F23" s="2">
        <v>-1324</v>
      </c>
      <c r="G23" s="2">
        <v>890</v>
      </c>
      <c r="H23" s="2">
        <v>0</v>
      </c>
      <c r="I23" t="s">
        <v>4588</v>
      </c>
      <c r="J23" t="str">
        <f t="shared" si="0"/>
        <v>{ name: "North Necluda Sky #02", landmark: "Old Map", type: "Old Map", region: 10, level: "Sky", x: 1814, y: -1324, z: 890, weight: 0, details: `&lt;strong&gt;Leads to:&lt;/strong&gt; &lt;img src="icons/treasure.png" style="height: 20px; width: 20px; vertical-align: middle; margin-right: 5px;"&gt;&lt;span style="color: #c6a96a; font-weight: bold;"&gt;Trousers of Time&lt;/span&gt;` },</v>
      </c>
    </row>
    <row r="24" spans="1:10" x14ac:dyDescent="0.2">
      <c r="A24" t="s">
        <v>2367</v>
      </c>
      <c r="B24" t="s">
        <v>2378</v>
      </c>
      <c r="C24" s="2">
        <v>10</v>
      </c>
      <c r="D24" s="2" t="s">
        <v>783</v>
      </c>
      <c r="E24" s="2">
        <v>2644</v>
      </c>
      <c r="F24" s="2">
        <v>-1415</v>
      </c>
      <c r="G24" s="2">
        <v>1477</v>
      </c>
      <c r="H24" s="2">
        <v>0</v>
      </c>
      <c r="I24" t="s">
        <v>4589</v>
      </c>
      <c r="J24" t="str">
        <f t="shared" si="0"/>
        <v>{ name: "East Necluda Sky", landmark: "Old Map", type: "Old Map", region: 10, level: "Sky", x: 2644, y: -1415, z: 1477, weight: 0, details: `&lt;strong&gt;Leads to:&lt;/strong&gt; &lt;img src="icons/treasure.png" style="height: 20px; width: 20px; vertical-align: middle; margin-right: 5px;"&gt;&lt;span style="color: #c6a96a; font-weight: bold;"&gt;Sea-Breeze Shield&lt;/span&gt;` },</v>
      </c>
    </row>
    <row r="25" spans="1:10" x14ac:dyDescent="0.2">
      <c r="A25" t="s">
        <v>2282</v>
      </c>
      <c r="B25" t="s">
        <v>2378</v>
      </c>
      <c r="C25" s="2">
        <v>10</v>
      </c>
      <c r="D25" s="2" t="s">
        <v>783</v>
      </c>
      <c r="E25" s="2">
        <v>1651</v>
      </c>
      <c r="F25" s="2">
        <v>-2190</v>
      </c>
      <c r="G25" s="2">
        <v>565</v>
      </c>
      <c r="H25" s="2">
        <v>0</v>
      </c>
      <c r="I25" t="s">
        <v>4590</v>
      </c>
      <c r="J25" t="str">
        <f t="shared" si="0"/>
        <v>{ name: "West Necluda Sky", landmark: "Old Map", type: "Old Map", region: 10, level: "Sky", x: 1651, y: -2190, z: 565, weight: 0, details: `&lt;strong&gt;Leads to:&lt;/strong&gt; &lt;img src="icons/treasure.png" style="height: 20px; width: 20px; vertical-align: middle; margin-right: 5px;"&gt;&lt;span style="color: #c6a96a; font-weight: bold;"&gt;Tunic of the Sky&lt;/span&gt;` },</v>
      </c>
    </row>
    <row r="26" spans="1:10" x14ac:dyDescent="0.2">
      <c r="A26" t="s">
        <v>4215</v>
      </c>
      <c r="B26" t="s">
        <v>2378</v>
      </c>
      <c r="C26" s="2">
        <v>11</v>
      </c>
      <c r="D26" s="2" t="s">
        <v>783</v>
      </c>
      <c r="E26" s="2">
        <v>4659</v>
      </c>
      <c r="F26" s="2">
        <v>-869</v>
      </c>
      <c r="G26" s="2">
        <v>1758</v>
      </c>
      <c r="H26" s="2">
        <v>0</v>
      </c>
      <c r="I26" t="s">
        <v>4591</v>
      </c>
      <c r="J26" t="str">
        <f t="shared" si="0"/>
        <v>{ name: "South Lanayru Sky #01", landmark: "Old Map", type: "Old Map", region: 11, level: "Sky", x: 4659, y: -869, z: 1758, weight: 0, details: `&lt;strong&gt;Leads to:&lt;/strong&gt; &lt;img src="icons/treasure.png" style="height: 20px; width: 20px; vertical-align: middle; margin-right: 5px;"&gt;&lt;span style="color: #c6a96a; font-weight: bold;"&gt;Midna's Helmet&lt;/span&gt;` },</v>
      </c>
    </row>
    <row r="27" spans="1:10" x14ac:dyDescent="0.2">
      <c r="A27" t="s">
        <v>4216</v>
      </c>
      <c r="B27" t="s">
        <v>2378</v>
      </c>
      <c r="C27" s="2">
        <v>11</v>
      </c>
      <c r="D27" s="2" t="s">
        <v>783</v>
      </c>
      <c r="E27" s="2">
        <v>4750</v>
      </c>
      <c r="F27" s="2">
        <v>-777</v>
      </c>
      <c r="G27" s="2">
        <v>1863</v>
      </c>
      <c r="H27" s="2">
        <v>0</v>
      </c>
      <c r="I27" t="s">
        <v>4592</v>
      </c>
      <c r="J27" t="str">
        <f t="shared" si="0"/>
        <v>{ name: "South Lanayru Sky #02", landmark: "Old Map", type: "Old Map", region: 11, level: "Sky", x: 4750, y: -777, z: 1863, weight: 0, details: `&lt;strong&gt;Leads to:&lt;/strong&gt; &lt;img src="icons/treasure.png" style="height: 20px; width: 20px; vertical-align: middle; margin-right: 5px;"&gt;&lt;span style="color: #c6a96a; font-weight: bold;"&gt;Zant's Helmet&lt;/span&gt;` },</v>
      </c>
    </row>
    <row r="28" spans="1:10" x14ac:dyDescent="0.2">
      <c r="A28" t="s">
        <v>1501</v>
      </c>
      <c r="B28" t="s">
        <v>2378</v>
      </c>
      <c r="C28" s="2">
        <v>12</v>
      </c>
      <c r="D28" s="2" t="s">
        <v>783</v>
      </c>
      <c r="E28" s="2">
        <v>2158</v>
      </c>
      <c r="F28" s="2">
        <v>-2592</v>
      </c>
      <c r="G28" s="2">
        <v>1262</v>
      </c>
      <c r="H28" s="2">
        <v>0</v>
      </c>
      <c r="I28" t="s">
        <v>4593</v>
      </c>
      <c r="J28" t="str">
        <f t="shared" si="0"/>
        <v>{ name: "Necluda Sky", landmark: "Old Map", type: "Old Map", region: 12, level: "Sky", x: 2158, y: -2592, z: 1262, weight: 0, details: `&lt;strong&gt;Leads to:&lt;/strong&gt; &lt;img src="icons/treasure.png" style="height: 20px; width: 20px; vertical-align: middle; margin-right: 5px;"&gt;&lt;span style="color: #c6a96a; font-weight: bold;"&gt;Sea-Breeze Boomerang&lt;/span&gt;` },</v>
      </c>
    </row>
    <row r="29" spans="1:10" x14ac:dyDescent="0.2">
      <c r="A29" t="s">
        <v>4217</v>
      </c>
      <c r="B29" t="s">
        <v>2378</v>
      </c>
      <c r="C29" s="2">
        <v>13</v>
      </c>
      <c r="D29" s="2" t="s">
        <v>783</v>
      </c>
      <c r="E29" s="2">
        <v>953</v>
      </c>
      <c r="F29" s="2">
        <v>-3112</v>
      </c>
      <c r="G29" s="2">
        <v>756</v>
      </c>
      <c r="H29" s="2">
        <v>0</v>
      </c>
      <c r="I29" t="s">
        <v>4594</v>
      </c>
      <c r="J29" t="str">
        <f t="shared" si="0"/>
        <v>{ name: "Thunderhead Isles #01", landmark: "Old Map", type: "Old Map", region: 13, level: "Sky", x: 953, y: -3112, z: 756, weight: 0, details: `&lt;strong&gt;Leads to:&lt;/strong&gt; &lt;img src="icons/treasure.png" style="height: 20px; width: 20px; vertical-align: middle; margin-right: 5px;"&gt;&lt;span style="color: #c6a96a; font-weight: bold;"&gt;Trousers of the Sky&lt;/span&gt;` },</v>
      </c>
    </row>
    <row r="30" spans="1:10" x14ac:dyDescent="0.2">
      <c r="A30" t="s">
        <v>4218</v>
      </c>
      <c r="B30" t="s">
        <v>2378</v>
      </c>
      <c r="C30" s="2">
        <v>13</v>
      </c>
      <c r="D30" s="2" t="s">
        <v>783</v>
      </c>
      <c r="E30" s="2">
        <v>1143</v>
      </c>
      <c r="F30" s="2">
        <v>-3273</v>
      </c>
      <c r="G30" s="2">
        <v>757</v>
      </c>
      <c r="H30" s="2">
        <v>0</v>
      </c>
      <c r="I30" t="s">
        <v>4595</v>
      </c>
      <c r="J30" t="str">
        <f t="shared" si="0"/>
        <v>{ name: "Thunderhead Isles #02", landmark: "Old Map", type: "Old Map", region: 13, level: "Sky", x: 1143, y: -3273, z: 757, weight: 0, details: `&lt;strong&gt;Leads to:&lt;/strong&gt; &lt;img src="icons/treasure.png" style="height: 20px; width: 20px; vertical-align: middle; margin-right: 5px;"&gt;&lt;span style="color: #c6a96a; font-weight: bold;"&gt;Cap of the Sky&lt;/span&gt;` },</v>
      </c>
    </row>
    <row r="31" spans="1:10" x14ac:dyDescent="0.2">
      <c r="A31" t="s">
        <v>2272</v>
      </c>
      <c r="B31" t="s">
        <v>2378</v>
      </c>
      <c r="C31" s="2">
        <v>14</v>
      </c>
      <c r="D31" s="2" t="s">
        <v>783</v>
      </c>
      <c r="E31" s="2">
        <v>-1955</v>
      </c>
      <c r="F31" s="2">
        <v>-1808</v>
      </c>
      <c r="G31" s="2">
        <v>1167</v>
      </c>
      <c r="H31" s="2">
        <v>0</v>
      </c>
      <c r="I31" t="s">
        <v>4596</v>
      </c>
      <c r="J31" t="str">
        <f t="shared" si="0"/>
        <v>{ name: "East Gerudo Sky", landmark: "Old Map", type: "Old Map", region: 14, level: "Sky", x: -1955, y: -1808, z: 1167, weight: 0, details: `&lt;strong&gt;Leads to:&lt;/strong&gt; &lt;img src="icons/treasure.png" style="height: 20px; width: 20px; vertical-align: middle; margin-right: 5px;"&gt;&lt;span style="color: #c6a96a; font-weight: bold;"&gt;Sword of the Hero&lt;/span&gt;` },</v>
      </c>
    </row>
    <row r="32" spans="1:10" x14ac:dyDescent="0.2">
      <c r="A32" t="s">
        <v>2441</v>
      </c>
      <c r="B32" t="s">
        <v>2378</v>
      </c>
      <c r="C32" s="2">
        <v>15</v>
      </c>
      <c r="D32" s="2" t="s">
        <v>783</v>
      </c>
      <c r="E32" s="2">
        <v>-3377</v>
      </c>
      <c r="F32" s="2">
        <v>-21</v>
      </c>
      <c r="G32" s="2">
        <v>2284</v>
      </c>
      <c r="H32" s="2">
        <v>0</v>
      </c>
      <c r="I32" t="s">
        <v>4597</v>
      </c>
      <c r="J32" t="str">
        <f t="shared" si="0"/>
        <v>{ name: "North Gerudo Sky", landmark: "Old Map", type: "Old Map", region: 15, level: "Sky", x: -3377, y: -21, z: 2284, weight: 0, details: `&lt;strong&gt;Leads to:&lt;/strong&gt; &lt;img src="icons/treasure.png" style="height: 20px; width: 20px; vertical-align: middle; margin-right: 5px;"&gt;&lt;span style="color: #c6a96a; font-weight: bold;"&gt;Majora's Mask&lt;/span&gt;` },</v>
      </c>
    </row>
    <row r="34" spans="1:10" x14ac:dyDescent="0.2">
      <c r="A34" s="6" t="s">
        <v>781</v>
      </c>
      <c r="B34" s="6" t="s">
        <v>2083</v>
      </c>
      <c r="C34" s="4" t="s">
        <v>2074</v>
      </c>
      <c r="D34" s="4" t="s">
        <v>777</v>
      </c>
      <c r="E34" s="4" t="s">
        <v>778</v>
      </c>
      <c r="F34" s="4" t="s">
        <v>779</v>
      </c>
      <c r="G34" s="4" t="s">
        <v>780</v>
      </c>
      <c r="H34" s="4"/>
      <c r="I34" s="6" t="s">
        <v>2081</v>
      </c>
      <c r="J34" s="6" t="s">
        <v>2075</v>
      </c>
    </row>
    <row r="35" spans="1:10" x14ac:dyDescent="0.2">
      <c r="A35" t="s">
        <v>2353</v>
      </c>
      <c r="B35" t="s">
        <v>2344</v>
      </c>
      <c r="C35" s="2">
        <v>1</v>
      </c>
      <c r="D35" s="2" t="s">
        <v>994</v>
      </c>
      <c r="E35" s="2">
        <v>-1077</v>
      </c>
      <c r="F35" s="2">
        <v>-556</v>
      </c>
      <c r="G35" s="2">
        <v>-514</v>
      </c>
      <c r="H35" s="2">
        <v>0</v>
      </c>
      <c r="I35" t="s">
        <v>4598</v>
      </c>
      <c r="J35" t="str">
        <f>"{ name: "&amp;CHAR(34)&amp;A35&amp;CHAR(34)&amp;", landmark: "&amp;CHAR(34)&amp;"Treasure"&amp;CHAR(34)&amp;", type: "&amp;CHAR(34)&amp;B35&amp;CHAR(34)&amp;", region: "&amp;C35&amp;", level: "&amp;CHAR(34)&amp;D35&amp;CHAR(34)&amp;", x: "&amp;E35&amp;", y: "&amp;F35&amp;", z: "&amp;G35&amp;", weight: "&amp;H35&amp;", details: `"&amp;I35&amp;"` },"</f>
        <v>{ name: "Miner's Top", landmark: "Treasure", type: "Treasure", region: 1, level: "Depths", x: -1077, y: -556, z: -514, weight: 0, details: `&lt;strong&gt;Shown on:&lt;/strong&gt; &lt;img src="icons/old-map.png" style="height: 20px; width: 20px; vertical-align: middle; margin-right: 5px;"&gt;&lt;span style="color: #dd88d3; font-weight: bold;"&gt;West Hebra Sky Map #1&lt;/span&gt;` },</v>
      </c>
    </row>
    <row r="36" spans="1:10" x14ac:dyDescent="0.2">
      <c r="A36" t="s">
        <v>2373</v>
      </c>
      <c r="B36" t="s">
        <v>2344</v>
      </c>
      <c r="C36" s="2">
        <v>2</v>
      </c>
      <c r="D36" s="2" t="s">
        <v>994</v>
      </c>
      <c r="E36" s="2">
        <v>-1151</v>
      </c>
      <c r="F36" s="2">
        <v>-1263</v>
      </c>
      <c r="G36" s="2">
        <v>-499</v>
      </c>
      <c r="H36" s="2">
        <v>0</v>
      </c>
      <c r="I36" t="s">
        <v>4599</v>
      </c>
      <c r="J36" t="str">
        <f t="shared" ref="J36:J65" si="1">"{ name: "&amp;CHAR(34)&amp;A36&amp;CHAR(34)&amp;", landmark: "&amp;CHAR(34)&amp;"Treasure"&amp;CHAR(34)&amp;", type: "&amp;CHAR(34)&amp;B36&amp;CHAR(34)&amp;", region: "&amp;C36&amp;", level: "&amp;CHAR(34)&amp;D36&amp;CHAR(34)&amp;", x: "&amp;E36&amp;", y: "&amp;F36&amp;", z: "&amp;G36&amp;", weight: "&amp;H36&amp;", details: `"&amp;I36&amp;"` },"</f>
        <v>{ name: "Majora's Mask", landmark: "Treasure", type: "Treasure", region: 2, level: "Depths", x: -1151, y: -1263, z: -499, weight: 0, details: `&lt;strong&gt;Shown on:&lt;/strong&gt; &lt;img src="icons/old-map.png" style="height: 20px; width: 20px; vertical-align: middle; margin-right: 5px;"&gt;&lt;span style="color: #dd88d3; font-weight: bold;"&gt;North Gerudo Sky&lt;/span&gt;` },</v>
      </c>
    </row>
    <row r="37" spans="1:10" x14ac:dyDescent="0.2">
      <c r="A37" t="s">
        <v>2354</v>
      </c>
      <c r="B37" t="s">
        <v>2344</v>
      </c>
      <c r="C37" s="2">
        <v>2</v>
      </c>
      <c r="D37" s="2" t="s">
        <v>994</v>
      </c>
      <c r="E37" s="2">
        <v>-1287</v>
      </c>
      <c r="F37" s="2">
        <v>-2251</v>
      </c>
      <c r="G37" s="2">
        <v>-707</v>
      </c>
      <c r="H37" s="2">
        <v>0</v>
      </c>
      <c r="I37" t="s">
        <v>4600</v>
      </c>
      <c r="J37" t="str">
        <f t="shared" si="1"/>
        <v>{ name: "Miner's Trousers", landmark: "Treasure", type: "Treasure", region: 2, level: "Depths", x: -1287, y: -2251, z: -707, weight: 0, details: `&lt;strong&gt;Shown on:&lt;/strong&gt; &lt;img src="icons/old-map.png" style="height: 20px; width: 20px; vertical-align: middle; margin-right: 5px;"&gt;&lt;span style="color: #dd88d3; font-weight: bold;"&gt;West Hebra Sky Map #2&lt;/span&gt;` },</v>
      </c>
    </row>
    <row r="38" spans="1:10" x14ac:dyDescent="0.2">
      <c r="A38" t="s">
        <v>2374</v>
      </c>
      <c r="B38" t="s">
        <v>2344</v>
      </c>
      <c r="C38" s="2">
        <v>2</v>
      </c>
      <c r="D38" s="2" t="s">
        <v>994</v>
      </c>
      <c r="E38" s="2">
        <v>-2048</v>
      </c>
      <c r="F38" s="2">
        <v>-1129</v>
      </c>
      <c r="G38" s="2">
        <v>-526</v>
      </c>
      <c r="H38" s="2">
        <v>0</v>
      </c>
      <c r="I38" t="s">
        <v>4601</v>
      </c>
      <c r="J38" t="str">
        <f t="shared" si="1"/>
        <v>{ name: "Sword of the Hero", landmark: "Treasure", type: "Treasure", region: 2, level: "Depths", x: -2048, y: -1129, z: -526, weight: 0, details: `&lt;strong&gt;Shown on:&lt;/strong&gt; &lt;img src="icons/old-map.png" style="height: 20px; width: 20px; vertical-align: middle; margin-right: 5px;"&gt;&lt;span style="color: #dd88d3; font-weight: bold;"&gt;East Gerudo Sky&lt;/span&gt;` },</v>
      </c>
    </row>
    <row r="39" spans="1:10" x14ac:dyDescent="0.2">
      <c r="A39" t="s">
        <v>2362</v>
      </c>
      <c r="B39" t="s">
        <v>2344</v>
      </c>
      <c r="C39" s="2">
        <v>3</v>
      </c>
      <c r="D39" s="2" t="s">
        <v>994</v>
      </c>
      <c r="E39" s="2">
        <v>-3788</v>
      </c>
      <c r="F39" s="2">
        <v>1344</v>
      </c>
      <c r="G39" s="2">
        <v>-682</v>
      </c>
      <c r="H39" s="2">
        <v>0</v>
      </c>
      <c r="I39" t="s">
        <v>4602</v>
      </c>
      <c r="J39" t="str">
        <f t="shared" si="1"/>
        <v>{ name: "Tunic of the Wind", landmark: "Treasure", type: "Treasure", region: 3, level: "Depths", x: -3788, y: 1344, z: -682, weight: 0, details: `&lt;strong&gt;Shown on:&lt;/strong&gt; &lt;img src="icons/old-map.png" style="height: 20px; width: 20px; vertical-align: middle; margin-right: 5px;"&gt;&lt;span style="color: #dd88d3; font-weight: bold;"&gt;Lanayru Sky&lt;/span&gt;` },</v>
      </c>
    </row>
    <row r="40" spans="1:10" x14ac:dyDescent="0.2">
      <c r="A40" t="s">
        <v>2365</v>
      </c>
      <c r="B40" t="s">
        <v>2344</v>
      </c>
      <c r="C40" s="2">
        <v>3</v>
      </c>
      <c r="D40" s="2" t="s">
        <v>994</v>
      </c>
      <c r="E40" s="2">
        <v>-2002</v>
      </c>
      <c r="F40" s="2">
        <v>1309</v>
      </c>
      <c r="G40" s="2">
        <v>-715</v>
      </c>
      <c r="H40" s="2">
        <v>0</v>
      </c>
      <c r="I40" t="s">
        <v>4603</v>
      </c>
      <c r="J40" t="str">
        <f t="shared" si="1"/>
        <v>{ name: "Tunic of Time", landmark: "Treasure", type: "Treasure", region: 3, level: "Depths", x: -2002, y: 1309, z: -715, weight: 0, details: `&lt;strong&gt;Shown on:&lt;/strong&gt; &lt;img src="icons/old-map.png" style="height: 20px; width: 20px; vertical-align: middle; margin-right: 5px;"&gt;&lt;span style="color: #dd88d3; font-weight: bold;"&gt;North Necluda Sky Map #1&lt;/span&gt;` },</v>
      </c>
    </row>
    <row r="41" spans="1:10" x14ac:dyDescent="0.2">
      <c r="A41" t="s">
        <v>2377</v>
      </c>
      <c r="B41" t="s">
        <v>2344</v>
      </c>
      <c r="C41" s="2">
        <v>4</v>
      </c>
      <c r="D41" s="2" t="s">
        <v>994</v>
      </c>
      <c r="E41" s="2">
        <v>-3956</v>
      </c>
      <c r="F41" s="2">
        <v>3723</v>
      </c>
      <c r="G41" s="2">
        <v>-858</v>
      </c>
      <c r="H41" s="2">
        <v>0</v>
      </c>
      <c r="I41" t="s">
        <v>4604</v>
      </c>
      <c r="J41" t="str">
        <f t="shared" si="1"/>
        <v>{ name: "Cap of the Wild", landmark: "Treasure", type: "Treasure", region: 4, level: "Depths", x: -3956, y: 3723, z: -858, weight: 0, details: `&lt;strong&gt;Shown on:&lt;/strong&gt; &lt;img src="icons/old-map.png" style="height: 20px; width: 20px; vertical-align: middle; margin-right: 5px;"&gt;&lt;span style="color: #dd88d3; font-weight: bold;"&gt;Tabantha Sky Map #2&lt;/span&gt;` },</v>
      </c>
    </row>
    <row r="42" spans="1:10" x14ac:dyDescent="0.2">
      <c r="A42" t="s">
        <v>2346</v>
      </c>
      <c r="B42" t="s">
        <v>2344</v>
      </c>
      <c r="C42" s="2">
        <v>4</v>
      </c>
      <c r="D42" s="2" t="s">
        <v>994</v>
      </c>
      <c r="E42" s="2">
        <v>-4079</v>
      </c>
      <c r="F42" s="2">
        <v>2799</v>
      </c>
      <c r="G42" s="2">
        <v>-450</v>
      </c>
      <c r="H42" s="2">
        <v>0</v>
      </c>
      <c r="I42" t="s">
        <v>4605</v>
      </c>
      <c r="J42" t="str">
        <f t="shared" si="1"/>
        <v>{ name: "Cap of Time", landmark: "Treasure", type: "Treasure", region: 4, level: "Depths", x: -4079, y: 2799, z: -450, weight: 0, details: `&lt;strong&gt;Shown on:&lt;/strong&gt; &lt;img src="icons/old-map.png" style="height: 20px; width: 20px; vertical-align: middle; margin-right: 5px;"&gt;&lt;span style="color: #dd88d3; font-weight: bold;"&gt;Central Hyrule Sky&lt;/span&gt;` },</v>
      </c>
    </row>
    <row r="43" spans="1:10" x14ac:dyDescent="0.2">
      <c r="A43" t="s">
        <v>2369</v>
      </c>
      <c r="B43" t="s">
        <v>2344</v>
      </c>
      <c r="C43" s="2">
        <v>4</v>
      </c>
      <c r="D43" s="2" t="s">
        <v>994</v>
      </c>
      <c r="E43" s="2">
        <v>-2736</v>
      </c>
      <c r="F43" s="2">
        <v>2918</v>
      </c>
      <c r="G43" s="2">
        <v>-1120</v>
      </c>
      <c r="H43" s="2">
        <v>0</v>
      </c>
      <c r="I43" t="s">
        <v>4606</v>
      </c>
      <c r="J43" t="str">
        <f t="shared" si="1"/>
        <v>{ name: "Sea-Breeze Boomerang", landmark: "Treasure", type: "Treasure", region: 4, level: "Depths", x: -2736, y: 2918, z: -1120, weight: 0, details: `&lt;strong&gt;Shown on:&lt;/strong&gt; &lt;img src="icons/old-map.png" style="height: 20px; width: 20px; vertical-align: middle; margin-right: 5px;"&gt;&lt;span style="color: #dd88d3; font-weight: bold;"&gt;Necluda Sky&lt;/span&gt;` },</v>
      </c>
    </row>
    <row r="44" spans="1:10" x14ac:dyDescent="0.2">
      <c r="A44" t="s">
        <v>2347</v>
      </c>
      <c r="B44" t="s">
        <v>2344</v>
      </c>
      <c r="C44" s="2">
        <v>4</v>
      </c>
      <c r="D44" s="2" t="s">
        <v>994</v>
      </c>
      <c r="E44" s="2">
        <v>-3354</v>
      </c>
      <c r="F44" s="2">
        <v>2312</v>
      </c>
      <c r="G44" s="2">
        <v>-812</v>
      </c>
      <c r="H44" s="2">
        <v>0</v>
      </c>
      <c r="I44" t="s">
        <v>4607</v>
      </c>
      <c r="J44" t="str">
        <f t="shared" si="1"/>
        <v>{ name: "Trousers of the Hero", landmark: "Treasure", type: "Treasure", region: 4, level: "Depths", x: -3354, y: 2312, z: -812, weight: 0, details: `&lt;strong&gt;Shown on:&lt;/strong&gt; &lt;img src="icons/old-map.png" style="height: 20px; width: 20px; vertical-align: middle; margin-right: 5px;"&gt;&lt;span style="color: #dd88d3; font-weight: bold;"&gt;South Hyrule Sky Map #1&lt;/span&gt;` },</v>
      </c>
    </row>
    <row r="45" spans="1:10" x14ac:dyDescent="0.2">
      <c r="A45" t="s">
        <v>2358</v>
      </c>
      <c r="B45" t="s">
        <v>2344</v>
      </c>
      <c r="C45" s="2">
        <v>6</v>
      </c>
      <c r="D45" s="2" t="s">
        <v>994</v>
      </c>
      <c r="E45" s="2">
        <v>263</v>
      </c>
      <c r="F45" s="2">
        <v>3121</v>
      </c>
      <c r="G45" s="2">
        <v>-623</v>
      </c>
      <c r="H45" s="2">
        <v>0</v>
      </c>
      <c r="I45" t="s">
        <v>4608</v>
      </c>
      <c r="J45" t="str">
        <f t="shared" si="1"/>
        <v>{ name: "Cap of Twilight", landmark: "Treasure", type: "Treasure", region: 6, level: "Depths", x: 263, y: 3121, z: -623, weight: 0, details: `&lt;strong&gt;Shown on:&lt;/strong&gt; &lt;img src="icons/old-map.png" style="height: 20px; width: 20px; vertical-align: middle; margin-right: 5px;"&gt;&lt;span style="color: #dd88d3; font-weight: bold;"&gt;North Akkala Sky Map #2&lt;/span&gt;` },</v>
      </c>
    </row>
    <row r="46" spans="1:10" x14ac:dyDescent="0.2">
      <c r="A46" t="s">
        <v>2345</v>
      </c>
      <c r="B46" t="s">
        <v>2344</v>
      </c>
      <c r="C46" s="2">
        <v>6</v>
      </c>
      <c r="D46" s="2" t="s">
        <v>994</v>
      </c>
      <c r="E46" s="2">
        <v>-114</v>
      </c>
      <c r="F46" s="2">
        <v>2433</v>
      </c>
      <c r="G46" s="2">
        <v>-620</v>
      </c>
      <c r="H46" s="2">
        <v>0</v>
      </c>
      <c r="I46" t="s">
        <v>4609</v>
      </c>
      <c r="J46" t="str">
        <f t="shared" si="1"/>
        <v>{ name: "Korok Mask", landmark: "Treasure", type: "Treasure", region: 6, level: "Depths", x: -114, y: 2433, z: -620, weight: 0, details: `&lt;strong&gt;Shown on:&lt;/strong&gt; &lt;img src="icons/old-map.png" style="height: 20px; width: 20px; vertical-align: middle; margin-right: 5px;"&gt;&lt;span style="color: #dd88d3; font-weight: bold;"&gt;North Hyrule Sky&lt;/span&gt;` },</v>
      </c>
    </row>
    <row r="47" spans="1:10" x14ac:dyDescent="0.2">
      <c r="A47" t="s">
        <v>2376</v>
      </c>
      <c r="B47" t="s">
        <v>2344</v>
      </c>
      <c r="C47" s="2">
        <v>6</v>
      </c>
      <c r="D47" s="2" t="s">
        <v>994</v>
      </c>
      <c r="E47" s="2">
        <v>1674</v>
      </c>
      <c r="F47" s="2">
        <v>3723</v>
      </c>
      <c r="G47" s="2">
        <v>-561</v>
      </c>
      <c r="H47" s="2">
        <v>0</v>
      </c>
      <c r="I47" t="s">
        <v>4610</v>
      </c>
      <c r="J47" t="str">
        <f t="shared" si="1"/>
        <v>{ name: "Trousers of the Wild", landmark: "Treasure", type: "Treasure", region: 6, level: "Depths", x: 1674, y: 3723, z: -561, weight: 0, details: `&lt;strong&gt;Shown on:&lt;/strong&gt; &lt;img src="icons/old-map.png" style="height: 20px; width: 20px; vertical-align: middle; margin-right: 5px;"&gt;&lt;span style="color: #dd88d3; font-weight: bold;"&gt;Tabantha Sky Map #1&lt;/span&gt;` },</v>
      </c>
    </row>
    <row r="48" spans="1:10" x14ac:dyDescent="0.2">
      <c r="A48" t="s">
        <v>2370</v>
      </c>
      <c r="B48" t="s">
        <v>2344</v>
      </c>
      <c r="C48" s="2">
        <v>7</v>
      </c>
      <c r="D48" s="2" t="s">
        <v>994</v>
      </c>
      <c r="E48" s="2">
        <v>1022</v>
      </c>
      <c r="F48" s="2">
        <v>1408</v>
      </c>
      <c r="G48" s="2">
        <v>-543</v>
      </c>
      <c r="H48" s="2">
        <v>0</v>
      </c>
      <c r="I48" t="s">
        <v>4611</v>
      </c>
      <c r="J48" t="str">
        <f t="shared" si="1"/>
        <v>{ name: "Tunic of the Sky", landmark: "Treasure", type: "Treasure", region: 7, level: "Depths", x: 1022, y: 1408, z: -543, weight: 0, details: `&lt;strong&gt;Shown on:&lt;/strong&gt; &lt;img src="icons/old-map.png" style="height: 20px; width: 20px; vertical-align: middle; margin-right: 5px;"&gt;&lt;span style="color: #dd88d3; font-weight: bold;"&gt;West Necluda Sky&lt;/span&gt;` },</v>
      </c>
    </row>
    <row r="49" spans="1:10" x14ac:dyDescent="0.2">
      <c r="A49" t="s">
        <v>2364</v>
      </c>
      <c r="B49" t="s">
        <v>2344</v>
      </c>
      <c r="C49" s="2">
        <v>7</v>
      </c>
      <c r="D49" s="2" t="s">
        <v>994</v>
      </c>
      <c r="E49" s="2">
        <v>2142</v>
      </c>
      <c r="F49" s="2">
        <v>3183</v>
      </c>
      <c r="G49" s="2">
        <v>-838</v>
      </c>
      <c r="H49" s="2">
        <v>0</v>
      </c>
      <c r="I49" t="s">
        <v>4612</v>
      </c>
      <c r="J49" t="str">
        <f t="shared" si="1"/>
        <v>{ name: "Zant's Helmet", landmark: "Treasure", type: "Treasure", region: 7, level: "Depths", x: 2142, y: 3183, z: -838, weight: 0, details: `&lt;strong&gt;Shown on:&lt;/strong&gt; &lt;img src="icons/old-map.png" style="height: 20px; width: 20px; vertical-align: middle; margin-right: 5px;"&gt;&lt;span style="color: #dd88d3; font-weight: bold;"&gt;South Lanayru Sky Map #2&lt;/span&gt;` },</v>
      </c>
    </row>
    <row r="50" spans="1:10" x14ac:dyDescent="0.2">
      <c r="A50" t="s">
        <v>2356</v>
      </c>
      <c r="B50" t="s">
        <v>2344</v>
      </c>
      <c r="C50" s="2">
        <v>8</v>
      </c>
      <c r="D50" s="2" t="s">
        <v>994</v>
      </c>
      <c r="E50" s="2">
        <v>3240</v>
      </c>
      <c r="F50" s="2">
        <v>3446</v>
      </c>
      <c r="G50" s="2">
        <v>-430</v>
      </c>
      <c r="H50" s="2">
        <v>0</v>
      </c>
      <c r="I50" t="s">
        <v>4613</v>
      </c>
      <c r="J50" t="str">
        <f t="shared" si="1"/>
        <v>{ name: "Biggoron's Sword", landmark: "Treasure", type: "Treasure", region: 8, level: "Depths", x: 3240, y: 3446, z: -430, weight: 0, details: `&lt;strong&gt;Shown on:&lt;/strong&gt; &lt;img src="icons/old-map.png" style="height: 20px; width: 20px; vertical-align: middle; margin-right: 5px;"&gt;&lt;span style="color: #dd88d3; font-weight: bold;"&gt;South Eldin Sky&lt;/span&gt;` },</v>
      </c>
    </row>
    <row r="51" spans="1:10" x14ac:dyDescent="0.2">
      <c r="A51" t="s">
        <v>2357</v>
      </c>
      <c r="B51" t="s">
        <v>2344</v>
      </c>
      <c r="C51" s="2">
        <v>8</v>
      </c>
      <c r="D51" s="2" t="s">
        <v>994</v>
      </c>
      <c r="E51" s="2">
        <v>3318</v>
      </c>
      <c r="F51" s="2">
        <v>1506</v>
      </c>
      <c r="G51" s="2">
        <v>-856</v>
      </c>
      <c r="H51" s="2">
        <v>0</v>
      </c>
      <c r="I51" t="s">
        <v>4614</v>
      </c>
      <c r="J51" t="str">
        <f t="shared" si="1"/>
        <v>{ name: "Trousers of Twilight", landmark: "Treasure", type: "Treasure", region: 8, level: "Depths", x: 3318, y: 1506, z: -856, weight: 0, details: `&lt;strong&gt;Shown on:&lt;/strong&gt; &lt;img src="icons/old-map.png" style="height: 20px; width: 20px; vertical-align: middle; margin-right: 5px;"&gt;&lt;span style="color: #dd88d3; font-weight: bold;"&gt;North Akkala Sky Map #1&lt;/span&gt;` },</v>
      </c>
    </row>
    <row r="52" spans="1:10" x14ac:dyDescent="0.2">
      <c r="A52" t="s">
        <v>2359</v>
      </c>
      <c r="B52" t="s">
        <v>2344</v>
      </c>
      <c r="C52" s="2">
        <v>8</v>
      </c>
      <c r="D52" s="2" t="s">
        <v>994</v>
      </c>
      <c r="E52" s="2">
        <v>4517</v>
      </c>
      <c r="F52" s="2">
        <v>2169</v>
      </c>
      <c r="G52" s="2">
        <v>-454</v>
      </c>
      <c r="H52" s="2">
        <v>0</v>
      </c>
      <c r="I52" t="s">
        <v>4615</v>
      </c>
      <c r="J52" t="str">
        <f t="shared" si="1"/>
        <v>{ name: "Tunic of Twilight", landmark: "Treasure", type: "Treasure", region: 8, level: "Depths", x: 4517, y: 2169, z: -454, weight: 0, details: `&lt;strong&gt;Shown on:&lt;/strong&gt; &lt;img src="icons/old-map.png" style="height: 20px; width: 20px; vertical-align: middle; margin-right: 5px;"&gt;&lt;span style="color: #dd88d3; font-weight: bold;"&gt;Sokkala Sky&lt;/span&gt;` },</v>
      </c>
    </row>
    <row r="53" spans="1:10" x14ac:dyDescent="0.2">
      <c r="A53" t="s">
        <v>2361</v>
      </c>
      <c r="B53" t="s">
        <v>2344</v>
      </c>
      <c r="C53" s="2">
        <v>9</v>
      </c>
      <c r="D53" s="2" t="s">
        <v>994</v>
      </c>
      <c r="E53" s="2">
        <v>4654</v>
      </c>
      <c r="F53" s="2">
        <v>621</v>
      </c>
      <c r="G53" s="2">
        <v>-722</v>
      </c>
      <c r="H53" s="2">
        <v>0</v>
      </c>
      <c r="I53" t="s">
        <v>4616</v>
      </c>
      <c r="J53" t="str">
        <f t="shared" si="1"/>
        <v>{ name: "Cap of the Wind", landmark: "Treasure", type: "Treasure", region: 9, level: "Depths", x: 4654, y: 621, z: -722, weight: 0, details: `&lt;strong&gt;Shown on:&lt;/strong&gt; &lt;img src="icons/old-map.png" style="height: 20px; width: 20px; vertical-align: middle; margin-right: 5px;"&gt;&lt;span style="color: #dd88d3; font-weight: bold;"&gt;Wellspring Island Map #2&lt;/span&gt;` },</v>
      </c>
    </row>
    <row r="54" spans="1:10" x14ac:dyDescent="0.2">
      <c r="A54" t="s">
        <v>2368</v>
      </c>
      <c r="B54" t="s">
        <v>2344</v>
      </c>
      <c r="C54" s="2">
        <v>9</v>
      </c>
      <c r="D54" s="2" t="s">
        <v>994</v>
      </c>
      <c r="E54" s="2">
        <v>2667</v>
      </c>
      <c r="F54" s="2">
        <v>252</v>
      </c>
      <c r="G54" s="2">
        <v>-559</v>
      </c>
      <c r="H54" s="2">
        <v>0</v>
      </c>
      <c r="I54" t="s">
        <v>4617</v>
      </c>
      <c r="J54" t="str">
        <f t="shared" si="1"/>
        <v>{ name: "Sea-Breeze Shield", landmark: "Treasure", type: "Treasure", region: 9, level: "Depths", x: 2667, y: 252, z: -559, weight: 0, details: `&lt;strong&gt;Shown on:&lt;/strong&gt; &lt;img src="icons/old-map.png" style="height: 20px; width: 20px; vertical-align: middle; margin-right: 5px;"&gt;&lt;span style="color: #dd88d3; font-weight: bold;"&gt;East Necluda Sky&lt;/span&gt;` },</v>
      </c>
    </row>
    <row r="55" spans="1:10" x14ac:dyDescent="0.2">
      <c r="A55" t="s">
        <v>2371</v>
      </c>
      <c r="B55" t="s">
        <v>2344</v>
      </c>
      <c r="C55" s="2">
        <v>10</v>
      </c>
      <c r="D55" s="2" t="s">
        <v>994</v>
      </c>
      <c r="E55" s="2">
        <v>1164</v>
      </c>
      <c r="F55" s="2">
        <v>426</v>
      </c>
      <c r="G55" s="2">
        <v>-580</v>
      </c>
      <c r="H55" s="2">
        <v>0</v>
      </c>
      <c r="I55" t="s">
        <v>4618</v>
      </c>
      <c r="J55" t="str">
        <f t="shared" si="1"/>
        <v>{ name: "Trousers of the Sky", landmark: "Treasure", type: "Treasure", region: 10, level: "Depths", x: 1164, y: 426, z: -580, weight: 0, details: `&lt;strong&gt;Shown on:&lt;/strong&gt; &lt;img src="icons/old-map.png" style="height: 20px; width: 20px; vertical-align: middle; margin-right: 5px;"&gt;&lt;span style="color: #dd88d3; font-weight: bold;"&gt;Thunderhead Isles Map #1&lt;/span&gt;` },</v>
      </c>
    </row>
    <row r="56" spans="1:10" x14ac:dyDescent="0.2">
      <c r="A56" t="s">
        <v>2348</v>
      </c>
      <c r="B56" t="s">
        <v>2344</v>
      </c>
      <c r="C56" s="2">
        <v>10</v>
      </c>
      <c r="D56" s="2" t="s">
        <v>994</v>
      </c>
      <c r="E56" s="2">
        <v>1283</v>
      </c>
      <c r="F56" s="2">
        <v>-1811</v>
      </c>
      <c r="G56" s="2">
        <v>-784</v>
      </c>
      <c r="H56" s="2">
        <v>0</v>
      </c>
      <c r="I56" t="s">
        <v>4619</v>
      </c>
      <c r="J56" t="str">
        <f t="shared" si="1"/>
        <v>{ name: "Tunic of the Hero", landmark: "Treasure", type: "Treasure", region: 10, level: "Depths", x: 1283, y: -1811, z: -784, weight: 0, details: `&lt;strong&gt;Shown on:&lt;/strong&gt; &lt;img src="icons/old-map.png" style="height: 20px; width: 20px; vertical-align: middle; margin-right: 5px;"&gt;&lt;span style="color: #dd88d3; font-weight: bold;"&gt;South Hyrule Sky Map #2&lt;/span&gt;` },</v>
      </c>
    </row>
    <row r="57" spans="1:10" x14ac:dyDescent="0.2">
      <c r="A57" t="s">
        <v>2372</v>
      </c>
      <c r="B57" t="s">
        <v>2344</v>
      </c>
      <c r="C57" s="2">
        <v>11</v>
      </c>
      <c r="D57" s="2" t="s">
        <v>994</v>
      </c>
      <c r="E57" s="2">
        <v>3822</v>
      </c>
      <c r="F57" s="2">
        <v>-1985</v>
      </c>
      <c r="G57" s="2">
        <v>-632</v>
      </c>
      <c r="H57" s="2">
        <v>0</v>
      </c>
      <c r="I57" t="s">
        <v>4620</v>
      </c>
      <c r="J57" t="str">
        <f t="shared" si="1"/>
        <v>{ name: "Cap of the Sky", landmark: "Treasure", type: "Treasure", region: 11, level: "Depths", x: 3822, y: -1985, z: -632, weight: 0, details: `&lt;strong&gt;Shown on:&lt;/strong&gt; &lt;img src="icons/old-map.png" style="height: 20px; width: 20px; vertical-align: middle; margin-right: 5px;"&gt;&lt;span style="color: #dd88d3; font-weight: bold;"&gt;Thunderhead Isles Map #2&lt;/span&gt;` },</v>
      </c>
    </row>
    <row r="58" spans="1:10" x14ac:dyDescent="0.2">
      <c r="A58" t="s">
        <v>2349</v>
      </c>
      <c r="B58" t="s">
        <v>2344</v>
      </c>
      <c r="C58" s="2">
        <v>12</v>
      </c>
      <c r="D58" s="2" t="s">
        <v>994</v>
      </c>
      <c r="E58" s="2">
        <v>2518</v>
      </c>
      <c r="F58" s="2">
        <v>-3602</v>
      </c>
      <c r="G58" s="2">
        <v>-626</v>
      </c>
      <c r="H58" s="2">
        <v>0</v>
      </c>
      <c r="I58" t="s">
        <v>4621</v>
      </c>
      <c r="J58" t="str">
        <f t="shared" si="1"/>
        <v>{ name: "Cap of the Hero", landmark: "Treasure", type: "Treasure", region: 12, level: "Depths", x: 2518, y: -3602, z: -626, weight: 0, details: `&lt;strong&gt;Shown on:&lt;/strong&gt; &lt;img src="icons/old-map.png" style="height: 20px; width: 20px; vertical-align: middle; margin-right: 5px;"&gt;&lt;span style="color: #dd88d3; font-weight: bold;"&gt;South Hyrule Sky Map #3&lt;/span&gt;` },</v>
      </c>
    </row>
    <row r="59" spans="1:10" x14ac:dyDescent="0.2">
      <c r="A59" t="s">
        <v>2363</v>
      </c>
      <c r="B59" t="s">
        <v>2344</v>
      </c>
      <c r="C59" s="2">
        <v>12</v>
      </c>
      <c r="D59" s="2" t="s">
        <v>994</v>
      </c>
      <c r="E59" s="2">
        <v>4563</v>
      </c>
      <c r="F59" s="2">
        <v>-3619</v>
      </c>
      <c r="G59" s="2">
        <v>-471</v>
      </c>
      <c r="H59" s="2">
        <v>0</v>
      </c>
      <c r="I59" t="s">
        <v>4622</v>
      </c>
      <c r="J59" t="str">
        <f t="shared" si="1"/>
        <v>{ name: "Midna's Helmet", landmark: "Treasure", type: "Treasure", region: 12, level: "Depths", x: 4563, y: -3619, z: -471, weight: 0, details: `&lt;strong&gt;Shown on:&lt;/strong&gt; &lt;img src="icons/old-map.png" style="height: 20px; width: 20px; vertical-align: middle; margin-right: 5px;"&gt;&lt;span style="color: #dd88d3; font-weight: bold;"&gt;South Lanayru Sky Map #1&lt;/span&gt;` },</v>
      </c>
    </row>
    <row r="60" spans="1:10" x14ac:dyDescent="0.2">
      <c r="A60" t="s">
        <v>2355</v>
      </c>
      <c r="B60" t="s">
        <v>2344</v>
      </c>
      <c r="C60" s="2">
        <v>12</v>
      </c>
      <c r="D60" s="2" t="s">
        <v>994</v>
      </c>
      <c r="E60" s="2">
        <v>2242</v>
      </c>
      <c r="F60" s="2">
        <v>-1900</v>
      </c>
      <c r="G60" s="2">
        <v>-467</v>
      </c>
      <c r="H60" s="2">
        <v>0</v>
      </c>
      <c r="I60" t="s">
        <v>4623</v>
      </c>
      <c r="J60" t="str">
        <f t="shared" si="1"/>
        <v>{ name: "Ravio's Hood", landmark: "Treasure", type: "Treasure", region: 12, level: "Depths", x: 2242, y: -1900, z: -467, weight: 0, details: `&lt;strong&gt;Shown on:&lt;/strong&gt; &lt;img src="icons/old-map.png" style="height: 20px; width: 20px; vertical-align: middle; margin-right: 5px;"&gt;&lt;span style="color: #dd88d3; font-weight: bold;"&gt;East Hebra Sky&lt;/span&gt;` },</v>
      </c>
    </row>
    <row r="61" spans="1:10" x14ac:dyDescent="0.2">
      <c r="A61" t="s">
        <v>2360</v>
      </c>
      <c r="B61" t="s">
        <v>2344</v>
      </c>
      <c r="C61" s="2">
        <v>12</v>
      </c>
      <c r="D61" s="2" t="s">
        <v>994</v>
      </c>
      <c r="E61" s="2">
        <v>3794</v>
      </c>
      <c r="F61" s="2">
        <v>-3614</v>
      </c>
      <c r="G61" s="2">
        <v>-445</v>
      </c>
      <c r="H61" s="2">
        <v>0</v>
      </c>
      <c r="I61" t="s">
        <v>4624</v>
      </c>
      <c r="J61" t="str">
        <f t="shared" si="1"/>
        <v>{ name: "Trousers of the Wind", landmark: "Treasure", type: "Treasure", region: 12, level: "Depths", x: 3794, y: -3614, z: -445, weight: 0, details: `&lt;strong&gt;Shown on:&lt;/strong&gt; &lt;img src="icons/old-map.png" style="height: 20px; width: 20px; vertical-align: middle; margin-right: 5px;"&gt;&lt;span style="color: #dd88d3; font-weight: bold;"&gt;Wellspring Island Map #1&lt;/span&gt;` },</v>
      </c>
    </row>
    <row r="62" spans="1:10" x14ac:dyDescent="0.2">
      <c r="A62" t="s">
        <v>2352</v>
      </c>
      <c r="B62" t="s">
        <v>2344</v>
      </c>
      <c r="C62" s="2">
        <v>14</v>
      </c>
      <c r="D62" s="2" t="s">
        <v>994</v>
      </c>
      <c r="E62" s="2">
        <v>-3230</v>
      </c>
      <c r="F62" s="2">
        <v>-2476</v>
      </c>
      <c r="G62" s="2">
        <v>-475</v>
      </c>
      <c r="H62" s="2">
        <v>0</v>
      </c>
      <c r="I62" t="s">
        <v>4625</v>
      </c>
      <c r="J62" t="str">
        <f t="shared" si="1"/>
        <v>{ name: "Miner's Mask", landmark: "Treasure", type: "Treasure", region: 14, level: "Depths", x: -3230, y: -2476, z: -475, weight: 0, details: `&lt;strong&gt;Shown on:&lt;/strong&gt; &lt;img src="icons/old-map.png" style="height: 20px; width: 20px; vertical-align: middle; margin-right: 5px;"&gt;&lt;span style="color: #dd88d3; font-weight: bold;"&gt;Rising Island Chain&lt;/span&gt;` },</v>
      </c>
    </row>
    <row r="63" spans="1:10" x14ac:dyDescent="0.2">
      <c r="A63" t="s">
        <v>2350</v>
      </c>
      <c r="B63" t="s">
        <v>2344</v>
      </c>
      <c r="C63" s="2">
        <v>14</v>
      </c>
      <c r="D63" s="2" t="s">
        <v>994</v>
      </c>
      <c r="E63" s="2">
        <v>-4310</v>
      </c>
      <c r="F63" s="2">
        <v>-3781</v>
      </c>
      <c r="G63" s="2">
        <v>-479</v>
      </c>
      <c r="H63" s="2">
        <v>0</v>
      </c>
      <c r="I63" t="s">
        <v>4626</v>
      </c>
      <c r="J63" t="str">
        <f t="shared" si="1"/>
        <v>{ name: "Sheik's Mask", landmark: "Treasure", type: "Treasure", region: 14, level: "Depths", x: -4310, y: -3781, z: -479, weight: 0, details: `&lt;strong&gt;Shown on:&lt;/strong&gt; &lt;img src="icons/old-map.png" style="height: 20px; width: 20px; vertical-align: middle; margin-right: 5px;"&gt;&lt;span style="color: #dd88d3; font-weight: bold;"&gt;South Hyrule Sky Map #4&lt;/span&gt;` },</v>
      </c>
    </row>
    <row r="64" spans="1:10" x14ac:dyDescent="0.2">
      <c r="A64" t="s">
        <v>2375</v>
      </c>
      <c r="B64" t="s">
        <v>2344</v>
      </c>
      <c r="C64" s="2">
        <v>14</v>
      </c>
      <c r="D64" s="2" t="s">
        <v>994</v>
      </c>
      <c r="E64" s="2">
        <v>-4879</v>
      </c>
      <c r="F64" s="2">
        <v>-3720</v>
      </c>
      <c r="G64" s="2">
        <v>-458</v>
      </c>
      <c r="H64" s="2">
        <v>0</v>
      </c>
      <c r="I64" t="s">
        <v>4627</v>
      </c>
      <c r="J64" t="str">
        <f t="shared" si="1"/>
        <v>{ name: "Tunic of the Wild", landmark: "Treasure", type: "Treasure", region: 14, level: "Depths", x: -4879, y: -3720, z: -458, weight: 0, details: `&lt;strong&gt;Shown on:&lt;/strong&gt; &lt;img src="icons/old-map.png" style="height: 20px; width: 20px; vertical-align: middle; margin-right: 5px;"&gt;&lt;span style="color: #dd88d3; font-weight: bold;"&gt;North Tabantha Sky&lt;/span&gt;` },</v>
      </c>
    </row>
    <row r="65" spans="1:10" x14ac:dyDescent="0.2">
      <c r="A65" t="s">
        <v>2366</v>
      </c>
      <c r="B65" t="s">
        <v>2344</v>
      </c>
      <c r="C65" s="2">
        <v>15</v>
      </c>
      <c r="D65" s="2" t="s">
        <v>994</v>
      </c>
      <c r="E65" s="2">
        <v>-4179</v>
      </c>
      <c r="F65" s="2">
        <v>-697</v>
      </c>
      <c r="G65" s="2">
        <v>-1121</v>
      </c>
      <c r="H65" s="2">
        <v>0</v>
      </c>
      <c r="I65" t="s">
        <v>4628</v>
      </c>
      <c r="J65" t="str">
        <f t="shared" si="1"/>
        <v>{ name: "Trousers of Time", landmark: "Treasure", type: "Treasure", region: 15, level: "Depths", x: -4179, y: -697, z: -1121, weight: 0, details: `&lt;strong&gt;Shown on:&lt;/strong&gt; &lt;img src="icons/old-map.png" style="height: 20px; width: 20px; vertical-align: middle; margin-right: 5px;"&gt;&lt;span style="color: #dd88d3; font-weight: bold;"&gt;North Necluda Sky Map #2&lt;/span&gt;` },</v>
      </c>
    </row>
  </sheetData>
  <autoFilter ref="A1:J32" xr:uid="{A095D5C8-FF81-DA46-ADE3-61DE071C2139}"/>
  <phoneticPr fontId="1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C77F8-6DAD-9B42-8ABF-CF237DA2F67E}">
  <sheetPr codeName="Sheet30">
    <tabColor theme="7"/>
  </sheetPr>
  <dimension ref="A1:J21"/>
  <sheetViews>
    <sheetView workbookViewId="0">
      <selection activeCell="C22" sqref="C22"/>
    </sheetView>
  </sheetViews>
  <sheetFormatPr baseColWidth="10" defaultRowHeight="16" x14ac:dyDescent="0.2"/>
  <cols>
    <col min="1" max="1" width="29.33203125" bestFit="1" customWidth="1"/>
    <col min="2" max="2" width="12.33203125" bestFit="1" customWidth="1"/>
    <col min="3" max="3" width="10.6640625" style="2" bestFit="1" customWidth="1"/>
    <col min="4" max="8" width="10.83203125" style="2"/>
    <col min="9" max="9" width="33.6640625" customWidth="1"/>
  </cols>
  <sheetData>
    <row r="1" spans="1:10" s="6" customFormat="1" x14ac:dyDescent="0.2">
      <c r="A1" s="6" t="s">
        <v>781</v>
      </c>
      <c r="B1" s="6" t="s">
        <v>2083</v>
      </c>
      <c r="C1" s="4" t="s">
        <v>2074</v>
      </c>
      <c r="D1" s="4" t="s">
        <v>777</v>
      </c>
      <c r="E1" s="4" t="s">
        <v>778</v>
      </c>
      <c r="F1" s="4" t="s">
        <v>779</v>
      </c>
      <c r="G1" s="4" t="s">
        <v>780</v>
      </c>
      <c r="H1" s="4" t="s">
        <v>2837</v>
      </c>
      <c r="I1" s="6" t="s">
        <v>2081</v>
      </c>
      <c r="J1" s="6" t="s">
        <v>2075</v>
      </c>
    </row>
    <row r="2" spans="1:10" x14ac:dyDescent="0.2">
      <c r="A2" t="s">
        <v>2278</v>
      </c>
      <c r="B2" t="s">
        <v>2518</v>
      </c>
      <c r="C2" s="2">
        <v>2</v>
      </c>
      <c r="D2" s="2" t="s">
        <v>783</v>
      </c>
      <c r="E2" s="2">
        <v>-938</v>
      </c>
      <c r="F2" s="2">
        <v>-1744</v>
      </c>
      <c r="G2" s="2">
        <v>1013</v>
      </c>
      <c r="H2" s="2">
        <v>0</v>
      </c>
      <c r="J2" t="str">
        <f>"{ name: "&amp;CHAR(34)&amp;A2&amp;CHAR(34)&amp;", landmark: "&amp;CHAR(34)&amp;"Sage's Will"&amp;CHAR(34)&amp;", type: "&amp;CHAR(34)&amp;B2&amp;CHAR(34)&amp;", region: "&amp;C2&amp;", level: "&amp;CHAR(34)&amp;D2&amp;CHAR(34)&amp;", x: "&amp;E2&amp;", y: "&amp;F2&amp;", z: "&amp;G2&amp;", weight: "&amp;H2&amp;", details: `"&amp;I2&amp;"` },"</f>
        <v>{ name: "South Hyrule Sky", landmark: "Sage's Will", type: "Sage's Will", region: 2, level: "Sky", x: -938, y: -1744, z: 1013, weight: 0, details: `` },</v>
      </c>
    </row>
    <row r="3" spans="1:10" x14ac:dyDescent="0.2">
      <c r="A3" t="s">
        <v>2525</v>
      </c>
      <c r="B3" t="s">
        <v>2518</v>
      </c>
      <c r="C3" s="2">
        <v>2</v>
      </c>
      <c r="D3" s="2" t="s">
        <v>783</v>
      </c>
      <c r="E3" s="2">
        <v>-2251</v>
      </c>
      <c r="F3" s="2">
        <v>-431</v>
      </c>
      <c r="G3" s="2">
        <v>923</v>
      </c>
      <c r="H3" s="2">
        <v>0</v>
      </c>
      <c r="I3" t="s">
        <v>4631</v>
      </c>
      <c r="J3" t="str">
        <f>"{ name: "&amp;CHAR(34)&amp;A3&amp;CHAR(34)&amp;", landmark: "&amp;CHAR(34)&amp;"Sage's Will"&amp;CHAR(34)&amp;", type: "&amp;CHAR(34)&amp;B3&amp;CHAR(34)&amp;", region: "&amp;C3&amp;", level: "&amp;CHAR(34)&amp;D3&amp;CHAR(34)&amp;", x: "&amp;E3&amp;", y: "&amp;F3&amp;", z: "&amp;G3&amp;", weight: "&amp;H3&amp;", details: `"&amp;I3&amp;"` },"</f>
        <v>{ name: "West Hyrule Sky", landmark: "Sage's Will", type: "Sage's Will", region: 2, level: "Sky", x: -2251, y: -431, z: 923, weight: 0, details: `Defeat &lt;img src="icons/flux-construct.png" style="height: 20px; width: 20px; vertical-align: middle; margin-right: 5px;"&gt;&lt;span style="color: #7cc9c2; font-weight: bold;"&gt;Flux Construct III&lt;/span&gt;` },</v>
      </c>
    </row>
    <row r="4" spans="1:10" x14ac:dyDescent="0.2">
      <c r="A4" t="s">
        <v>2524</v>
      </c>
      <c r="B4" t="s">
        <v>2518</v>
      </c>
      <c r="C4" s="2">
        <v>3</v>
      </c>
      <c r="D4" s="2" t="s">
        <v>783</v>
      </c>
      <c r="E4" s="2">
        <v>-3779</v>
      </c>
      <c r="F4" s="2">
        <v>1572</v>
      </c>
      <c r="G4" s="2">
        <v>1238</v>
      </c>
      <c r="H4" s="2">
        <v>0</v>
      </c>
      <c r="J4" t="str">
        <f t="shared" ref="J4:J21" si="0">"{ name: "&amp;CHAR(34)&amp;A4&amp;CHAR(34)&amp;", landmark: "&amp;CHAR(34)&amp;"Sage's Will"&amp;CHAR(34)&amp;", type: "&amp;CHAR(34)&amp;B4&amp;CHAR(34)&amp;", region: "&amp;C4&amp;", level: "&amp;CHAR(34)&amp;D4&amp;CHAR(34)&amp;", x: "&amp;E4&amp;", y: "&amp;F4&amp;", z: "&amp;G4&amp;", weight: "&amp;H4&amp;", details: `"&amp;I4&amp;"` },"</f>
        <v>{ name: "West Hebra Sky #3", landmark: "Sage's Will", type: "Sage's Will", region: 3, level: "Sky", x: -3779, y: 1572, z: 1238, weight: 0, details: `` },</v>
      </c>
    </row>
    <row r="5" spans="1:10" x14ac:dyDescent="0.2">
      <c r="A5" t="s">
        <v>2443</v>
      </c>
      <c r="B5" t="s">
        <v>2518</v>
      </c>
      <c r="C5" s="2">
        <v>4</v>
      </c>
      <c r="D5" s="2" t="s">
        <v>783</v>
      </c>
      <c r="E5" s="2">
        <v>-4419</v>
      </c>
      <c r="F5" s="2">
        <v>2251</v>
      </c>
      <c r="G5" s="2">
        <v>1246</v>
      </c>
      <c r="H5" s="2">
        <v>0</v>
      </c>
      <c r="I5" t="s">
        <v>4629</v>
      </c>
      <c r="J5" t="str">
        <f t="shared" si="0"/>
        <v>{ name: "West Hebra Sky #1", landmark: "Sage's Will", type: "Sage's Will", region: 4, level: "Sky", x: -4419, y: 2251, z: 1246, weight: 0, details: `Defeat &lt;img src="icons/gleeok.png" style="height: 20px; width: 20px; vertical-align: middle; margin-right: 5px;"&gt;&lt;span style="color: #de878b; font-weight: bold;"&gt;King Gleeok&lt;/span&gt;` },</v>
      </c>
    </row>
    <row r="6" spans="1:10" x14ac:dyDescent="0.2">
      <c r="A6" t="s">
        <v>2444</v>
      </c>
      <c r="B6" t="s">
        <v>2518</v>
      </c>
      <c r="C6" s="2">
        <v>4</v>
      </c>
      <c r="D6" s="2" t="s">
        <v>783</v>
      </c>
      <c r="E6" s="2">
        <v>-3079</v>
      </c>
      <c r="F6" s="2">
        <v>2152</v>
      </c>
      <c r="G6" s="2">
        <v>648</v>
      </c>
      <c r="H6" s="2">
        <v>0</v>
      </c>
      <c r="J6" t="str">
        <f t="shared" si="0"/>
        <v>{ name: "West Hebra Sky #2", landmark: "Sage's Will", type: "Sage's Will", region: 4, level: "Sky", x: -3079, y: 2152, z: 648, weight: 0, details: `` },</v>
      </c>
    </row>
    <row r="7" spans="1:10" x14ac:dyDescent="0.2">
      <c r="A7" t="s">
        <v>1242</v>
      </c>
      <c r="B7" t="s">
        <v>2518</v>
      </c>
      <c r="C7" s="2">
        <v>7</v>
      </c>
      <c r="D7" s="2" t="s">
        <v>783</v>
      </c>
      <c r="E7" s="2">
        <v>1764</v>
      </c>
      <c r="F7" s="2">
        <v>2267</v>
      </c>
      <c r="G7" s="2">
        <v>827</v>
      </c>
      <c r="H7" s="2">
        <v>0</v>
      </c>
      <c r="J7" t="str">
        <f t="shared" si="0"/>
        <v>{ name: "Eldin Sky", landmark: "Sage's Will", type: "Sage's Will", region: 7, level: "Sky", x: 1764, y: 2267, z: 827, weight: 0, details: `` },</v>
      </c>
    </row>
    <row r="8" spans="1:10" x14ac:dyDescent="0.2">
      <c r="A8" t="s">
        <v>2277</v>
      </c>
      <c r="B8" t="s">
        <v>2518</v>
      </c>
      <c r="C8" s="2">
        <v>7</v>
      </c>
      <c r="D8" s="2" t="s">
        <v>783</v>
      </c>
      <c r="E8" s="2">
        <v>1780</v>
      </c>
      <c r="F8" s="2">
        <v>973</v>
      </c>
      <c r="G8" s="2">
        <v>1226</v>
      </c>
      <c r="H8" s="2">
        <v>0</v>
      </c>
      <c r="J8" t="str">
        <f t="shared" si="0"/>
        <v>{ name: "South Eldin Sky", landmark: "Sage's Will", type: "Sage's Will", region: 7, level: "Sky", x: 1780, y: 973, z: 1226, weight: 0, details: `` },</v>
      </c>
    </row>
    <row r="9" spans="1:10" x14ac:dyDescent="0.2">
      <c r="A9" t="s">
        <v>2276</v>
      </c>
      <c r="B9" t="s">
        <v>2518</v>
      </c>
      <c r="C9" s="2">
        <v>8</v>
      </c>
      <c r="D9" s="2" t="s">
        <v>783</v>
      </c>
      <c r="E9" s="2">
        <v>3810</v>
      </c>
      <c r="F9" s="2">
        <v>1580</v>
      </c>
      <c r="G9" s="2">
        <v>1144</v>
      </c>
      <c r="H9" s="2">
        <v>0</v>
      </c>
      <c r="J9" t="str">
        <f t="shared" si="0"/>
        <v>{ name: "Sokkala Sky", landmark: "Sage's Will", type: "Sage's Will", region: 8, level: "Sky", x: 3810, y: 1580, z: 1144, weight: 0, details: `` },</v>
      </c>
    </row>
    <row r="10" spans="1:10" x14ac:dyDescent="0.2">
      <c r="A10" t="s">
        <v>2520</v>
      </c>
      <c r="B10" t="s">
        <v>2518</v>
      </c>
      <c r="C10" s="2">
        <v>9</v>
      </c>
      <c r="D10" s="2" t="s">
        <v>783</v>
      </c>
      <c r="E10" s="2">
        <v>2911</v>
      </c>
      <c r="F10" s="2">
        <v>525</v>
      </c>
      <c r="G10" s="2">
        <v>929</v>
      </c>
      <c r="H10" s="2">
        <v>0</v>
      </c>
      <c r="J10" t="str">
        <f t="shared" si="0"/>
        <v>{ name: "Lanayru Sky #1", landmark: "Sage's Will", type: "Sage's Will", region: 9, level: "Sky", x: 2911, y: 525, z: 929, weight: 0, details: `` },</v>
      </c>
    </row>
    <row r="11" spans="1:10" x14ac:dyDescent="0.2">
      <c r="A11" t="s">
        <v>2521</v>
      </c>
      <c r="B11" t="s">
        <v>2518</v>
      </c>
      <c r="C11" s="2">
        <v>9</v>
      </c>
      <c r="D11" s="2" t="s">
        <v>783</v>
      </c>
      <c r="E11" s="2">
        <v>3014</v>
      </c>
      <c r="F11" s="2">
        <v>-259</v>
      </c>
      <c r="G11" s="2">
        <v>909</v>
      </c>
      <c r="H11" s="2">
        <v>0</v>
      </c>
      <c r="I11" t="s">
        <v>4630</v>
      </c>
      <c r="J11" t="str">
        <f t="shared" si="0"/>
        <v>{ name: "Lanayru Sky #2", landmark: "Sage's Will", type: "Sage's Will", region: 9, level: "Sky", x: 3014, y: -259, z: 909, weight: 0, details: `Defeat &lt;img src="icons/flux-construct.png" style="height: 20px; width: 20px; vertical-align: middle; margin-right: 5px;"&gt;&lt;span style="color: #7cc9c2; font-weight: bold;"&gt;Flux Construct II&lt;/span&gt;` },</v>
      </c>
    </row>
    <row r="12" spans="1:10" x14ac:dyDescent="0.2">
      <c r="A12" t="s">
        <v>1015</v>
      </c>
      <c r="B12" t="s">
        <v>2518</v>
      </c>
      <c r="C12" s="2">
        <v>9</v>
      </c>
      <c r="D12" s="2" t="s">
        <v>783</v>
      </c>
      <c r="E12" s="2">
        <v>3397</v>
      </c>
      <c r="F12" s="2">
        <v>630</v>
      </c>
      <c r="G12" s="2">
        <v>1315</v>
      </c>
      <c r="H12" s="2">
        <v>0</v>
      </c>
      <c r="I12" t="s">
        <v>4630</v>
      </c>
      <c r="J12" t="str">
        <f t="shared" si="0"/>
        <v>{ name: "Wellspring Island", landmark: "Sage's Will", type: "Sage's Will", region: 9, level: "Sky", x: 3397, y: 630, z: 1315, weight: 0, details: `Defeat &lt;img src="icons/flux-construct.png" style="height: 20px; width: 20px; vertical-align: middle; margin-right: 5px;"&gt;&lt;span style="color: #7cc9c2; font-weight: bold;"&gt;Flux Construct II&lt;/span&gt;` },</v>
      </c>
    </row>
    <row r="13" spans="1:10" x14ac:dyDescent="0.2">
      <c r="A13" t="s">
        <v>2275</v>
      </c>
      <c r="B13" t="s">
        <v>2518</v>
      </c>
      <c r="C13" s="2">
        <v>10</v>
      </c>
      <c r="D13" s="2" t="s">
        <v>783</v>
      </c>
      <c r="E13" s="2">
        <v>1934</v>
      </c>
      <c r="F13" s="2">
        <v>-1062</v>
      </c>
      <c r="G13" s="2">
        <v>961</v>
      </c>
      <c r="H13" s="2">
        <v>0</v>
      </c>
      <c r="J13" t="str">
        <f t="shared" si="0"/>
        <v>{ name: "North Necluda Sky", landmark: "Sage's Will", type: "Sage's Will", region: 10, level: "Sky", x: 1934, y: -1062, z: 961, weight: 0, details: `` },</v>
      </c>
    </row>
    <row r="14" spans="1:10" x14ac:dyDescent="0.2">
      <c r="A14" t="s">
        <v>2522</v>
      </c>
      <c r="B14" t="s">
        <v>2518</v>
      </c>
      <c r="C14" s="2">
        <v>12</v>
      </c>
      <c r="D14" s="2" t="s">
        <v>783</v>
      </c>
      <c r="E14" s="2">
        <v>4652</v>
      </c>
      <c r="F14" s="2">
        <v>-3828</v>
      </c>
      <c r="G14" s="2">
        <v>1065</v>
      </c>
      <c r="H14" s="2">
        <v>0</v>
      </c>
      <c r="I14" t="s">
        <v>4629</v>
      </c>
      <c r="J14" t="str">
        <f t="shared" si="0"/>
        <v>{ name: "Eventide Island Sky", landmark: "Sage's Will", type: "Sage's Will", region: 12, level: "Sky", x: 4652, y: -3828, z: 1065, weight: 0, details: `Defeat &lt;img src="icons/gleeok.png" style="height: 20px; width: 20px; vertical-align: middle; margin-right: 5px;"&gt;&lt;span style="color: #de878b; font-weight: bold;"&gt;King Gleeok&lt;/span&gt;` },</v>
      </c>
    </row>
    <row r="15" spans="1:10" x14ac:dyDescent="0.2">
      <c r="A15" t="s">
        <v>2280</v>
      </c>
      <c r="B15" t="s">
        <v>2518</v>
      </c>
      <c r="C15" s="2">
        <v>12</v>
      </c>
      <c r="D15" s="2" t="s">
        <v>783</v>
      </c>
      <c r="E15" s="2">
        <v>2569</v>
      </c>
      <c r="F15" s="2">
        <v>-3601</v>
      </c>
      <c r="G15" s="2">
        <v>794</v>
      </c>
      <c r="H15" s="2">
        <v>0</v>
      </c>
      <c r="I15" t="s">
        <v>4631</v>
      </c>
      <c r="J15" t="str">
        <f t="shared" si="0"/>
        <v>{ name: "South Necluda Sky", landmark: "Sage's Will", type: "Sage's Will", region: 12, level: "Sky", x: 2569, y: -3601, z: 794, weight: 0, details: `Defeat &lt;img src="icons/flux-construct.png" style="height: 20px; width: 20px; vertical-align: middle; margin-right: 5px;"&gt;&lt;span style="color: #7cc9c2; font-weight: bold;"&gt;Flux Construct III&lt;/span&gt;` },</v>
      </c>
    </row>
    <row r="16" spans="1:10" x14ac:dyDescent="0.2">
      <c r="A16" t="s">
        <v>2523</v>
      </c>
      <c r="B16" t="s">
        <v>2518</v>
      </c>
      <c r="C16" s="2">
        <v>13</v>
      </c>
      <c r="D16" s="2" t="s">
        <v>783</v>
      </c>
      <c r="E16" s="2">
        <v>1309</v>
      </c>
      <c r="F16" s="2">
        <v>-3210</v>
      </c>
      <c r="G16" s="2">
        <v>459</v>
      </c>
      <c r="H16" s="2">
        <v>0</v>
      </c>
      <c r="J16" t="str">
        <f t="shared" si="0"/>
        <v>{ name: "Dragon Head Island", landmark: "Sage's Will", type: "Sage's Will", region: 13, level: "Sky", x: 1309, y: -3210, z: 459, weight: 0, details: `` },</v>
      </c>
    </row>
    <row r="17" spans="1:10" x14ac:dyDescent="0.2">
      <c r="A17" t="s">
        <v>1253</v>
      </c>
      <c r="B17" t="s">
        <v>2518</v>
      </c>
      <c r="C17" s="2">
        <v>13</v>
      </c>
      <c r="D17" s="2" t="s">
        <v>783</v>
      </c>
      <c r="E17" s="2">
        <v>-316</v>
      </c>
      <c r="F17" s="2">
        <v>-2591</v>
      </c>
      <c r="G17" s="2">
        <v>894</v>
      </c>
      <c r="H17" s="2">
        <v>0</v>
      </c>
      <c r="I17" t="s">
        <v>4631</v>
      </c>
      <c r="J17" t="str">
        <f t="shared" si="0"/>
        <v>{ name: "Faron Sky", landmark: "Sage's Will", type: "Sage's Will", region: 13, level: "Sky", x: -316, y: -2591, z: 894, weight: 0, details: `Defeat &lt;img src="icons/flux-construct.png" style="height: 20px; width: 20px; vertical-align: middle; margin-right: 5px;"&gt;&lt;span style="color: #7cc9c2; font-weight: bold;"&gt;Flux Construct III&lt;/span&gt;` },</v>
      </c>
    </row>
    <row r="18" spans="1:10" x14ac:dyDescent="0.2">
      <c r="A18" t="s">
        <v>1013</v>
      </c>
      <c r="B18" t="s">
        <v>2518</v>
      </c>
      <c r="C18" s="2">
        <v>13</v>
      </c>
      <c r="D18" s="2" t="s">
        <v>783</v>
      </c>
      <c r="E18" s="2">
        <v>966</v>
      </c>
      <c r="F18" s="2">
        <v>-3306</v>
      </c>
      <c r="G18" s="2">
        <v>846</v>
      </c>
      <c r="H18" s="2">
        <v>0</v>
      </c>
      <c r="J18" t="str">
        <f t="shared" si="0"/>
        <v>{ name: "Thunderhead Isles", landmark: "Sage's Will", type: "Sage's Will", region: 13, level: "Sky", x: 966, y: -3306, z: 846, weight: 0, details: `` },</v>
      </c>
    </row>
    <row r="19" spans="1:10" x14ac:dyDescent="0.2">
      <c r="A19" t="s">
        <v>2272</v>
      </c>
      <c r="B19" t="s">
        <v>2518</v>
      </c>
      <c r="C19" s="2">
        <v>14</v>
      </c>
      <c r="D19" s="2" t="s">
        <v>783</v>
      </c>
      <c r="E19" s="2">
        <v>-1962</v>
      </c>
      <c r="F19" s="2">
        <v>-1802</v>
      </c>
      <c r="G19" s="2">
        <v>1140</v>
      </c>
      <c r="H19" s="2">
        <v>0</v>
      </c>
      <c r="J19" t="str">
        <f t="shared" si="0"/>
        <v>{ name: "East Gerudo Sky", landmark: "Sage's Will", type: "Sage's Will", region: 14, level: "Sky", x: -1962, y: -1802, z: 1140, weight: 0, details: `` },</v>
      </c>
    </row>
    <row r="20" spans="1:10" x14ac:dyDescent="0.2">
      <c r="A20" t="s">
        <v>1283</v>
      </c>
      <c r="B20" t="s">
        <v>2518</v>
      </c>
      <c r="C20" s="2">
        <v>14</v>
      </c>
      <c r="D20" s="2" t="s">
        <v>783</v>
      </c>
      <c r="E20" s="2">
        <v>-4398</v>
      </c>
      <c r="F20" s="2">
        <v>-2641</v>
      </c>
      <c r="G20" s="2">
        <v>1490</v>
      </c>
      <c r="H20" s="2">
        <v>0</v>
      </c>
      <c r="I20" t="s">
        <v>4629</v>
      </c>
      <c r="J20" t="str">
        <f t="shared" si="0"/>
        <v>{ name: "Gerudo Sky", landmark: "Sage's Will", type: "Sage's Will", region: 14, level: "Sky", x: -4398, y: -2641, z: 1490, weight: 0, details: `Defeat &lt;img src="icons/gleeok.png" style="height: 20px; width: 20px; vertical-align: middle; margin-right: 5px;"&gt;&lt;span style="color: #de878b; font-weight: bold;"&gt;King Gleeok&lt;/span&gt;` },</v>
      </c>
    </row>
    <row r="21" spans="1:10" x14ac:dyDescent="0.2">
      <c r="A21" t="s">
        <v>2441</v>
      </c>
      <c r="B21" t="s">
        <v>2518</v>
      </c>
      <c r="C21" s="2">
        <v>15</v>
      </c>
      <c r="D21" s="2" t="s">
        <v>783</v>
      </c>
      <c r="E21" s="2">
        <v>-3426</v>
      </c>
      <c r="F21" s="2">
        <v>-318</v>
      </c>
      <c r="G21" s="2">
        <v>1943</v>
      </c>
      <c r="H21" s="2">
        <v>0</v>
      </c>
      <c r="J21" t="str">
        <f t="shared" si="0"/>
        <v>{ name: "North Gerudo Sky", landmark: "Sage's Will", type: "Sage's Will", region: 15, level: "Sky", x: -3426, y: -318, z: 1943, weight: 0, details: `` },</v>
      </c>
    </row>
  </sheetData>
  <autoFilter ref="A1:J2" xr:uid="{A095D5C8-FF81-DA46-ADE3-61DE071C2139}">
    <sortState xmlns:xlrd2="http://schemas.microsoft.com/office/spreadsheetml/2017/richdata2" ref="A2:J21">
      <sortCondition ref="C1:C21"/>
    </sortState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D50D9-6DB9-5C44-8AA5-7C1D2FE18817}">
  <sheetPr codeName="Sheet10">
    <tabColor theme="7"/>
  </sheetPr>
  <dimension ref="A1:J47"/>
  <sheetViews>
    <sheetView workbookViewId="0">
      <selection activeCell="I2" sqref="I2"/>
    </sheetView>
  </sheetViews>
  <sheetFormatPr baseColWidth="10" defaultRowHeight="16" x14ac:dyDescent="0.2"/>
  <cols>
    <col min="1" max="1" width="20" bestFit="1" customWidth="1"/>
    <col min="2" max="2" width="13.5" bestFit="1" customWidth="1"/>
    <col min="3" max="8" width="10.83203125" style="2"/>
  </cols>
  <sheetData>
    <row r="1" spans="1:10" s="6" customFormat="1" x14ac:dyDescent="0.2">
      <c r="A1" s="6" t="s">
        <v>781</v>
      </c>
      <c r="B1" s="6" t="s">
        <v>2083</v>
      </c>
      <c r="C1" s="4" t="s">
        <v>2074</v>
      </c>
      <c r="D1" s="4" t="s">
        <v>777</v>
      </c>
      <c r="E1" s="4" t="s">
        <v>778</v>
      </c>
      <c r="F1" s="4" t="s">
        <v>779</v>
      </c>
      <c r="G1" s="4" t="s">
        <v>780</v>
      </c>
      <c r="H1" s="4" t="s">
        <v>2837</v>
      </c>
      <c r="I1" s="6" t="s">
        <v>2081</v>
      </c>
      <c r="J1" s="6" t="s">
        <v>2075</v>
      </c>
    </row>
    <row r="2" spans="1:10" x14ac:dyDescent="0.2">
      <c r="A2" t="s">
        <v>1752</v>
      </c>
      <c r="B2" t="s">
        <v>2380</v>
      </c>
      <c r="C2" s="2">
        <v>1</v>
      </c>
      <c r="D2" s="2" t="s">
        <v>785</v>
      </c>
      <c r="E2" s="2">
        <v>-256</v>
      </c>
      <c r="F2" s="2">
        <v>153</v>
      </c>
      <c r="G2" s="2">
        <v>20</v>
      </c>
      <c r="H2" s="2">
        <v>0</v>
      </c>
      <c r="I2" t="s">
        <v>4338</v>
      </c>
      <c r="J2" t="str">
        <f>"{ name: "&amp;CHAR(34)&amp;A2&amp;CHAR(34)&amp;", landmark: "&amp;CHAR(34)&amp;"Schematic"&amp;CHAR(34)&amp;", type: "&amp;CHAR(34)&amp;B2&amp;CHAR(34)&amp;", region: "&amp;C2&amp;", level: "&amp;CHAR(34)&amp;D2&amp;CHAR(34)&amp;", x: "&amp;E2&amp;", y: "&amp;F2&amp;", z: "&amp;G2&amp;", weight: "&amp;H2&amp;", details: `"&amp;I2&amp;"` },"</f>
        <v>{ name: "Hot-Air Balloon", landmark: "Schematic", type: "Schema Stone", region: 1, level: "Surface", x: -256, y: 153, z: 20, weight: 0, details: `Complete &lt;img src="icons/main-quest.png" style="height: 20px; width: 20px; vertical-align: middle; margin-right: 5px;"&gt;&lt;span style="color: #fec043; font-weight: bold;"&gt;Mystery in the Depths&lt;/span&gt;` },</v>
      </c>
    </row>
    <row r="3" spans="1:10" x14ac:dyDescent="0.2">
      <c r="A3" t="s">
        <v>1735</v>
      </c>
      <c r="B3" t="s">
        <v>2380</v>
      </c>
      <c r="C3" s="2">
        <v>2</v>
      </c>
      <c r="D3" s="2" t="s">
        <v>785</v>
      </c>
      <c r="E3" s="2">
        <v>-1122</v>
      </c>
      <c r="F3" s="2">
        <v>-1902</v>
      </c>
      <c r="G3" s="2">
        <v>101</v>
      </c>
      <c r="H3" s="2">
        <v>0</v>
      </c>
      <c r="I3" t="s">
        <v>4339</v>
      </c>
      <c r="J3" t="str">
        <f>"{ name: "&amp;CHAR(34)&amp;A3&amp;CHAR(34)&amp;", landmark: "&amp;CHAR(34)&amp;"Schematic"&amp;CHAR(34)&amp;", type: "&amp;CHAR(34)&amp;B3&amp;CHAR(34)&amp;", region: "&amp;C3&amp;", level: "&amp;CHAR(34)&amp;D3&amp;CHAR(34)&amp;", x: "&amp;E3&amp;", y: "&amp;F3&amp;", z: "&amp;G3&amp;", weight: "&amp;H3&amp;", details: `"&amp;I3&amp;"` },"</f>
        <v>{ name: "Beam Cycle", landmark: "Schematic", type: "Schema Stone", region: 2, level: "Surface", x: -1122, y: -1902, z: 101, weight: 0, details: `Found in the &lt;img src="icons/location.png" style="height: 20px; width: 20px; vertical-align: middle; margin-right: 5px;"&gt;&lt;span style="color: #c6a96a; font-weight: bold;"&gt;Cave of Resurrection&lt;/span&gt;` },</v>
      </c>
    </row>
    <row r="4" spans="1:10" x14ac:dyDescent="0.2">
      <c r="A4" t="s">
        <v>1747</v>
      </c>
      <c r="B4" t="s">
        <v>2380</v>
      </c>
      <c r="C4" s="2">
        <v>2</v>
      </c>
      <c r="D4" s="2" t="s">
        <v>994</v>
      </c>
      <c r="E4" s="2">
        <v>-821</v>
      </c>
      <c r="F4" s="2">
        <v>-1940</v>
      </c>
      <c r="G4" s="2">
        <v>-523</v>
      </c>
      <c r="H4" s="2">
        <v>0</v>
      </c>
      <c r="J4" t="s">
        <v>2943</v>
      </c>
    </row>
    <row r="5" spans="1:10" x14ac:dyDescent="0.2">
      <c r="A5" t="s">
        <v>1771</v>
      </c>
      <c r="B5" t="s">
        <v>2379</v>
      </c>
      <c r="C5" s="2">
        <v>2</v>
      </c>
      <c r="D5" s="2" t="s">
        <v>994</v>
      </c>
      <c r="E5" s="2">
        <v>-1856</v>
      </c>
      <c r="F5" s="2">
        <v>-735</v>
      </c>
      <c r="G5" s="2">
        <v>-527</v>
      </c>
      <c r="H5" s="2">
        <v>0</v>
      </c>
      <c r="J5" t="s">
        <v>2944</v>
      </c>
    </row>
    <row r="6" spans="1:10" x14ac:dyDescent="0.2">
      <c r="A6" t="s">
        <v>1732</v>
      </c>
      <c r="B6" t="s">
        <v>2379</v>
      </c>
      <c r="C6" s="2">
        <v>3</v>
      </c>
      <c r="D6" s="2" t="s">
        <v>994</v>
      </c>
      <c r="E6" s="2">
        <v>-3380</v>
      </c>
      <c r="F6" s="2">
        <v>665</v>
      </c>
      <c r="G6" s="2">
        <v>-619</v>
      </c>
      <c r="H6" s="2">
        <v>0</v>
      </c>
      <c r="J6" t="s">
        <v>2945</v>
      </c>
    </row>
    <row r="7" spans="1:10" x14ac:dyDescent="0.2">
      <c r="A7" t="s">
        <v>1740</v>
      </c>
      <c r="B7" t="s">
        <v>2379</v>
      </c>
      <c r="C7" s="2">
        <v>3</v>
      </c>
      <c r="D7" s="2" t="s">
        <v>994</v>
      </c>
      <c r="E7" s="2">
        <v>-1620</v>
      </c>
      <c r="F7" s="2">
        <v>247</v>
      </c>
      <c r="G7" s="2">
        <v>-482</v>
      </c>
      <c r="H7" s="2">
        <v>0</v>
      </c>
      <c r="J7" t="s">
        <v>2946</v>
      </c>
    </row>
    <row r="8" spans="1:10" x14ac:dyDescent="0.2">
      <c r="A8" t="s">
        <v>1742</v>
      </c>
      <c r="B8" t="s">
        <v>2379</v>
      </c>
      <c r="C8" s="2">
        <v>3</v>
      </c>
      <c r="D8" s="2" t="s">
        <v>994</v>
      </c>
      <c r="E8" s="2">
        <v>-1332</v>
      </c>
      <c r="F8" s="2">
        <v>1496</v>
      </c>
      <c r="G8" s="2">
        <v>-597</v>
      </c>
      <c r="H8" s="2">
        <v>0</v>
      </c>
      <c r="J8" t="s">
        <v>2947</v>
      </c>
    </row>
    <row r="9" spans="1:10" x14ac:dyDescent="0.2">
      <c r="A9" t="s">
        <v>1749</v>
      </c>
      <c r="B9" t="s">
        <v>2379</v>
      </c>
      <c r="C9" s="2">
        <v>3</v>
      </c>
      <c r="D9" s="2" t="s">
        <v>994</v>
      </c>
      <c r="E9" s="2">
        <v>-2822</v>
      </c>
      <c r="F9" s="2">
        <v>902</v>
      </c>
      <c r="G9" s="2">
        <v>-565</v>
      </c>
      <c r="H9" s="2">
        <v>0</v>
      </c>
      <c r="J9" t="s">
        <v>2948</v>
      </c>
    </row>
    <row r="10" spans="1:10" x14ac:dyDescent="0.2">
      <c r="A10" t="s">
        <v>1745</v>
      </c>
      <c r="B10" t="s">
        <v>2379</v>
      </c>
      <c r="C10" s="2">
        <v>4</v>
      </c>
      <c r="D10" s="2" t="s">
        <v>994</v>
      </c>
      <c r="E10" s="2">
        <v>-3708</v>
      </c>
      <c r="F10" s="2">
        <v>3099</v>
      </c>
      <c r="G10" s="2">
        <v>-782</v>
      </c>
      <c r="H10" s="2">
        <v>0</v>
      </c>
      <c r="J10" t="s">
        <v>2949</v>
      </c>
    </row>
    <row r="11" spans="1:10" x14ac:dyDescent="0.2">
      <c r="A11" t="s">
        <v>1750</v>
      </c>
      <c r="B11" t="s">
        <v>2379</v>
      </c>
      <c r="C11" s="2">
        <v>4</v>
      </c>
      <c r="D11" s="2" t="s">
        <v>994</v>
      </c>
      <c r="E11" s="2">
        <v>-2865</v>
      </c>
      <c r="F11" s="2">
        <v>2918</v>
      </c>
      <c r="G11" s="2">
        <v>-931</v>
      </c>
      <c r="H11" s="2">
        <v>0</v>
      </c>
      <c r="J11" t="s">
        <v>2950</v>
      </c>
    </row>
    <row r="12" spans="1:10" x14ac:dyDescent="0.2">
      <c r="A12" t="s">
        <v>1764</v>
      </c>
      <c r="B12" t="s">
        <v>2380</v>
      </c>
      <c r="C12" s="2">
        <v>4</v>
      </c>
      <c r="D12" s="2" t="s">
        <v>994</v>
      </c>
      <c r="E12" s="2">
        <v>-3480</v>
      </c>
      <c r="F12" s="2">
        <v>1883</v>
      </c>
      <c r="G12" s="2">
        <v>-417</v>
      </c>
      <c r="H12" s="2">
        <v>0</v>
      </c>
      <c r="J12" t="s">
        <v>2951</v>
      </c>
    </row>
    <row r="13" spans="1:10" x14ac:dyDescent="0.2">
      <c r="A13" s="20" t="s">
        <v>1768</v>
      </c>
      <c r="B13" t="s">
        <v>2379</v>
      </c>
      <c r="C13" s="2">
        <v>5</v>
      </c>
      <c r="D13" s="2" t="s">
        <v>994</v>
      </c>
      <c r="E13" s="2">
        <v>-1903</v>
      </c>
      <c r="F13" s="2">
        <v>2095</v>
      </c>
      <c r="G13" s="2">
        <v>-682</v>
      </c>
      <c r="H13" s="2">
        <v>0</v>
      </c>
      <c r="J13" t="s">
        <v>2952</v>
      </c>
    </row>
    <row r="14" spans="1:10" x14ac:dyDescent="0.2">
      <c r="A14" t="s">
        <v>1776</v>
      </c>
      <c r="B14" t="s">
        <v>2379</v>
      </c>
      <c r="C14" s="2">
        <v>5</v>
      </c>
      <c r="D14" s="2" t="s">
        <v>994</v>
      </c>
      <c r="E14" s="2">
        <v>-1751</v>
      </c>
      <c r="F14" s="2">
        <v>3107</v>
      </c>
      <c r="G14" s="2">
        <v>-679</v>
      </c>
      <c r="H14" s="2">
        <v>0</v>
      </c>
      <c r="J14" t="s">
        <v>2953</v>
      </c>
    </row>
    <row r="15" spans="1:10" x14ac:dyDescent="0.2">
      <c r="A15" t="s">
        <v>1731</v>
      </c>
      <c r="B15" t="s">
        <v>2379</v>
      </c>
      <c r="C15" s="2">
        <v>6</v>
      </c>
      <c r="D15" s="2" t="s">
        <v>994</v>
      </c>
      <c r="E15" s="2">
        <v>-130</v>
      </c>
      <c r="F15" s="2">
        <v>2867</v>
      </c>
      <c r="G15" s="2">
        <v>-634</v>
      </c>
      <c r="H15" s="2">
        <v>0</v>
      </c>
      <c r="J15" t="s">
        <v>2954</v>
      </c>
    </row>
    <row r="16" spans="1:10" x14ac:dyDescent="0.2">
      <c r="A16" t="s">
        <v>1743</v>
      </c>
      <c r="B16" t="s">
        <v>2379</v>
      </c>
      <c r="C16" s="2">
        <v>6</v>
      </c>
      <c r="D16" s="2" t="s">
        <v>994</v>
      </c>
      <c r="E16" s="2">
        <v>622</v>
      </c>
      <c r="F16" s="2">
        <v>3698</v>
      </c>
      <c r="G16" s="2">
        <v>-540</v>
      </c>
      <c r="H16" s="2">
        <v>0</v>
      </c>
      <c r="J16" t="s">
        <v>2955</v>
      </c>
    </row>
    <row r="17" spans="1:10" x14ac:dyDescent="0.2">
      <c r="A17" t="s">
        <v>1748</v>
      </c>
      <c r="B17" t="s">
        <v>2379</v>
      </c>
      <c r="C17" s="2">
        <v>6</v>
      </c>
      <c r="D17" s="2" t="s">
        <v>994</v>
      </c>
      <c r="E17" s="2">
        <v>-397</v>
      </c>
      <c r="F17" s="2">
        <v>1776</v>
      </c>
      <c r="G17" s="2">
        <v>-623</v>
      </c>
      <c r="H17" s="2">
        <v>0</v>
      </c>
      <c r="J17" t="s">
        <v>2956</v>
      </c>
    </row>
    <row r="18" spans="1:10" x14ac:dyDescent="0.2">
      <c r="A18" t="s">
        <v>1734</v>
      </c>
      <c r="B18" t="s">
        <v>2380</v>
      </c>
      <c r="C18" s="2">
        <v>7</v>
      </c>
      <c r="D18" s="2" t="s">
        <v>994</v>
      </c>
      <c r="E18" s="2">
        <v>1641</v>
      </c>
      <c r="F18" s="2">
        <v>2397</v>
      </c>
      <c r="G18" s="2">
        <v>-824</v>
      </c>
      <c r="H18" s="2">
        <v>0</v>
      </c>
      <c r="J18" t="s">
        <v>2957</v>
      </c>
    </row>
    <row r="19" spans="1:10" x14ac:dyDescent="0.2">
      <c r="A19" s="20" t="s">
        <v>1738</v>
      </c>
      <c r="B19" t="s">
        <v>2379</v>
      </c>
      <c r="C19" s="2">
        <v>7</v>
      </c>
      <c r="D19" s="2" t="s">
        <v>994</v>
      </c>
      <c r="E19" s="2">
        <v>2667</v>
      </c>
      <c r="F19" s="2">
        <v>1578</v>
      </c>
      <c r="G19" s="2">
        <v>-591</v>
      </c>
      <c r="H19" s="2">
        <v>0</v>
      </c>
      <c r="J19" t="s">
        <v>2958</v>
      </c>
    </row>
    <row r="20" spans="1:10" x14ac:dyDescent="0.2">
      <c r="A20" t="s">
        <v>1763</v>
      </c>
      <c r="B20" t="s">
        <v>2379</v>
      </c>
      <c r="C20" s="2">
        <v>7</v>
      </c>
      <c r="D20" s="2" t="s">
        <v>994</v>
      </c>
      <c r="E20" s="2">
        <v>1539</v>
      </c>
      <c r="F20" s="2">
        <v>692</v>
      </c>
      <c r="G20" s="2">
        <v>-439</v>
      </c>
      <c r="H20" s="2">
        <v>0</v>
      </c>
      <c r="J20" t="s">
        <v>2959</v>
      </c>
    </row>
    <row r="21" spans="1:10" x14ac:dyDescent="0.2">
      <c r="A21" t="s">
        <v>1733</v>
      </c>
      <c r="B21" t="s">
        <v>2379</v>
      </c>
      <c r="C21" s="2">
        <v>8</v>
      </c>
      <c r="D21" s="2" t="s">
        <v>994</v>
      </c>
      <c r="E21" s="2">
        <v>3273</v>
      </c>
      <c r="F21" s="2">
        <v>3697</v>
      </c>
      <c r="G21" s="2">
        <v>-660</v>
      </c>
      <c r="H21" s="2">
        <v>0</v>
      </c>
      <c r="J21" t="s">
        <v>2960</v>
      </c>
    </row>
    <row r="22" spans="1:10" x14ac:dyDescent="0.2">
      <c r="A22" t="s">
        <v>1751</v>
      </c>
      <c r="B22" t="s">
        <v>2379</v>
      </c>
      <c r="C22" s="2">
        <v>8</v>
      </c>
      <c r="D22" s="2" t="s">
        <v>994</v>
      </c>
      <c r="E22" s="2">
        <v>4112</v>
      </c>
      <c r="F22" s="2">
        <v>3215</v>
      </c>
      <c r="G22" s="2">
        <v>-611</v>
      </c>
      <c r="H22" s="2">
        <v>0</v>
      </c>
      <c r="J22" t="s">
        <v>2961</v>
      </c>
    </row>
    <row r="23" spans="1:10" x14ac:dyDescent="0.2">
      <c r="A23" t="s">
        <v>1755</v>
      </c>
      <c r="B23" t="s">
        <v>2380</v>
      </c>
      <c r="C23" s="2">
        <v>8</v>
      </c>
      <c r="D23" s="2" t="s">
        <v>994</v>
      </c>
      <c r="E23" s="2">
        <v>3986</v>
      </c>
      <c r="F23" s="2">
        <v>1583</v>
      </c>
      <c r="G23" s="2">
        <v>-576</v>
      </c>
      <c r="H23" s="2">
        <v>0</v>
      </c>
      <c r="J23" t="s">
        <v>2962</v>
      </c>
    </row>
    <row r="24" spans="1:10" x14ac:dyDescent="0.2">
      <c r="A24" t="s">
        <v>1774</v>
      </c>
      <c r="B24" t="s">
        <v>2379</v>
      </c>
      <c r="C24" s="2">
        <v>8</v>
      </c>
      <c r="D24" s="2" t="s">
        <v>994</v>
      </c>
      <c r="E24" s="2">
        <v>3606</v>
      </c>
      <c r="F24" s="2">
        <v>2281</v>
      </c>
      <c r="G24" s="2">
        <v>-478</v>
      </c>
      <c r="H24" s="2">
        <v>0</v>
      </c>
      <c r="J24" t="s">
        <v>2963</v>
      </c>
    </row>
    <row r="25" spans="1:10" x14ac:dyDescent="0.2">
      <c r="A25" t="s">
        <v>1739</v>
      </c>
      <c r="B25" t="s">
        <v>2380</v>
      </c>
      <c r="C25" s="2">
        <v>9</v>
      </c>
      <c r="D25" s="2" t="s">
        <v>994</v>
      </c>
      <c r="E25" s="2">
        <v>3257</v>
      </c>
      <c r="F25" s="2">
        <v>593</v>
      </c>
      <c r="G25" s="2">
        <v>-750</v>
      </c>
      <c r="H25" s="2">
        <v>0</v>
      </c>
      <c r="J25" t="s">
        <v>2964</v>
      </c>
    </row>
    <row r="26" spans="1:10" x14ac:dyDescent="0.2">
      <c r="A26" t="s">
        <v>1754</v>
      </c>
      <c r="B26" t="s">
        <v>2379</v>
      </c>
      <c r="C26" s="2">
        <v>9</v>
      </c>
      <c r="D26" s="2" t="s">
        <v>994</v>
      </c>
      <c r="E26" s="2">
        <v>3618</v>
      </c>
      <c r="F26" s="2">
        <v>-569</v>
      </c>
      <c r="G26" s="2">
        <v>-455</v>
      </c>
      <c r="H26" s="2">
        <v>0</v>
      </c>
      <c r="J26" t="s">
        <v>2965</v>
      </c>
    </row>
    <row r="27" spans="1:10" x14ac:dyDescent="0.2">
      <c r="A27" t="s">
        <v>1772</v>
      </c>
      <c r="B27" t="s">
        <v>2379</v>
      </c>
      <c r="C27" s="2">
        <v>9</v>
      </c>
      <c r="D27" s="2" t="s">
        <v>994</v>
      </c>
      <c r="E27" s="2">
        <v>4412</v>
      </c>
      <c r="F27" s="2">
        <v>637</v>
      </c>
      <c r="G27" s="2">
        <v>-709</v>
      </c>
      <c r="H27" s="2">
        <v>0</v>
      </c>
      <c r="J27" t="s">
        <v>2966</v>
      </c>
    </row>
    <row r="28" spans="1:10" x14ac:dyDescent="0.2">
      <c r="A28" t="s">
        <v>1756</v>
      </c>
      <c r="B28" t="s">
        <v>2379</v>
      </c>
      <c r="C28" s="2">
        <v>10</v>
      </c>
      <c r="D28" s="2" t="s">
        <v>994</v>
      </c>
      <c r="E28" s="2">
        <v>1168</v>
      </c>
      <c r="F28" s="2">
        <v>600</v>
      </c>
      <c r="G28" s="2">
        <v>-408</v>
      </c>
      <c r="H28" s="2">
        <v>0</v>
      </c>
      <c r="J28" t="s">
        <v>2967</v>
      </c>
    </row>
    <row r="29" spans="1:10" x14ac:dyDescent="0.2">
      <c r="A29" t="s">
        <v>1759</v>
      </c>
      <c r="B29" t="s">
        <v>2380</v>
      </c>
      <c r="C29" s="2">
        <v>10</v>
      </c>
      <c r="D29" s="2" t="s">
        <v>994</v>
      </c>
      <c r="E29" s="2">
        <v>1796</v>
      </c>
      <c r="F29" s="2">
        <v>-1226</v>
      </c>
      <c r="G29" s="2">
        <v>-629</v>
      </c>
      <c r="H29" s="2">
        <v>0</v>
      </c>
      <c r="J29" t="s">
        <v>2968</v>
      </c>
    </row>
    <row r="30" spans="1:10" x14ac:dyDescent="0.2">
      <c r="A30" t="s">
        <v>1765</v>
      </c>
      <c r="B30" t="s">
        <v>2379</v>
      </c>
      <c r="C30" s="2">
        <v>10</v>
      </c>
      <c r="D30" s="2" t="s">
        <v>994</v>
      </c>
      <c r="E30" s="2">
        <v>2078</v>
      </c>
      <c r="F30" s="2">
        <v>-1625</v>
      </c>
      <c r="G30" s="2">
        <v>-464</v>
      </c>
      <c r="H30" s="2">
        <v>0</v>
      </c>
      <c r="J30" t="s">
        <v>2969</v>
      </c>
    </row>
    <row r="31" spans="1:10" x14ac:dyDescent="0.2">
      <c r="A31" t="s">
        <v>1769</v>
      </c>
      <c r="B31" t="s">
        <v>2379</v>
      </c>
      <c r="C31" s="2">
        <v>10</v>
      </c>
      <c r="D31" s="2" t="s">
        <v>994</v>
      </c>
      <c r="E31" s="2">
        <v>2542</v>
      </c>
      <c r="F31" s="2">
        <v>-544</v>
      </c>
      <c r="G31" s="2">
        <v>-476</v>
      </c>
      <c r="H31" s="2">
        <v>0</v>
      </c>
      <c r="J31" t="s">
        <v>2970</v>
      </c>
    </row>
    <row r="32" spans="1:10" x14ac:dyDescent="0.2">
      <c r="A32" t="s">
        <v>1741</v>
      </c>
      <c r="B32" t="s">
        <v>2380</v>
      </c>
      <c r="C32" s="2">
        <v>11</v>
      </c>
      <c r="D32" s="2" t="s">
        <v>994</v>
      </c>
      <c r="E32" s="2">
        <v>3562</v>
      </c>
      <c r="F32" s="2">
        <v>-2209</v>
      </c>
      <c r="G32" s="2">
        <v>-588</v>
      </c>
      <c r="H32" s="2">
        <v>0</v>
      </c>
      <c r="J32" t="s">
        <v>2971</v>
      </c>
    </row>
    <row r="33" spans="1:10" x14ac:dyDescent="0.2">
      <c r="A33" t="s">
        <v>1770</v>
      </c>
      <c r="B33" t="s">
        <v>2379</v>
      </c>
      <c r="C33" s="2">
        <v>11</v>
      </c>
      <c r="D33" s="2" t="s">
        <v>994</v>
      </c>
      <c r="E33" s="2">
        <v>3261</v>
      </c>
      <c r="F33" s="2">
        <v>-1445</v>
      </c>
      <c r="G33" s="2">
        <v>-657</v>
      </c>
      <c r="H33" s="2">
        <v>0</v>
      </c>
      <c r="J33" t="s">
        <v>2972</v>
      </c>
    </row>
    <row r="34" spans="1:10" x14ac:dyDescent="0.2">
      <c r="A34" t="s">
        <v>1744</v>
      </c>
      <c r="B34" t="s">
        <v>2380</v>
      </c>
      <c r="C34" s="2">
        <v>12</v>
      </c>
      <c r="D34" s="2" t="s">
        <v>994</v>
      </c>
      <c r="E34" s="2">
        <v>2946</v>
      </c>
      <c r="F34" s="2">
        <v>-3338</v>
      </c>
      <c r="G34" s="2">
        <v>-453</v>
      </c>
      <c r="H34" s="2">
        <v>0</v>
      </c>
      <c r="J34" t="s">
        <v>2973</v>
      </c>
    </row>
    <row r="35" spans="1:10" x14ac:dyDescent="0.2">
      <c r="A35" s="20" t="s">
        <v>1760</v>
      </c>
      <c r="B35" t="s">
        <v>2379</v>
      </c>
      <c r="C35" s="2">
        <v>12</v>
      </c>
      <c r="D35" s="2" t="s">
        <v>994</v>
      </c>
      <c r="E35" s="2">
        <v>2963</v>
      </c>
      <c r="F35" s="2">
        <v>-2571</v>
      </c>
      <c r="G35" s="2">
        <v>-507</v>
      </c>
      <c r="H35" s="2">
        <v>0</v>
      </c>
      <c r="J35" t="s">
        <v>2974</v>
      </c>
    </row>
    <row r="36" spans="1:10" x14ac:dyDescent="0.2">
      <c r="A36" t="s">
        <v>1736</v>
      </c>
      <c r="B36" t="s">
        <v>2379</v>
      </c>
      <c r="C36" s="2">
        <v>13</v>
      </c>
      <c r="D36" s="2" t="s">
        <v>994</v>
      </c>
      <c r="E36" s="2">
        <v>246</v>
      </c>
      <c r="F36" s="2">
        <v>-2170</v>
      </c>
      <c r="G36" s="2">
        <v>-486</v>
      </c>
      <c r="H36" s="2">
        <v>0</v>
      </c>
      <c r="J36" t="s">
        <v>2975</v>
      </c>
    </row>
    <row r="37" spans="1:10" x14ac:dyDescent="0.2">
      <c r="A37" s="20" t="s">
        <v>1761</v>
      </c>
      <c r="B37" t="s">
        <v>2379</v>
      </c>
      <c r="C37" s="2">
        <v>13</v>
      </c>
      <c r="D37" s="2" t="s">
        <v>994</v>
      </c>
      <c r="E37" s="2">
        <v>-1225</v>
      </c>
      <c r="F37" s="2">
        <v>-2611</v>
      </c>
      <c r="G37" s="2">
        <v>-480</v>
      </c>
      <c r="H37" s="2">
        <v>0</v>
      </c>
      <c r="J37" t="s">
        <v>2976</v>
      </c>
    </row>
    <row r="38" spans="1:10" x14ac:dyDescent="0.2">
      <c r="A38" t="s">
        <v>1775</v>
      </c>
      <c r="B38" t="s">
        <v>2379</v>
      </c>
      <c r="C38" s="2">
        <v>13</v>
      </c>
      <c r="D38" s="2" t="s">
        <v>994</v>
      </c>
      <c r="E38" s="2">
        <v>417</v>
      </c>
      <c r="F38" s="2">
        <v>-3673</v>
      </c>
      <c r="G38" s="2">
        <v>-498</v>
      </c>
      <c r="H38" s="2">
        <v>0</v>
      </c>
      <c r="J38" t="s">
        <v>2977</v>
      </c>
    </row>
    <row r="39" spans="1:10" x14ac:dyDescent="0.2">
      <c r="A39" t="s">
        <v>1737</v>
      </c>
      <c r="B39" t="s">
        <v>2379</v>
      </c>
      <c r="C39" s="2">
        <v>14</v>
      </c>
      <c r="D39" s="2" t="s">
        <v>994</v>
      </c>
      <c r="E39" s="2">
        <v>-2409</v>
      </c>
      <c r="F39" s="2">
        <v>-3485</v>
      </c>
      <c r="G39" s="2">
        <v>-394</v>
      </c>
      <c r="H39" s="2">
        <v>0</v>
      </c>
      <c r="J39" t="s">
        <v>2978</v>
      </c>
    </row>
    <row r="40" spans="1:10" x14ac:dyDescent="0.2">
      <c r="A40" t="s">
        <v>1753</v>
      </c>
      <c r="B40" t="s">
        <v>2380</v>
      </c>
      <c r="C40" s="2">
        <v>14</v>
      </c>
      <c r="D40" s="2" t="s">
        <v>994</v>
      </c>
      <c r="E40" s="2">
        <v>-3846</v>
      </c>
      <c r="F40" s="2">
        <v>-2941</v>
      </c>
      <c r="G40" s="2">
        <v>-487</v>
      </c>
      <c r="H40" s="2">
        <v>0</v>
      </c>
      <c r="J40" t="s">
        <v>2979</v>
      </c>
    </row>
    <row r="41" spans="1:10" x14ac:dyDescent="0.2">
      <c r="A41" t="s">
        <v>1757</v>
      </c>
      <c r="B41" t="s">
        <v>2380</v>
      </c>
      <c r="C41" s="2">
        <v>14</v>
      </c>
      <c r="D41" s="2" t="s">
        <v>994</v>
      </c>
      <c r="E41" s="2">
        <v>-3210</v>
      </c>
      <c r="F41" s="2">
        <v>-2473</v>
      </c>
      <c r="G41" s="2">
        <v>-475</v>
      </c>
      <c r="H41" s="2">
        <v>0</v>
      </c>
      <c r="J41" t="s">
        <v>2980</v>
      </c>
    </row>
    <row r="42" spans="1:10" x14ac:dyDescent="0.2">
      <c r="A42" s="20" t="s">
        <v>1762</v>
      </c>
      <c r="B42" t="s">
        <v>2379</v>
      </c>
      <c r="C42" s="2">
        <v>14</v>
      </c>
      <c r="D42" s="2" t="s">
        <v>994</v>
      </c>
      <c r="E42" s="2">
        <v>-4546</v>
      </c>
      <c r="F42" s="2">
        <v>-2170</v>
      </c>
      <c r="G42" s="2">
        <v>-489</v>
      </c>
      <c r="H42" s="2">
        <v>0</v>
      </c>
      <c r="J42" t="s">
        <v>2981</v>
      </c>
    </row>
    <row r="43" spans="1:10" x14ac:dyDescent="0.2">
      <c r="A43" t="s">
        <v>1766</v>
      </c>
      <c r="B43" t="s">
        <v>2379</v>
      </c>
      <c r="C43" s="2">
        <v>14</v>
      </c>
      <c r="D43" s="2" t="s">
        <v>994</v>
      </c>
      <c r="E43" s="2">
        <v>-2694</v>
      </c>
      <c r="F43" s="2">
        <v>-2882</v>
      </c>
      <c r="G43" s="2">
        <v>-467</v>
      </c>
      <c r="H43" s="2">
        <v>0</v>
      </c>
      <c r="J43" t="s">
        <v>2982</v>
      </c>
    </row>
    <row r="44" spans="1:10" x14ac:dyDescent="0.2">
      <c r="A44" t="s">
        <v>1773</v>
      </c>
      <c r="B44" t="s">
        <v>2379</v>
      </c>
      <c r="C44" s="2">
        <v>14</v>
      </c>
      <c r="D44" s="2" t="s">
        <v>994</v>
      </c>
      <c r="E44" s="2">
        <v>-3262</v>
      </c>
      <c r="F44" s="2">
        <v>-3780</v>
      </c>
      <c r="G44" s="2">
        <v>-494</v>
      </c>
      <c r="H44" s="2">
        <v>0</v>
      </c>
      <c r="J44" t="s">
        <v>2983</v>
      </c>
    </row>
    <row r="45" spans="1:10" x14ac:dyDescent="0.2">
      <c r="A45" t="s">
        <v>1746</v>
      </c>
      <c r="B45" t="s">
        <v>2379</v>
      </c>
      <c r="C45" s="2">
        <v>15</v>
      </c>
      <c r="D45" s="2" t="s">
        <v>994</v>
      </c>
      <c r="E45" s="2">
        <v>-3075</v>
      </c>
      <c r="F45" s="2">
        <v>-1580</v>
      </c>
      <c r="G45" s="2">
        <v>-913</v>
      </c>
      <c r="H45" s="2">
        <v>0</v>
      </c>
      <c r="J45" t="s">
        <v>2984</v>
      </c>
    </row>
    <row r="46" spans="1:10" x14ac:dyDescent="0.2">
      <c r="A46" t="s">
        <v>1758</v>
      </c>
      <c r="B46" t="s">
        <v>2379</v>
      </c>
      <c r="C46" s="2">
        <v>15</v>
      </c>
      <c r="D46" s="2" t="s">
        <v>994</v>
      </c>
      <c r="E46" s="2">
        <v>-3403</v>
      </c>
      <c r="F46" s="2">
        <v>-222</v>
      </c>
      <c r="G46" s="2">
        <v>-482</v>
      </c>
      <c r="H46" s="2">
        <v>0</v>
      </c>
      <c r="J46" t="s">
        <v>2985</v>
      </c>
    </row>
    <row r="47" spans="1:10" x14ac:dyDescent="0.2">
      <c r="A47" t="s">
        <v>1767</v>
      </c>
      <c r="B47" t="s">
        <v>2379</v>
      </c>
      <c r="C47" s="2">
        <v>15</v>
      </c>
      <c r="D47" s="2" t="s">
        <v>994</v>
      </c>
      <c r="E47" s="2">
        <v>-4457</v>
      </c>
      <c r="F47" s="2">
        <v>-994</v>
      </c>
      <c r="G47" s="2">
        <v>-861</v>
      </c>
      <c r="H47" s="2">
        <v>0</v>
      </c>
      <c r="J47" t="s">
        <v>2986</v>
      </c>
    </row>
  </sheetData>
  <autoFilter ref="A1:J47" xr:uid="{3BDD50D9-6DB9-5C44-8AA5-7C1D2FE18817}">
    <sortState xmlns:xlrd2="http://schemas.microsoft.com/office/spreadsheetml/2017/richdata2" ref="A2:J47">
      <sortCondition ref="C1:C47"/>
    </sortState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DD02C-AB99-BC4D-86A6-FC099779DCBC}">
  <sheetPr codeName="Sheet6">
    <tabColor theme="9"/>
  </sheetPr>
  <dimension ref="A1:I13"/>
  <sheetViews>
    <sheetView workbookViewId="0">
      <selection activeCell="I13" sqref="I2:I13"/>
    </sheetView>
  </sheetViews>
  <sheetFormatPr baseColWidth="10" defaultRowHeight="16" x14ac:dyDescent="0.2"/>
  <cols>
    <col min="1" max="1" width="19.1640625" bestFit="1" customWidth="1"/>
    <col min="2" max="2" width="12.6640625" bestFit="1" customWidth="1"/>
  </cols>
  <sheetData>
    <row r="1" spans="1:9" s="6" customFormat="1" x14ac:dyDescent="0.2">
      <c r="A1" s="6" t="s">
        <v>781</v>
      </c>
      <c r="B1" s="6" t="s">
        <v>2083</v>
      </c>
      <c r="C1" s="6" t="s">
        <v>2074</v>
      </c>
      <c r="D1" s="6" t="s">
        <v>777</v>
      </c>
      <c r="E1" s="6" t="s">
        <v>778</v>
      </c>
      <c r="F1" s="6" t="s">
        <v>779</v>
      </c>
      <c r="G1" s="6" t="s">
        <v>780</v>
      </c>
      <c r="H1" s="6" t="s">
        <v>2081</v>
      </c>
      <c r="I1" s="6" t="s">
        <v>2075</v>
      </c>
    </row>
    <row r="2" spans="1:9" x14ac:dyDescent="0.2">
      <c r="A2" t="s">
        <v>2278</v>
      </c>
      <c r="B2" t="s">
        <v>1115</v>
      </c>
      <c r="C2">
        <v>2</v>
      </c>
      <c r="D2" t="s">
        <v>783</v>
      </c>
      <c r="E2">
        <v>-1238</v>
      </c>
      <c r="F2">
        <v>-1936</v>
      </c>
      <c r="G2">
        <v>979</v>
      </c>
      <c r="I2" t="str">
        <f t="shared" ref="I2:I13" si="0">"{ name: "&amp;CHAR(34)&amp;A2&amp;CHAR(34)&amp;", landmark: "&amp;CHAR(34)&amp;"Ancient Tablet"&amp;CHAR(34)&amp;", type: "&amp;CHAR(34)&amp;B2&amp;CHAR(34)&amp;", region: "&amp;C2&amp;", level: "&amp;CHAR(34)&amp;D2&amp;CHAR(34)&amp;", x: "&amp;E2&amp;", y: "&amp;F2&amp;", z: "&amp;G2&amp;", details: "&amp;CHAR(34)&amp;H2&amp;CHAR(34)&amp;" },"</f>
        <v>{ name: "South Hyrule Sky", landmark: "Ancient Tablet", type: "Ancient Tablet", region: 2, level: "Sky", x: -1238, y: -1936, z: 979, details: "" },</v>
      </c>
    </row>
    <row r="3" spans="1:9" x14ac:dyDescent="0.2">
      <c r="A3" t="s">
        <v>2281</v>
      </c>
      <c r="B3" t="s">
        <v>1115</v>
      </c>
      <c r="C3">
        <v>4</v>
      </c>
      <c r="D3" t="s">
        <v>783</v>
      </c>
      <c r="E3">
        <v>-4042</v>
      </c>
      <c r="F3">
        <v>3203</v>
      </c>
      <c r="G3">
        <v>444</v>
      </c>
      <c r="I3" t="str">
        <f t="shared" si="0"/>
        <v>{ name: "West Hebra Sky", landmark: "Ancient Tablet", type: "Ancient Tablet", region: 4, level: "Sky", x: -4042, y: 3203, z: 444, details: "" },</v>
      </c>
    </row>
    <row r="4" spans="1:9" x14ac:dyDescent="0.2">
      <c r="A4" t="s">
        <v>2273</v>
      </c>
      <c r="B4" t="s">
        <v>1115</v>
      </c>
      <c r="C4">
        <v>5</v>
      </c>
      <c r="D4" t="s">
        <v>783</v>
      </c>
      <c r="E4">
        <v>-1366</v>
      </c>
      <c r="F4">
        <v>3574</v>
      </c>
      <c r="G4">
        <v>904</v>
      </c>
      <c r="I4" t="str">
        <f t="shared" si="0"/>
        <v>{ name: "East Hebra Sky", landmark: "Ancient Tablet", type: "Ancient Tablet", region: 5, level: "Sky", x: -1366, y: 3574, z: 904, details: "" },</v>
      </c>
    </row>
    <row r="5" spans="1:9" x14ac:dyDescent="0.2">
      <c r="A5" t="s">
        <v>2274</v>
      </c>
      <c r="B5" t="s">
        <v>1115</v>
      </c>
      <c r="C5">
        <v>6</v>
      </c>
      <c r="D5" t="s">
        <v>783</v>
      </c>
      <c r="E5">
        <v>-44</v>
      </c>
      <c r="F5">
        <v>2992</v>
      </c>
      <c r="G5">
        <v>1330</v>
      </c>
      <c r="I5" t="str">
        <f t="shared" si="0"/>
        <v>{ name: "North Hyrule Sky", landmark: "Ancient Tablet", type: "Ancient Tablet", region: 6, level: "Sky", x: -44, y: 2992, z: 1330, details: "" },</v>
      </c>
    </row>
    <row r="6" spans="1:9" x14ac:dyDescent="0.2">
      <c r="A6" t="s">
        <v>2277</v>
      </c>
      <c r="B6" t="s">
        <v>1115</v>
      </c>
      <c r="C6">
        <v>7</v>
      </c>
      <c r="D6" t="s">
        <v>783</v>
      </c>
      <c r="E6">
        <v>2217</v>
      </c>
      <c r="F6">
        <v>990</v>
      </c>
      <c r="G6">
        <v>1142</v>
      </c>
      <c r="I6" t="str">
        <f t="shared" si="0"/>
        <v>{ name: "South Eldin Sky", landmark: "Ancient Tablet", type: "Ancient Tablet", region: 7, level: "Sky", x: 2217, y: 990, z: 1142, details: "" },</v>
      </c>
    </row>
    <row r="7" spans="1:9" x14ac:dyDescent="0.2">
      <c r="A7" t="s">
        <v>2276</v>
      </c>
      <c r="B7" t="s">
        <v>1115</v>
      </c>
      <c r="C7">
        <v>8</v>
      </c>
      <c r="D7" t="s">
        <v>783</v>
      </c>
      <c r="E7">
        <v>3581</v>
      </c>
      <c r="F7">
        <v>1750</v>
      </c>
      <c r="G7">
        <v>884</v>
      </c>
      <c r="I7" t="str">
        <f t="shared" si="0"/>
        <v>{ name: "Sokkala Sky", landmark: "Ancient Tablet", type: "Ancient Tablet", region: 8, level: "Sky", x: 3581, y: 1750, z: 884, details: "" },</v>
      </c>
    </row>
    <row r="8" spans="1:9" x14ac:dyDescent="0.2">
      <c r="A8" t="s">
        <v>1423</v>
      </c>
      <c r="B8" t="s">
        <v>1115</v>
      </c>
      <c r="C8">
        <v>9</v>
      </c>
      <c r="D8" t="s">
        <v>783</v>
      </c>
      <c r="E8">
        <v>2915</v>
      </c>
      <c r="F8">
        <v>202</v>
      </c>
      <c r="G8">
        <v>797</v>
      </c>
      <c r="I8" t="str">
        <f t="shared" si="0"/>
        <v>{ name: "Lanayru Sky", landmark: "Ancient Tablet", type: "Ancient Tablet", region: 9, level: "Sky", x: 2915, y: 202, z: 797, details: "" },</v>
      </c>
    </row>
    <row r="9" spans="1:9" x14ac:dyDescent="0.2">
      <c r="A9" t="s">
        <v>2279</v>
      </c>
      <c r="B9" t="s">
        <v>1115</v>
      </c>
      <c r="C9">
        <v>10</v>
      </c>
      <c r="D9" t="s">
        <v>783</v>
      </c>
      <c r="E9">
        <v>3917</v>
      </c>
      <c r="F9">
        <v>-2468</v>
      </c>
      <c r="G9">
        <v>1194</v>
      </c>
      <c r="I9" t="str">
        <f t="shared" si="0"/>
        <v>{ name: "South Lanayru Sky", landmark: "Ancient Tablet", type: "Ancient Tablet", region: 10, level: "Sky", x: 3917, y: -2468, z: 1194, details: "" },</v>
      </c>
    </row>
    <row r="10" spans="1:9" x14ac:dyDescent="0.2">
      <c r="A10" s="20" t="s">
        <v>1501</v>
      </c>
      <c r="B10" t="s">
        <v>1115</v>
      </c>
      <c r="C10">
        <v>12</v>
      </c>
      <c r="D10" t="s">
        <v>783</v>
      </c>
      <c r="E10">
        <v>2080</v>
      </c>
      <c r="F10">
        <v>-2730</v>
      </c>
      <c r="G10">
        <v>317</v>
      </c>
      <c r="I10" t="str">
        <f t="shared" si="0"/>
        <v>{ name: "Necluda Sky", landmark: "Ancient Tablet", type: "Ancient Tablet", region: 12, level: "Sky", x: 2080, y: -2730, z: 317, details: "" },</v>
      </c>
    </row>
    <row r="11" spans="1:9" x14ac:dyDescent="0.2">
      <c r="A11" t="s">
        <v>2282</v>
      </c>
      <c r="B11" t="s">
        <v>1115</v>
      </c>
      <c r="C11">
        <v>13</v>
      </c>
      <c r="D11" t="s">
        <v>783</v>
      </c>
      <c r="E11">
        <v>482</v>
      </c>
      <c r="F11">
        <v>-2249</v>
      </c>
      <c r="G11">
        <v>394</v>
      </c>
      <c r="I11" t="str">
        <f t="shared" si="0"/>
        <v>{ name: "West Necluda Sky", landmark: "Ancient Tablet", type: "Ancient Tablet", region: 13, level: "Sky", x: 482, y: -2249, z: 394, details: "" },</v>
      </c>
    </row>
    <row r="12" spans="1:9" x14ac:dyDescent="0.2">
      <c r="A12" t="s">
        <v>2272</v>
      </c>
      <c r="B12" t="s">
        <v>1115</v>
      </c>
      <c r="C12">
        <v>14</v>
      </c>
      <c r="D12" t="s">
        <v>783</v>
      </c>
      <c r="E12">
        <v>-2446</v>
      </c>
      <c r="F12">
        <v>-3257</v>
      </c>
      <c r="G12">
        <v>47</v>
      </c>
      <c r="I12" t="str">
        <f t="shared" si="0"/>
        <v>{ name: "East Gerudo Sky", landmark: "Ancient Tablet", type: "Ancient Tablet", region: 14, level: "Sky", x: -2446, y: -3257, z: 47, details: "" },</v>
      </c>
    </row>
    <row r="13" spans="1:9" x14ac:dyDescent="0.2">
      <c r="A13" t="s">
        <v>2441</v>
      </c>
      <c r="B13" t="s">
        <v>1115</v>
      </c>
      <c r="C13">
        <v>15</v>
      </c>
      <c r="D13" t="s">
        <v>783</v>
      </c>
      <c r="E13">
        <v>-3606</v>
      </c>
      <c r="F13">
        <v>-935</v>
      </c>
      <c r="G13">
        <v>495</v>
      </c>
      <c r="I13" t="str">
        <f t="shared" si="0"/>
        <v>{ name: "North Gerudo Sky", landmark: "Ancient Tablet", type: "Ancient Tablet", region: 15, level: "Sky", x: -3606, y: -935, z: 495, details: "" },</v>
      </c>
    </row>
  </sheetData>
  <autoFilter ref="A1:I2" xr:uid="{A095D5C8-FF81-DA46-ADE3-61DE071C2139}">
    <sortState xmlns:xlrd2="http://schemas.microsoft.com/office/spreadsheetml/2017/richdata2" ref="A2:I13">
      <sortCondition ref="C1:C13"/>
    </sortState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08E21-B57A-C24F-B6A4-3683B74ECD1E}">
  <sheetPr codeName="Sheet22">
    <tabColor theme="9"/>
  </sheetPr>
  <dimension ref="A1:I8"/>
  <sheetViews>
    <sheetView workbookViewId="0">
      <selection activeCell="R38" sqref="R38"/>
    </sheetView>
  </sheetViews>
  <sheetFormatPr baseColWidth="10" defaultRowHeight="16" x14ac:dyDescent="0.2"/>
  <cols>
    <col min="1" max="1" width="14" bestFit="1" customWidth="1"/>
    <col min="2" max="2" width="14.6640625" bestFit="1" customWidth="1"/>
  </cols>
  <sheetData>
    <row r="1" spans="1:9" s="6" customFormat="1" x14ac:dyDescent="0.2">
      <c r="A1" s="6" t="s">
        <v>781</v>
      </c>
      <c r="B1" s="6" t="s">
        <v>2083</v>
      </c>
      <c r="C1" s="6" t="s">
        <v>2074</v>
      </c>
      <c r="D1" s="6" t="s">
        <v>777</v>
      </c>
      <c r="E1" s="6" t="s">
        <v>778</v>
      </c>
      <c r="F1" s="6" t="s">
        <v>779</v>
      </c>
      <c r="G1" s="6" t="s">
        <v>780</v>
      </c>
      <c r="H1" s="6" t="s">
        <v>2081</v>
      </c>
      <c r="I1" s="6" t="s">
        <v>2075</v>
      </c>
    </row>
    <row r="2" spans="1:9" x14ac:dyDescent="0.2">
      <c r="A2" t="s">
        <v>1441</v>
      </c>
      <c r="B2" t="s">
        <v>1130</v>
      </c>
      <c r="C2">
        <v>1</v>
      </c>
      <c r="D2" t="s">
        <v>785</v>
      </c>
      <c r="E2">
        <v>-251</v>
      </c>
      <c r="F2">
        <v>151</v>
      </c>
      <c r="G2">
        <v>20</v>
      </c>
      <c r="I2" t="str">
        <f>"{ name: "&amp;CHAR(34)&amp;A2&amp;CHAR(34)&amp;", landmark: "&amp;CHAR(34)&amp;"Statue"&amp;CHAR(34)&amp;", type: "&amp;CHAR(34)&amp;B2&amp;CHAR(34)&amp;", region: "&amp;C2&amp;", level: "&amp;CHAR(34)&amp;D2&amp;CHAR(34)&amp;", x: "&amp;E2&amp;", y: "&amp;F2&amp;", z: "&amp;G2&amp;", details: "&amp;CHAR(34)&amp;H2&amp;CHAR(34)&amp;" },"</f>
        <v>{ name: "Lookout Landing", landmark: "Statue", type: "Bargainer Statue", region: 1, level: "Surface", x: -251, y: 151, z: 20, details: "" },</v>
      </c>
    </row>
    <row r="3" spans="1:9" x14ac:dyDescent="0.2">
      <c r="A3" t="s">
        <v>2446</v>
      </c>
      <c r="B3" t="s">
        <v>1130</v>
      </c>
      <c r="C3">
        <v>1</v>
      </c>
      <c r="D3" t="s">
        <v>994</v>
      </c>
      <c r="E3">
        <v>460</v>
      </c>
      <c r="F3">
        <v>-806</v>
      </c>
      <c r="G3">
        <v>-489</v>
      </c>
      <c r="I3" t="s">
        <v>2455</v>
      </c>
    </row>
    <row r="4" spans="1:9" x14ac:dyDescent="0.2">
      <c r="A4" t="s">
        <v>2447</v>
      </c>
      <c r="B4" t="s">
        <v>1130</v>
      </c>
      <c r="C4">
        <v>2</v>
      </c>
      <c r="D4" t="s">
        <v>994</v>
      </c>
      <c r="E4">
        <v>-778</v>
      </c>
      <c r="F4">
        <v>-1901</v>
      </c>
      <c r="G4">
        <v>-565</v>
      </c>
      <c r="H4" t="s">
        <v>4340</v>
      </c>
      <c r="I4" t="s">
        <v>4341</v>
      </c>
    </row>
    <row r="5" spans="1:9" x14ac:dyDescent="0.2">
      <c r="A5" t="s">
        <v>2448</v>
      </c>
      <c r="B5" t="s">
        <v>1130</v>
      </c>
      <c r="C5">
        <v>5</v>
      </c>
      <c r="D5" t="s">
        <v>994</v>
      </c>
      <c r="E5">
        <v>-1032</v>
      </c>
      <c r="F5">
        <v>2690</v>
      </c>
      <c r="G5">
        <v>-273</v>
      </c>
      <c r="I5" t="s">
        <v>2456</v>
      </c>
    </row>
    <row r="6" spans="1:9" x14ac:dyDescent="0.2">
      <c r="A6" t="s">
        <v>1699</v>
      </c>
      <c r="B6" t="s">
        <v>1130</v>
      </c>
      <c r="C6">
        <v>8</v>
      </c>
      <c r="D6" t="s">
        <v>994</v>
      </c>
      <c r="E6">
        <v>3708</v>
      </c>
      <c r="F6">
        <v>2598</v>
      </c>
      <c r="G6">
        <v>-414</v>
      </c>
      <c r="I6" t="s">
        <v>2457</v>
      </c>
    </row>
    <row r="7" spans="1:9" x14ac:dyDescent="0.2">
      <c r="A7" t="s">
        <v>1700</v>
      </c>
      <c r="B7" t="s">
        <v>1130</v>
      </c>
      <c r="C7">
        <v>11</v>
      </c>
      <c r="D7" t="s">
        <v>994</v>
      </c>
      <c r="E7">
        <v>3850</v>
      </c>
      <c r="F7">
        <v>-1328</v>
      </c>
      <c r="G7">
        <v>-858</v>
      </c>
      <c r="I7" t="s">
        <v>2458</v>
      </c>
    </row>
    <row r="8" spans="1:9" x14ac:dyDescent="0.2">
      <c r="A8" t="s">
        <v>1698</v>
      </c>
      <c r="B8" t="s">
        <v>1130</v>
      </c>
      <c r="C8">
        <v>13</v>
      </c>
      <c r="D8" t="s">
        <v>994</v>
      </c>
      <c r="E8">
        <v>884</v>
      </c>
      <c r="F8">
        <v>-2406</v>
      </c>
      <c r="G8">
        <v>-393</v>
      </c>
      <c r="I8" t="s">
        <v>2459</v>
      </c>
    </row>
  </sheetData>
  <autoFilter ref="A1:I2" xr:uid="{A095D5C8-FF81-DA46-ADE3-61DE071C2139}">
    <sortState xmlns:xlrd2="http://schemas.microsoft.com/office/spreadsheetml/2017/richdata2" ref="A2:I30">
      <sortCondition ref="B1:B30"/>
    </sortState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68EE0-ED4E-D644-BE8D-34069771440A}">
  <sheetPr codeName="Sheet11">
    <tabColor theme="9"/>
  </sheetPr>
  <dimension ref="A1:Q198"/>
  <sheetViews>
    <sheetView topLeftCell="A58" workbookViewId="0">
      <selection activeCell="A78" sqref="A78"/>
    </sheetView>
  </sheetViews>
  <sheetFormatPr baseColWidth="10" defaultRowHeight="16" x14ac:dyDescent="0.2"/>
  <cols>
    <col min="1" max="1" width="29.1640625" bestFit="1" customWidth="1"/>
    <col min="2" max="2" width="16.5" bestFit="1" customWidth="1"/>
    <col min="5" max="5" width="12.83203125" bestFit="1" customWidth="1"/>
    <col min="10" max="10" width="25.1640625" customWidth="1"/>
  </cols>
  <sheetData>
    <row r="1" spans="1:17" s="6" customFormat="1" x14ac:dyDescent="0.2">
      <c r="A1" s="6" t="s">
        <v>781</v>
      </c>
      <c r="B1" s="6" t="s">
        <v>2083</v>
      </c>
      <c r="C1" s="6" t="s">
        <v>2074</v>
      </c>
      <c r="D1" s="6" t="s">
        <v>777</v>
      </c>
      <c r="E1" s="6" t="s">
        <v>778</v>
      </c>
      <c r="F1" s="6" t="s">
        <v>779</v>
      </c>
      <c r="G1" s="6" t="s">
        <v>780</v>
      </c>
      <c r="H1" s="6" t="s">
        <v>2541</v>
      </c>
      <c r="I1" s="6" t="s">
        <v>2544</v>
      </c>
      <c r="J1" s="6" t="s">
        <v>2081</v>
      </c>
      <c r="K1" s="6" t="s">
        <v>2075</v>
      </c>
    </row>
    <row r="2" spans="1:17" x14ac:dyDescent="0.2">
      <c r="A2" t="s">
        <v>855</v>
      </c>
      <c r="B2" t="s">
        <v>2220</v>
      </c>
      <c r="C2">
        <v>1</v>
      </c>
      <c r="D2" t="s">
        <v>785</v>
      </c>
      <c r="E2" s="2">
        <v>-1111</v>
      </c>
      <c r="F2" s="2">
        <v>-432</v>
      </c>
      <c r="G2" s="2">
        <v>22</v>
      </c>
      <c r="H2" s="2">
        <v>4</v>
      </c>
      <c r="I2" s="2" t="s">
        <v>2989</v>
      </c>
      <c r="J2" s="23"/>
      <c r="K2" t="str">
        <f>"{ name: "&amp;CHAR(34)&amp;A2&amp;CHAR(34)&amp;", landmark: "&amp;CHAR(34)&amp;"Cave"&amp;CHAR(34)&amp;", type: "&amp;CHAR(34)&amp;B2&amp;CHAR(34)&amp;", region: "&amp;C2&amp;", level: "&amp;CHAR(34)&amp;D2&amp;CHAR(34)&amp;", x: "&amp;E2&amp;", y: "&amp;F2&amp;", z: "&amp;G2&amp;", zoom: "&amp;IF(LEN(H2)&gt;1,"["&amp;H2&amp;"]",H2)&amp;", size: "&amp;CHAR(34)&amp;I2&amp;CHAR(34)&amp;", details: "&amp;CHAR(34)&amp;J2&amp;CHAR(34)&amp;" },"</f>
        <v>{ name: "Ancient Tree Stump Cave", landmark: "Cave", type: "", region: 1, level: "Surface", x: -1111, y: -432, z: 22, zoom: 4, size: "XS", details: "" },</v>
      </c>
      <c r="N2" s="23"/>
      <c r="O2" s="23"/>
      <c r="P2" s="23"/>
      <c r="Q2" s="23"/>
    </row>
    <row r="3" spans="1:17" x14ac:dyDescent="0.2">
      <c r="A3" t="s">
        <v>929</v>
      </c>
      <c r="B3" t="s">
        <v>2220</v>
      </c>
      <c r="C3">
        <v>1</v>
      </c>
      <c r="D3" t="s">
        <v>785</v>
      </c>
      <c r="E3" s="2">
        <v>-512</v>
      </c>
      <c r="F3" s="2">
        <v>127</v>
      </c>
      <c r="G3" s="2">
        <v>20</v>
      </c>
      <c r="H3" s="2">
        <v>4</v>
      </c>
      <c r="I3" s="2" t="s">
        <v>2989</v>
      </c>
      <c r="J3" s="23"/>
      <c r="K3" t="str">
        <f t="shared" ref="K3:K66" si="0">"{ name: "&amp;CHAR(34)&amp;A3&amp;CHAR(34)&amp;", landmark: "&amp;CHAR(34)&amp;"Cave"&amp;CHAR(34)&amp;", type: "&amp;CHAR(34)&amp;B3&amp;CHAR(34)&amp;", region: "&amp;C3&amp;", level: "&amp;CHAR(34)&amp;D3&amp;CHAR(34)&amp;", x: "&amp;E3&amp;", y: "&amp;F3&amp;", z: "&amp;G3&amp;", zoom: "&amp;IF(LEN(H3)&gt;1,"["&amp;H3&amp;"]",H3)&amp;", size: "&amp;CHAR(34)&amp;I3&amp;CHAR(34)&amp;", details: "&amp;CHAR(34)&amp;J3&amp;CHAR(34)&amp;" },"</f>
        <v>{ name: "Passeri Greenbelt Cave", landmark: "Cave", type: "", region: 1, level: "Surface", x: -512, y: 127, z: 20, zoom: 4, size: "XS", details: "" },</v>
      </c>
      <c r="N3" s="23"/>
      <c r="O3" s="23"/>
      <c r="P3" s="23"/>
      <c r="Q3" s="23"/>
    </row>
    <row r="4" spans="1:17" x14ac:dyDescent="0.2">
      <c r="A4" t="s">
        <v>940</v>
      </c>
      <c r="B4" t="s">
        <v>2237</v>
      </c>
      <c r="C4">
        <v>1</v>
      </c>
      <c r="D4" t="s">
        <v>785</v>
      </c>
      <c r="E4" s="2">
        <v>6</v>
      </c>
      <c r="F4" s="2">
        <v>-157</v>
      </c>
      <c r="G4" s="2">
        <v>30</v>
      </c>
      <c r="H4" s="2">
        <v>4</v>
      </c>
      <c r="I4" s="2" t="s">
        <v>2989</v>
      </c>
      <c r="J4" s="23"/>
      <c r="K4" t="str">
        <f t="shared" si="0"/>
        <v>{ name: "Ranch Ruins Cave", landmark: "Cave", type: "(Entrance 1 of 2)", region: 1, level: "Surface", x: 6, y: -157, z: 30, zoom: 4, size: "XS", details: "" },</v>
      </c>
      <c r="N4" s="23"/>
      <c r="O4" s="23"/>
      <c r="P4" s="23"/>
      <c r="Q4" s="23"/>
    </row>
    <row r="5" spans="1:17" x14ac:dyDescent="0.2">
      <c r="A5" t="s">
        <v>940</v>
      </c>
      <c r="B5" t="s">
        <v>2238</v>
      </c>
      <c r="C5">
        <v>1</v>
      </c>
      <c r="D5" t="s">
        <v>785</v>
      </c>
      <c r="E5" s="2">
        <v>37</v>
      </c>
      <c r="F5" s="2">
        <v>-198</v>
      </c>
      <c r="G5" s="2">
        <v>18</v>
      </c>
      <c r="H5" s="2">
        <v>4</v>
      </c>
      <c r="I5" s="2" t="s">
        <v>2989</v>
      </c>
      <c r="J5" s="23"/>
      <c r="K5" t="str">
        <f t="shared" si="0"/>
        <v>{ name: "Ranch Ruins Cave", landmark: "Cave", type: "(Entrance 2 of 2)", region: 1, level: "Surface", x: 37, y: -198, z: 18, zoom: 4, size: "XS", details: "" },</v>
      </c>
      <c r="N5" s="23"/>
      <c r="O5" s="23"/>
      <c r="P5" s="23"/>
      <c r="Q5" s="23"/>
    </row>
    <row r="6" spans="1:17" x14ac:dyDescent="0.2">
      <c r="A6" t="s">
        <v>950</v>
      </c>
      <c r="B6" t="s">
        <v>2239</v>
      </c>
      <c r="C6">
        <v>1</v>
      </c>
      <c r="D6" t="s">
        <v>785</v>
      </c>
      <c r="E6" s="2">
        <v>-325</v>
      </c>
      <c r="F6" s="2">
        <v>802</v>
      </c>
      <c r="G6" s="2">
        <v>54</v>
      </c>
      <c r="H6" s="2">
        <v>4</v>
      </c>
      <c r="I6" s="2" t="s">
        <v>2989</v>
      </c>
      <c r="J6" s="23"/>
      <c r="K6" t="str">
        <f t="shared" si="0"/>
        <v>{ name: "Royal Hidden Passage", landmark: "Cave", type: "(Entrance 1 of 3)", region: 1, level: "Surface", x: -325, y: 802, z: 54, zoom: 4, size: "XS", details: "" },</v>
      </c>
      <c r="N6" s="23"/>
      <c r="O6" s="23"/>
      <c r="P6" s="23"/>
      <c r="Q6" s="23"/>
    </row>
    <row r="7" spans="1:17" x14ac:dyDescent="0.2">
      <c r="A7" t="s">
        <v>950</v>
      </c>
      <c r="B7" t="s">
        <v>2240</v>
      </c>
      <c r="C7">
        <v>1</v>
      </c>
      <c r="D7" t="s">
        <v>785</v>
      </c>
      <c r="E7" s="2">
        <v>-253</v>
      </c>
      <c r="F7" s="2">
        <v>767</v>
      </c>
      <c r="G7" s="2">
        <v>27</v>
      </c>
      <c r="H7" s="2">
        <v>4</v>
      </c>
      <c r="I7" s="2" t="s">
        <v>2989</v>
      </c>
      <c r="J7" s="23"/>
      <c r="K7" t="str">
        <f t="shared" si="0"/>
        <v>{ name: "Royal Hidden Passage", landmark: "Cave", type: "(Entrance 2 of 3)", region: 1, level: "Surface", x: -253, y: 767, z: 27, zoom: 4, size: "XS", details: "" },</v>
      </c>
      <c r="N7" s="23"/>
      <c r="O7" s="23"/>
      <c r="P7" s="23"/>
      <c r="Q7" s="23"/>
    </row>
    <row r="8" spans="1:17" x14ac:dyDescent="0.2">
      <c r="A8" t="s">
        <v>950</v>
      </c>
      <c r="B8" t="s">
        <v>2241</v>
      </c>
      <c r="C8">
        <v>1</v>
      </c>
      <c r="D8" t="s">
        <v>785</v>
      </c>
      <c r="E8" s="2">
        <v>-254</v>
      </c>
      <c r="F8" s="2">
        <v>129</v>
      </c>
      <c r="G8" s="2">
        <v>8</v>
      </c>
      <c r="H8" s="2">
        <v>4</v>
      </c>
      <c r="I8" s="2" t="s">
        <v>2989</v>
      </c>
      <c r="J8" s="23"/>
      <c r="K8" t="str">
        <f t="shared" si="0"/>
        <v>{ name: "Royal Hidden Passage", landmark: "Cave", type: "(Entrance 3 of 3)", region: 1, level: "Surface", x: -254, y: 129, z: 8, zoom: 4, size: "XS", details: "" },</v>
      </c>
      <c r="N8" s="23"/>
      <c r="O8" s="23"/>
      <c r="P8" s="23"/>
      <c r="Q8" s="23"/>
    </row>
    <row r="9" spans="1:17" x14ac:dyDescent="0.2">
      <c r="A9" t="s">
        <v>951</v>
      </c>
      <c r="B9" t="s">
        <v>2220</v>
      </c>
      <c r="C9">
        <v>1</v>
      </c>
      <c r="D9" t="s">
        <v>785</v>
      </c>
      <c r="E9" s="2">
        <v>-1404</v>
      </c>
      <c r="F9" s="2">
        <v>-256</v>
      </c>
      <c r="G9" s="2">
        <v>-3</v>
      </c>
      <c r="H9" s="2">
        <v>4</v>
      </c>
      <c r="I9" s="2" t="s">
        <v>2989</v>
      </c>
      <c r="J9" s="23"/>
      <c r="K9" t="str">
        <f t="shared" si="0"/>
        <v>{ name: "Sage Temple Cave", landmark: "Cave", type: "", region: 1, level: "Surface", x: -1404, y: -256, z: -3, zoom: 4, size: "XS", details: "" },</v>
      </c>
      <c r="N9" s="23"/>
      <c r="O9" s="23"/>
      <c r="P9" s="23"/>
      <c r="Q9" s="23"/>
    </row>
    <row r="10" spans="1:17" x14ac:dyDescent="0.2">
      <c r="A10" t="s">
        <v>865</v>
      </c>
      <c r="B10" t="s">
        <v>2220</v>
      </c>
      <c r="C10">
        <v>2</v>
      </c>
      <c r="D10" t="s">
        <v>785</v>
      </c>
      <c r="E10" s="2">
        <v>-1167</v>
      </c>
      <c r="F10" s="2">
        <v>-1310</v>
      </c>
      <c r="G10" s="2">
        <v>22</v>
      </c>
      <c r="H10" s="2">
        <v>4</v>
      </c>
      <c r="I10" s="2" t="s">
        <v>2989</v>
      </c>
      <c r="J10" s="23"/>
      <c r="K10" t="str">
        <f t="shared" si="0"/>
        <v>{ name: "Coliseum Ruins Cave", landmark: "Cave", type: "", region: 2, level: "Surface", x: -1167, y: -1310, z: 22, zoom: 4, size: "XS", details: "" },</v>
      </c>
      <c r="N10" s="23"/>
      <c r="O10" s="23"/>
      <c r="P10" s="23"/>
      <c r="Q10" s="23"/>
    </row>
    <row r="11" spans="1:17" x14ac:dyDescent="0.2">
      <c r="A11" t="s">
        <v>892</v>
      </c>
      <c r="B11" t="s">
        <v>2220</v>
      </c>
      <c r="C11">
        <v>2</v>
      </c>
      <c r="D11" t="s">
        <v>785</v>
      </c>
      <c r="E11" s="2">
        <v>-832</v>
      </c>
      <c r="F11" s="2">
        <v>-1488</v>
      </c>
      <c r="G11" s="2">
        <v>26</v>
      </c>
      <c r="H11" s="2">
        <v>4</v>
      </c>
      <c r="I11" s="2" t="s">
        <v>2989</v>
      </c>
      <c r="J11" s="23"/>
      <c r="K11" t="str">
        <f t="shared" si="0"/>
        <v>{ name: "Great Plateau Foothill Cave", landmark: "Cave", type: "", region: 2, level: "Surface", x: -832, y: -1488, z: 26, zoom: 4, size: "XS", details: "" },</v>
      </c>
      <c r="N11" s="23"/>
      <c r="O11" s="23"/>
      <c r="P11" s="23"/>
      <c r="Q11" s="23"/>
    </row>
    <row r="12" spans="1:17" x14ac:dyDescent="0.2">
      <c r="A12" t="s">
        <v>934</v>
      </c>
      <c r="B12" t="s">
        <v>2237</v>
      </c>
      <c r="C12">
        <v>2</v>
      </c>
      <c r="D12" t="s">
        <v>783</v>
      </c>
      <c r="E12" s="2">
        <v>260</v>
      </c>
      <c r="F12" s="2">
        <v>-1557</v>
      </c>
      <c r="G12" s="2">
        <v>1361</v>
      </c>
      <c r="H12" s="2">
        <v>4</v>
      </c>
      <c r="I12" s="2" t="s">
        <v>2989</v>
      </c>
      <c r="J12" s="23"/>
      <c r="K12" t="str">
        <f t="shared" si="0"/>
        <v>{ name: "Pondside Cave", landmark: "Cave", type: "(Entrance 1 of 2)", region: 2, level: "Sky", x: 260, y: -1557, z: 1361, zoom: 4, size: "XS", details: "" },</v>
      </c>
      <c r="N12" s="23"/>
      <c r="O12" s="23"/>
      <c r="P12" s="23"/>
      <c r="Q12" s="23"/>
    </row>
    <row r="13" spans="1:17" x14ac:dyDescent="0.2">
      <c r="A13" t="s">
        <v>934</v>
      </c>
      <c r="B13" t="s">
        <v>2238</v>
      </c>
      <c r="C13">
        <v>2</v>
      </c>
      <c r="D13" t="s">
        <v>783</v>
      </c>
      <c r="E13" s="2">
        <v>170</v>
      </c>
      <c r="F13" s="2">
        <v>-1633</v>
      </c>
      <c r="G13" s="2">
        <v>1377</v>
      </c>
      <c r="H13" s="2">
        <v>4</v>
      </c>
      <c r="I13" s="2" t="s">
        <v>2989</v>
      </c>
      <c r="J13" s="23"/>
      <c r="K13" t="str">
        <f t="shared" si="0"/>
        <v>{ name: "Pondside Cave", landmark: "Cave", type: "(Entrance 2 of 2)", region: 2, level: "Sky", x: 170, y: -1633, z: 1377, zoom: 4, size: "XS", details: "" },</v>
      </c>
      <c r="N13" s="23"/>
      <c r="O13" s="23"/>
      <c r="P13" s="23"/>
      <c r="Q13" s="23"/>
    </row>
    <row r="14" spans="1:17" x14ac:dyDescent="0.2">
      <c r="A14" t="s">
        <v>946</v>
      </c>
      <c r="B14" t="s">
        <v>2220</v>
      </c>
      <c r="C14">
        <v>2</v>
      </c>
      <c r="D14" t="s">
        <v>785</v>
      </c>
      <c r="E14" s="2">
        <v>-1092</v>
      </c>
      <c r="F14" s="2">
        <v>-2162</v>
      </c>
      <c r="G14" s="2">
        <v>143</v>
      </c>
      <c r="H14" s="2">
        <v>4</v>
      </c>
      <c r="I14" s="2" t="s">
        <v>2989</v>
      </c>
      <c r="J14" s="23"/>
      <c r="K14" t="str">
        <f t="shared" si="0"/>
        <v>{ name: "River of the Dead Waterfall Cave", landmark: "Cave", type: "", region: 2, level: "Surface", x: -1092, y: -2162, z: 143, zoom: 4, size: "XS", details: "" },</v>
      </c>
      <c r="N14" s="23"/>
      <c r="O14" s="23"/>
      <c r="P14" s="23"/>
      <c r="Q14" s="23"/>
    </row>
    <row r="15" spans="1:17" x14ac:dyDescent="0.2">
      <c r="A15" t="s">
        <v>954</v>
      </c>
      <c r="B15" t="s">
        <v>2220</v>
      </c>
      <c r="C15">
        <v>2</v>
      </c>
      <c r="D15" t="s">
        <v>785</v>
      </c>
      <c r="E15" s="2">
        <v>-2151</v>
      </c>
      <c r="F15" s="2">
        <v>-360</v>
      </c>
      <c r="G15" s="2">
        <v>276</v>
      </c>
      <c r="H15" s="2">
        <v>4</v>
      </c>
      <c r="I15" s="2" t="s">
        <v>2989</v>
      </c>
      <c r="J15" s="23"/>
      <c r="K15" t="str">
        <f t="shared" si="0"/>
        <v>{ name: "Satori Mountain Cave", landmark: "Cave", type: "", region: 2, level: "Surface", x: -2151, y: -360, z: 276, zoom: 4, size: "XS", details: "" },</v>
      </c>
      <c r="N15" s="23"/>
      <c r="O15" s="23"/>
      <c r="P15" s="23"/>
      <c r="Q15" s="23"/>
    </row>
    <row r="16" spans="1:17" x14ac:dyDescent="0.2">
      <c r="A16" t="s">
        <v>955</v>
      </c>
      <c r="B16" t="s">
        <v>2220</v>
      </c>
      <c r="C16">
        <v>2</v>
      </c>
      <c r="D16" t="s">
        <v>785</v>
      </c>
      <c r="E16" s="2">
        <v>-2198</v>
      </c>
      <c r="F16" s="2">
        <v>-807</v>
      </c>
      <c r="G16" s="2">
        <v>117</v>
      </c>
      <c r="H16" s="2">
        <v>4</v>
      </c>
      <c r="I16" s="2" t="s">
        <v>2989</v>
      </c>
      <c r="J16" s="23"/>
      <c r="K16" t="str">
        <f t="shared" si="0"/>
        <v>{ name: "Satori Mountain Foothill Cave", landmark: "Cave", type: "", region: 2, level: "Surface", x: -2198, y: -807, z: 117, zoom: 4, size: "XS", details: "" },</v>
      </c>
      <c r="N16" s="23"/>
      <c r="O16" s="23"/>
      <c r="P16" s="23"/>
      <c r="Q16" s="23"/>
    </row>
    <row r="17" spans="1:17" x14ac:dyDescent="0.2">
      <c r="A17" t="s">
        <v>956</v>
      </c>
      <c r="B17" t="s">
        <v>2220</v>
      </c>
      <c r="C17">
        <v>2</v>
      </c>
      <c r="D17" t="s">
        <v>785</v>
      </c>
      <c r="E17" s="2">
        <v>-1061</v>
      </c>
      <c r="F17" s="2">
        <v>-1829</v>
      </c>
      <c r="G17" s="2">
        <v>142</v>
      </c>
      <c r="H17" s="2">
        <v>4</v>
      </c>
      <c r="I17" s="2" t="s">
        <v>2989</v>
      </c>
      <c r="J17" s="23"/>
      <c r="K17" t="str">
        <f t="shared" si="0"/>
        <v>{ name: "Shrine of Resurrection", landmark: "Cave", type: "", region: 2, level: "Surface", x: -1061, y: -1829, z: 142, zoom: 4, size: "XS", details: "" },</v>
      </c>
      <c r="N17" s="23"/>
      <c r="O17" s="23"/>
      <c r="P17" s="23"/>
      <c r="Q17" s="23"/>
    </row>
    <row r="18" spans="1:17" x14ac:dyDescent="0.2">
      <c r="A18" t="s">
        <v>968</v>
      </c>
      <c r="B18" t="s">
        <v>2220</v>
      </c>
      <c r="C18">
        <v>2</v>
      </c>
      <c r="D18" t="s">
        <v>785</v>
      </c>
      <c r="E18" s="2">
        <v>-2921</v>
      </c>
      <c r="F18" s="2">
        <v>-804</v>
      </c>
      <c r="G18" s="2">
        <v>7</v>
      </c>
      <c r="H18" s="2">
        <v>4</v>
      </c>
      <c r="I18" s="2" t="s">
        <v>2989</v>
      </c>
      <c r="J18" s="23"/>
      <c r="K18" t="str">
        <f t="shared" si="0"/>
        <v>{ name: "Tamio River Downstream Cave", landmark: "Cave", type: "", region: 2, level: "Surface", x: -2921, y: -804, z: 7, zoom: 4, size: "XS", details: "" },</v>
      </c>
      <c r="N18" s="23"/>
      <c r="O18" s="23"/>
      <c r="P18" s="23"/>
      <c r="Q18" s="23"/>
    </row>
    <row r="19" spans="1:17" x14ac:dyDescent="0.2">
      <c r="A19" t="s">
        <v>986</v>
      </c>
      <c r="B19" t="s">
        <v>2220</v>
      </c>
      <c r="C19">
        <v>2</v>
      </c>
      <c r="D19" t="s">
        <v>785</v>
      </c>
      <c r="E19" s="2">
        <v>-72</v>
      </c>
      <c r="F19" s="2">
        <v>-1045</v>
      </c>
      <c r="G19" s="2">
        <v>17</v>
      </c>
      <c r="H19" s="2">
        <v>4</v>
      </c>
      <c r="I19" s="2" t="s">
        <v>2989</v>
      </c>
      <c r="J19" s="23"/>
      <c r="K19" t="str">
        <f t="shared" si="0"/>
        <v>{ name: "Whistling Hill Cave", landmark: "Cave", type: "", region: 2, level: "Surface", x: -72, y: -1045, z: 17, zoom: 4, size: "XS", details: "" },</v>
      </c>
      <c r="N19" s="23"/>
      <c r="O19" s="23"/>
      <c r="P19" s="23"/>
      <c r="Q19" s="23"/>
    </row>
    <row r="20" spans="1:17" x14ac:dyDescent="0.2">
      <c r="A20" t="s">
        <v>853</v>
      </c>
      <c r="B20" t="s">
        <v>2220</v>
      </c>
      <c r="C20">
        <v>3</v>
      </c>
      <c r="D20" t="s">
        <v>785</v>
      </c>
      <c r="E20" s="2">
        <v>-3465</v>
      </c>
      <c r="F20" s="2">
        <v>449</v>
      </c>
      <c r="G20" s="2">
        <v>254</v>
      </c>
      <c r="H20" s="2">
        <v>4</v>
      </c>
      <c r="I20" s="2" t="s">
        <v>2989</v>
      </c>
      <c r="J20" s="23"/>
      <c r="K20" t="str">
        <f t="shared" si="0"/>
        <v>{ name: "Ancient Columns Cave", landmark: "Cave", type: "", region: 3, level: "Surface", x: -3465, y: 449, z: 254, zoom: 4, size: "XS", details: "" },</v>
      </c>
      <c r="N20" s="23"/>
      <c r="O20" s="23"/>
      <c r="P20" s="23"/>
      <c r="Q20" s="23"/>
    </row>
    <row r="21" spans="1:17" x14ac:dyDescent="0.2">
      <c r="A21" t="s">
        <v>859</v>
      </c>
      <c r="B21" t="s">
        <v>2220</v>
      </c>
      <c r="C21">
        <v>3</v>
      </c>
      <c r="D21" t="s">
        <v>785</v>
      </c>
      <c r="E21" s="2">
        <v>-3005</v>
      </c>
      <c r="F21" s="2">
        <v>1635</v>
      </c>
      <c r="G21" s="2">
        <v>199</v>
      </c>
      <c r="H21" s="2">
        <v>4</v>
      </c>
      <c r="I21" s="2" t="s">
        <v>2989</v>
      </c>
      <c r="J21" s="23"/>
      <c r="K21" t="str">
        <f t="shared" si="0"/>
        <v>{ name: "Brightcap Cave", landmark: "Cave", type: "", region: 3, level: "Surface", x: -3005, y: 1635, z: 199, zoom: 4, size: "XS", details: "" },</v>
      </c>
      <c r="N21" s="23"/>
      <c r="O21" s="23"/>
      <c r="P21" s="23"/>
      <c r="Q21" s="23"/>
    </row>
    <row r="22" spans="1:17" x14ac:dyDescent="0.2">
      <c r="A22" t="s">
        <v>889</v>
      </c>
      <c r="B22" t="s">
        <v>2237</v>
      </c>
      <c r="C22">
        <v>3</v>
      </c>
      <c r="D22" t="s">
        <v>785</v>
      </c>
      <c r="E22" s="2">
        <v>-3865</v>
      </c>
      <c r="F22" s="2">
        <v>1011</v>
      </c>
      <c r="G22" s="2">
        <v>72</v>
      </c>
      <c r="H22" s="2">
        <v>4</v>
      </c>
      <c r="I22" s="2" t="s">
        <v>2989</v>
      </c>
      <c r="J22" s="23"/>
      <c r="K22" t="str">
        <f t="shared" si="0"/>
        <v>{ name: "Gisa Crater Cave", landmark: "Cave", type: "(Entrance 1 of 2)", region: 3, level: "Surface", x: -3865, y: 1011, z: 72, zoom: 4, size: "XS", details: "" },</v>
      </c>
      <c r="N22" s="23"/>
      <c r="O22" s="23"/>
      <c r="P22" s="23"/>
      <c r="Q22" s="23"/>
    </row>
    <row r="23" spans="1:17" x14ac:dyDescent="0.2">
      <c r="A23" t="s">
        <v>889</v>
      </c>
      <c r="B23" t="s">
        <v>2238</v>
      </c>
      <c r="C23">
        <v>3</v>
      </c>
      <c r="D23" t="s">
        <v>785</v>
      </c>
      <c r="E23" s="2">
        <v>-3931</v>
      </c>
      <c r="F23" s="2">
        <v>1090</v>
      </c>
      <c r="G23" s="2">
        <v>72</v>
      </c>
      <c r="H23" s="2">
        <v>4</v>
      </c>
      <c r="I23" s="2" t="s">
        <v>2989</v>
      </c>
      <c r="J23" s="23"/>
      <c r="K23" t="str">
        <f t="shared" si="0"/>
        <v>{ name: "Gisa Crater Cave", landmark: "Cave", type: "(Entrance 2 of 2)", region: 3, level: "Surface", x: -3931, y: 1090, z: 72, zoom: 4, size: "XS", details: "" },</v>
      </c>
      <c r="N23" s="23"/>
      <c r="O23" s="23"/>
      <c r="P23" s="23"/>
      <c r="Q23" s="23"/>
    </row>
    <row r="24" spans="1:17" x14ac:dyDescent="0.2">
      <c r="A24" t="s">
        <v>901</v>
      </c>
      <c r="B24" t="s">
        <v>2220</v>
      </c>
      <c r="C24">
        <v>5</v>
      </c>
      <c r="D24" t="s">
        <v>785</v>
      </c>
      <c r="E24" s="2">
        <v>-2395</v>
      </c>
      <c r="F24" s="2">
        <v>2276</v>
      </c>
      <c r="G24" s="2">
        <v>169</v>
      </c>
      <c r="H24" s="2">
        <v>4</v>
      </c>
      <c r="I24" s="2" t="s">
        <v>2989</v>
      </c>
      <c r="J24" s="23"/>
      <c r="K24" t="str">
        <f t="shared" si="0"/>
        <v>{ name: "Kopeeki Drifts Cave", landmark: "Cave", type: "", region: 5, level: "Surface", x: -2395, y: 2276, z: 169, zoom: 4, size: "XS", details: "" },</v>
      </c>
      <c r="N24" s="23"/>
      <c r="O24" s="23"/>
      <c r="P24" s="23"/>
      <c r="Q24" s="23"/>
    </row>
    <row r="25" spans="1:17" x14ac:dyDescent="0.2">
      <c r="A25" t="s">
        <v>910</v>
      </c>
      <c r="B25" t="s">
        <v>2220</v>
      </c>
      <c r="C25">
        <v>3</v>
      </c>
      <c r="D25" t="s">
        <v>785</v>
      </c>
      <c r="E25" s="2">
        <v>-1736</v>
      </c>
      <c r="F25" s="2">
        <v>1167</v>
      </c>
      <c r="G25" s="2">
        <v>228</v>
      </c>
      <c r="H25" s="2">
        <v>4</v>
      </c>
      <c r="I25" s="2" t="s">
        <v>2989</v>
      </c>
      <c r="J25" s="23"/>
      <c r="K25" t="str">
        <f t="shared" si="0"/>
        <v>{ name: "Lindor's Brow Cave", landmark: "Cave", type: "", region: 3, level: "Surface", x: -1736, y: 1167, z: 228, zoom: 4, size: "XS", details: "" },</v>
      </c>
      <c r="N25" s="23"/>
      <c r="O25" s="23"/>
      <c r="P25" s="23"/>
      <c r="Q25" s="23"/>
    </row>
    <row r="26" spans="1:17" x14ac:dyDescent="0.2">
      <c r="A26" t="s">
        <v>925</v>
      </c>
      <c r="B26" t="s">
        <v>2237</v>
      </c>
      <c r="C26">
        <v>3</v>
      </c>
      <c r="D26" t="s">
        <v>785</v>
      </c>
      <c r="E26" s="2">
        <v>-1234</v>
      </c>
      <c r="F26" s="2">
        <v>770</v>
      </c>
      <c r="G26" s="2">
        <v>77</v>
      </c>
      <c r="H26" s="2">
        <v>4</v>
      </c>
      <c r="I26" s="2" t="s">
        <v>2989</v>
      </c>
      <c r="J26" s="23"/>
      <c r="K26" t="str">
        <f t="shared" si="0"/>
        <v>{ name: "North Hyrule Plain Cave", landmark: "Cave", type: "(Entrance 1 of 2)", region: 3, level: "Surface", x: -1234, y: 770, z: 77, zoom: 4, size: "XS", details: "" },</v>
      </c>
      <c r="N26" s="23"/>
      <c r="O26" s="23"/>
      <c r="P26" s="23"/>
      <c r="Q26" s="23"/>
    </row>
    <row r="27" spans="1:17" x14ac:dyDescent="0.2">
      <c r="A27" t="s">
        <v>925</v>
      </c>
      <c r="B27" t="s">
        <v>2238</v>
      </c>
      <c r="C27">
        <v>3</v>
      </c>
      <c r="D27" t="s">
        <v>785</v>
      </c>
      <c r="E27" s="2">
        <v>-1188</v>
      </c>
      <c r="F27" s="2">
        <v>644</v>
      </c>
      <c r="G27" s="2">
        <v>72</v>
      </c>
      <c r="H27" s="2">
        <v>4</v>
      </c>
      <c r="I27" s="2" t="s">
        <v>2989</v>
      </c>
      <c r="J27" s="23"/>
      <c r="K27" t="str">
        <f t="shared" si="0"/>
        <v>{ name: "North Hyrule Plain Cave", landmark: "Cave", type: "(Entrance 2 of 2)", region: 3, level: "Surface", x: -1188, y: 644, z: 72, zoom: 4, size: "XS", details: "" },</v>
      </c>
      <c r="N27" s="23"/>
      <c r="O27" s="23"/>
      <c r="P27" s="23"/>
      <c r="Q27" s="23"/>
    </row>
    <row r="28" spans="1:17" x14ac:dyDescent="0.2">
      <c r="A28" t="s">
        <v>966</v>
      </c>
      <c r="B28" t="s">
        <v>2220</v>
      </c>
      <c r="C28">
        <v>3</v>
      </c>
      <c r="D28" t="s">
        <v>785</v>
      </c>
      <c r="E28" s="2">
        <v>-2840</v>
      </c>
      <c r="F28" s="2">
        <v>1771</v>
      </c>
      <c r="G28" s="2">
        <v>222</v>
      </c>
      <c r="H28" s="2">
        <v>4</v>
      </c>
      <c r="I28" s="2" t="s">
        <v>2989</v>
      </c>
      <c r="J28" s="23"/>
      <c r="K28" t="str">
        <f t="shared" si="0"/>
        <v>{ name: "Tabantha Hills Cave", landmark: "Cave", type: "", region: 3, level: "Surface", x: -2840, y: 1771, z: 222, zoom: 4, size: "XS", details: "" },</v>
      </c>
      <c r="N28" s="23"/>
      <c r="O28" s="23"/>
      <c r="P28" s="23"/>
      <c r="Q28" s="23"/>
    </row>
    <row r="29" spans="1:17" x14ac:dyDescent="0.2">
      <c r="A29" t="s">
        <v>969</v>
      </c>
      <c r="B29" t="s">
        <v>2220</v>
      </c>
      <c r="C29">
        <v>3</v>
      </c>
      <c r="D29" t="s">
        <v>785</v>
      </c>
      <c r="E29" s="2">
        <v>-2049</v>
      </c>
      <c r="F29" s="2">
        <v>1631</v>
      </c>
      <c r="G29" s="2">
        <v>-56</v>
      </c>
      <c r="H29" s="2">
        <v>4</v>
      </c>
      <c r="I29" s="2" t="s">
        <v>2989</v>
      </c>
      <c r="J29" s="23"/>
      <c r="K29" t="str">
        <f t="shared" si="0"/>
        <v>{ name: "Tanagar Canyon East Cave", landmark: "Cave", type: "", region: 3, level: "Surface", x: -2049, y: 1631, z: -56, zoom: 4, size: "XS", details: "" },</v>
      </c>
      <c r="N29" s="23"/>
      <c r="O29" s="23"/>
      <c r="P29" s="23"/>
      <c r="Q29" s="23"/>
    </row>
    <row r="30" spans="1:17" x14ac:dyDescent="0.2">
      <c r="A30" t="s">
        <v>970</v>
      </c>
      <c r="B30" t="s">
        <v>2220</v>
      </c>
      <c r="C30">
        <v>3</v>
      </c>
      <c r="D30" t="s">
        <v>785</v>
      </c>
      <c r="E30" s="2">
        <v>-3308</v>
      </c>
      <c r="F30" s="2">
        <v>789</v>
      </c>
      <c r="G30" s="2">
        <v>-101</v>
      </c>
      <c r="H30" s="2">
        <v>4</v>
      </c>
      <c r="I30" s="2" t="s">
        <v>2989</v>
      </c>
      <c r="J30" s="23"/>
      <c r="K30" t="str">
        <f t="shared" si="0"/>
        <v>{ name: "Tanagar Canyon West Cave", landmark: "Cave", type: "", region: 3, level: "Surface", x: -3308, y: 789, z: -101, zoom: 4, size: "XS", details: "" },</v>
      </c>
      <c r="N30" s="23"/>
      <c r="O30" s="23"/>
      <c r="P30" s="23"/>
      <c r="Q30" s="23"/>
    </row>
    <row r="31" spans="1:17" x14ac:dyDescent="0.2">
      <c r="A31" t="s">
        <v>973</v>
      </c>
      <c r="B31" t="s">
        <v>2220</v>
      </c>
      <c r="C31">
        <v>3</v>
      </c>
      <c r="D31" t="s">
        <v>785</v>
      </c>
      <c r="E31" s="2">
        <v>-2268</v>
      </c>
      <c r="F31" s="2">
        <v>899</v>
      </c>
      <c r="G31" s="2">
        <v>86</v>
      </c>
      <c r="H31" s="2">
        <v>4</v>
      </c>
      <c r="I31" s="2" t="s">
        <v>2989</v>
      </c>
      <c r="J31" s="23"/>
      <c r="K31" t="str">
        <f t="shared" si="0"/>
        <v>{ name: "Thundra Plateau Cave", landmark: "Cave", type: "", region: 3, level: "Surface", x: -2268, y: 899, z: 86, zoom: 4, size: "XS", details: "" },</v>
      </c>
      <c r="N31" s="23"/>
      <c r="O31" s="23"/>
      <c r="P31" s="23"/>
      <c r="Q31" s="23"/>
    </row>
    <row r="32" spans="1:17" x14ac:dyDescent="0.2">
      <c r="A32" t="s">
        <v>879</v>
      </c>
      <c r="B32" t="s">
        <v>2237</v>
      </c>
      <c r="C32">
        <v>4</v>
      </c>
      <c r="D32" t="s">
        <v>785</v>
      </c>
      <c r="E32" s="2">
        <v>-3989</v>
      </c>
      <c r="F32" s="2">
        <v>3062</v>
      </c>
      <c r="G32" s="2">
        <v>138</v>
      </c>
      <c r="H32" s="2">
        <v>4</v>
      </c>
      <c r="I32" s="2" t="s">
        <v>2989</v>
      </c>
      <c r="J32" s="23"/>
      <c r="K32" t="str">
        <f t="shared" si="0"/>
        <v>{ name: "East Biron Snowshelf Cave", landmark: "Cave", type: "(Entrance 1 of 2)", region: 4, level: "Surface", x: -3989, y: 3062, z: 138, zoom: 4, size: "XS", details: "" },</v>
      </c>
      <c r="N32" s="23"/>
      <c r="O32" s="23"/>
      <c r="P32" s="23"/>
      <c r="Q32" s="23"/>
    </row>
    <row r="33" spans="1:17" x14ac:dyDescent="0.2">
      <c r="A33" t="s">
        <v>879</v>
      </c>
      <c r="B33" t="s">
        <v>2238</v>
      </c>
      <c r="C33">
        <v>4</v>
      </c>
      <c r="D33" t="s">
        <v>785</v>
      </c>
      <c r="E33" s="2">
        <v>-3555</v>
      </c>
      <c r="F33" s="2">
        <v>3088</v>
      </c>
      <c r="G33" s="2">
        <v>273</v>
      </c>
      <c r="H33" s="2">
        <v>4</v>
      </c>
      <c r="I33" s="2" t="s">
        <v>2989</v>
      </c>
      <c r="J33" s="23"/>
      <c r="K33" t="str">
        <f t="shared" si="0"/>
        <v>{ name: "East Biron Snowshelf Cave", landmark: "Cave", type: "(Entrance 2 of 2)", region: 4, level: "Surface", x: -3555, y: 3088, z: 273, zoom: 4, size: "XS", details: "" },</v>
      </c>
      <c r="N33" s="23"/>
      <c r="O33" s="23"/>
      <c r="P33" s="23"/>
      <c r="Q33" s="23"/>
    </row>
    <row r="34" spans="1:17" x14ac:dyDescent="0.2">
      <c r="A34" t="s">
        <v>2076</v>
      </c>
      <c r="B34" t="s">
        <v>2220</v>
      </c>
      <c r="C34">
        <v>4</v>
      </c>
      <c r="D34" t="s">
        <v>785</v>
      </c>
      <c r="E34" s="2">
        <v>-3814</v>
      </c>
      <c r="F34" s="2">
        <v>3595</v>
      </c>
      <c r="G34" s="2">
        <v>255</v>
      </c>
      <c r="H34" s="2">
        <v>4</v>
      </c>
      <c r="I34" s="2" t="s">
        <v>2989</v>
      </c>
      <c r="J34" s="23"/>
      <c r="K34" t="str">
        <f t="shared" si="0"/>
        <v>{ name: "Hebra Great Skeleton Cave", landmark: "Cave", type: "", region: 4, level: "Surface", x: -3814, y: 3595, z: 255, zoom: 4, size: "XS", details: "" },</v>
      </c>
      <c r="N34" s="23"/>
      <c r="O34" s="23"/>
      <c r="P34" s="23"/>
      <c r="Q34" s="23"/>
    </row>
    <row r="35" spans="1:17" x14ac:dyDescent="0.2">
      <c r="A35" t="s">
        <v>893</v>
      </c>
      <c r="B35" t="s">
        <v>2220</v>
      </c>
      <c r="C35">
        <v>5</v>
      </c>
      <c r="D35" t="s">
        <v>785</v>
      </c>
      <c r="E35" s="2">
        <v>-2900</v>
      </c>
      <c r="F35" s="2">
        <v>2510</v>
      </c>
      <c r="G35" s="2">
        <v>387</v>
      </c>
      <c r="H35" s="2">
        <v>4</v>
      </c>
      <c r="I35" s="2" t="s">
        <v>2989</v>
      </c>
      <c r="J35" s="23"/>
      <c r="K35" t="str">
        <f t="shared" si="0"/>
        <v>{ name: "Hebra Headspring Cave", landmark: "Cave", type: "", region: 5, level: "Surface", x: -2900, y: 2510, z: 387, zoom: 4, size: "XS", details: "" },</v>
      </c>
      <c r="N35" s="23"/>
      <c r="O35" s="23"/>
      <c r="P35" s="23"/>
      <c r="Q35" s="23"/>
    </row>
    <row r="36" spans="1:17" x14ac:dyDescent="0.2">
      <c r="A36" t="s">
        <v>894</v>
      </c>
      <c r="B36" t="s">
        <v>2220</v>
      </c>
      <c r="C36">
        <v>4</v>
      </c>
      <c r="D36" t="s">
        <v>785</v>
      </c>
      <c r="E36" s="2">
        <v>-2995</v>
      </c>
      <c r="F36" s="2">
        <v>3225</v>
      </c>
      <c r="G36" s="2">
        <v>539</v>
      </c>
      <c r="H36" s="2">
        <v>4</v>
      </c>
      <c r="I36" s="2" t="s">
        <v>2989</v>
      </c>
      <c r="J36" s="23"/>
      <c r="K36" t="str">
        <f t="shared" si="0"/>
        <v>{ name: "Hebra Mountains Northwest Cave", landmark: "Cave", type: "", region: 4, level: "Surface", x: -2995, y: 3225, z: 539, zoom: 4, size: "XS", details: "" },</v>
      </c>
      <c r="N36" s="23"/>
      <c r="O36" s="23"/>
      <c r="P36" s="23"/>
      <c r="Q36" s="23"/>
    </row>
    <row r="37" spans="1:17" x14ac:dyDescent="0.2">
      <c r="A37" t="s">
        <v>895</v>
      </c>
      <c r="B37" t="s">
        <v>2237</v>
      </c>
      <c r="C37">
        <v>4</v>
      </c>
      <c r="D37" t="s">
        <v>785</v>
      </c>
      <c r="E37" s="2">
        <v>-3398</v>
      </c>
      <c r="F37" s="2">
        <v>2499</v>
      </c>
      <c r="G37" s="2">
        <v>313</v>
      </c>
      <c r="H37" s="2">
        <v>4</v>
      </c>
      <c r="I37" s="2" t="s">
        <v>2989</v>
      </c>
      <c r="J37" s="23"/>
      <c r="K37" t="str">
        <f t="shared" si="0"/>
        <v>{ name: "Hebra South Summit Cave", landmark: "Cave", type: "(Entrance 1 of 2)", region: 4, level: "Surface", x: -3398, y: 2499, z: 313, zoom: 4, size: "XS", details: "" },</v>
      </c>
      <c r="N37" s="23"/>
      <c r="O37" s="23"/>
      <c r="P37" s="23"/>
      <c r="Q37" s="23"/>
    </row>
    <row r="38" spans="1:17" x14ac:dyDescent="0.2">
      <c r="A38" t="s">
        <v>895</v>
      </c>
      <c r="B38" t="s">
        <v>2238</v>
      </c>
      <c r="C38">
        <v>4</v>
      </c>
      <c r="D38" t="s">
        <v>785</v>
      </c>
      <c r="E38" s="2">
        <v>-3227</v>
      </c>
      <c r="F38" s="2">
        <v>2535</v>
      </c>
      <c r="G38" s="2">
        <v>441</v>
      </c>
      <c r="H38" s="2">
        <v>4</v>
      </c>
      <c r="I38" s="2" t="s">
        <v>2989</v>
      </c>
      <c r="J38" s="23"/>
      <c r="K38" t="str">
        <f t="shared" si="0"/>
        <v>{ name: "Hebra South Summit Cave", landmark: "Cave", type: "(Entrance 2 of 2)", region: 4, level: "Surface", x: -3227, y: 2535, z: 441, zoom: 4, size: "XS", details: "" },</v>
      </c>
      <c r="N38" s="23"/>
      <c r="O38" s="23"/>
      <c r="P38" s="23"/>
      <c r="Q38" s="23"/>
    </row>
    <row r="39" spans="1:17" x14ac:dyDescent="0.2">
      <c r="A39" t="s">
        <v>897</v>
      </c>
      <c r="B39" t="s">
        <v>2220</v>
      </c>
      <c r="C39">
        <v>4</v>
      </c>
      <c r="D39" t="s">
        <v>785</v>
      </c>
      <c r="E39" s="2">
        <v>-4429</v>
      </c>
      <c r="F39" s="2">
        <v>3760</v>
      </c>
      <c r="G39" s="2">
        <v>223</v>
      </c>
      <c r="H39" s="2">
        <v>4</v>
      </c>
      <c r="I39" s="2" t="s">
        <v>2989</v>
      </c>
      <c r="J39" s="23"/>
      <c r="K39" t="str">
        <f t="shared" si="0"/>
        <v>{ name: "Icefall Foothills Cave", landmark: "Cave", type: "", region: 4, level: "Surface", x: -4429, y: 3760, z: 223, zoom: 4, size: "XS", details: "" },</v>
      </c>
      <c r="N39" s="23"/>
      <c r="O39" s="23"/>
      <c r="P39" s="23"/>
      <c r="Q39" s="23"/>
    </row>
    <row r="40" spans="1:17" x14ac:dyDescent="0.2">
      <c r="A40" t="s">
        <v>907</v>
      </c>
      <c r="B40" t="s">
        <v>2220</v>
      </c>
      <c r="C40">
        <v>4</v>
      </c>
      <c r="D40" t="s">
        <v>785</v>
      </c>
      <c r="E40" s="2">
        <v>-3930</v>
      </c>
      <c r="F40" s="2">
        <v>2861</v>
      </c>
      <c r="G40" s="2">
        <v>-18</v>
      </c>
      <c r="H40" s="2">
        <v>4</v>
      </c>
      <c r="I40" s="2" t="s">
        <v>2989</v>
      </c>
      <c r="J40" s="23"/>
      <c r="K40" t="str">
        <f t="shared" si="0"/>
        <v>{ name: "Lake Kilsie Cave", landmark: "Cave", type: "", region: 4, level: "Surface", x: -3930, y: 2861, z: -18, zoom: 4, size: "XS", details: "" },</v>
      </c>
      <c r="N40" s="23"/>
      <c r="O40" s="23"/>
      <c r="P40" s="23"/>
      <c r="Q40" s="23"/>
    </row>
    <row r="41" spans="1:17" x14ac:dyDescent="0.2">
      <c r="A41" t="s">
        <v>924</v>
      </c>
      <c r="B41" t="s">
        <v>2220</v>
      </c>
      <c r="C41">
        <v>4</v>
      </c>
      <c r="D41" t="s">
        <v>785</v>
      </c>
      <c r="E41" s="2">
        <v>-3960</v>
      </c>
      <c r="F41" s="2">
        <v>3245</v>
      </c>
      <c r="G41" s="2">
        <v>236</v>
      </c>
      <c r="H41" s="2">
        <v>4</v>
      </c>
      <c r="I41" s="2" t="s">
        <v>2989</v>
      </c>
      <c r="J41" s="23"/>
      <c r="K41" t="str">
        <f t="shared" si="0"/>
        <v>{ name: "North Biron Snowshelf Cave", landmark: "Cave", type: "", region: 4, level: "Surface", x: -3960, y: 3245, z: 236, zoom: 4, size: "XS", details: "" },</v>
      </c>
      <c r="N41" s="23"/>
      <c r="O41" s="23"/>
      <c r="P41" s="23"/>
      <c r="Q41" s="23"/>
    </row>
    <row r="42" spans="1:17" x14ac:dyDescent="0.2">
      <c r="A42" t="s">
        <v>949</v>
      </c>
      <c r="B42" t="s">
        <v>2220</v>
      </c>
      <c r="C42">
        <v>4</v>
      </c>
      <c r="D42" t="s">
        <v>785</v>
      </c>
      <c r="E42" s="2">
        <v>-3559</v>
      </c>
      <c r="F42" s="2">
        <v>2488</v>
      </c>
      <c r="G42" s="2">
        <v>227</v>
      </c>
      <c r="H42" s="2">
        <v>4</v>
      </c>
      <c r="I42" s="2" t="s">
        <v>2989</v>
      </c>
      <c r="J42" s="23"/>
      <c r="K42" t="str">
        <f t="shared" si="0"/>
        <v>{ name: "Rospro Pass Cave", landmark: "Cave", type: "", region: 4, level: "Surface", x: -3559, y: 2488, z: 227, zoom: 4, size: "XS", details: "" },</v>
      </c>
      <c r="N42" s="23"/>
      <c r="O42" s="23"/>
      <c r="P42" s="23"/>
      <c r="Q42" s="23"/>
    </row>
    <row r="43" spans="1:17" x14ac:dyDescent="0.2">
      <c r="A43" t="s">
        <v>963</v>
      </c>
      <c r="B43" t="s">
        <v>2220</v>
      </c>
      <c r="C43">
        <v>4</v>
      </c>
      <c r="D43" t="s">
        <v>785</v>
      </c>
      <c r="E43" s="2">
        <v>-4041</v>
      </c>
      <c r="F43" s="2">
        <v>2671</v>
      </c>
      <c r="G43" s="2">
        <v>23</v>
      </c>
      <c r="H43" s="2">
        <v>4</v>
      </c>
      <c r="I43" s="2" t="s">
        <v>2989</v>
      </c>
      <c r="J43" s="23"/>
      <c r="K43" t="str">
        <f t="shared" si="0"/>
        <v>{ name: "Sturnida Springs Cave", landmark: "Cave", type: "", region: 4, level: "Surface", x: -4041, y: 2671, z: 23, zoom: 4, size: "XS", details: "" },</v>
      </c>
      <c r="N43" s="23"/>
      <c r="O43" s="23"/>
      <c r="P43" s="23"/>
      <c r="Q43" s="23"/>
    </row>
    <row r="44" spans="1:17" x14ac:dyDescent="0.2">
      <c r="A44" t="s">
        <v>967</v>
      </c>
      <c r="B44" t="s">
        <v>2220</v>
      </c>
      <c r="C44">
        <v>4</v>
      </c>
      <c r="D44" t="s">
        <v>785</v>
      </c>
      <c r="E44" s="2">
        <v>-3214</v>
      </c>
      <c r="F44" s="2">
        <v>2462</v>
      </c>
      <c r="G44" s="2">
        <v>345</v>
      </c>
      <c r="H44" s="2">
        <v>4</v>
      </c>
      <c r="I44" s="2" t="s">
        <v>2989</v>
      </c>
      <c r="J44" s="23"/>
      <c r="K44" t="str">
        <f t="shared" si="0"/>
        <v>{ name: "Talonto Peak Cave", landmark: "Cave", type: "", region: 4, level: "Surface", x: -3214, y: 2462, z: 345, zoom: 4, size: "XS", details: "" },</v>
      </c>
      <c r="N44" s="23"/>
      <c r="O44" s="23"/>
      <c r="P44" s="23"/>
      <c r="Q44" s="23"/>
    </row>
    <row r="45" spans="1:17" x14ac:dyDescent="0.2">
      <c r="A45" t="s">
        <v>984</v>
      </c>
      <c r="B45" t="s">
        <v>2220</v>
      </c>
      <c r="C45">
        <v>4</v>
      </c>
      <c r="D45" t="s">
        <v>785</v>
      </c>
      <c r="E45" s="2">
        <v>-3958</v>
      </c>
      <c r="F45" s="2">
        <v>2029</v>
      </c>
      <c r="G45" s="2">
        <v>200</v>
      </c>
      <c r="H45" s="2">
        <v>4</v>
      </c>
      <c r="I45" s="2" t="s">
        <v>2989</v>
      </c>
      <c r="J45" s="23"/>
      <c r="K45" t="str">
        <f t="shared" si="0"/>
        <v>{ name: "West Lake Totori Cave", landmark: "Cave", type: "", region: 4, level: "Surface", x: -3958, y: 2029, z: 200, zoom: 4, size: "XS", details: "" },</v>
      </c>
      <c r="N45" s="23"/>
      <c r="O45" s="23"/>
      <c r="P45" s="23"/>
      <c r="Q45" s="23"/>
    </row>
    <row r="46" spans="1:17" x14ac:dyDescent="0.2">
      <c r="A46" t="s">
        <v>917</v>
      </c>
      <c r="B46" t="s">
        <v>2220</v>
      </c>
      <c r="C46">
        <v>5</v>
      </c>
      <c r="D46" t="s">
        <v>785</v>
      </c>
      <c r="E46" s="2">
        <v>-1372</v>
      </c>
      <c r="F46" s="2">
        <v>2861</v>
      </c>
      <c r="G46" s="2">
        <v>197</v>
      </c>
      <c r="H46" s="2">
        <v>4</v>
      </c>
      <c r="I46" s="2" t="s">
        <v>2989</v>
      </c>
      <c r="J46" s="23"/>
      <c r="K46" t="str">
        <f t="shared" si="0"/>
        <v>{ name: "Mount Drena Foothill Cave", landmark: "Cave", type: "", region: 5, level: "Surface", x: -1372, y: 2861, z: 197, zoom: 4, size: "XS", details: "" },</v>
      </c>
      <c r="N46" s="23"/>
      <c r="O46" s="23"/>
      <c r="P46" s="23"/>
      <c r="Q46" s="23"/>
    </row>
    <row r="47" spans="1:17" x14ac:dyDescent="0.2">
      <c r="A47" t="s">
        <v>931</v>
      </c>
      <c r="B47" t="s">
        <v>2237</v>
      </c>
      <c r="C47" t="s">
        <v>2833</v>
      </c>
      <c r="D47" t="s">
        <v>785</v>
      </c>
      <c r="E47" s="2">
        <v>-2642</v>
      </c>
      <c r="F47" s="2">
        <v>3268</v>
      </c>
      <c r="G47" s="2">
        <v>249</v>
      </c>
      <c r="H47" s="2">
        <v>4</v>
      </c>
      <c r="I47" s="2" t="s">
        <v>2989</v>
      </c>
      <c r="J47" s="23"/>
      <c r="K47" t="str">
        <f t="shared" si="0"/>
        <v>{ name: "Pikida Stonegrove Northwest Cave", landmark: "Cave", type: "(Entrance 1 of 2)", region: [4,5], level: "Surface", x: -2642, y: 3268, z: 249, zoom: 4, size: "XS", details: "" },</v>
      </c>
      <c r="N47" s="23"/>
      <c r="O47" s="23"/>
      <c r="P47" s="23"/>
      <c r="Q47" s="23"/>
    </row>
    <row r="48" spans="1:17" x14ac:dyDescent="0.2">
      <c r="A48" t="s">
        <v>931</v>
      </c>
      <c r="B48" t="s">
        <v>2238</v>
      </c>
      <c r="C48" t="s">
        <v>2833</v>
      </c>
      <c r="D48" t="s">
        <v>785</v>
      </c>
      <c r="E48" s="2">
        <v>-2414</v>
      </c>
      <c r="F48" s="2">
        <v>3136</v>
      </c>
      <c r="G48" s="2">
        <v>372</v>
      </c>
      <c r="H48" s="2">
        <v>4</v>
      </c>
      <c r="I48" s="2" t="s">
        <v>2989</v>
      </c>
      <c r="J48" s="23"/>
      <c r="K48" t="str">
        <f t="shared" si="0"/>
        <v>{ name: "Pikida Stonegrove Northwest Cave", landmark: "Cave", type: "(Entrance 2 of 2)", region: [4,5], level: "Surface", x: -2414, y: 3136, z: 372, zoom: 4, size: "XS", details: "" },</v>
      </c>
      <c r="N48" s="23"/>
      <c r="O48" s="23"/>
      <c r="P48" s="23"/>
      <c r="Q48" s="23"/>
    </row>
    <row r="49" spans="1:17" x14ac:dyDescent="0.2">
      <c r="A49" t="s">
        <v>876</v>
      </c>
      <c r="B49" t="s">
        <v>2220</v>
      </c>
      <c r="C49">
        <v>6</v>
      </c>
      <c r="D49" t="s">
        <v>785</v>
      </c>
      <c r="E49" s="2">
        <v>307</v>
      </c>
      <c r="F49" s="2">
        <v>3579</v>
      </c>
      <c r="G49" s="2">
        <v>87</v>
      </c>
      <c r="H49" s="2">
        <v>4</v>
      </c>
      <c r="I49" s="2" t="s">
        <v>2989</v>
      </c>
      <c r="J49" s="23"/>
      <c r="K49" t="str">
        <f t="shared" si="0"/>
        <v>{ name: "Deplian Badlands Cave", landmark: "Cave", type: "", region: 6, level: "Surface", x: 307, y: 3579, z: 87, zoom: 4, size: "XS", details: "" },</v>
      </c>
      <c r="N49" s="23"/>
      <c r="O49" s="23"/>
      <c r="P49" s="23"/>
      <c r="Q49" s="23"/>
    </row>
    <row r="50" spans="1:17" x14ac:dyDescent="0.2">
      <c r="A50" t="s">
        <v>942</v>
      </c>
      <c r="B50" t="s">
        <v>2220</v>
      </c>
      <c r="C50">
        <v>6</v>
      </c>
      <c r="D50" t="s">
        <v>785</v>
      </c>
      <c r="E50" s="2">
        <v>676</v>
      </c>
      <c r="F50" s="2">
        <v>1389</v>
      </c>
      <c r="G50" s="2">
        <v>45</v>
      </c>
      <c r="H50" s="2">
        <v>4</v>
      </c>
      <c r="I50" s="2" t="s">
        <v>2989</v>
      </c>
      <c r="J50" s="23"/>
      <c r="K50" t="str">
        <f t="shared" si="0"/>
        <v>{ name: "Rauru Hillside Cave", landmark: "Cave", type: "", region: 6, level: "Surface", x: 676, y: 1389, z: 45, zoom: 4, size: "XS", details: "" },</v>
      </c>
      <c r="N50" s="23"/>
      <c r="O50" s="23"/>
      <c r="P50" s="23"/>
      <c r="Q50" s="23"/>
    </row>
    <row r="51" spans="1:17" x14ac:dyDescent="0.2">
      <c r="A51" t="s">
        <v>988</v>
      </c>
      <c r="B51" t="s">
        <v>2220</v>
      </c>
      <c r="C51">
        <v>6</v>
      </c>
      <c r="D51" t="s">
        <v>785</v>
      </c>
      <c r="E51" s="2">
        <v>-643</v>
      </c>
      <c r="F51" s="2">
        <v>2040</v>
      </c>
      <c r="G51" s="2">
        <v>154</v>
      </c>
      <c r="H51" s="2">
        <v>4</v>
      </c>
      <c r="I51" s="2" t="s">
        <v>2989</v>
      </c>
      <c r="J51" s="23"/>
      <c r="K51" t="str">
        <f t="shared" si="0"/>
        <v>{ name: "Yiga Clan Maritta Branch", landmark: "Cave", type: "", region: 6, level: "Surface", x: -643, y: 2040, z: 154, zoom: 4, size: "XS", details: "" },</v>
      </c>
      <c r="N51" s="23"/>
      <c r="O51" s="23"/>
      <c r="P51" s="23"/>
      <c r="Q51" s="23"/>
    </row>
    <row r="52" spans="1:17" x14ac:dyDescent="0.2">
      <c r="A52" t="s">
        <v>864</v>
      </c>
      <c r="B52" t="s">
        <v>2220</v>
      </c>
      <c r="C52">
        <v>7</v>
      </c>
      <c r="D52" t="s">
        <v>785</v>
      </c>
      <c r="E52" s="2">
        <v>2593</v>
      </c>
      <c r="F52" s="2">
        <v>1330</v>
      </c>
      <c r="G52" s="2">
        <v>150</v>
      </c>
      <c r="H52" s="2">
        <v>4</v>
      </c>
      <c r="I52" s="2" t="s">
        <v>2989</v>
      </c>
      <c r="J52" s="23"/>
      <c r="K52" t="str">
        <f t="shared" si="0"/>
        <v>{ name: "Cephla Lake Cave", landmark: "Cave", type: "", region: 7, level: "Surface", x: 2593, y: 1330, z: 150, zoom: 4, size: "XS", details: "" },</v>
      </c>
      <c r="N52" s="23"/>
      <c r="O52" s="23"/>
      <c r="P52" s="23"/>
      <c r="Q52" s="23"/>
    </row>
    <row r="53" spans="1:17" x14ac:dyDescent="0.2">
      <c r="A53" t="s">
        <v>872</v>
      </c>
      <c r="B53" t="s">
        <v>2220</v>
      </c>
      <c r="C53">
        <v>7</v>
      </c>
      <c r="D53" t="s">
        <v>785</v>
      </c>
      <c r="E53" s="2">
        <v>2767</v>
      </c>
      <c r="F53" s="2">
        <v>2778</v>
      </c>
      <c r="G53" s="2">
        <v>521</v>
      </c>
      <c r="H53" s="2">
        <v>4</v>
      </c>
      <c r="I53" s="2" t="s">
        <v>2989</v>
      </c>
      <c r="J53" s="23"/>
      <c r="K53" t="str">
        <f t="shared" si="0"/>
        <v>{ name: "Death Mountain East Tunnel", landmark: "Cave", type: "", region: 7, level: "Surface", x: 2767, y: 2778, z: 521, zoom: 4, size: "XS", details: "" },</v>
      </c>
      <c r="N53" s="23"/>
      <c r="O53" s="23"/>
      <c r="P53" s="23"/>
      <c r="Q53" s="23"/>
    </row>
    <row r="54" spans="1:17" x14ac:dyDescent="0.2">
      <c r="A54" t="s">
        <v>873</v>
      </c>
      <c r="B54" t="s">
        <v>2220</v>
      </c>
      <c r="C54">
        <v>7</v>
      </c>
      <c r="D54" t="s">
        <v>785</v>
      </c>
      <c r="E54" s="2">
        <v>1949</v>
      </c>
      <c r="F54" s="2">
        <v>2687</v>
      </c>
      <c r="G54" s="2">
        <v>425</v>
      </c>
      <c r="H54" s="2">
        <v>4</v>
      </c>
      <c r="I54" s="2" t="s">
        <v>2989</v>
      </c>
      <c r="J54" s="23"/>
      <c r="K54" t="str">
        <f t="shared" si="0"/>
        <v>{ name: "Death Mountain Foothill Cave", landmark: "Cave", type: "", region: 7, level: "Surface", x: 1949, y: 2687, z: 425, zoom: 4, size: "XS", details: "" },</v>
      </c>
      <c r="N54" s="23"/>
      <c r="O54" s="23"/>
      <c r="P54" s="23"/>
      <c r="Q54" s="23"/>
    </row>
    <row r="55" spans="1:17" x14ac:dyDescent="0.2">
      <c r="A55" t="s">
        <v>874</v>
      </c>
      <c r="B55" t="s">
        <v>2220</v>
      </c>
      <c r="C55">
        <v>7</v>
      </c>
      <c r="D55" t="s">
        <v>785</v>
      </c>
      <c r="E55" s="2">
        <v>2238</v>
      </c>
      <c r="F55" s="2">
        <v>2682</v>
      </c>
      <c r="G55" s="2">
        <v>520</v>
      </c>
      <c r="H55" s="2">
        <v>4</v>
      </c>
      <c r="I55" s="2" t="s">
        <v>2989</v>
      </c>
      <c r="J55" s="23"/>
      <c r="K55" t="str">
        <f t="shared" si="0"/>
        <v>{ name: "Death Mountain West Tunnel", landmark: "Cave", type: "", region: 7, level: "Surface", x: 2238, y: 2682, z: 520, zoom: 4, size: "XS", details: "" },</v>
      </c>
      <c r="N55" s="23"/>
      <c r="O55" s="23"/>
      <c r="P55" s="23"/>
      <c r="Q55" s="23"/>
    </row>
    <row r="56" spans="1:17" x14ac:dyDescent="0.2">
      <c r="A56" t="s">
        <v>881</v>
      </c>
      <c r="B56" t="s">
        <v>2220</v>
      </c>
      <c r="C56">
        <v>7</v>
      </c>
      <c r="D56" t="s">
        <v>785</v>
      </c>
      <c r="E56" s="2">
        <v>1853</v>
      </c>
      <c r="F56" s="2">
        <v>1719</v>
      </c>
      <c r="G56" s="2">
        <v>291</v>
      </c>
      <c r="H56" s="2">
        <v>4</v>
      </c>
      <c r="I56" s="2" t="s">
        <v>2989</v>
      </c>
      <c r="J56" s="23"/>
      <c r="K56" t="str">
        <f t="shared" si="0"/>
        <v>{ name: "East Restaurant Cave", landmark: "Cave", type: "", region: 7, level: "Surface", x: 1853, y: 1719, z: 291, zoom: 4, size: "XS", details: "" },</v>
      </c>
      <c r="N56" s="23"/>
      <c r="O56" s="23"/>
      <c r="P56" s="23"/>
      <c r="Q56" s="23"/>
    </row>
    <row r="57" spans="1:17" x14ac:dyDescent="0.2">
      <c r="A57" t="s">
        <v>885</v>
      </c>
      <c r="B57" t="s">
        <v>2220</v>
      </c>
      <c r="C57">
        <v>7</v>
      </c>
      <c r="D57" t="s">
        <v>785</v>
      </c>
      <c r="E57" s="2">
        <v>2275</v>
      </c>
      <c r="F57" s="2">
        <v>1520</v>
      </c>
      <c r="G57" s="2">
        <v>157</v>
      </c>
      <c r="H57" s="2">
        <v>4</v>
      </c>
      <c r="I57" s="2" t="s">
        <v>2989</v>
      </c>
      <c r="J57" s="23"/>
      <c r="K57" t="str">
        <f t="shared" si="0"/>
        <v>{ name: "Foothill Monster Den", landmark: "Cave", type: "", region: 7, level: "Surface", x: 2275, y: 1520, z: 157, zoom: 4, size: "XS", details: "" },</v>
      </c>
      <c r="N57" s="23"/>
      <c r="O57" s="23"/>
      <c r="P57" s="23"/>
      <c r="Q57" s="23"/>
    </row>
    <row r="58" spans="1:17" x14ac:dyDescent="0.2">
      <c r="A58" t="s">
        <v>890</v>
      </c>
      <c r="B58" t="s">
        <v>2220</v>
      </c>
      <c r="C58">
        <v>7</v>
      </c>
      <c r="D58" t="s">
        <v>785</v>
      </c>
      <c r="E58" s="2">
        <v>2015</v>
      </c>
      <c r="F58" s="2">
        <v>2038</v>
      </c>
      <c r="G58" s="2">
        <v>420</v>
      </c>
      <c r="H58" s="2">
        <v>4</v>
      </c>
      <c r="I58" s="2" t="s">
        <v>2989</v>
      </c>
      <c r="J58" s="23"/>
      <c r="K58" t="str">
        <f t="shared" si="0"/>
        <v>{ name: "Gorko Tunnel", landmark: "Cave", type: "", region: 7, level: "Surface", x: 2015, y: 2038, z: 420, zoom: 4, size: "XS", details: "" },</v>
      </c>
      <c r="N58" s="23"/>
      <c r="O58" s="23"/>
      <c r="P58" s="23"/>
      <c r="Q58" s="23"/>
    </row>
    <row r="59" spans="1:17" x14ac:dyDescent="0.2">
      <c r="A59" t="s">
        <v>891</v>
      </c>
      <c r="B59" t="s">
        <v>2220</v>
      </c>
      <c r="C59">
        <v>7</v>
      </c>
      <c r="D59" t="s">
        <v>785</v>
      </c>
      <c r="E59" s="2">
        <v>1423</v>
      </c>
      <c r="F59" s="2">
        <v>2102</v>
      </c>
      <c r="G59" s="2">
        <v>284</v>
      </c>
      <c r="H59" s="2">
        <v>4</v>
      </c>
      <c r="I59" s="2" t="s">
        <v>2989</v>
      </c>
      <c r="J59" s="23"/>
      <c r="K59" t="str">
        <f t="shared" si="0"/>
        <v>{ name: "Goronbi River Cave", landmark: "Cave", type: "", region: 7, level: "Surface", x: 1423, y: 2102, z: 284, zoom: 4, size: "XS", details: "" },</v>
      </c>
      <c r="N59" s="23"/>
      <c r="O59" s="23"/>
      <c r="P59" s="23"/>
      <c r="Q59" s="23"/>
    </row>
    <row r="60" spans="1:17" x14ac:dyDescent="0.2">
      <c r="A60" t="s">
        <v>898</v>
      </c>
      <c r="B60" t="s">
        <v>2220</v>
      </c>
      <c r="C60">
        <v>7</v>
      </c>
      <c r="D60" t="s">
        <v>785</v>
      </c>
      <c r="E60" s="2">
        <v>1554</v>
      </c>
      <c r="F60" s="2">
        <v>3102</v>
      </c>
      <c r="G60" s="2">
        <v>392</v>
      </c>
      <c r="H60" s="2">
        <v>4</v>
      </c>
      <c r="I60" s="2" t="s">
        <v>2989</v>
      </c>
      <c r="J60" s="23"/>
      <c r="K60" t="str">
        <f t="shared" si="0"/>
        <v>{ name: "Isle of Rabac Gallery", landmark: "Cave", type: "", region: 7, level: "Surface", x: 1554, y: 3102, z: 392, zoom: 4, size: "XS", details: "" },</v>
      </c>
      <c r="N60" s="23"/>
      <c r="O60" s="23"/>
      <c r="P60" s="23"/>
      <c r="Q60" s="23"/>
    </row>
    <row r="61" spans="1:17" x14ac:dyDescent="0.2">
      <c r="A61" t="s">
        <v>903</v>
      </c>
      <c r="B61" t="s">
        <v>2220</v>
      </c>
      <c r="C61">
        <v>7</v>
      </c>
      <c r="D61" t="s">
        <v>785</v>
      </c>
      <c r="E61" s="2">
        <v>2373</v>
      </c>
      <c r="F61" s="2">
        <v>3051</v>
      </c>
      <c r="G61" s="2">
        <v>445</v>
      </c>
      <c r="H61" s="2">
        <v>4</v>
      </c>
      <c r="I61" s="2" t="s">
        <v>2989</v>
      </c>
      <c r="J61" s="23"/>
      <c r="K61" t="str">
        <f t="shared" si="0"/>
        <v>{ name: "Lake Darman Monster Den", landmark: "Cave", type: "", region: 7, level: "Surface", x: 2373, y: 3051, z: 445, zoom: 4, size: "XS", details: "" },</v>
      </c>
      <c r="N61" s="23"/>
      <c r="O61" s="23"/>
      <c r="P61" s="23"/>
      <c r="Q61" s="23"/>
    </row>
    <row r="62" spans="1:17" x14ac:dyDescent="0.2">
      <c r="A62" t="s">
        <v>904</v>
      </c>
      <c r="B62" t="s">
        <v>2237</v>
      </c>
      <c r="C62">
        <v>7</v>
      </c>
      <c r="D62" t="s">
        <v>785</v>
      </c>
      <c r="E62" s="2">
        <v>1929</v>
      </c>
      <c r="F62" s="2">
        <v>1271</v>
      </c>
      <c r="G62" s="2">
        <v>121</v>
      </c>
      <c r="H62" s="2">
        <v>4</v>
      </c>
      <c r="I62" s="2" t="s">
        <v>2989</v>
      </c>
      <c r="J62" s="23"/>
      <c r="K62" t="str">
        <f t="shared" si="0"/>
        <v>{ name: "Lake Ferona Cave", landmark: "Cave", type: "(Entrance 1 of 2)", region: 7, level: "Surface", x: 1929, y: 1271, z: 121, zoom: 4, size: "XS", details: "" },</v>
      </c>
      <c r="N62" s="23"/>
      <c r="O62" s="23"/>
      <c r="P62" s="23"/>
      <c r="Q62" s="23"/>
    </row>
    <row r="63" spans="1:17" x14ac:dyDescent="0.2">
      <c r="A63" t="s">
        <v>904</v>
      </c>
      <c r="B63" t="s">
        <v>2238</v>
      </c>
      <c r="C63">
        <v>7</v>
      </c>
      <c r="D63" t="s">
        <v>785</v>
      </c>
      <c r="E63" s="2">
        <v>1931</v>
      </c>
      <c r="F63" s="2">
        <v>1304</v>
      </c>
      <c r="G63" s="2">
        <v>168</v>
      </c>
      <c r="H63" s="2">
        <v>4</v>
      </c>
      <c r="I63" s="2" t="s">
        <v>2989</v>
      </c>
      <c r="J63" s="23"/>
      <c r="K63" t="str">
        <f t="shared" si="0"/>
        <v>{ name: "Lake Ferona Cave", landmark: "Cave", type: "(Entrance 2 of 2)", region: 7, level: "Surface", x: 1931, y: 1304, z: 168, zoom: 4, size: "XS", details: "" },</v>
      </c>
      <c r="N63" s="23"/>
      <c r="O63" s="23"/>
      <c r="P63" s="23"/>
      <c r="Q63" s="23"/>
    </row>
    <row r="64" spans="1:17" x14ac:dyDescent="0.2">
      <c r="A64" t="s">
        <v>906</v>
      </c>
      <c r="B64" t="s">
        <v>2220</v>
      </c>
      <c r="C64">
        <v>7</v>
      </c>
      <c r="D64" t="s">
        <v>785</v>
      </c>
      <c r="E64" s="2">
        <v>2485</v>
      </c>
      <c r="F64" s="2">
        <v>1792</v>
      </c>
      <c r="G64" s="2">
        <v>157</v>
      </c>
      <c r="H64" s="2">
        <v>4</v>
      </c>
      <c r="I64" s="2" t="s">
        <v>2989</v>
      </c>
      <c r="J64" s="23"/>
      <c r="K64" t="str">
        <f t="shared" si="0"/>
        <v>{ name: "Lake Intenoch Cave", landmark: "Cave", type: "", region: 7, level: "Surface", x: 2485, y: 1792, z: 157, zoom: 4, size: "XS", details: "" },</v>
      </c>
      <c r="N64" s="23"/>
      <c r="O64" s="23"/>
      <c r="P64" s="23"/>
      <c r="Q64" s="23"/>
    </row>
    <row r="65" spans="1:17" x14ac:dyDescent="0.2">
      <c r="A65" t="s">
        <v>911</v>
      </c>
      <c r="B65" t="s">
        <v>2220</v>
      </c>
      <c r="C65">
        <v>7</v>
      </c>
      <c r="D65" t="s">
        <v>785</v>
      </c>
      <c r="E65" s="2">
        <v>2206</v>
      </c>
      <c r="F65" s="2">
        <v>3075</v>
      </c>
      <c r="G65" s="2">
        <v>405</v>
      </c>
      <c r="H65" s="2">
        <v>4</v>
      </c>
      <c r="I65" s="2" t="s">
        <v>2989</v>
      </c>
      <c r="J65" s="23"/>
      <c r="K65" t="str">
        <f t="shared" si="0"/>
        <v>{ name: "Lizard's Burrow", landmark: "Cave", type: "", region: 7, level: "Surface", x: 2206, y: 3075, z: 405, zoom: 4, size: "XS", details: "" },</v>
      </c>
      <c r="N65" s="23"/>
      <c r="O65" s="23"/>
      <c r="P65" s="23"/>
      <c r="Q65" s="23"/>
    </row>
    <row r="66" spans="1:17" x14ac:dyDescent="0.2">
      <c r="A66" t="s">
        <v>930</v>
      </c>
      <c r="B66" t="s">
        <v>2220</v>
      </c>
      <c r="C66">
        <v>7</v>
      </c>
      <c r="D66" t="s">
        <v>785</v>
      </c>
      <c r="E66" s="2">
        <v>1247</v>
      </c>
      <c r="F66" s="2">
        <v>1231</v>
      </c>
      <c r="G66" s="2">
        <v>25</v>
      </c>
      <c r="H66" s="2">
        <v>4</v>
      </c>
      <c r="I66" s="2" t="s">
        <v>2989</v>
      </c>
      <c r="J66" s="23"/>
      <c r="K66" t="str">
        <f t="shared" si="0"/>
        <v>{ name: "Pico Pond Cave", landmark: "Cave", type: "", region: 7, level: "Surface", x: 1247, y: 1231, z: 25, zoom: 4, size: "XS", details: "" },</v>
      </c>
      <c r="N66" s="23"/>
      <c r="O66" s="23"/>
      <c r="P66" s="23"/>
      <c r="Q66" s="23"/>
    </row>
    <row r="67" spans="1:17" x14ac:dyDescent="0.2">
      <c r="A67" t="s">
        <v>959</v>
      </c>
      <c r="B67" t="s">
        <v>2220</v>
      </c>
      <c r="C67">
        <v>7</v>
      </c>
      <c r="D67" t="s">
        <v>785</v>
      </c>
      <c r="E67" s="2">
        <v>1800</v>
      </c>
      <c r="F67" s="2">
        <v>1983</v>
      </c>
      <c r="G67" s="2">
        <v>320</v>
      </c>
      <c r="H67" s="2">
        <v>4</v>
      </c>
      <c r="I67" s="2" t="s">
        <v>2989</v>
      </c>
      <c r="J67" s="23"/>
      <c r="K67" t="str">
        <f t="shared" ref="K67:K130" si="1">"{ name: "&amp;CHAR(34)&amp;A67&amp;CHAR(34)&amp;", landmark: "&amp;CHAR(34)&amp;"Cave"&amp;CHAR(34)&amp;", type: "&amp;CHAR(34)&amp;B67&amp;CHAR(34)&amp;", region: "&amp;C67&amp;", level: "&amp;CHAR(34)&amp;D67&amp;CHAR(34)&amp;", x: "&amp;E67&amp;", y: "&amp;F67&amp;", z: "&amp;G67&amp;", zoom: "&amp;IF(LEN(H67)&gt;1,"["&amp;H67&amp;"]",H67)&amp;", size: "&amp;CHAR(34)&amp;I67&amp;CHAR(34)&amp;", details: "&amp;CHAR(34)&amp;J67&amp;CHAR(34)&amp;" },"</f>
        <v>{ name: "Southern Mine", landmark: "Cave", type: "", region: 7, level: "Surface", x: 1800, y: 1983, z: 320, zoom: 4, size: "XS", details: "" },</v>
      </c>
      <c r="N67" s="23"/>
      <c r="O67" s="23"/>
      <c r="P67" s="23"/>
      <c r="Q67" s="23"/>
    </row>
    <row r="68" spans="1:17" x14ac:dyDescent="0.2">
      <c r="A68" t="s">
        <v>985</v>
      </c>
      <c r="B68" t="s">
        <v>2220</v>
      </c>
      <c r="C68">
        <v>7</v>
      </c>
      <c r="D68" t="s">
        <v>785</v>
      </c>
      <c r="E68" s="2">
        <v>1642</v>
      </c>
      <c r="F68" s="2">
        <v>1729</v>
      </c>
      <c r="G68" s="2">
        <v>279</v>
      </c>
      <c r="H68" s="2">
        <v>4</v>
      </c>
      <c r="I68" s="2" t="s">
        <v>2989</v>
      </c>
      <c r="J68" s="23"/>
      <c r="K68" t="str">
        <f t="shared" si="1"/>
        <v>{ name: "West Restaurant Cave", landmark: "Cave", type: "", region: 7, level: "Surface", x: 1642, y: 1729, z: 279, zoom: 4, size: "XS", details: "" },</v>
      </c>
      <c r="N68" s="23"/>
      <c r="O68" s="23"/>
      <c r="P68" s="23"/>
      <c r="Q68" s="23"/>
    </row>
    <row r="69" spans="1:17" x14ac:dyDescent="0.2">
      <c r="A69" t="s">
        <v>989</v>
      </c>
      <c r="B69" t="s">
        <v>2220</v>
      </c>
      <c r="C69">
        <v>7</v>
      </c>
      <c r="D69" t="s">
        <v>785</v>
      </c>
      <c r="E69" s="2">
        <v>1764</v>
      </c>
      <c r="F69" s="2">
        <v>2837</v>
      </c>
      <c r="G69" s="2">
        <v>399</v>
      </c>
      <c r="H69" s="2">
        <v>4</v>
      </c>
      <c r="I69" s="2" t="s">
        <v>2989</v>
      </c>
      <c r="K69" t="str">
        <f t="shared" si="1"/>
        <v>{ name: "YunoboCo HQ East Cave", landmark: "Cave", type: "", region: 7, level: "Surface", x: 1764, y: 2837, z: 399, zoom: 4, size: "XS", details: "" },</v>
      </c>
      <c r="N69" s="23"/>
      <c r="O69" s="23"/>
      <c r="P69" s="23"/>
      <c r="Q69" s="23"/>
    </row>
    <row r="70" spans="1:17" x14ac:dyDescent="0.2">
      <c r="A70" t="s">
        <v>990</v>
      </c>
      <c r="B70" t="s">
        <v>2220</v>
      </c>
      <c r="C70">
        <v>7</v>
      </c>
      <c r="D70" t="s">
        <v>785</v>
      </c>
      <c r="E70" s="2">
        <v>1713</v>
      </c>
      <c r="F70" s="2">
        <v>2718</v>
      </c>
      <c r="G70" s="2">
        <v>400</v>
      </c>
      <c r="H70" s="2">
        <v>4</v>
      </c>
      <c r="I70" s="2" t="s">
        <v>2989</v>
      </c>
      <c r="K70" t="str">
        <f t="shared" si="1"/>
        <v>{ name: "YunoboCo HQ South Cave", landmark: "Cave", type: "", region: 7, level: "Surface", x: 1713, y: 2718, z: 400, zoom: 4, size: "XS", details: "" },</v>
      </c>
      <c r="N70" s="23"/>
      <c r="O70" s="23"/>
      <c r="P70" s="23"/>
      <c r="Q70" s="23"/>
    </row>
    <row r="71" spans="1:17" x14ac:dyDescent="0.2">
      <c r="A71" t="s">
        <v>849</v>
      </c>
      <c r="B71" t="s">
        <v>2220</v>
      </c>
      <c r="C71">
        <v>8</v>
      </c>
      <c r="D71" t="s">
        <v>785</v>
      </c>
      <c r="E71" s="2">
        <v>3243</v>
      </c>
      <c r="F71" s="2">
        <v>1456</v>
      </c>
      <c r="G71" s="2">
        <v>294</v>
      </c>
      <c r="H71" s="2">
        <v>4</v>
      </c>
      <c r="I71" s="2" t="s">
        <v>2989</v>
      </c>
      <c r="J71" s="23"/>
      <c r="K71" t="str">
        <f t="shared" si="1"/>
        <v>{ name: "Akkala Citadel Ruins Cave", landmark: "Cave", type: "", region: 8, level: "Surface", x: 3243, y: 1456, z: 294, zoom: 4, size: "XS", details: "" },</v>
      </c>
      <c r="N71" s="23"/>
      <c r="O71" s="23"/>
      <c r="P71" s="23"/>
      <c r="Q71" s="23"/>
    </row>
    <row r="72" spans="1:17" x14ac:dyDescent="0.2">
      <c r="A72" t="s">
        <v>851</v>
      </c>
      <c r="B72" t="s">
        <v>2220</v>
      </c>
      <c r="C72">
        <v>8</v>
      </c>
      <c r="D72" t="s">
        <v>785</v>
      </c>
      <c r="E72" s="2">
        <v>3292</v>
      </c>
      <c r="F72" s="2">
        <v>1492</v>
      </c>
      <c r="G72" s="2">
        <v>394</v>
      </c>
      <c r="H72" s="2">
        <v>4</v>
      </c>
      <c r="I72" s="2" t="s">
        <v>2989</v>
      </c>
      <c r="J72" s="23"/>
      <c r="K72" t="str">
        <f t="shared" si="1"/>
        <v>{ name: "Akkala Citadel Ruins Summit Cave", landmark: "Cave", type: "", region: 8, level: "Surface", x: 3292, y: 1492, z: 394, zoom: 4, size: "XS", details: "" },</v>
      </c>
      <c r="N72" s="23"/>
      <c r="O72" s="23"/>
      <c r="P72" s="23"/>
      <c r="Q72" s="23"/>
    </row>
    <row r="73" spans="1:17" x14ac:dyDescent="0.2">
      <c r="A73" t="s">
        <v>866</v>
      </c>
      <c r="B73" t="s">
        <v>2237</v>
      </c>
      <c r="C73">
        <v>8</v>
      </c>
      <c r="D73" t="s">
        <v>785</v>
      </c>
      <c r="E73" s="2">
        <v>3678</v>
      </c>
      <c r="F73" s="2">
        <v>1538</v>
      </c>
      <c r="G73" s="2">
        <v>74</v>
      </c>
      <c r="H73" s="2">
        <v>4</v>
      </c>
      <c r="I73" s="2" t="s">
        <v>2989</v>
      </c>
      <c r="J73" s="23"/>
      <c r="K73" t="str">
        <f t="shared" si="1"/>
        <v>{ name: "Construction Site Cave", landmark: "Cave", type: "(Entrance 1 of 2)", region: 8, level: "Surface", x: 3678, y: 1538, z: 74, zoom: 4, size: "XS", details: "" },</v>
      </c>
      <c r="N73" s="23"/>
      <c r="O73" s="23"/>
      <c r="P73" s="23"/>
      <c r="Q73" s="23"/>
    </row>
    <row r="74" spans="1:17" x14ac:dyDescent="0.2">
      <c r="A74" t="s">
        <v>866</v>
      </c>
      <c r="B74" t="s">
        <v>2238</v>
      </c>
      <c r="C74">
        <v>8</v>
      </c>
      <c r="D74" t="s">
        <v>785</v>
      </c>
      <c r="E74" s="2">
        <v>3735</v>
      </c>
      <c r="F74" s="2">
        <v>1534</v>
      </c>
      <c r="G74" s="2">
        <v>80</v>
      </c>
      <c r="H74" s="2">
        <v>4</v>
      </c>
      <c r="I74" s="2" t="s">
        <v>2989</v>
      </c>
      <c r="J74" s="23"/>
      <c r="K74" t="str">
        <f t="shared" si="1"/>
        <v>{ name: "Construction Site Cave", landmark: "Cave", type: "(Entrance 2 of 2)", region: 8, level: "Surface", x: 3735, y: 1534, z: 80, zoom: 4, size: "XS", details: "" },</v>
      </c>
      <c r="N74" s="23"/>
      <c r="O74" s="23"/>
      <c r="P74" s="23"/>
      <c r="Q74" s="23"/>
    </row>
    <row r="75" spans="1:17" x14ac:dyDescent="0.2">
      <c r="A75" t="s">
        <v>923</v>
      </c>
      <c r="B75" t="s">
        <v>2237</v>
      </c>
      <c r="C75">
        <v>8</v>
      </c>
      <c r="D75" t="s">
        <v>785</v>
      </c>
      <c r="E75" s="2">
        <v>4650</v>
      </c>
      <c r="F75" s="2">
        <v>3584</v>
      </c>
      <c r="G75" s="2">
        <v>-51</v>
      </c>
      <c r="H75" s="2">
        <v>4</v>
      </c>
      <c r="I75" s="2" t="s">
        <v>2989</v>
      </c>
      <c r="J75" s="23"/>
      <c r="K75" t="str">
        <f t="shared" si="1"/>
        <v>{ name: "North Akkala Beach Cave", landmark: "Cave", type: "(Entrance 1 of 2)", region: 8, level: "Surface", x: 4650, y: 3584, z: -51, zoom: 4, size: "XS", details: "" },</v>
      </c>
      <c r="N75" s="23"/>
      <c r="O75" s="23"/>
      <c r="P75" s="23"/>
      <c r="Q75" s="23"/>
    </row>
    <row r="76" spans="1:17" x14ac:dyDescent="0.2">
      <c r="A76" t="s">
        <v>923</v>
      </c>
      <c r="B76" t="s">
        <v>2238</v>
      </c>
      <c r="C76">
        <v>8</v>
      </c>
      <c r="D76" t="s">
        <v>785</v>
      </c>
      <c r="E76" s="2">
        <v>4645</v>
      </c>
      <c r="F76" s="2">
        <v>3206</v>
      </c>
      <c r="G76" s="2">
        <v>6</v>
      </c>
      <c r="H76" s="2">
        <v>4</v>
      </c>
      <c r="I76" s="2" t="s">
        <v>2989</v>
      </c>
      <c r="J76" s="23"/>
      <c r="K76" t="str">
        <f t="shared" si="1"/>
        <v>{ name: "North Akkala Beach Cave", landmark: "Cave", type: "(Entrance 2 of 2)", region: 8, level: "Surface", x: 4645, y: 3206, z: 6, zoom: 4, size: "XS", details: "" },</v>
      </c>
      <c r="N76" s="23"/>
      <c r="O76" s="23"/>
      <c r="P76" s="23"/>
      <c r="Q76" s="23"/>
    </row>
    <row r="77" spans="1:17" x14ac:dyDescent="0.2">
      <c r="A77" t="s">
        <v>957</v>
      </c>
      <c r="B77" t="s">
        <v>2220</v>
      </c>
      <c r="C77">
        <v>8</v>
      </c>
      <c r="D77" t="s">
        <v>785</v>
      </c>
      <c r="E77" s="2">
        <v>3321</v>
      </c>
      <c r="F77" s="2">
        <v>3424</v>
      </c>
      <c r="G77" s="2">
        <v>171</v>
      </c>
      <c r="H77" s="2">
        <v>4</v>
      </c>
      <c r="I77" s="2" t="s">
        <v>2989</v>
      </c>
      <c r="J77" s="23"/>
      <c r="K77" t="str">
        <f t="shared" si="1"/>
        <v>{ name: "Skull Lake Cave", landmark: "Cave", type: "", region: 8, level: "Surface", x: 3321, y: 3424, z: 171, zoom: 4, size: "XS", details: "" },</v>
      </c>
      <c r="N77" s="23"/>
      <c r="O77" s="23"/>
      <c r="P77" s="23"/>
      <c r="Q77" s="23"/>
    </row>
    <row r="78" spans="1:17" x14ac:dyDescent="0.2">
      <c r="A78" t="s">
        <v>972</v>
      </c>
      <c r="B78" t="s">
        <v>2220</v>
      </c>
      <c r="C78">
        <v>8</v>
      </c>
      <c r="D78" t="s">
        <v>785</v>
      </c>
      <c r="E78" s="2">
        <v>3925</v>
      </c>
      <c r="F78" s="2">
        <v>1576</v>
      </c>
      <c r="G78" s="2">
        <v>107</v>
      </c>
      <c r="H78" s="2">
        <v>4</v>
      </c>
      <c r="I78" s="2" t="s">
        <v>2989</v>
      </c>
      <c r="J78" s="23"/>
      <c r="K78" t="str">
        <f t="shared" si="1"/>
        <v>{ name: "Tarrey Town Tunnel", landmark: "Cave", type: "", region: 8, level: "Surface", x: 3925, y: 1576, z: 107, zoom: 4, size: "XS", details: "" },</v>
      </c>
      <c r="N78" s="23"/>
      <c r="O78" s="23"/>
      <c r="P78" s="23"/>
      <c r="Q78" s="23"/>
    </row>
    <row r="79" spans="1:17" x14ac:dyDescent="0.2">
      <c r="A79" t="s">
        <v>856</v>
      </c>
      <c r="B79" t="s">
        <v>2220</v>
      </c>
      <c r="C79">
        <v>9</v>
      </c>
      <c r="D79" t="s">
        <v>785</v>
      </c>
      <c r="E79" s="2">
        <v>3606</v>
      </c>
      <c r="F79" s="2">
        <v>122</v>
      </c>
      <c r="G79" s="2">
        <v>-1</v>
      </c>
      <c r="H79" s="2">
        <v>4</v>
      </c>
      <c r="I79" s="2" t="s">
        <v>2989</v>
      </c>
      <c r="J79" s="23"/>
      <c r="K79" t="str">
        <f t="shared" si="1"/>
        <v>{ name: "Ancient Zora Waterworks", landmark: "Cave", type: "", region: 9, level: "Surface", x: 3606, y: 122, z: -1, zoom: 4, size: "XS", details: "" },</v>
      </c>
      <c r="N79" s="23"/>
      <c r="O79" s="23"/>
      <c r="P79" s="23"/>
      <c r="Q79" s="23"/>
    </row>
    <row r="80" spans="1:17" x14ac:dyDescent="0.2">
      <c r="A80" t="s">
        <v>1140</v>
      </c>
      <c r="B80" t="s">
        <v>2233</v>
      </c>
      <c r="C80" s="18">
        <v>9</v>
      </c>
      <c r="D80" t="s">
        <v>785</v>
      </c>
      <c r="E80" s="2">
        <v>2185</v>
      </c>
      <c r="F80" s="2">
        <v>142</v>
      </c>
      <c r="G80" s="2">
        <v>37</v>
      </c>
      <c r="H80" s="2">
        <v>4</v>
      </c>
      <c r="I80" s="2" t="s">
        <v>2989</v>
      </c>
      <c r="J80" s="23"/>
      <c r="K80" t="str">
        <f t="shared" si="1"/>
        <v>{ name: "Boné Pond East Cave", landmark: "Cave", type: "(Entrance 1 of 4)", region: 9, level: "Surface", x: 2185, y: 142, z: 37, zoom: 4, size: "XS", details: "" },</v>
      </c>
      <c r="N80" s="23"/>
      <c r="O80" s="23"/>
      <c r="P80" s="23"/>
      <c r="Q80" s="23"/>
    </row>
    <row r="81" spans="1:17" x14ac:dyDescent="0.2">
      <c r="A81" t="s">
        <v>1140</v>
      </c>
      <c r="B81" t="s">
        <v>2234</v>
      </c>
      <c r="C81" s="18">
        <v>9</v>
      </c>
      <c r="D81" t="s">
        <v>785</v>
      </c>
      <c r="E81" s="2">
        <v>2215</v>
      </c>
      <c r="F81" s="2">
        <v>100</v>
      </c>
      <c r="G81" s="2">
        <v>71</v>
      </c>
      <c r="H81" s="2">
        <v>4</v>
      </c>
      <c r="I81" s="2" t="s">
        <v>2989</v>
      </c>
      <c r="J81" s="23"/>
      <c r="K81" t="str">
        <f t="shared" si="1"/>
        <v>{ name: "Boné Pond East Cave", landmark: "Cave", type: "(Entrance 2 of 4)", region: 9, level: "Surface", x: 2215, y: 100, z: 71, zoom: 4, size: "XS", details: "" },</v>
      </c>
      <c r="N81" s="23"/>
      <c r="O81" s="23"/>
      <c r="P81" s="23"/>
      <c r="Q81" s="23"/>
    </row>
    <row r="82" spans="1:17" x14ac:dyDescent="0.2">
      <c r="A82" t="s">
        <v>1140</v>
      </c>
      <c r="B82" t="s">
        <v>2235</v>
      </c>
      <c r="C82" s="18">
        <v>9</v>
      </c>
      <c r="D82" t="s">
        <v>785</v>
      </c>
      <c r="E82" s="2">
        <v>2260</v>
      </c>
      <c r="F82" s="2">
        <v>108</v>
      </c>
      <c r="G82" s="2">
        <v>110</v>
      </c>
      <c r="H82" s="2">
        <v>4</v>
      </c>
      <c r="I82" s="2" t="s">
        <v>2989</v>
      </c>
      <c r="J82" s="23"/>
      <c r="K82" t="str">
        <f t="shared" si="1"/>
        <v>{ name: "Boné Pond East Cave", landmark: "Cave", type: "(Entrance 3 of 4)", region: 9, level: "Surface", x: 2260, y: 108, z: 110, zoom: 4, size: "XS", details: "" },</v>
      </c>
      <c r="N82" s="23"/>
      <c r="O82" s="23"/>
      <c r="P82" s="23"/>
      <c r="Q82" s="23"/>
    </row>
    <row r="83" spans="1:17" x14ac:dyDescent="0.2">
      <c r="A83" t="s">
        <v>1140</v>
      </c>
      <c r="B83" t="s">
        <v>2236</v>
      </c>
      <c r="C83" s="18">
        <v>9</v>
      </c>
      <c r="D83" t="s">
        <v>785</v>
      </c>
      <c r="E83" s="2">
        <v>2253</v>
      </c>
      <c r="F83" s="2">
        <v>14</v>
      </c>
      <c r="G83" s="2">
        <v>16</v>
      </c>
      <c r="H83" s="2">
        <v>4</v>
      </c>
      <c r="I83" s="2" t="s">
        <v>2989</v>
      </c>
      <c r="J83" s="23"/>
      <c r="K83" t="str">
        <f t="shared" si="1"/>
        <v>{ name: "Boné Pond East Cave", landmark: "Cave", type: "(Entrance 4 of 4)", region: 9, level: "Surface", x: 2253, y: 14, z: 16, zoom: 4, size: "XS", details: "" },</v>
      </c>
      <c r="N83" s="23"/>
      <c r="O83" s="23"/>
      <c r="P83" s="23"/>
      <c r="Q83" s="23"/>
    </row>
    <row r="84" spans="1:17" x14ac:dyDescent="0.2">
      <c r="A84" t="s">
        <v>862</v>
      </c>
      <c r="B84" t="s">
        <v>2220</v>
      </c>
      <c r="C84">
        <v>9</v>
      </c>
      <c r="D84" t="s">
        <v>785</v>
      </c>
      <c r="E84" s="2">
        <v>3240</v>
      </c>
      <c r="F84" s="2">
        <v>373</v>
      </c>
      <c r="G84" s="2">
        <v>75</v>
      </c>
      <c r="H84" s="2">
        <v>4</v>
      </c>
      <c r="I84" s="2" t="s">
        <v>2989</v>
      </c>
      <c r="J84" s="23"/>
      <c r="K84" t="str">
        <f t="shared" si="1"/>
        <v>{ name: "Cave Under Zora's Domain", landmark: "Cave", type: "", region: 9, level: "Surface", x: 3240, y: 373, z: 75, zoom: 4, size: "XS", details: "" },</v>
      </c>
      <c r="N84" s="23"/>
      <c r="O84" s="23"/>
      <c r="P84" s="23"/>
      <c r="Q84" s="23"/>
    </row>
    <row r="85" spans="1:17" x14ac:dyDescent="0.2">
      <c r="A85" t="s">
        <v>896</v>
      </c>
      <c r="B85" t="s">
        <v>2220</v>
      </c>
      <c r="C85">
        <v>9</v>
      </c>
      <c r="D85" t="s">
        <v>785</v>
      </c>
      <c r="E85" s="2">
        <v>4243</v>
      </c>
      <c r="F85" s="2">
        <v>-255</v>
      </c>
      <c r="G85" s="2">
        <v>-16</v>
      </c>
      <c r="H85" s="2">
        <v>4</v>
      </c>
      <c r="I85" s="2" t="s">
        <v>2989</v>
      </c>
      <c r="J85" s="23"/>
      <c r="K85" t="str">
        <f t="shared" si="1"/>
        <v>{ name: "Horon Lagoon Cave", landmark: "Cave", type: "", region: 9, level: "Surface", x: 4243, y: -255, z: -16, zoom: 4, size: "XS", details: "" },</v>
      </c>
      <c r="N85" s="23"/>
      <c r="O85" s="23"/>
      <c r="P85" s="23"/>
      <c r="Q85" s="23"/>
    </row>
    <row r="86" spans="1:17" x14ac:dyDescent="0.2">
      <c r="A86" t="s">
        <v>913</v>
      </c>
      <c r="B86" t="s">
        <v>2220</v>
      </c>
      <c r="C86">
        <v>9</v>
      </c>
      <c r="D86" t="s">
        <v>785</v>
      </c>
      <c r="E86" s="2">
        <v>3094</v>
      </c>
      <c r="F86" s="2">
        <v>-51</v>
      </c>
      <c r="G86" s="2">
        <v>79</v>
      </c>
      <c r="H86" s="2">
        <v>4</v>
      </c>
      <c r="I86" s="2" t="s">
        <v>2989</v>
      </c>
      <c r="J86" s="23"/>
      <c r="K86" t="str">
        <f t="shared" si="1"/>
        <v>{ name: "Luto's Channel", landmark: "Cave", type: "", region: 9, level: "Surface", x: 3094, y: -51, z: 79, zoom: 4, size: "XS", details: "" },</v>
      </c>
      <c r="N86" s="23"/>
      <c r="O86" s="23"/>
      <c r="P86" s="23"/>
      <c r="Q86" s="23"/>
    </row>
    <row r="87" spans="1:17" x14ac:dyDescent="0.2">
      <c r="A87" t="s">
        <v>927</v>
      </c>
      <c r="B87" t="s">
        <v>2220</v>
      </c>
      <c r="C87">
        <v>9</v>
      </c>
      <c r="D87" t="s">
        <v>785</v>
      </c>
      <c r="E87" s="2">
        <v>2909</v>
      </c>
      <c r="F87" s="2">
        <v>-65</v>
      </c>
      <c r="G87" s="2">
        <v>81</v>
      </c>
      <c r="H87" s="2">
        <v>4</v>
      </c>
      <c r="I87" s="2" t="s">
        <v>2989</v>
      </c>
      <c r="J87" s="23"/>
      <c r="K87" t="str">
        <f t="shared" si="1"/>
        <v>{ name: "Oren Bridge Cave", landmark: "Cave", type: "", region: 9, level: "Surface", x: 2909, y: -65, z: 81, zoom: 4, size: "XS", details: "" },</v>
      </c>
      <c r="N87" s="23"/>
      <c r="O87" s="23"/>
      <c r="P87" s="23"/>
      <c r="Q87" s="23"/>
    </row>
    <row r="88" spans="1:17" x14ac:dyDescent="0.2">
      <c r="A88" t="s">
        <v>933</v>
      </c>
      <c r="B88" t="s">
        <v>2220</v>
      </c>
      <c r="C88">
        <v>9</v>
      </c>
      <c r="D88" t="s">
        <v>785</v>
      </c>
      <c r="E88" s="2">
        <v>3660</v>
      </c>
      <c r="F88" s="2">
        <v>538</v>
      </c>
      <c r="G88" s="2">
        <v>268</v>
      </c>
      <c r="H88" s="2">
        <v>4</v>
      </c>
      <c r="I88" s="2" t="s">
        <v>2989</v>
      </c>
      <c r="J88" s="23"/>
      <c r="K88" t="str">
        <f t="shared" si="1"/>
        <v>{ name: "Ploymus Mountain Cave", landmark: "Cave", type: "", region: 9, level: "Surface", x: 3660, y: 538, z: 268, zoom: 4, size: "XS", details: "" },</v>
      </c>
      <c r="N88" s="23"/>
      <c r="O88" s="23"/>
      <c r="P88" s="23"/>
      <c r="Q88" s="23"/>
    </row>
    <row r="89" spans="1:17" x14ac:dyDescent="0.2">
      <c r="A89" t="s">
        <v>936</v>
      </c>
      <c r="B89" t="s">
        <v>2237</v>
      </c>
      <c r="C89">
        <v>9</v>
      </c>
      <c r="D89" t="s">
        <v>785</v>
      </c>
      <c r="E89" s="2">
        <v>3708</v>
      </c>
      <c r="F89" s="2">
        <v>608</v>
      </c>
      <c r="G89" s="2">
        <v>343</v>
      </c>
      <c r="H89" s="2">
        <v>4</v>
      </c>
      <c r="I89" s="2" t="s">
        <v>2989</v>
      </c>
      <c r="J89" s="23"/>
      <c r="K89" t="str">
        <f t="shared" si="1"/>
        <v>{ name: "Pristine Sanctum", landmark: "Cave", type: "(Entrance 1 of 2)", region: 9, level: "Surface", x: 3708, y: 608, z: 343, zoom: 4, size: "XS", details: "" },</v>
      </c>
      <c r="N89" s="23"/>
      <c r="O89" s="23"/>
      <c r="P89" s="23"/>
      <c r="Q89" s="23"/>
    </row>
    <row r="90" spans="1:17" x14ac:dyDescent="0.2">
      <c r="A90" t="s">
        <v>936</v>
      </c>
      <c r="B90" t="s">
        <v>2238</v>
      </c>
      <c r="C90">
        <v>9</v>
      </c>
      <c r="D90" t="s">
        <v>785</v>
      </c>
      <c r="E90" s="2">
        <v>3622</v>
      </c>
      <c r="F90" s="2">
        <v>583</v>
      </c>
      <c r="G90" s="2">
        <v>169</v>
      </c>
      <c r="H90" s="2">
        <v>4</v>
      </c>
      <c r="I90" s="2" t="s">
        <v>2989</v>
      </c>
      <c r="J90" s="23"/>
      <c r="K90" t="str">
        <f t="shared" si="1"/>
        <v>{ name: "Pristine Sanctum", landmark: "Cave", type: "(Entrance 2 of 2)", region: 9, level: "Surface", x: 3622, y: 583, z: 169, zoom: 4, size: "XS", details: "" },</v>
      </c>
      <c r="N90" s="23"/>
      <c r="O90" s="23"/>
      <c r="P90" s="23"/>
      <c r="Q90" s="23"/>
    </row>
    <row r="91" spans="1:17" x14ac:dyDescent="0.2">
      <c r="A91" t="s">
        <v>939</v>
      </c>
      <c r="B91" t="s">
        <v>2237</v>
      </c>
      <c r="C91">
        <v>9</v>
      </c>
      <c r="D91" t="s">
        <v>785</v>
      </c>
      <c r="E91" s="2">
        <v>2958</v>
      </c>
      <c r="F91" s="2">
        <v>253</v>
      </c>
      <c r="G91" s="2">
        <v>202</v>
      </c>
      <c r="H91" s="2">
        <v>4</v>
      </c>
      <c r="I91" s="2" t="s">
        <v>2989</v>
      </c>
      <c r="J91" s="23"/>
      <c r="K91" t="str">
        <f t="shared" si="1"/>
        <v>{ name: "Ralis Channel", landmark: "Cave", type: "(Entrance 1 of 2)", region: 9, level: "Surface", x: 2958, y: 253, z: 202, zoom: 4, size: "XS", details: "" },</v>
      </c>
      <c r="N91" s="23"/>
      <c r="O91" s="23"/>
      <c r="P91" s="23"/>
      <c r="Q91" s="23"/>
    </row>
    <row r="92" spans="1:17" x14ac:dyDescent="0.2">
      <c r="A92" t="s">
        <v>939</v>
      </c>
      <c r="B92" t="s">
        <v>2238</v>
      </c>
      <c r="C92">
        <v>9</v>
      </c>
      <c r="D92" t="s">
        <v>785</v>
      </c>
      <c r="E92" s="2">
        <v>2912</v>
      </c>
      <c r="F92" s="2">
        <v>170</v>
      </c>
      <c r="G92" s="2">
        <v>157</v>
      </c>
      <c r="H92" s="2">
        <v>4</v>
      </c>
      <c r="I92" s="2" t="s">
        <v>2989</v>
      </c>
      <c r="J92" s="23"/>
      <c r="K92" t="str">
        <f t="shared" si="1"/>
        <v>{ name: "Ralis Channel", landmark: "Cave", type: "(Entrance 2 of 2)", region: 9, level: "Surface", x: 2912, y: 170, z: 157, zoom: 4, size: "XS", details: "" },</v>
      </c>
      <c r="N92" s="23"/>
      <c r="O92" s="23"/>
      <c r="P92" s="23"/>
      <c r="Q92" s="23"/>
    </row>
    <row r="93" spans="1:17" x14ac:dyDescent="0.2">
      <c r="A93" t="s">
        <v>944</v>
      </c>
      <c r="B93" t="s">
        <v>2220</v>
      </c>
      <c r="C93">
        <v>9</v>
      </c>
      <c r="D93" t="s">
        <v>785</v>
      </c>
      <c r="E93" s="2">
        <v>3809</v>
      </c>
      <c r="F93" s="2">
        <v>419</v>
      </c>
      <c r="G93" s="2">
        <v>208</v>
      </c>
      <c r="H93" s="2">
        <v>4</v>
      </c>
      <c r="I93" s="2" t="s">
        <v>2989</v>
      </c>
      <c r="J93" s="23"/>
      <c r="K93" t="str">
        <f t="shared" si="1"/>
        <v>{ name: "Reservoir Lakefront Cavern", landmark: "Cave", type: "", region: 9, level: "Surface", x: 3809, y: 419, z: 208, zoom: 4, size: "XS", details: "" },</v>
      </c>
      <c r="N93" s="23"/>
      <c r="O93" s="23"/>
      <c r="P93" s="23"/>
      <c r="Q93" s="23"/>
    </row>
    <row r="94" spans="1:17" x14ac:dyDescent="0.2">
      <c r="A94" t="s">
        <v>965</v>
      </c>
      <c r="B94" t="s">
        <v>2239</v>
      </c>
      <c r="C94" s="18">
        <v>9</v>
      </c>
      <c r="D94" t="s">
        <v>785</v>
      </c>
      <c r="E94" s="2">
        <v>2674</v>
      </c>
      <c r="F94" s="2">
        <v>287</v>
      </c>
      <c r="G94" s="2">
        <v>89</v>
      </c>
      <c r="H94" s="2">
        <v>4</v>
      </c>
      <c r="I94" s="2" t="s">
        <v>2989</v>
      </c>
      <c r="J94" s="23"/>
      <c r="K94" t="str">
        <f t="shared" si="1"/>
        <v>{ name: "Tabahl Woods Cave", landmark: "Cave", type: "(Entrance 1 of 3)", region: 9, level: "Surface", x: 2674, y: 287, z: 89, zoom: 4, size: "XS", details: "" },</v>
      </c>
      <c r="N94" s="23"/>
      <c r="O94" s="23"/>
      <c r="P94" s="23"/>
      <c r="Q94" s="23"/>
    </row>
    <row r="95" spans="1:17" x14ac:dyDescent="0.2">
      <c r="A95" t="s">
        <v>965</v>
      </c>
      <c r="B95" t="s">
        <v>2240</v>
      </c>
      <c r="C95" s="18">
        <v>9</v>
      </c>
      <c r="D95" t="s">
        <v>785</v>
      </c>
      <c r="E95" s="2">
        <v>2605</v>
      </c>
      <c r="F95" s="2">
        <v>227</v>
      </c>
      <c r="G95" s="2">
        <v>75</v>
      </c>
      <c r="H95" s="2">
        <v>4</v>
      </c>
      <c r="I95" s="2" t="s">
        <v>2989</v>
      </c>
      <c r="J95" s="23"/>
      <c r="K95" t="str">
        <f t="shared" si="1"/>
        <v>{ name: "Tabahl Woods Cave", landmark: "Cave", type: "(Entrance 2 of 3)", region: 9, level: "Surface", x: 2605, y: 227, z: 75, zoom: 4, size: "XS", details: "" },</v>
      </c>
      <c r="N95" s="23"/>
      <c r="O95" s="23"/>
      <c r="P95" s="23"/>
      <c r="Q95" s="23"/>
    </row>
    <row r="96" spans="1:17" x14ac:dyDescent="0.2">
      <c r="A96" t="s">
        <v>965</v>
      </c>
      <c r="B96" t="s">
        <v>2241</v>
      </c>
      <c r="C96" s="18">
        <v>9</v>
      </c>
      <c r="D96" t="s">
        <v>785</v>
      </c>
      <c r="E96" s="2">
        <v>2679</v>
      </c>
      <c r="F96" s="2">
        <v>217</v>
      </c>
      <c r="G96" s="2">
        <v>92</v>
      </c>
      <c r="H96" s="2">
        <v>4</v>
      </c>
      <c r="I96" s="2" t="s">
        <v>2989</v>
      </c>
      <c r="J96" s="23"/>
      <c r="K96" t="str">
        <f t="shared" si="1"/>
        <v>{ name: "Tabahl Woods Cave", landmark: "Cave", type: "(Entrance 3 of 3)", region: 9, level: "Surface", x: 2679, y: 217, z: 92, zoom: 4, size: "XS", details: "" },</v>
      </c>
      <c r="N96" s="23"/>
      <c r="O96" s="23"/>
      <c r="P96" s="23"/>
      <c r="Q96" s="23"/>
    </row>
    <row r="97" spans="1:17" x14ac:dyDescent="0.2">
      <c r="A97" t="s">
        <v>976</v>
      </c>
      <c r="B97" t="s">
        <v>2237</v>
      </c>
      <c r="C97">
        <v>9</v>
      </c>
      <c r="D97" t="s">
        <v>785</v>
      </c>
      <c r="E97" s="2">
        <v>4272</v>
      </c>
      <c r="F97" s="2">
        <v>774</v>
      </c>
      <c r="G97" s="2">
        <v>144</v>
      </c>
      <c r="H97" s="2">
        <v>4</v>
      </c>
      <c r="I97" s="2" t="s">
        <v>2989</v>
      </c>
      <c r="J97" s="23"/>
      <c r="K97" t="str">
        <f t="shared" si="1"/>
        <v>{ name: "Ulria Grotto East Cave", landmark: "Cave", type: "(Entrance 1 of 2)", region: 9, level: "Surface", x: 4272, y: 774, z: 144, zoom: 4, size: "XS", details: "" },</v>
      </c>
      <c r="N97" s="23"/>
      <c r="O97" s="23"/>
      <c r="P97" s="23"/>
      <c r="Q97" s="23"/>
    </row>
    <row r="98" spans="1:17" x14ac:dyDescent="0.2">
      <c r="A98" t="s">
        <v>976</v>
      </c>
      <c r="B98" t="s">
        <v>2238</v>
      </c>
      <c r="C98">
        <v>9</v>
      </c>
      <c r="D98" t="s">
        <v>785</v>
      </c>
      <c r="E98" s="2">
        <v>4505</v>
      </c>
      <c r="F98" s="2">
        <v>705</v>
      </c>
      <c r="G98" s="2">
        <v>96</v>
      </c>
      <c r="H98" s="2">
        <v>4</v>
      </c>
      <c r="I98" s="2" t="s">
        <v>2989</v>
      </c>
      <c r="J98" s="23"/>
      <c r="K98" t="str">
        <f t="shared" si="1"/>
        <v>{ name: "Ulria Grotto East Cave", landmark: "Cave", type: "(Entrance 2 of 2)", region: 9, level: "Surface", x: 4505, y: 705, z: 96, zoom: 4, size: "XS", details: "" },</v>
      </c>
      <c r="N98" s="23"/>
      <c r="O98" s="23"/>
      <c r="P98" s="23"/>
      <c r="Q98" s="23"/>
    </row>
    <row r="99" spans="1:17" x14ac:dyDescent="0.2">
      <c r="A99" t="s">
        <v>977</v>
      </c>
      <c r="B99" t="s">
        <v>2220</v>
      </c>
      <c r="C99">
        <v>9</v>
      </c>
      <c r="D99" t="s">
        <v>785</v>
      </c>
      <c r="E99" s="2">
        <v>4122</v>
      </c>
      <c r="F99" s="2">
        <v>662</v>
      </c>
      <c r="G99" s="2">
        <v>187</v>
      </c>
      <c r="H99" s="2">
        <v>4</v>
      </c>
      <c r="I99" s="2" t="s">
        <v>2989</v>
      </c>
      <c r="J99" s="23"/>
      <c r="K99" t="str">
        <f t="shared" si="1"/>
        <v>{ name: "Ulria Grotto South Cave", landmark: "Cave", type: "", region: 9, level: "Surface", x: 4122, y: 662, z: 187, zoom: 4, size: "XS", details: "" },</v>
      </c>
      <c r="N99" s="23"/>
      <c r="O99" s="23"/>
      <c r="P99" s="23"/>
      <c r="Q99" s="23"/>
    </row>
    <row r="100" spans="1:17" x14ac:dyDescent="0.2">
      <c r="A100" t="s">
        <v>2080</v>
      </c>
      <c r="B100" t="s">
        <v>2237</v>
      </c>
      <c r="C100">
        <v>9</v>
      </c>
      <c r="D100" t="s">
        <v>785</v>
      </c>
      <c r="E100" s="2">
        <v>2863</v>
      </c>
      <c r="F100" s="2">
        <v>346</v>
      </c>
      <c r="G100" s="2">
        <v>227</v>
      </c>
      <c r="H100" s="2">
        <v>4</v>
      </c>
      <c r="I100" s="2" t="s">
        <v>2989</v>
      </c>
      <c r="J100" s="23"/>
      <c r="K100" t="str">
        <f t="shared" si="1"/>
        <v>{ name: "Upland Zorana Byroad Cave", landmark: "Cave", type: "(Entrance 1 of 2)", region: 9, level: "Surface", x: 2863, y: 346, z: 227, zoom: 4, size: "XS", details: "" },</v>
      </c>
      <c r="N100" s="23"/>
      <c r="O100" s="23"/>
      <c r="P100" s="23"/>
      <c r="Q100" s="23"/>
    </row>
    <row r="101" spans="1:17" x14ac:dyDescent="0.2">
      <c r="A101" t="s">
        <v>2080</v>
      </c>
      <c r="B101" t="s">
        <v>2238</v>
      </c>
      <c r="C101">
        <v>9</v>
      </c>
      <c r="D101" t="s">
        <v>785</v>
      </c>
      <c r="E101" s="2">
        <v>2700</v>
      </c>
      <c r="F101" s="2">
        <v>479</v>
      </c>
      <c r="G101" s="2">
        <v>201</v>
      </c>
      <c r="H101" s="2">
        <v>4</v>
      </c>
      <c r="I101" s="2" t="s">
        <v>2989</v>
      </c>
      <c r="J101" s="23"/>
      <c r="K101" t="str">
        <f t="shared" si="1"/>
        <v>{ name: "Upland Zorana Byroad Cave", landmark: "Cave", type: "(Entrance 2 of 2)", region: 9, level: "Surface", x: 2700, y: 479, z: 201, zoom: 4, size: "XS", details: "" },</v>
      </c>
      <c r="N101" s="23"/>
      <c r="O101" s="23"/>
      <c r="P101" s="23"/>
      <c r="Q101" s="23"/>
    </row>
    <row r="102" spans="1:17" x14ac:dyDescent="0.2">
      <c r="A102" t="s">
        <v>978</v>
      </c>
      <c r="B102" t="s">
        <v>2220</v>
      </c>
      <c r="C102">
        <v>9</v>
      </c>
      <c r="D102" t="s">
        <v>785</v>
      </c>
      <c r="E102" s="2">
        <v>3147</v>
      </c>
      <c r="F102" s="2">
        <v>667</v>
      </c>
      <c r="G102" s="2">
        <v>177</v>
      </c>
      <c r="H102" s="2">
        <v>4</v>
      </c>
      <c r="I102" s="2" t="s">
        <v>2989</v>
      </c>
      <c r="J102" s="23"/>
      <c r="K102" t="str">
        <f t="shared" si="1"/>
        <v>{ name: "Upland Zorana Foothill Cave", landmark: "Cave", type: "", region: 9, level: "Surface", x: 3147, y: 667, z: 177, zoom: 4, size: "XS", details: "" },</v>
      </c>
      <c r="N102" s="23"/>
      <c r="O102" s="23"/>
      <c r="P102" s="23"/>
      <c r="Q102" s="23"/>
    </row>
    <row r="103" spans="1:17" x14ac:dyDescent="0.2">
      <c r="A103" t="s">
        <v>979</v>
      </c>
      <c r="B103" t="s">
        <v>2237</v>
      </c>
      <c r="C103" s="18">
        <v>9</v>
      </c>
      <c r="D103" t="s">
        <v>785</v>
      </c>
      <c r="E103" s="2">
        <v>2570</v>
      </c>
      <c r="F103" s="2">
        <v>517</v>
      </c>
      <c r="G103" s="2">
        <v>164</v>
      </c>
      <c r="H103" s="2">
        <v>4</v>
      </c>
      <c r="I103" s="2" t="s">
        <v>2989</v>
      </c>
      <c r="J103" s="23"/>
      <c r="K103" t="str">
        <f t="shared" si="1"/>
        <v>{ name: "Upland Zorana Mountainside Cave", landmark: "Cave", type: "(Entrance 1 of 2)", region: 9, level: "Surface", x: 2570, y: 517, z: 164, zoom: 4, size: "XS", details: "" },</v>
      </c>
      <c r="N103" s="23"/>
      <c r="O103" s="23"/>
      <c r="P103" s="23"/>
      <c r="Q103" s="23"/>
    </row>
    <row r="104" spans="1:17" x14ac:dyDescent="0.2">
      <c r="A104" t="s">
        <v>979</v>
      </c>
      <c r="B104" t="s">
        <v>2238</v>
      </c>
      <c r="C104">
        <v>9</v>
      </c>
      <c r="D104" t="s">
        <v>785</v>
      </c>
      <c r="E104" s="2">
        <v>2633</v>
      </c>
      <c r="F104" s="2">
        <v>526</v>
      </c>
      <c r="G104" s="2">
        <v>188</v>
      </c>
      <c r="H104" s="2">
        <v>4</v>
      </c>
      <c r="I104" s="2" t="s">
        <v>2989</v>
      </c>
      <c r="J104" s="23"/>
      <c r="K104" t="str">
        <f t="shared" si="1"/>
        <v>{ name: "Upland Zorana Mountainside Cave", landmark: "Cave", type: "(Entrance 2 of 2)", region: 9, level: "Surface", x: 2633, y: 526, z: 188, zoom: 4, size: "XS", details: "" },</v>
      </c>
      <c r="N104" s="23"/>
      <c r="O104" s="23"/>
      <c r="P104" s="23"/>
      <c r="Q104" s="23"/>
    </row>
    <row r="105" spans="1:17" x14ac:dyDescent="0.2">
      <c r="A105" t="s">
        <v>980</v>
      </c>
      <c r="B105" t="s">
        <v>2220</v>
      </c>
      <c r="C105" s="18">
        <v>9</v>
      </c>
      <c r="D105" t="s">
        <v>785</v>
      </c>
      <c r="E105" s="2">
        <v>2850</v>
      </c>
      <c r="F105" s="2">
        <v>477</v>
      </c>
      <c r="G105" s="2">
        <v>324</v>
      </c>
      <c r="H105" s="2">
        <v>4</v>
      </c>
      <c r="I105" s="2" t="s">
        <v>2989</v>
      </c>
      <c r="J105" s="23"/>
      <c r="K105" t="str">
        <f t="shared" si="1"/>
        <v>{ name: "Upland Zorana Summit Cave", landmark: "Cave", type: "", region: 9, level: "Surface", x: 2850, y: 477, z: 324, zoom: 4, size: "XS", details: "" },</v>
      </c>
      <c r="N105" s="23"/>
      <c r="O105" s="23"/>
      <c r="P105" s="23"/>
      <c r="Q105" s="23"/>
    </row>
    <row r="106" spans="1:17" x14ac:dyDescent="0.2">
      <c r="A106" t="s">
        <v>2079</v>
      </c>
      <c r="B106" t="s">
        <v>2237</v>
      </c>
      <c r="C106">
        <v>10</v>
      </c>
      <c r="D106" t="s">
        <v>785</v>
      </c>
      <c r="E106" s="2">
        <v>1617</v>
      </c>
      <c r="F106" s="2">
        <v>-1260</v>
      </c>
      <c r="G106" s="2">
        <v>6</v>
      </c>
      <c r="H106" s="2">
        <v>4</v>
      </c>
      <c r="I106" s="2" t="s">
        <v>2989</v>
      </c>
      <c r="J106" s="23"/>
      <c r="K106" t="str">
        <f t="shared" si="1"/>
        <v>{ name: "Byroad to Lanayru Wetlands Cave", landmark: "Cave", type: "(Entrance 1 of 2)", region: 10, level: "Surface", x: 1617, y: -1260, z: 6, zoom: 4, size: "XS", details: "" },</v>
      </c>
      <c r="N106" s="23"/>
      <c r="O106" s="23"/>
      <c r="P106" s="23"/>
      <c r="Q106" s="23"/>
    </row>
    <row r="107" spans="1:17" x14ac:dyDescent="0.2">
      <c r="A107" t="s">
        <v>2079</v>
      </c>
      <c r="B107" t="s">
        <v>2237</v>
      </c>
      <c r="C107">
        <v>10</v>
      </c>
      <c r="D107" t="s">
        <v>785</v>
      </c>
      <c r="E107" s="2">
        <v>1587</v>
      </c>
      <c r="F107" s="2">
        <v>-812</v>
      </c>
      <c r="G107" s="2">
        <v>6</v>
      </c>
      <c r="H107" s="2">
        <v>4</v>
      </c>
      <c r="I107" s="2" t="s">
        <v>2989</v>
      </c>
      <c r="J107" s="23"/>
      <c r="K107" t="str">
        <f t="shared" si="1"/>
        <v>{ name: "Byroad to Lanayru Wetlands Cave", landmark: "Cave", type: "(Entrance 1 of 2)", region: 10, level: "Surface", x: 1587, y: -812, z: 6, zoom: 4, size: "XS", details: "" },</v>
      </c>
      <c r="N107" s="23"/>
      <c r="O107" s="23"/>
      <c r="P107" s="23"/>
      <c r="Q107" s="23"/>
    </row>
    <row r="108" spans="1:17" x14ac:dyDescent="0.2">
      <c r="A108" t="s">
        <v>869</v>
      </c>
      <c r="B108" t="s">
        <v>2220</v>
      </c>
      <c r="C108">
        <v>10</v>
      </c>
      <c r="D108" t="s">
        <v>785</v>
      </c>
      <c r="E108" s="2">
        <v>493</v>
      </c>
      <c r="F108" s="2">
        <v>730</v>
      </c>
      <c r="G108" s="2">
        <v>40</v>
      </c>
      <c r="H108" s="2">
        <v>4</v>
      </c>
      <c r="I108" s="2" t="s">
        <v>2989</v>
      </c>
      <c r="J108" s="23"/>
      <c r="K108" t="str">
        <f t="shared" si="1"/>
        <v>{ name: "Crenel Hills Cave", landmark: "Cave", type: "", region: 10, level: "Surface", x: 493, y: 730, z: 40, zoom: 4, size: "XS", details: "" },</v>
      </c>
      <c r="N108" s="23"/>
      <c r="O108" s="23"/>
      <c r="P108" s="23"/>
      <c r="Q108" s="23"/>
    </row>
    <row r="109" spans="1:17" x14ac:dyDescent="0.2">
      <c r="A109" t="s">
        <v>870</v>
      </c>
      <c r="B109" t="s">
        <v>2237</v>
      </c>
      <c r="C109">
        <v>10</v>
      </c>
      <c r="D109" t="s">
        <v>785</v>
      </c>
      <c r="E109" s="2">
        <v>1144</v>
      </c>
      <c r="F109" s="2">
        <v>247</v>
      </c>
      <c r="G109" s="2">
        <v>57</v>
      </c>
      <c r="H109" s="2">
        <v>4</v>
      </c>
      <c r="I109" s="2" t="s">
        <v>2989</v>
      </c>
      <c r="J109" s="23"/>
      <c r="K109" t="str">
        <f t="shared" si="1"/>
        <v>{ name: "Crenel Peak Cave", landmark: "Cave", type: "(Entrance 1 of 2)", region: 10, level: "Surface", x: 1144, y: 247, z: 57, zoom: 4, size: "XS", details: "" },</v>
      </c>
      <c r="N109" s="23"/>
      <c r="O109" s="23"/>
      <c r="P109" s="23"/>
      <c r="Q109" s="23"/>
    </row>
    <row r="110" spans="1:17" x14ac:dyDescent="0.2">
      <c r="A110" t="s">
        <v>870</v>
      </c>
      <c r="B110" t="s">
        <v>2238</v>
      </c>
      <c r="C110">
        <v>10</v>
      </c>
      <c r="D110" t="s">
        <v>785</v>
      </c>
      <c r="E110" s="2">
        <v>1349</v>
      </c>
      <c r="F110" s="2">
        <v>296</v>
      </c>
      <c r="G110" s="2">
        <v>28</v>
      </c>
      <c r="H110" s="2">
        <v>4</v>
      </c>
      <c r="I110" s="2" t="s">
        <v>2989</v>
      </c>
      <c r="J110" s="23"/>
      <c r="K110" t="str">
        <f t="shared" si="1"/>
        <v>{ name: "Crenel Peak Cave", landmark: "Cave", type: "(Entrance 2 of 2)", region: 10, level: "Surface", x: 1349, y: 296, z: 28, zoom: 4, size: "XS", details: "" },</v>
      </c>
      <c r="N110" s="23"/>
      <c r="O110" s="23"/>
      <c r="P110" s="23"/>
      <c r="Q110" s="23"/>
    </row>
    <row r="111" spans="1:17" x14ac:dyDescent="0.2">
      <c r="A111" t="s">
        <v>871</v>
      </c>
      <c r="B111" t="s">
        <v>2220</v>
      </c>
      <c r="C111" s="18">
        <v>10</v>
      </c>
      <c r="D111" t="s">
        <v>785</v>
      </c>
      <c r="E111" s="2">
        <v>1877</v>
      </c>
      <c r="F111" s="2">
        <v>-1160</v>
      </c>
      <c r="G111" s="2">
        <v>198</v>
      </c>
      <c r="H111" s="2">
        <v>4</v>
      </c>
      <c r="I111" s="2" t="s">
        <v>2989</v>
      </c>
      <c r="J111" s="23"/>
      <c r="K111" t="str">
        <f t="shared" si="1"/>
        <v>{ name: "Cucco Hideaway", landmark: "Cave", type: "", region: 10, level: "Surface", x: 1877, y: -1160, z: 198, zoom: 4, size: "XS", details: "" },</v>
      </c>
      <c r="N111" s="23"/>
      <c r="O111" s="23"/>
      <c r="P111" s="23"/>
      <c r="Q111" s="23"/>
    </row>
    <row r="112" spans="1:17" x14ac:dyDescent="0.2">
      <c r="A112" t="s">
        <v>877</v>
      </c>
      <c r="B112" t="s">
        <v>2220</v>
      </c>
      <c r="C112">
        <v>10</v>
      </c>
      <c r="D112" t="s">
        <v>785</v>
      </c>
      <c r="E112" s="2">
        <v>1194</v>
      </c>
      <c r="F112" s="2">
        <v>-1854</v>
      </c>
      <c r="G112" s="2">
        <v>157</v>
      </c>
      <c r="H112" s="2">
        <v>4</v>
      </c>
      <c r="I112" s="2" t="s">
        <v>2989</v>
      </c>
      <c r="J112" s="23"/>
      <c r="K112" t="str">
        <f t="shared" si="1"/>
        <v>{ name: "Dueling Peaks North Cave", landmark: "Cave", type: "", region: 10, level: "Surface", x: 1194, y: -1854, z: 157, zoom: 4, size: "XS", details: "" },</v>
      </c>
      <c r="N112" s="23"/>
      <c r="O112" s="23"/>
      <c r="P112" s="23"/>
      <c r="Q112" s="23"/>
    </row>
    <row r="113" spans="1:17" x14ac:dyDescent="0.2">
      <c r="A113" t="s">
        <v>878</v>
      </c>
      <c r="B113" t="s">
        <v>2220</v>
      </c>
      <c r="C113">
        <v>10</v>
      </c>
      <c r="D113" t="s">
        <v>785</v>
      </c>
      <c r="E113" s="2">
        <v>1183</v>
      </c>
      <c r="F113" s="2">
        <v>-1947</v>
      </c>
      <c r="G113" s="2">
        <v>245</v>
      </c>
      <c r="H113" s="2">
        <v>4</v>
      </c>
      <c r="I113" s="2" t="s">
        <v>2989</v>
      </c>
      <c r="J113" s="23"/>
      <c r="K113" t="str">
        <f t="shared" si="1"/>
        <v>{ name: "Dueling Peaks South Cave", landmark: "Cave", type: "", region: 10, level: "Surface", x: 1183, y: -1947, z: 245, zoom: 4, size: "XS", details: "" },</v>
      </c>
      <c r="N113" s="23"/>
      <c r="O113" s="23"/>
      <c r="P113" s="23"/>
      <c r="Q113" s="23"/>
    </row>
    <row r="114" spans="1:17" x14ac:dyDescent="0.2">
      <c r="A114" t="s">
        <v>886</v>
      </c>
      <c r="B114" t="s">
        <v>2220</v>
      </c>
      <c r="C114" s="18">
        <v>10</v>
      </c>
      <c r="D114" t="s">
        <v>785</v>
      </c>
      <c r="E114" s="2">
        <v>2243</v>
      </c>
      <c r="F114" s="2">
        <v>-1689</v>
      </c>
      <c r="G114" s="2">
        <v>23</v>
      </c>
      <c r="H114" s="2">
        <v>4</v>
      </c>
      <c r="I114" s="2" t="s">
        <v>2989</v>
      </c>
      <c r="J114" s="23"/>
      <c r="K114" t="str">
        <f t="shared" si="1"/>
        <v>{ name: "Fort Hateno Cave", landmark: "Cave", type: "", region: 10, level: "Surface", x: 2243, y: -1689, z: 23, zoom: 4, size: "XS", details: "" },</v>
      </c>
      <c r="N114" s="23"/>
      <c r="O114" s="23"/>
      <c r="P114" s="23"/>
      <c r="Q114" s="23"/>
    </row>
    <row r="115" spans="1:17" x14ac:dyDescent="0.2">
      <c r="A115" t="s">
        <v>899</v>
      </c>
      <c r="B115" t="s">
        <v>2220</v>
      </c>
      <c r="C115" s="18">
        <v>10</v>
      </c>
      <c r="D115" t="s">
        <v>785</v>
      </c>
      <c r="E115" s="2">
        <v>1947</v>
      </c>
      <c r="F115" s="2">
        <v>-981</v>
      </c>
      <c r="G115" s="2">
        <v>157</v>
      </c>
      <c r="H115" s="2">
        <v>4</v>
      </c>
      <c r="I115" s="2" t="s">
        <v>2989</v>
      </c>
      <c r="J115" s="23"/>
      <c r="K115" t="str">
        <f t="shared" si="1"/>
        <v>{ name: "Kakariko Village Cave", landmark: "Cave", type: "", region: 10, level: "Surface", x: 1947, y: -981, z: 157, zoom: 4, size: "XS", details: "" },</v>
      </c>
      <c r="N115" s="23"/>
      <c r="O115" s="23"/>
      <c r="P115" s="23"/>
      <c r="Q115" s="23"/>
    </row>
    <row r="116" spans="1:17" x14ac:dyDescent="0.2">
      <c r="A116" t="s">
        <v>909</v>
      </c>
      <c r="B116" t="s">
        <v>2220</v>
      </c>
      <c r="C116" s="18">
        <v>10</v>
      </c>
      <c r="D116" t="s">
        <v>785</v>
      </c>
      <c r="E116" s="2">
        <v>2698</v>
      </c>
      <c r="F116" s="2">
        <v>-1314</v>
      </c>
      <c r="G116" s="2">
        <v>111</v>
      </c>
      <c r="H116" s="2">
        <v>4</v>
      </c>
      <c r="I116" s="2" t="s">
        <v>2989</v>
      </c>
      <c r="J116" s="23"/>
      <c r="K116" t="str">
        <f t="shared" si="1"/>
        <v>{ name: "Lanayru Road South Cave", landmark: "Cave", type: "", region: 10, level: "Surface", x: 2698, y: -1314, z: 111, zoom: 4, size: "XS", details: "" },</v>
      </c>
      <c r="N116" s="23"/>
      <c r="O116" s="23"/>
      <c r="P116" s="23"/>
      <c r="Q116" s="23"/>
    </row>
    <row r="117" spans="1:17" x14ac:dyDescent="0.2">
      <c r="A117" t="s">
        <v>943</v>
      </c>
      <c r="B117" t="s">
        <v>2220</v>
      </c>
      <c r="C117">
        <v>10</v>
      </c>
      <c r="D117" t="s">
        <v>785</v>
      </c>
      <c r="E117" s="2">
        <v>845</v>
      </c>
      <c r="F117" s="2">
        <v>31</v>
      </c>
      <c r="G117" s="2">
        <v>15</v>
      </c>
      <c r="H117" s="2">
        <v>4</v>
      </c>
      <c r="I117" s="2" t="s">
        <v>2989</v>
      </c>
      <c r="J117" s="23"/>
      <c r="K117" t="str">
        <f t="shared" si="1"/>
        <v>{ name: "Rebonae Bridge Cave", landmark: "Cave", type: "", region: 10, level: "Surface", x: 845, y: 31, z: 15, zoom: 4, size: "XS", details: "" },</v>
      </c>
      <c r="N117" s="23"/>
      <c r="O117" s="23"/>
      <c r="P117" s="23"/>
      <c r="Q117" s="23"/>
    </row>
    <row r="118" spans="1:17" x14ac:dyDescent="0.2">
      <c r="A118" t="s">
        <v>947</v>
      </c>
      <c r="B118" t="s">
        <v>2220</v>
      </c>
      <c r="C118" s="18">
        <v>10</v>
      </c>
      <c r="D118" t="s">
        <v>785</v>
      </c>
      <c r="E118" s="2">
        <v>2492</v>
      </c>
      <c r="F118" s="2">
        <v>-1477</v>
      </c>
      <c r="G118" s="2">
        <v>12</v>
      </c>
      <c r="H118" s="2">
        <v>4</v>
      </c>
      <c r="I118" s="2" t="s">
        <v>2989</v>
      </c>
      <c r="J118" s="23"/>
      <c r="K118" t="str">
        <f t="shared" si="1"/>
        <v>{ name: "Robred Dropoff Cave", landmark: "Cave", type: "", region: 10, level: "Surface", x: 2492, y: -1477, z: 12, zoom: 4, size: "XS", details: "" },</v>
      </c>
      <c r="N118" s="23"/>
      <c r="O118" s="23"/>
      <c r="P118" s="23"/>
      <c r="Q118" s="23"/>
    </row>
    <row r="119" spans="1:17" x14ac:dyDescent="0.2">
      <c r="A119" t="s">
        <v>952</v>
      </c>
      <c r="B119" t="s">
        <v>2237</v>
      </c>
      <c r="C119">
        <v>10</v>
      </c>
      <c r="D119" t="s">
        <v>785</v>
      </c>
      <c r="E119" s="2">
        <v>1328</v>
      </c>
      <c r="F119" s="2">
        <v>-1156</v>
      </c>
      <c r="G119" s="2">
        <v>134</v>
      </c>
      <c r="H119" s="2">
        <v>4</v>
      </c>
      <c r="I119" s="2" t="s">
        <v>2989</v>
      </c>
      <c r="J119" s="23"/>
      <c r="K119" t="str">
        <f t="shared" si="1"/>
        <v>{ name: "Sahasra Slope Cave", landmark: "Cave", type: "(Entrance 1 of 2)", region: 10, level: "Surface", x: 1328, y: -1156, z: 134, zoom: 4, size: "XS", details: "" },</v>
      </c>
      <c r="N119" s="23"/>
      <c r="O119" s="23"/>
      <c r="P119" s="23"/>
      <c r="Q119" s="23"/>
    </row>
    <row r="120" spans="1:17" x14ac:dyDescent="0.2">
      <c r="A120" t="s">
        <v>952</v>
      </c>
      <c r="B120" t="s">
        <v>2238</v>
      </c>
      <c r="C120">
        <v>10</v>
      </c>
      <c r="D120" t="s">
        <v>785</v>
      </c>
      <c r="E120" s="2">
        <v>1373</v>
      </c>
      <c r="F120" s="2">
        <v>-1197</v>
      </c>
      <c r="G120" s="2">
        <v>129</v>
      </c>
      <c r="H120" s="2">
        <v>4</v>
      </c>
      <c r="I120" s="2" t="s">
        <v>2989</v>
      </c>
      <c r="J120" s="23"/>
      <c r="K120" t="str">
        <f t="shared" si="1"/>
        <v>{ name: "Sahasra Slope Cave", landmark: "Cave", type: "(Entrance 2 of 2)", region: 10, level: "Surface", x: 1373, y: -1197, z: 129, zoom: 4, size: "XS", details: "" },</v>
      </c>
      <c r="N120" s="23"/>
      <c r="O120" s="23"/>
      <c r="P120" s="23"/>
      <c r="Q120" s="23"/>
    </row>
    <row r="121" spans="1:17" x14ac:dyDescent="0.2">
      <c r="A121" t="s">
        <v>875</v>
      </c>
      <c r="B121" t="s">
        <v>2220</v>
      </c>
      <c r="C121">
        <v>11</v>
      </c>
      <c r="D121" t="s">
        <v>785</v>
      </c>
      <c r="E121" s="2">
        <v>4213</v>
      </c>
      <c r="F121" s="2">
        <v>-2262</v>
      </c>
      <c r="G121" s="2">
        <v>0</v>
      </c>
      <c r="H121" s="2">
        <v>4</v>
      </c>
      <c r="I121" s="2" t="s">
        <v>2989</v>
      </c>
      <c r="J121" s="23"/>
      <c r="K121" t="str">
        <f t="shared" si="1"/>
        <v>{ name: "Deepback Bay Cave", landmark: "Cave", type: "", region: 11, level: "Surface", x: 4213, y: -2262, z: 0, zoom: 4, size: "XS", details: "" },</v>
      </c>
      <c r="N121" s="23"/>
      <c r="O121" s="23"/>
      <c r="P121" s="23"/>
      <c r="Q121" s="23"/>
    </row>
    <row r="122" spans="1:17" x14ac:dyDescent="0.2">
      <c r="A122" t="s">
        <v>908</v>
      </c>
      <c r="B122" t="s">
        <v>2237</v>
      </c>
      <c r="C122">
        <v>11</v>
      </c>
      <c r="D122" t="s">
        <v>785</v>
      </c>
      <c r="E122" s="2">
        <v>3073</v>
      </c>
      <c r="F122" s="2">
        <v>-1137</v>
      </c>
      <c r="G122" s="2">
        <v>91</v>
      </c>
      <c r="H122" s="2">
        <v>4</v>
      </c>
      <c r="I122" s="2" t="s">
        <v>2989</v>
      </c>
      <c r="J122" s="23"/>
      <c r="K122" t="str">
        <f t="shared" si="1"/>
        <v>{ name: "Lanayru Road East Cave", landmark: "Cave", type: "(Entrance 1 of 2)", region: 11, level: "Surface", x: 3073, y: -1137, z: 91, zoom: 4, size: "XS", details: "" },</v>
      </c>
      <c r="N122" s="23"/>
      <c r="O122" s="23"/>
      <c r="P122" s="23"/>
      <c r="Q122" s="23"/>
    </row>
    <row r="123" spans="1:17" x14ac:dyDescent="0.2">
      <c r="A123" t="s">
        <v>908</v>
      </c>
      <c r="B123" t="s">
        <v>2238</v>
      </c>
      <c r="C123">
        <v>11</v>
      </c>
      <c r="D123" t="s">
        <v>785</v>
      </c>
      <c r="E123" s="2">
        <v>3476</v>
      </c>
      <c r="F123" s="2">
        <v>-968</v>
      </c>
      <c r="G123" s="2">
        <v>-8</v>
      </c>
      <c r="H123" s="2">
        <v>4</v>
      </c>
      <c r="I123" s="2" t="s">
        <v>2989</v>
      </c>
      <c r="J123" s="23"/>
      <c r="K123" t="str">
        <f t="shared" si="1"/>
        <v>{ name: "Lanayru Road East Cave", landmark: "Cave", type: "(Entrance 2 of 2)", region: 11, level: "Surface", x: 3476, y: -968, z: -8, zoom: 4, size: "XS", details: "" },</v>
      </c>
      <c r="N123" s="23"/>
      <c r="O123" s="23"/>
      <c r="P123" s="23"/>
      <c r="Q123" s="23"/>
    </row>
    <row r="124" spans="1:17" x14ac:dyDescent="0.2">
      <c r="A124" t="s">
        <v>914</v>
      </c>
      <c r="B124" t="s">
        <v>2220</v>
      </c>
      <c r="C124">
        <v>11</v>
      </c>
      <c r="D124" t="s">
        <v>785</v>
      </c>
      <c r="E124" s="2">
        <v>4585</v>
      </c>
      <c r="F124" s="2">
        <v>-2246</v>
      </c>
      <c r="G124" s="2">
        <v>-1</v>
      </c>
      <c r="H124" s="2">
        <v>4</v>
      </c>
      <c r="I124" s="2" t="s">
        <v>2989</v>
      </c>
      <c r="J124" s="23"/>
      <c r="K124" t="str">
        <f t="shared" si="1"/>
        <v>{ name: "Mapla Point Cave", landmark: "Cave", type: "", region: 11, level: "Surface", x: 4585, y: -2246, z: -1, zoom: 4, size: "XS", details: "" },</v>
      </c>
      <c r="N124" s="23"/>
      <c r="O124" s="23"/>
      <c r="P124" s="23"/>
      <c r="Q124" s="23"/>
    </row>
    <row r="125" spans="1:17" x14ac:dyDescent="0.2">
      <c r="A125" t="s">
        <v>926</v>
      </c>
      <c r="B125" t="s">
        <v>2220</v>
      </c>
      <c r="C125">
        <v>11</v>
      </c>
      <c r="D125" t="s">
        <v>785</v>
      </c>
      <c r="E125" s="2">
        <v>2504</v>
      </c>
      <c r="F125" s="2">
        <v>-2106</v>
      </c>
      <c r="G125" s="2">
        <v>6</v>
      </c>
      <c r="H125" s="2">
        <v>4</v>
      </c>
      <c r="I125" s="2" t="s">
        <v>2989</v>
      </c>
      <c r="J125" s="23"/>
      <c r="K125" t="str">
        <f t="shared" si="1"/>
        <v>{ name: "Oakle's Navel Cave", landmark: "Cave", type: "", region: 11, level: "Surface", x: 2504, y: -2106, z: 6, zoom: 4, size: "XS", details: "" },</v>
      </c>
      <c r="N125" s="23"/>
      <c r="O125" s="23"/>
      <c r="P125" s="23"/>
      <c r="Q125" s="23"/>
    </row>
    <row r="126" spans="1:17" x14ac:dyDescent="0.2">
      <c r="A126" t="s">
        <v>945</v>
      </c>
      <c r="B126" t="s">
        <v>2237</v>
      </c>
      <c r="C126">
        <v>11</v>
      </c>
      <c r="D126" t="s">
        <v>785</v>
      </c>
      <c r="E126" s="2">
        <v>3748</v>
      </c>
      <c r="F126" s="2">
        <v>-2026</v>
      </c>
      <c r="G126" s="2">
        <v>190</v>
      </c>
      <c r="H126" s="2">
        <v>4</v>
      </c>
      <c r="I126" s="2" t="s">
        <v>2989</v>
      </c>
      <c r="J126" s="23"/>
      <c r="K126" t="str">
        <f t="shared" si="1"/>
        <v>{ name: "Retsam Forest Cave", landmark: "Cave", type: "(Entrance 1 of 2)", region: 11, level: "Surface", x: 3748, y: -2026, z: 190, zoom: 4, size: "XS", details: "" },</v>
      </c>
      <c r="N126" s="23"/>
      <c r="O126" s="23"/>
      <c r="P126" s="23"/>
      <c r="Q126" s="23"/>
    </row>
    <row r="127" spans="1:17" x14ac:dyDescent="0.2">
      <c r="A127" t="s">
        <v>945</v>
      </c>
      <c r="B127" t="s">
        <v>2238</v>
      </c>
      <c r="C127">
        <v>11</v>
      </c>
      <c r="D127" t="s">
        <v>785</v>
      </c>
      <c r="E127" s="2">
        <v>3757</v>
      </c>
      <c r="F127" s="2">
        <v>-2066</v>
      </c>
      <c r="G127" s="2">
        <v>214</v>
      </c>
      <c r="H127" s="2">
        <v>4</v>
      </c>
      <c r="I127" s="2" t="s">
        <v>2989</v>
      </c>
      <c r="J127" s="23"/>
      <c r="K127" t="str">
        <f t="shared" si="1"/>
        <v>{ name: "Retsam Forest Cave", landmark: "Cave", type: "(Entrance 2 of 2)", region: 11, level: "Surface", x: 3757, y: -2066, z: 214, zoom: 4, size: "XS", details: "" },</v>
      </c>
      <c r="N127" s="23"/>
      <c r="O127" s="23"/>
      <c r="P127" s="23"/>
      <c r="Q127" s="23"/>
    </row>
    <row r="128" spans="1:17" x14ac:dyDescent="0.2">
      <c r="A128" t="s">
        <v>971</v>
      </c>
      <c r="B128" t="s">
        <v>2220</v>
      </c>
      <c r="C128">
        <v>11</v>
      </c>
      <c r="D128" t="s">
        <v>785</v>
      </c>
      <c r="E128" s="2">
        <v>4473</v>
      </c>
      <c r="F128" s="2">
        <v>-826</v>
      </c>
      <c r="G128" s="2">
        <v>31</v>
      </c>
      <c r="H128" s="2">
        <v>4</v>
      </c>
      <c r="I128" s="2" t="s">
        <v>2989</v>
      </c>
      <c r="J128" s="23"/>
      <c r="K128" t="str">
        <f t="shared" si="1"/>
        <v>{ name: "Tarm Point Cave", landmark: "Cave", type: "", region: 11, level: "Surface", x: 4473, y: -826, z: 31, zoom: 4, size: "XS", details: "" },</v>
      </c>
      <c r="N128" s="23"/>
      <c r="O128" s="23"/>
      <c r="P128" s="23"/>
      <c r="Q128" s="23"/>
    </row>
    <row r="129" spans="1:17" x14ac:dyDescent="0.2">
      <c r="A129" t="s">
        <v>982</v>
      </c>
      <c r="B129" t="s">
        <v>2237</v>
      </c>
      <c r="C129">
        <v>11</v>
      </c>
      <c r="D129" t="s">
        <v>785</v>
      </c>
      <c r="E129" s="2">
        <v>4225</v>
      </c>
      <c r="F129" s="2">
        <v>-1738</v>
      </c>
      <c r="G129" s="2">
        <v>180</v>
      </c>
      <c r="H129" s="2">
        <v>4</v>
      </c>
      <c r="I129" s="2" t="s">
        <v>2989</v>
      </c>
      <c r="J129" s="23"/>
      <c r="K129" t="str">
        <f t="shared" si="1"/>
        <v>{ name: "Walnot Mountain Cave", landmark: "Cave", type: "(Entrance 1 of 2)", region: 11, level: "Surface", x: 4225, y: -1738, z: 180, zoom: 4, size: "XS", details: "" },</v>
      </c>
      <c r="N129" s="23"/>
      <c r="O129" s="23"/>
      <c r="P129" s="23"/>
      <c r="Q129" s="23"/>
    </row>
    <row r="130" spans="1:17" x14ac:dyDescent="0.2">
      <c r="A130" t="s">
        <v>982</v>
      </c>
      <c r="B130" t="s">
        <v>2238</v>
      </c>
      <c r="C130">
        <v>11</v>
      </c>
      <c r="D130" t="s">
        <v>785</v>
      </c>
      <c r="E130" s="2">
        <v>3933</v>
      </c>
      <c r="F130" s="2">
        <v>-2069</v>
      </c>
      <c r="G130" s="2">
        <v>127</v>
      </c>
      <c r="H130" s="2">
        <v>4</v>
      </c>
      <c r="I130" s="2" t="s">
        <v>2989</v>
      </c>
      <c r="J130" s="23"/>
      <c r="K130" t="str">
        <f t="shared" si="1"/>
        <v>{ name: "Walnot Mountain Cave", landmark: "Cave", type: "(Entrance 2 of 2)", region: 11, level: "Surface", x: 3933, y: -2069, z: 127, zoom: 4, size: "XS", details: "" },</v>
      </c>
      <c r="N130" s="23"/>
      <c r="O130" s="23"/>
      <c r="P130" s="23"/>
      <c r="Q130" s="23"/>
    </row>
    <row r="131" spans="1:17" x14ac:dyDescent="0.2">
      <c r="A131" t="s">
        <v>857</v>
      </c>
      <c r="B131" t="s">
        <v>2220</v>
      </c>
      <c r="C131">
        <v>12</v>
      </c>
      <c r="D131" t="s">
        <v>785</v>
      </c>
      <c r="E131" s="2">
        <v>2454</v>
      </c>
      <c r="F131" s="2">
        <v>-3193</v>
      </c>
      <c r="G131" s="2">
        <v>64</v>
      </c>
      <c r="H131" s="2">
        <v>4</v>
      </c>
      <c r="I131" s="2" t="s">
        <v>2989</v>
      </c>
      <c r="J131" s="23"/>
      <c r="K131" t="str">
        <f t="shared" ref="K131:K194" si="2">"{ name: "&amp;CHAR(34)&amp;A131&amp;CHAR(34)&amp;", landmark: "&amp;CHAR(34)&amp;"Cave"&amp;CHAR(34)&amp;", type: "&amp;CHAR(34)&amp;B131&amp;CHAR(34)&amp;", region: "&amp;C131&amp;", level: "&amp;CHAR(34)&amp;D131&amp;CHAR(34)&amp;", x: "&amp;E131&amp;", y: "&amp;F131&amp;", z: "&amp;G131&amp;", zoom: "&amp;IF(LEN(H131)&gt;1,"["&amp;H131&amp;"]",H131)&amp;", size: "&amp;CHAR(34)&amp;I131&amp;CHAR(34)&amp;", details: "&amp;CHAR(34)&amp;J131&amp;CHAR(34)&amp;" },"</f>
        <v>{ name: "Atun Valley Cave", landmark: "Cave", type: "", region: 12, level: "Surface", x: 2454, y: -3193, z: 64, zoom: 4, size: "XS", details: "" },</v>
      </c>
      <c r="N131" s="23"/>
      <c r="O131" s="23"/>
      <c r="P131" s="23"/>
      <c r="Q131" s="23"/>
    </row>
    <row r="132" spans="1:17" x14ac:dyDescent="0.2">
      <c r="A132" t="s">
        <v>861</v>
      </c>
      <c r="B132" t="s">
        <v>2220</v>
      </c>
      <c r="C132">
        <v>12</v>
      </c>
      <c r="D132" t="s">
        <v>785</v>
      </c>
      <c r="E132" s="2">
        <v>3650</v>
      </c>
      <c r="F132" s="2">
        <v>-3210</v>
      </c>
      <c r="G132" s="2">
        <v>-6</v>
      </c>
      <c r="H132" s="2">
        <v>4</v>
      </c>
      <c r="I132" s="2" t="s">
        <v>2989</v>
      </c>
      <c r="J132" s="23"/>
      <c r="K132" t="str">
        <f t="shared" si="2"/>
        <v>{ name: "Cape Cales Cliffbase Cave", landmark: "Cave", type: "", region: 12, level: "Surface", x: 3650, y: -3210, z: -6, zoom: 4, size: "XS", details: "" },</v>
      </c>
      <c r="N132" s="23"/>
      <c r="O132" s="23"/>
      <c r="P132" s="23"/>
      <c r="Q132" s="23"/>
    </row>
    <row r="133" spans="1:17" x14ac:dyDescent="0.2">
      <c r="A133" t="s">
        <v>882</v>
      </c>
      <c r="B133" t="s">
        <v>2220</v>
      </c>
      <c r="C133">
        <v>12</v>
      </c>
      <c r="D133" t="s">
        <v>785</v>
      </c>
      <c r="E133" s="2">
        <v>4752</v>
      </c>
      <c r="F133" s="2">
        <v>-3781</v>
      </c>
      <c r="G133" s="2">
        <v>-6</v>
      </c>
      <c r="H133" s="2">
        <v>4</v>
      </c>
      <c r="I133" s="2" t="s">
        <v>2989</v>
      </c>
      <c r="J133" s="23"/>
      <c r="K133" t="str">
        <f t="shared" si="2"/>
        <v>{ name: "Eventide Island Cave", landmark: "Cave", type: "", region: 12, level: "Surface", x: 4752, y: -3781, z: -6, zoom: 4, size: "XS", details: "" },</v>
      </c>
      <c r="N133" s="23"/>
      <c r="O133" s="23"/>
      <c r="P133" s="23"/>
      <c r="Q133" s="23"/>
    </row>
    <row r="134" spans="1:17" x14ac:dyDescent="0.2">
      <c r="A134" t="s">
        <v>918</v>
      </c>
      <c r="B134" t="s">
        <v>2237</v>
      </c>
      <c r="C134">
        <v>12</v>
      </c>
      <c r="D134" t="s">
        <v>785</v>
      </c>
      <c r="E134" s="2">
        <v>3224</v>
      </c>
      <c r="F134" s="2">
        <v>-3017</v>
      </c>
      <c r="G134" s="2">
        <v>59</v>
      </c>
      <c r="H134" s="2">
        <v>4</v>
      </c>
      <c r="I134" s="2" t="s">
        <v>2989</v>
      </c>
      <c r="J134" s="23"/>
      <c r="K134" t="str">
        <f t="shared" si="2"/>
        <v>{ name: "Mount Dunsel Cave", landmark: "Cave", type: "(Entrance 1 of 2)", region: 12, level: "Surface", x: 3224, y: -3017, z: 59, zoom: 4, size: "XS", details: "" },</v>
      </c>
      <c r="N134" s="23"/>
      <c r="O134" s="23"/>
      <c r="P134" s="23"/>
      <c r="Q134" s="23"/>
    </row>
    <row r="135" spans="1:17" x14ac:dyDescent="0.2">
      <c r="A135" t="s">
        <v>918</v>
      </c>
      <c r="B135" t="s">
        <v>2238</v>
      </c>
      <c r="C135">
        <v>12</v>
      </c>
      <c r="D135" t="s">
        <v>785</v>
      </c>
      <c r="E135" s="2">
        <v>3291</v>
      </c>
      <c r="F135" s="2">
        <v>-3296</v>
      </c>
      <c r="G135" s="2">
        <v>64</v>
      </c>
      <c r="H135" s="2">
        <v>4</v>
      </c>
      <c r="I135" s="2" t="s">
        <v>2989</v>
      </c>
      <c r="J135" s="23"/>
      <c r="K135" t="str">
        <f t="shared" si="2"/>
        <v>{ name: "Mount Dunsel Cave", landmark: "Cave", type: "(Entrance 2 of 2)", region: 12, level: "Surface", x: 3291, y: -3296, z: 64, zoom: 4, size: "XS", details: "" },</v>
      </c>
      <c r="N135" s="23"/>
      <c r="O135" s="23"/>
      <c r="P135" s="23"/>
      <c r="Q135" s="23"/>
    </row>
    <row r="136" spans="1:17" x14ac:dyDescent="0.2">
      <c r="A136" t="s">
        <v>858</v>
      </c>
      <c r="B136" t="s">
        <v>2237</v>
      </c>
      <c r="C136">
        <v>13</v>
      </c>
      <c r="D136" t="s">
        <v>783</v>
      </c>
      <c r="E136" s="2">
        <v>739</v>
      </c>
      <c r="F136" s="2">
        <v>-1358</v>
      </c>
      <c r="G136" s="2">
        <v>1542</v>
      </c>
      <c r="H136" s="2">
        <v>4</v>
      </c>
      <c r="I136" s="2" t="s">
        <v>2989</v>
      </c>
      <c r="J136" s="23"/>
      <c r="K136" t="str">
        <f t="shared" si="2"/>
        <v>{ name: "Bottomless Cave", landmark: "Cave", type: "(Entrance 1 of 2)", region: 13, level: "Sky", x: 739, y: -1358, z: 1542, zoom: 4, size: "XS", details: "" },</v>
      </c>
      <c r="N136" s="23"/>
      <c r="O136" s="23"/>
      <c r="P136" s="23"/>
      <c r="Q136" s="23"/>
    </row>
    <row r="137" spans="1:17" x14ac:dyDescent="0.2">
      <c r="A137" t="s">
        <v>858</v>
      </c>
      <c r="B137" t="s">
        <v>2238</v>
      </c>
      <c r="C137">
        <v>13</v>
      </c>
      <c r="D137" t="s">
        <v>783</v>
      </c>
      <c r="E137" s="2">
        <v>711</v>
      </c>
      <c r="F137" s="2">
        <v>-1449</v>
      </c>
      <c r="G137" s="2">
        <v>1485</v>
      </c>
      <c r="H137" s="2">
        <v>4</v>
      </c>
      <c r="I137" s="2" t="s">
        <v>2989</v>
      </c>
      <c r="J137" s="23"/>
      <c r="K137" t="str">
        <f t="shared" si="2"/>
        <v>{ name: "Bottomless Cave", landmark: "Cave", type: "(Entrance 2 of 2)", region: 13, level: "Sky", x: 711, y: -1449, z: 1485, zoom: 4, size: "XS", details: "" },</v>
      </c>
      <c r="N137" s="23"/>
      <c r="O137" s="23"/>
      <c r="P137" s="23"/>
      <c r="Q137" s="23"/>
    </row>
    <row r="138" spans="1:17" x14ac:dyDescent="0.2">
      <c r="A138" t="s">
        <v>860</v>
      </c>
      <c r="B138" t="s">
        <v>2237</v>
      </c>
      <c r="C138">
        <v>13</v>
      </c>
      <c r="D138" t="s">
        <v>785</v>
      </c>
      <c r="E138" s="2">
        <v>1958</v>
      </c>
      <c r="F138" s="2">
        <v>-3032</v>
      </c>
      <c r="G138" s="2">
        <v>192</v>
      </c>
      <c r="H138" s="2">
        <v>4</v>
      </c>
      <c r="I138" s="2" t="s">
        <v>2989</v>
      </c>
      <c r="J138" s="23"/>
      <c r="K138" t="str">
        <f t="shared" si="2"/>
        <v>{ name: "Calora Lake Cave", landmark: "Cave", type: "(Entrance 1 of 2)", region: 13, level: "Surface", x: 1958, y: -3032, z: 192, zoom: 4, size: "XS", details: "" },</v>
      </c>
      <c r="N138" s="23"/>
      <c r="O138" s="23"/>
      <c r="P138" s="23"/>
      <c r="Q138" s="23"/>
    </row>
    <row r="139" spans="1:17" x14ac:dyDescent="0.2">
      <c r="A139" t="s">
        <v>860</v>
      </c>
      <c r="B139" t="s">
        <v>2238</v>
      </c>
      <c r="C139">
        <v>13</v>
      </c>
      <c r="D139" t="s">
        <v>785</v>
      </c>
      <c r="E139" s="2">
        <v>2009</v>
      </c>
      <c r="F139" s="2">
        <v>-3164</v>
      </c>
      <c r="G139" s="2">
        <v>176</v>
      </c>
      <c r="H139" s="2">
        <v>4</v>
      </c>
      <c r="I139" s="2" t="s">
        <v>2989</v>
      </c>
      <c r="J139" s="23"/>
      <c r="K139" t="str">
        <f t="shared" si="2"/>
        <v>{ name: "Calora Lake Cave", landmark: "Cave", type: "(Entrance 2 of 2)", region: 13, level: "Surface", x: 2009, y: -3164, z: 176, zoom: 4, size: "XS", details: "" },</v>
      </c>
      <c r="N139" s="23"/>
      <c r="O139" s="23"/>
      <c r="P139" s="23"/>
      <c r="Q139" s="23"/>
    </row>
    <row r="140" spans="1:17" x14ac:dyDescent="0.2">
      <c r="A140" t="s">
        <v>867</v>
      </c>
      <c r="B140" t="s">
        <v>2237</v>
      </c>
      <c r="C140">
        <v>13</v>
      </c>
      <c r="D140" t="s">
        <v>785</v>
      </c>
      <c r="E140" s="2">
        <v>-171</v>
      </c>
      <c r="F140" s="2">
        <v>-3067</v>
      </c>
      <c r="G140" s="2">
        <v>-13</v>
      </c>
      <c r="H140" s="2">
        <v>4</v>
      </c>
      <c r="I140" s="2" t="s">
        <v>2989</v>
      </c>
      <c r="J140" s="23"/>
      <c r="K140" t="str">
        <f t="shared" si="2"/>
        <v>{ name: "Cora Lakefront Cave", landmark: "Cave", type: "(Entrance 1 of 2)", region: 13, level: "Surface", x: -171, y: -3067, z: -13, zoom: 4, size: "XS", details: "" },</v>
      </c>
      <c r="N140" s="23"/>
      <c r="O140" s="23"/>
      <c r="P140" s="23"/>
      <c r="Q140" s="23"/>
    </row>
    <row r="141" spans="1:17" x14ac:dyDescent="0.2">
      <c r="A141" t="s">
        <v>867</v>
      </c>
      <c r="B141" t="s">
        <v>2238</v>
      </c>
      <c r="C141">
        <v>13</v>
      </c>
      <c r="D141" t="s">
        <v>785</v>
      </c>
      <c r="E141" s="2">
        <v>-256</v>
      </c>
      <c r="F141" s="2">
        <v>-2940</v>
      </c>
      <c r="G141" s="2">
        <v>-18</v>
      </c>
      <c r="H141" s="2">
        <v>4</v>
      </c>
      <c r="I141" s="2" t="s">
        <v>2989</v>
      </c>
      <c r="J141" s="23"/>
      <c r="K141" t="str">
        <f t="shared" si="2"/>
        <v>{ name: "Cora Lakefront Cave", landmark: "Cave", type: "(Entrance 2 of 2)", region: 13, level: "Surface", x: -256, y: -2940, z: -18, zoom: 4, size: "XS", details: "" },</v>
      </c>
      <c r="N141" s="23"/>
      <c r="O141" s="23"/>
      <c r="P141" s="23"/>
      <c r="Q141" s="23"/>
    </row>
    <row r="142" spans="1:17" x14ac:dyDescent="0.2">
      <c r="A142" t="s">
        <v>868</v>
      </c>
      <c r="B142" t="s">
        <v>2220</v>
      </c>
      <c r="C142">
        <v>13</v>
      </c>
      <c r="D142" t="s">
        <v>785</v>
      </c>
      <c r="E142" s="2">
        <v>1676</v>
      </c>
      <c r="F142" s="2">
        <v>-3038</v>
      </c>
      <c r="G142" s="2">
        <v>164</v>
      </c>
      <c r="H142" s="2">
        <v>4</v>
      </c>
      <c r="I142" s="2" t="s">
        <v>2989</v>
      </c>
      <c r="J142" s="23"/>
      <c r="K142" t="str">
        <f t="shared" si="2"/>
        <v>{ name: "Corta Lake Cave", landmark: "Cave", type: "", region: 13, level: "Surface", x: 1676, y: -3038, z: 164, zoom: 4, size: "XS", details: "" },</v>
      </c>
      <c r="N142" s="23"/>
      <c r="O142" s="23"/>
      <c r="P142" s="23"/>
      <c r="Q142" s="23"/>
    </row>
    <row r="143" spans="1:17" x14ac:dyDescent="0.2">
      <c r="A143" t="s">
        <v>883</v>
      </c>
      <c r="B143" t="s">
        <v>2220</v>
      </c>
      <c r="C143">
        <v>13</v>
      </c>
      <c r="D143" t="s">
        <v>785</v>
      </c>
      <c r="E143" s="2">
        <v>568</v>
      </c>
      <c r="F143" s="2">
        <v>-2981</v>
      </c>
      <c r="G143" s="2">
        <v>12</v>
      </c>
      <c r="H143" s="2">
        <v>4</v>
      </c>
      <c r="I143" s="2" t="s">
        <v>2989</v>
      </c>
      <c r="J143" s="23"/>
      <c r="K143" t="str">
        <f t="shared" si="2"/>
        <v>{ name: "Finra Woods Excavation Site", landmark: "Cave", type: "", region: 13, level: "Surface", x: 568, y: -2981, z: 12, zoom: 4, size: "XS", details: "" },</v>
      </c>
      <c r="N143" s="23"/>
      <c r="O143" s="23"/>
      <c r="P143" s="23"/>
      <c r="Q143" s="23"/>
    </row>
    <row r="144" spans="1:17" x14ac:dyDescent="0.2">
      <c r="A144" t="s">
        <v>884</v>
      </c>
      <c r="B144" t="s">
        <v>2220</v>
      </c>
      <c r="C144">
        <v>13</v>
      </c>
      <c r="D144" t="s">
        <v>785</v>
      </c>
      <c r="E144" s="2">
        <v>809</v>
      </c>
      <c r="F144" s="2">
        <v>-2971</v>
      </c>
      <c r="G144" s="2">
        <v>10</v>
      </c>
      <c r="H144" s="2">
        <v>4</v>
      </c>
      <c r="I144" s="2" t="s">
        <v>2989</v>
      </c>
      <c r="J144" s="23"/>
      <c r="K144" t="str">
        <f t="shared" si="2"/>
        <v>{ name: "Floria River Upstream Excavation", landmark: "Cave", type: "", region: 13, level: "Surface", x: 809, y: -2971, z: 10, zoom: 4, size: "XS", details: "" },</v>
      </c>
      <c r="N144" s="23"/>
      <c r="O144" s="23"/>
      <c r="P144" s="23"/>
      <c r="Q144" s="23"/>
    </row>
    <row r="145" spans="1:17" x14ac:dyDescent="0.2">
      <c r="A145" t="s">
        <v>900</v>
      </c>
      <c r="B145" t="s">
        <v>2220</v>
      </c>
      <c r="C145">
        <v>13</v>
      </c>
      <c r="D145" t="s">
        <v>785</v>
      </c>
      <c r="E145" s="2">
        <v>486</v>
      </c>
      <c r="F145" s="2">
        <v>-3831</v>
      </c>
      <c r="G145" s="2">
        <v>7</v>
      </c>
      <c r="H145" s="2">
        <v>4</v>
      </c>
      <c r="I145" s="2" t="s">
        <v>2989</v>
      </c>
      <c r="J145" s="23"/>
      <c r="K145" t="str">
        <f t="shared" si="2"/>
        <v>{ name: "Komo Shoreline Cave", landmark: "Cave", type: "", region: 13, level: "Surface", x: 486, y: -3831, z: 7, zoom: 4, size: "XS", details: "" },</v>
      </c>
      <c r="N145" s="23"/>
      <c r="O145" s="23"/>
      <c r="P145" s="23"/>
      <c r="Q145" s="23"/>
    </row>
    <row r="146" spans="1:17" x14ac:dyDescent="0.2">
      <c r="A146" t="s">
        <v>905</v>
      </c>
      <c r="B146" t="s">
        <v>2220</v>
      </c>
      <c r="C146">
        <v>13</v>
      </c>
      <c r="D146" t="s">
        <v>785</v>
      </c>
      <c r="E146" s="2">
        <v>125</v>
      </c>
      <c r="F146" s="2">
        <v>-2501</v>
      </c>
      <c r="G146" s="2">
        <v>-89</v>
      </c>
      <c r="H146" s="2">
        <v>4</v>
      </c>
      <c r="I146" s="2" t="s">
        <v>2989</v>
      </c>
      <c r="J146" s="23"/>
      <c r="K146" t="str">
        <f t="shared" si="2"/>
        <v>{ name: "Lake Hylia Whirlpool Cave", landmark: "Cave", type: "", region: 13, level: "Surface", x: 125, y: -2501, z: -89, zoom: 4, size: "XS", details: "" },</v>
      </c>
      <c r="N146" s="23"/>
      <c r="O146" s="23"/>
      <c r="P146" s="23"/>
      <c r="Q146" s="23"/>
    </row>
    <row r="147" spans="1:17" x14ac:dyDescent="0.2">
      <c r="A147" t="s">
        <v>974</v>
      </c>
      <c r="B147" t="s">
        <v>2220</v>
      </c>
      <c r="C147">
        <v>13</v>
      </c>
      <c r="D147" t="s">
        <v>785</v>
      </c>
      <c r="E147" s="2">
        <v>1169</v>
      </c>
      <c r="F147" s="2">
        <v>-2443</v>
      </c>
      <c r="G147" s="2">
        <v>177</v>
      </c>
      <c r="H147" s="2">
        <v>4</v>
      </c>
      <c r="I147" s="2" t="s">
        <v>2989</v>
      </c>
      <c r="J147" s="23"/>
      <c r="K147" t="str">
        <f t="shared" si="2"/>
        <v>{ name: "Tobio's Hollow Cave", landmark: "Cave", type: "", region: 13, level: "Surface", x: 1169, y: -2443, z: 177, zoom: 4, size: "XS", details: "" },</v>
      </c>
      <c r="N147" s="23"/>
      <c r="O147" s="23"/>
      <c r="P147" s="23"/>
      <c r="Q147" s="23"/>
    </row>
    <row r="148" spans="1:17" x14ac:dyDescent="0.2">
      <c r="A148" t="s">
        <v>916</v>
      </c>
      <c r="B148" t="s">
        <v>2237</v>
      </c>
      <c r="C148">
        <v>13</v>
      </c>
      <c r="D148" t="s">
        <v>783</v>
      </c>
      <c r="E148" s="2">
        <v>380</v>
      </c>
      <c r="F148" s="2">
        <v>-1631</v>
      </c>
      <c r="G148" s="2">
        <v>1411</v>
      </c>
      <c r="H148" s="2">
        <v>4</v>
      </c>
      <c r="I148" s="2" t="s">
        <v>2989</v>
      </c>
      <c r="J148" s="23"/>
      <c r="K148" t="str">
        <f t="shared" si="2"/>
        <v>{ name: "Mining Cave", landmark: "Cave", type: "(Entrance 1 of 2)", region: 13, level: "Sky", x: 380, y: -1631, z: 1411, zoom: 4, size: "XS", details: "" },</v>
      </c>
      <c r="N148" s="23"/>
      <c r="O148" s="23"/>
      <c r="P148" s="23"/>
      <c r="Q148" s="23"/>
    </row>
    <row r="149" spans="1:17" x14ac:dyDescent="0.2">
      <c r="A149" t="s">
        <v>916</v>
      </c>
      <c r="B149" t="s">
        <v>2238</v>
      </c>
      <c r="C149">
        <v>13</v>
      </c>
      <c r="D149" t="s">
        <v>783</v>
      </c>
      <c r="E149" s="2">
        <v>489</v>
      </c>
      <c r="F149" s="2">
        <v>-1625</v>
      </c>
      <c r="G149" s="2">
        <v>1367</v>
      </c>
      <c r="H149" s="2">
        <v>4</v>
      </c>
      <c r="I149" s="2" t="s">
        <v>2989</v>
      </c>
      <c r="J149" s="23"/>
      <c r="K149" t="str">
        <f t="shared" si="2"/>
        <v>{ name: "Mining Cave", landmark: "Cave", type: "(Entrance 2 of 2)", region: 13, level: "Sky", x: 489, y: -1625, z: 1367, zoom: 4, size: "XS", details: "" },</v>
      </c>
      <c r="N149" s="23"/>
      <c r="O149" s="23"/>
      <c r="P149" s="23"/>
      <c r="Q149" s="23"/>
    </row>
    <row r="150" spans="1:17" x14ac:dyDescent="0.2">
      <c r="A150" t="s">
        <v>919</v>
      </c>
      <c r="B150" t="s">
        <v>2237</v>
      </c>
      <c r="C150" t="s">
        <v>2552</v>
      </c>
      <c r="D150" t="s">
        <v>785</v>
      </c>
      <c r="E150" s="2">
        <v>1959</v>
      </c>
      <c r="F150" s="2">
        <v>-2611</v>
      </c>
      <c r="G150" s="2">
        <v>71</v>
      </c>
      <c r="H150" s="2">
        <v>4</v>
      </c>
      <c r="I150" s="2" t="s">
        <v>2989</v>
      </c>
      <c r="J150" s="23"/>
      <c r="K150" t="str">
        <f t="shared" si="2"/>
        <v>{ name: "Mount Floria Cave", landmark: "Cave", type: "(Entrance 1 of 2)", region: [12,13], level: "Surface", x: 1959, y: -2611, z: 71, zoom: 4, size: "XS", details: "" },</v>
      </c>
      <c r="N150" s="23"/>
      <c r="O150" s="23"/>
      <c r="P150" s="23"/>
      <c r="Q150" s="23"/>
    </row>
    <row r="151" spans="1:17" x14ac:dyDescent="0.2">
      <c r="A151" t="s">
        <v>919</v>
      </c>
      <c r="B151" t="s">
        <v>2238</v>
      </c>
      <c r="C151" t="s">
        <v>2552</v>
      </c>
      <c r="D151" t="s">
        <v>785</v>
      </c>
      <c r="E151" s="2">
        <v>1789</v>
      </c>
      <c r="F151" s="2">
        <v>-2985</v>
      </c>
      <c r="G151" s="2">
        <v>80</v>
      </c>
      <c r="H151" s="2">
        <v>4</v>
      </c>
      <c r="I151" s="2" t="s">
        <v>2989</v>
      </c>
      <c r="J151" s="23"/>
      <c r="K151" t="str">
        <f t="shared" si="2"/>
        <v>{ name: "Mount Floria Cave", landmark: "Cave", type: "(Entrance 2 of 2)", region: [12,13], level: "Surface", x: 1789, y: -2985, z: 80, zoom: 4, size: "XS", details: "" },</v>
      </c>
      <c r="N151" s="23"/>
      <c r="O151" s="23"/>
      <c r="P151" s="23"/>
      <c r="Q151" s="23"/>
    </row>
    <row r="152" spans="1:17" x14ac:dyDescent="0.2">
      <c r="A152" t="s">
        <v>928</v>
      </c>
      <c r="B152" t="s">
        <v>2220</v>
      </c>
      <c r="C152">
        <v>13</v>
      </c>
      <c r="D152" t="s">
        <v>785</v>
      </c>
      <c r="E152" s="2">
        <v>671</v>
      </c>
      <c r="F152" s="2">
        <v>-3109</v>
      </c>
      <c r="G152" s="2">
        <v>23</v>
      </c>
      <c r="H152" s="2">
        <v>4</v>
      </c>
      <c r="I152" s="2" t="s">
        <v>2989</v>
      </c>
      <c r="J152" s="23"/>
      <c r="K152" t="str">
        <f t="shared" si="2"/>
        <v>{ name: "Pagos Woods Excavation Site", landmark: "Cave", type: "", region: 13, level: "Surface", x: 671, y: -3109, z: 23, zoom: 4, size: "XS", details: "" },</v>
      </c>
      <c r="N152" s="23"/>
      <c r="O152" s="23"/>
      <c r="P152" s="23"/>
      <c r="Q152" s="23"/>
    </row>
    <row r="153" spans="1:17" x14ac:dyDescent="0.2">
      <c r="A153" t="s">
        <v>932</v>
      </c>
      <c r="B153" t="s">
        <v>2237</v>
      </c>
      <c r="C153">
        <v>13</v>
      </c>
      <c r="D153" t="s">
        <v>783</v>
      </c>
      <c r="E153" s="2">
        <v>587</v>
      </c>
      <c r="F153" s="2">
        <v>-1624</v>
      </c>
      <c r="G153" s="2">
        <v>1442</v>
      </c>
      <c r="H153" s="2">
        <v>4</v>
      </c>
      <c r="I153" s="2" t="s">
        <v>2989</v>
      </c>
      <c r="J153" s="23"/>
      <c r="K153" t="str">
        <f t="shared" si="2"/>
        <v>{ name: "Pit Cave", landmark: "Cave", type: "(Entrance 1 of 2)", region: 13, level: "Sky", x: 587, y: -1624, z: 1442, zoom: 4, size: "XS", details: "" },</v>
      </c>
      <c r="N153" s="23"/>
      <c r="O153" s="23"/>
      <c r="P153" s="23"/>
      <c r="Q153" s="23"/>
    </row>
    <row r="154" spans="1:17" x14ac:dyDescent="0.2">
      <c r="A154" t="s">
        <v>932</v>
      </c>
      <c r="B154" t="s">
        <v>2238</v>
      </c>
      <c r="C154">
        <v>13</v>
      </c>
      <c r="D154" t="s">
        <v>783</v>
      </c>
      <c r="E154" s="2">
        <v>632</v>
      </c>
      <c r="F154" s="2">
        <v>-1638</v>
      </c>
      <c r="G154" s="2">
        <v>1483</v>
      </c>
      <c r="H154" s="2">
        <v>4</v>
      </c>
      <c r="I154" s="2" t="s">
        <v>2989</v>
      </c>
      <c r="J154" s="23"/>
      <c r="K154" t="str">
        <f t="shared" si="2"/>
        <v>{ name: "Pit Cave", landmark: "Cave", type: "(Entrance 2 of 2)", region: 13, level: "Sky", x: 632, y: -1638, z: 1483, zoom: 4, size: "XS", details: "" },</v>
      </c>
      <c r="N154" s="23"/>
      <c r="O154" s="23"/>
      <c r="P154" s="23"/>
      <c r="Q154" s="23"/>
    </row>
    <row r="155" spans="1:17" x14ac:dyDescent="0.2">
      <c r="A155" t="s">
        <v>935</v>
      </c>
      <c r="B155" t="s">
        <v>2220</v>
      </c>
      <c r="C155">
        <v>13</v>
      </c>
      <c r="D155" t="s">
        <v>785</v>
      </c>
      <c r="E155" s="2">
        <v>608</v>
      </c>
      <c r="F155" s="2">
        <v>-2210</v>
      </c>
      <c r="G155" s="2">
        <v>50</v>
      </c>
      <c r="H155" s="2">
        <v>4</v>
      </c>
      <c r="I155" s="2" t="s">
        <v>2989</v>
      </c>
      <c r="J155" s="23"/>
      <c r="K155" t="str">
        <f t="shared" si="2"/>
        <v>{ name: "Popla Foothills Excavation Site", landmark: "Cave", type: "", region: 13, level: "Surface", x: 608, y: -2210, z: 50, zoom: 4, size: "XS", details: "" },</v>
      </c>
      <c r="N155" s="23"/>
      <c r="O155" s="23"/>
      <c r="P155" s="23"/>
      <c r="Q155" s="23"/>
    </row>
    <row r="156" spans="1:17" x14ac:dyDescent="0.2">
      <c r="A156" t="s">
        <v>937</v>
      </c>
      <c r="B156" t="s">
        <v>2220</v>
      </c>
      <c r="C156">
        <v>13</v>
      </c>
      <c r="D156" t="s">
        <v>785</v>
      </c>
      <c r="E156" s="2">
        <v>283</v>
      </c>
      <c r="F156" s="2">
        <v>-3851</v>
      </c>
      <c r="G156" s="2">
        <v>33</v>
      </c>
      <c r="H156" s="2">
        <v>4</v>
      </c>
      <c r="I156" s="2" t="s">
        <v>2989</v>
      </c>
      <c r="J156" s="23"/>
      <c r="K156" t="str">
        <f t="shared" si="2"/>
        <v>{ name: "Puffer Beach Overhead Cave", landmark: "Cave", type: "", region: 13, level: "Surface", x: 283, y: -3851, z: 33, zoom: 4, size: "XS", details: "" },</v>
      </c>
      <c r="N156" s="23"/>
      <c r="O156" s="23"/>
      <c r="P156" s="23"/>
      <c r="Q156" s="23"/>
    </row>
    <row r="157" spans="1:17" x14ac:dyDescent="0.2">
      <c r="A157" t="s">
        <v>941</v>
      </c>
      <c r="B157" t="s">
        <v>2220</v>
      </c>
      <c r="C157">
        <v>13</v>
      </c>
      <c r="D157" t="s">
        <v>785</v>
      </c>
      <c r="E157" s="2">
        <v>1813</v>
      </c>
      <c r="F157" s="2">
        <v>-3738</v>
      </c>
      <c r="G157" s="2">
        <v>118</v>
      </c>
      <c r="H157" s="2">
        <v>4</v>
      </c>
      <c r="I157" s="2" t="s">
        <v>2989</v>
      </c>
      <c r="J157" s="23"/>
      <c r="K157" t="str">
        <f t="shared" si="2"/>
        <v>{ name: "Rassla Lake Cave", landmark: "Cave", type: "", region: 13, level: "Surface", x: 1813, y: -3738, z: 118, zoom: 4, size: "XS", details: "" },</v>
      </c>
      <c r="N157" s="23"/>
      <c r="O157" s="23"/>
      <c r="P157" s="23"/>
      <c r="Q157" s="23"/>
    </row>
    <row r="158" spans="1:17" x14ac:dyDescent="0.2">
      <c r="A158" t="s">
        <v>948</v>
      </c>
      <c r="B158" t="s">
        <v>2220</v>
      </c>
      <c r="C158">
        <v>13</v>
      </c>
      <c r="D158" t="s">
        <v>785</v>
      </c>
      <c r="E158" s="2">
        <v>1896</v>
      </c>
      <c r="F158" s="2">
        <v>-3111</v>
      </c>
      <c r="G158" s="2">
        <v>132</v>
      </c>
      <c r="H158" s="2">
        <v>4</v>
      </c>
      <c r="I158" s="2" t="s">
        <v>2989</v>
      </c>
      <c r="J158" s="23"/>
      <c r="K158" t="str">
        <f t="shared" si="2"/>
        <v>{ name: "Rodai Lakefront Tunnel", landmark: "Cave", type: "", region: 13, level: "Surface", x: 1896, y: -3111, z: 132, zoom: 4, size: "XS", details: "" },</v>
      </c>
      <c r="N158" s="23"/>
      <c r="O158" s="23"/>
      <c r="P158" s="23"/>
      <c r="Q158" s="23"/>
    </row>
    <row r="159" spans="1:17" x14ac:dyDescent="0.2">
      <c r="A159" t="s">
        <v>953</v>
      </c>
      <c r="B159" t="s">
        <v>2220</v>
      </c>
      <c r="C159">
        <v>13</v>
      </c>
      <c r="D159" t="s">
        <v>785</v>
      </c>
      <c r="E159" s="2">
        <v>1203</v>
      </c>
      <c r="F159" s="2">
        <v>-3170</v>
      </c>
      <c r="G159" s="2">
        <v>25</v>
      </c>
      <c r="H159" s="2">
        <v>4</v>
      </c>
      <c r="I159" s="2" t="s">
        <v>2989</v>
      </c>
      <c r="J159" s="23"/>
      <c r="K159" t="str">
        <f t="shared" si="2"/>
        <v>{ name: "Sarjon Woods Cave", landmark: "Cave", type: "", region: 13, level: "Surface", x: 1203, y: -3170, z: 25, zoom: 4, size: "XS", details: "" },</v>
      </c>
      <c r="N159" s="23"/>
      <c r="O159" s="23"/>
      <c r="P159" s="23"/>
      <c r="Q159" s="23"/>
    </row>
    <row r="160" spans="1:17" x14ac:dyDescent="0.2">
      <c r="A160" t="s">
        <v>975</v>
      </c>
      <c r="B160" t="s">
        <v>2220</v>
      </c>
      <c r="C160">
        <v>13</v>
      </c>
      <c r="D160" t="s">
        <v>785</v>
      </c>
      <c r="E160" s="2">
        <v>1446</v>
      </c>
      <c r="F160" s="2">
        <v>-3483</v>
      </c>
      <c r="G160" s="2">
        <v>77</v>
      </c>
      <c r="H160" s="2">
        <v>4</v>
      </c>
      <c r="I160" s="2" t="s">
        <v>2989</v>
      </c>
      <c r="J160" s="23"/>
      <c r="K160" t="str">
        <f t="shared" si="2"/>
        <v>{ name: "Ubota Point Cave", landmark: "Cave", type: "", region: 13, level: "Surface", x: 1446, y: -3483, z: 77, zoom: 4, size: "XS", details: "" },</v>
      </c>
      <c r="N160" s="23"/>
      <c r="O160" s="23"/>
      <c r="P160" s="23"/>
      <c r="Q160" s="23"/>
    </row>
    <row r="161" spans="1:17" x14ac:dyDescent="0.2">
      <c r="A161" t="s">
        <v>852</v>
      </c>
      <c r="B161" t="s">
        <v>2221</v>
      </c>
      <c r="C161" s="18">
        <v>14</v>
      </c>
      <c r="D161" t="s">
        <v>785</v>
      </c>
      <c r="E161" s="2">
        <v>-2584</v>
      </c>
      <c r="F161" s="2">
        <v>-3638</v>
      </c>
      <c r="G161" s="2">
        <v>-47</v>
      </c>
      <c r="H161" s="2">
        <v>4</v>
      </c>
      <c r="I161" s="2" t="s">
        <v>2989</v>
      </c>
      <c r="J161" s="23"/>
      <c r="K161" t="str">
        <f t="shared" si="2"/>
        <v>{ name: "Ancient Altar Ruins", landmark: "Cave", type: "(Entrance 1 of 12)", region: 14, level: "Surface", x: -2584, y: -3638, z: -47, zoom: 4, size: "XS", details: "" },</v>
      </c>
      <c r="N161" s="23"/>
      <c r="O161" s="23"/>
      <c r="P161" s="23"/>
      <c r="Q161" s="23"/>
    </row>
    <row r="162" spans="1:17" x14ac:dyDescent="0.2">
      <c r="A162" t="s">
        <v>852</v>
      </c>
      <c r="B162" t="s">
        <v>2222</v>
      </c>
      <c r="C162" s="18">
        <v>14</v>
      </c>
      <c r="D162" t="s">
        <v>785</v>
      </c>
      <c r="E162" s="2">
        <v>-2535</v>
      </c>
      <c r="F162" s="2">
        <v>-3626</v>
      </c>
      <c r="G162" s="2">
        <v>-48</v>
      </c>
      <c r="H162" s="2">
        <v>4</v>
      </c>
      <c r="I162" s="2" t="s">
        <v>2989</v>
      </c>
      <c r="J162" s="23"/>
      <c r="K162" t="str">
        <f t="shared" si="2"/>
        <v>{ name: "Ancient Altar Ruins", landmark: "Cave", type: "(Entrance 2 of 12)", region: 14, level: "Surface", x: -2535, y: -3626, z: -48, zoom: 4, size: "XS", details: "" },</v>
      </c>
      <c r="N162" s="23"/>
      <c r="O162" s="23"/>
      <c r="P162" s="23"/>
      <c r="Q162" s="23"/>
    </row>
    <row r="163" spans="1:17" x14ac:dyDescent="0.2">
      <c r="A163" t="s">
        <v>852</v>
      </c>
      <c r="B163" t="s">
        <v>2223</v>
      </c>
      <c r="C163" s="18">
        <v>14</v>
      </c>
      <c r="D163" t="s">
        <v>785</v>
      </c>
      <c r="E163" s="2">
        <v>-2480</v>
      </c>
      <c r="F163" s="2">
        <v>-3632</v>
      </c>
      <c r="G163" s="2">
        <v>-46</v>
      </c>
      <c r="H163" s="2">
        <v>4</v>
      </c>
      <c r="I163" s="2" t="s">
        <v>2989</v>
      </c>
      <c r="J163" s="23"/>
      <c r="K163" t="str">
        <f t="shared" si="2"/>
        <v>{ name: "Ancient Altar Ruins", landmark: "Cave", type: "(Entrance 3 of 12)", region: 14, level: "Surface", x: -2480, y: -3632, z: -46, zoom: 4, size: "XS", details: "" },</v>
      </c>
      <c r="N163" s="23"/>
      <c r="O163" s="23"/>
      <c r="P163" s="23"/>
      <c r="Q163" s="23"/>
    </row>
    <row r="164" spans="1:17" x14ac:dyDescent="0.2">
      <c r="A164" t="s">
        <v>852</v>
      </c>
      <c r="B164" t="s">
        <v>2224</v>
      </c>
      <c r="C164" s="18">
        <v>14</v>
      </c>
      <c r="D164" t="s">
        <v>785</v>
      </c>
      <c r="E164" s="2">
        <v>-2604</v>
      </c>
      <c r="F164" s="2">
        <v>-3709</v>
      </c>
      <c r="G164" s="2">
        <v>-49</v>
      </c>
      <c r="H164" s="2">
        <v>4</v>
      </c>
      <c r="I164" s="2" t="s">
        <v>2989</v>
      </c>
      <c r="J164" s="23"/>
      <c r="K164" t="str">
        <f t="shared" si="2"/>
        <v>{ name: "Ancient Altar Ruins", landmark: "Cave", type: "(Entrance 4 of 12)", region: 14, level: "Surface", x: -2604, y: -3709, z: -49, zoom: 4, size: "XS", details: "" },</v>
      </c>
      <c r="N164" s="23"/>
      <c r="O164" s="23"/>
      <c r="P164" s="23"/>
      <c r="Q164" s="23"/>
    </row>
    <row r="165" spans="1:17" x14ac:dyDescent="0.2">
      <c r="A165" t="s">
        <v>852</v>
      </c>
      <c r="B165" t="s">
        <v>2225</v>
      </c>
      <c r="C165" s="18">
        <v>14</v>
      </c>
      <c r="D165" t="s">
        <v>785</v>
      </c>
      <c r="E165" s="2">
        <v>-2564</v>
      </c>
      <c r="F165" s="2">
        <v>-3681</v>
      </c>
      <c r="G165" s="2">
        <v>-48</v>
      </c>
      <c r="H165" s="2">
        <v>4</v>
      </c>
      <c r="I165" s="2" t="s">
        <v>2989</v>
      </c>
      <c r="J165" s="23"/>
      <c r="K165" t="str">
        <f t="shared" si="2"/>
        <v>{ name: "Ancient Altar Ruins", landmark: "Cave", type: "(Entrance 5 of 12)", region: 14, level: "Surface", x: -2564, y: -3681, z: -48, zoom: 4, size: "XS", details: "" },</v>
      </c>
      <c r="N165" s="23"/>
      <c r="O165" s="23"/>
      <c r="P165" s="23"/>
      <c r="Q165" s="23"/>
    </row>
    <row r="166" spans="1:17" x14ac:dyDescent="0.2">
      <c r="A166" t="s">
        <v>852</v>
      </c>
      <c r="B166" t="s">
        <v>2226</v>
      </c>
      <c r="C166" s="18">
        <v>14</v>
      </c>
      <c r="D166" t="s">
        <v>785</v>
      </c>
      <c r="E166" s="2">
        <v>-2518</v>
      </c>
      <c r="F166" s="2">
        <v>-3671</v>
      </c>
      <c r="G166" s="2">
        <v>-47</v>
      </c>
      <c r="H166" s="2">
        <v>4</v>
      </c>
      <c r="I166" s="2" t="s">
        <v>2989</v>
      </c>
      <c r="J166" s="23"/>
      <c r="K166" t="str">
        <f t="shared" si="2"/>
        <v>{ name: "Ancient Altar Ruins", landmark: "Cave", type: "(Entrance 6 of 12)", region: 14, level: "Surface", x: -2518, y: -3671, z: -47, zoom: 4, size: "XS", details: "" },</v>
      </c>
      <c r="N166" s="23"/>
      <c r="O166" s="23"/>
      <c r="P166" s="23"/>
      <c r="Q166" s="23"/>
    </row>
    <row r="167" spans="1:17" x14ac:dyDescent="0.2">
      <c r="A167" t="s">
        <v>852</v>
      </c>
      <c r="B167" t="s">
        <v>2227</v>
      </c>
      <c r="C167" s="18">
        <v>14</v>
      </c>
      <c r="D167" t="s">
        <v>785</v>
      </c>
      <c r="E167" s="2">
        <v>-2451</v>
      </c>
      <c r="F167" s="2">
        <v>-3676</v>
      </c>
      <c r="G167" s="2">
        <v>-46</v>
      </c>
      <c r="H167" s="2">
        <v>4</v>
      </c>
      <c r="I167" s="2" t="s">
        <v>2989</v>
      </c>
      <c r="J167" s="23"/>
      <c r="K167" t="str">
        <f t="shared" si="2"/>
        <v>{ name: "Ancient Altar Ruins", landmark: "Cave", type: "(Entrance 7 of 12)", region: 14, level: "Surface", x: -2451, y: -3676, z: -46, zoom: 4, size: "XS", details: "" },</v>
      </c>
      <c r="N167" s="23"/>
      <c r="O167" s="23"/>
      <c r="P167" s="23"/>
      <c r="Q167" s="23"/>
    </row>
    <row r="168" spans="1:17" x14ac:dyDescent="0.2">
      <c r="A168" t="s">
        <v>852</v>
      </c>
      <c r="B168" t="s">
        <v>2228</v>
      </c>
      <c r="C168" s="18">
        <v>14</v>
      </c>
      <c r="D168" t="s">
        <v>785</v>
      </c>
      <c r="E168" s="2">
        <v>-2570</v>
      </c>
      <c r="F168" s="2">
        <v>-3744</v>
      </c>
      <c r="G168" s="2">
        <v>-51</v>
      </c>
      <c r="H168" s="2">
        <v>4</v>
      </c>
      <c r="I168" s="2" t="s">
        <v>2989</v>
      </c>
      <c r="J168" s="23"/>
      <c r="K168" t="str">
        <f t="shared" si="2"/>
        <v>{ name: "Ancient Altar Ruins", landmark: "Cave", type: "(Entrance 8 of 12)", region: 14, level: "Surface", x: -2570, y: -3744, z: -51, zoom: 4, size: "XS", details: "" },</v>
      </c>
      <c r="N168" s="23"/>
      <c r="O168" s="23"/>
      <c r="P168" s="23"/>
      <c r="Q168" s="23"/>
    </row>
    <row r="169" spans="1:17" x14ac:dyDescent="0.2">
      <c r="A169" t="s">
        <v>852</v>
      </c>
      <c r="B169" t="s">
        <v>2229</v>
      </c>
      <c r="C169" s="18">
        <v>14</v>
      </c>
      <c r="D169" t="s">
        <v>785</v>
      </c>
      <c r="E169" s="2">
        <v>-2521</v>
      </c>
      <c r="F169" s="2">
        <v>-3724</v>
      </c>
      <c r="G169" s="2">
        <v>-47</v>
      </c>
      <c r="H169" s="2">
        <v>4</v>
      </c>
      <c r="I169" s="2" t="s">
        <v>2989</v>
      </c>
      <c r="J169" s="23"/>
      <c r="K169" t="str">
        <f t="shared" si="2"/>
        <v>{ name: "Ancient Altar Ruins", landmark: "Cave", type: "(Entrance 9 of 12)", region: 14, level: "Surface", x: -2521, y: -3724, z: -47, zoom: 4, size: "XS", details: "" },</v>
      </c>
      <c r="N169" s="23"/>
      <c r="O169" s="23"/>
      <c r="P169" s="23"/>
      <c r="Q169" s="23"/>
    </row>
    <row r="170" spans="1:17" x14ac:dyDescent="0.2">
      <c r="A170" t="s">
        <v>852</v>
      </c>
      <c r="B170" t="s">
        <v>2230</v>
      </c>
      <c r="C170" s="18">
        <v>14</v>
      </c>
      <c r="D170" t="s">
        <v>785</v>
      </c>
      <c r="E170" s="2">
        <v>-2477</v>
      </c>
      <c r="F170" s="2">
        <v>-3709</v>
      </c>
      <c r="G170" s="2">
        <v>-47</v>
      </c>
      <c r="H170" s="2">
        <v>4</v>
      </c>
      <c r="I170" s="2" t="s">
        <v>2989</v>
      </c>
      <c r="J170" s="23"/>
      <c r="K170" t="str">
        <f t="shared" si="2"/>
        <v>{ name: "Ancient Altar Ruins", landmark: "Cave", type: "(Entrance 10 of 12)", region: 14, level: "Surface", x: -2477, y: -3709, z: -47, zoom: 4, size: "XS", details: "" },</v>
      </c>
      <c r="N170" s="23"/>
      <c r="O170" s="23"/>
      <c r="P170" s="23"/>
      <c r="Q170" s="23"/>
    </row>
    <row r="171" spans="1:17" x14ac:dyDescent="0.2">
      <c r="A171" t="s">
        <v>852</v>
      </c>
      <c r="B171" t="s">
        <v>2231</v>
      </c>
      <c r="C171" s="18">
        <v>14</v>
      </c>
      <c r="D171" t="s">
        <v>785</v>
      </c>
      <c r="E171" s="2">
        <v>-2530</v>
      </c>
      <c r="F171" s="2">
        <v>-3769</v>
      </c>
      <c r="G171" s="2">
        <v>-46</v>
      </c>
      <c r="H171" s="2">
        <v>4</v>
      </c>
      <c r="I171" s="2" t="s">
        <v>2989</v>
      </c>
      <c r="J171" s="23"/>
      <c r="K171" t="str">
        <f t="shared" si="2"/>
        <v>{ name: "Ancient Altar Ruins", landmark: "Cave", type: "(Entrance 11 of 12)", region: 14, level: "Surface", x: -2530, y: -3769, z: -46, zoom: 4, size: "XS", details: "" },</v>
      </c>
      <c r="N171" s="23"/>
      <c r="O171" s="23"/>
      <c r="P171" s="23"/>
      <c r="Q171" s="23"/>
    </row>
    <row r="172" spans="1:17" x14ac:dyDescent="0.2">
      <c r="A172" t="s">
        <v>852</v>
      </c>
      <c r="B172" t="s">
        <v>2232</v>
      </c>
      <c r="C172" s="18">
        <v>14</v>
      </c>
      <c r="D172" t="s">
        <v>785</v>
      </c>
      <c r="E172" s="2">
        <v>-2480</v>
      </c>
      <c r="F172" s="2">
        <v>-3758</v>
      </c>
      <c r="G172" s="2">
        <v>-46</v>
      </c>
      <c r="H172" s="2">
        <v>4</v>
      </c>
      <c r="I172" s="2" t="s">
        <v>2989</v>
      </c>
      <c r="J172" s="23"/>
      <c r="K172" t="str">
        <f t="shared" si="2"/>
        <v>{ name: "Ancient Altar Ruins", landmark: "Cave", type: "(Entrance 12 of 12)", region: 14, level: "Surface", x: -2480, y: -3758, z: -46, zoom: 4, size: "XS", details: "" },</v>
      </c>
      <c r="N172" s="23"/>
      <c r="O172" s="23"/>
      <c r="P172" s="23"/>
      <c r="Q172" s="23"/>
    </row>
    <row r="173" spans="1:17" x14ac:dyDescent="0.2">
      <c r="A173" t="s">
        <v>854</v>
      </c>
      <c r="B173" t="s">
        <v>2220</v>
      </c>
      <c r="C173" s="18">
        <v>14</v>
      </c>
      <c r="D173" t="s">
        <v>785</v>
      </c>
      <c r="E173" s="2">
        <v>-3099</v>
      </c>
      <c r="F173" s="2">
        <v>-3063</v>
      </c>
      <c r="G173" s="2">
        <v>-51</v>
      </c>
      <c r="H173" s="2">
        <v>4</v>
      </c>
      <c r="I173" s="2" t="s">
        <v>2989</v>
      </c>
      <c r="J173" s="23"/>
      <c r="K173" t="str">
        <f t="shared" si="2"/>
        <v>{ name: "Ancient Prison Ruins", landmark: "Cave", type: "", region: 14, level: "Surface", x: -3099, y: -3063, z: -51, zoom: 4, size: "XS", details: "" },</v>
      </c>
      <c r="N173" s="23"/>
      <c r="O173" s="23"/>
      <c r="P173" s="23"/>
      <c r="Q173" s="23"/>
    </row>
    <row r="174" spans="1:17" x14ac:dyDescent="0.2">
      <c r="A174" t="s">
        <v>863</v>
      </c>
      <c r="B174" t="s">
        <v>2220</v>
      </c>
      <c r="C174" s="18">
        <v>14</v>
      </c>
      <c r="D174" t="s">
        <v>785</v>
      </c>
      <c r="E174" s="2">
        <v>-3679</v>
      </c>
      <c r="F174" s="2">
        <v>-3255</v>
      </c>
      <c r="G174" s="2">
        <v>-18</v>
      </c>
      <c r="H174" s="2">
        <v>4</v>
      </c>
      <c r="I174" s="2" t="s">
        <v>2989</v>
      </c>
      <c r="J174" s="23"/>
      <c r="K174" t="str">
        <f t="shared" si="2"/>
        <v>{ name: "Central Gerudo Cave", landmark: "Cave", type: "", region: 14, level: "Surface", x: -3679, y: -3255, z: -18, zoom: 4, size: "XS", details: "" },</v>
      </c>
      <c r="N174" s="23"/>
      <c r="O174" s="23"/>
      <c r="P174" s="23"/>
      <c r="Q174" s="23"/>
    </row>
    <row r="175" spans="1:17" x14ac:dyDescent="0.2">
      <c r="A175" t="s">
        <v>880</v>
      </c>
      <c r="B175" t="s">
        <v>2220</v>
      </c>
      <c r="C175">
        <v>14</v>
      </c>
      <c r="D175" t="s">
        <v>785</v>
      </c>
      <c r="E175" s="2">
        <v>-2696</v>
      </c>
      <c r="F175" s="2">
        <v>-2808</v>
      </c>
      <c r="G175" s="2">
        <v>-67</v>
      </c>
      <c r="H175" s="2">
        <v>4</v>
      </c>
      <c r="I175" s="2" t="s">
        <v>2989</v>
      </c>
      <c r="J175" s="23"/>
      <c r="K175" t="str">
        <f t="shared" si="2"/>
        <v>{ name: "East Gerudo Ruins Cave", landmark: "Cave", type: "", region: 14, level: "Surface", x: -2696, y: -2808, z: -67, zoom: 4, size: "XS", details: "" },</v>
      </c>
      <c r="N175" s="23"/>
      <c r="O175" s="23"/>
      <c r="P175" s="23"/>
      <c r="Q175" s="23"/>
    </row>
    <row r="176" spans="1:17" x14ac:dyDescent="0.2">
      <c r="A176" t="s">
        <v>887</v>
      </c>
      <c r="B176" t="s">
        <v>2237</v>
      </c>
      <c r="C176">
        <v>14</v>
      </c>
      <c r="D176" t="s">
        <v>785</v>
      </c>
      <c r="E176" s="2">
        <v>-2676</v>
      </c>
      <c r="F176" s="2">
        <v>-2402</v>
      </c>
      <c r="G176" s="2">
        <v>79</v>
      </c>
      <c r="H176" s="2">
        <v>4</v>
      </c>
      <c r="I176" s="2" t="s">
        <v>2989</v>
      </c>
      <c r="J176" s="23"/>
      <c r="K176" t="str">
        <f t="shared" si="2"/>
        <v>{ name: "Gerudo Canyon Mine", landmark: "Cave", type: "(Entrance 1 of 2)", region: 14, level: "Surface", x: -2676, y: -2402, z: 79, zoom: 4, size: "XS", details: "" },</v>
      </c>
      <c r="N176" s="23"/>
      <c r="O176" s="23"/>
      <c r="P176" s="23"/>
      <c r="Q176" s="23"/>
    </row>
    <row r="177" spans="1:17" x14ac:dyDescent="0.2">
      <c r="A177" t="s">
        <v>887</v>
      </c>
      <c r="B177" t="s">
        <v>2238</v>
      </c>
      <c r="C177">
        <v>14</v>
      </c>
      <c r="D177" t="s">
        <v>785</v>
      </c>
      <c r="E177" s="2">
        <v>-2611</v>
      </c>
      <c r="F177" s="2">
        <v>-2604</v>
      </c>
      <c r="G177" s="2">
        <v>112</v>
      </c>
      <c r="H177" s="2">
        <v>4</v>
      </c>
      <c r="I177" s="2" t="s">
        <v>2989</v>
      </c>
      <c r="J177" s="23"/>
      <c r="K177" t="str">
        <f t="shared" si="2"/>
        <v>{ name: "Gerudo Canyon Mine", landmark: "Cave", type: "(Entrance 2 of 2)", region: 14, level: "Surface", x: -2611, y: -2604, z: 112, zoom: 4, size: "XS", details: "" },</v>
      </c>
      <c r="N177" s="23"/>
      <c r="O177" s="23"/>
      <c r="P177" s="23"/>
      <c r="Q177" s="23"/>
    </row>
    <row r="178" spans="1:17" x14ac:dyDescent="0.2">
      <c r="A178" t="s">
        <v>2078</v>
      </c>
      <c r="B178" t="s">
        <v>2220</v>
      </c>
      <c r="C178" s="18">
        <v>14</v>
      </c>
      <c r="D178" t="s">
        <v>785</v>
      </c>
      <c r="E178" s="2">
        <v>-4814</v>
      </c>
      <c r="F178" s="2">
        <v>-3875</v>
      </c>
      <c r="G178" s="2">
        <v>-1</v>
      </c>
      <c r="H178" s="2">
        <v>4</v>
      </c>
      <c r="I178" s="2" t="s">
        <v>2989</v>
      </c>
      <c r="J178" s="23"/>
      <c r="K178" t="str">
        <f t="shared" si="2"/>
        <v>{ name: "Gerudo Great Skeleton Cave", landmark: "Cave", type: "", region: 14, level: "Surface", x: -4814, y: -3875, z: -1, zoom: 4, size: "XS", details: "" },</v>
      </c>
      <c r="N178" s="23"/>
      <c r="O178" s="23"/>
      <c r="P178" s="23"/>
      <c r="Q178" s="23"/>
    </row>
    <row r="179" spans="1:17" x14ac:dyDescent="0.2">
      <c r="A179" t="s">
        <v>888</v>
      </c>
      <c r="B179" t="s">
        <v>2237</v>
      </c>
      <c r="C179" s="18">
        <v>14</v>
      </c>
      <c r="D179" t="s">
        <v>785</v>
      </c>
      <c r="E179" s="2">
        <v>-3763</v>
      </c>
      <c r="F179" s="2">
        <v>-2420</v>
      </c>
      <c r="G179" s="2">
        <v>24</v>
      </c>
      <c r="H179" s="2">
        <v>4</v>
      </c>
      <c r="I179" s="2" t="s">
        <v>2989</v>
      </c>
      <c r="J179" s="23"/>
      <c r="K179" t="str">
        <f t="shared" si="2"/>
        <v>{ name: "Gerudo Sanctuary", landmark: "Cave", type: "(Entrance 1 of 2)", region: 14, level: "Surface", x: -3763, y: -2420, z: 24, zoom: 4, size: "XS", details: "" },</v>
      </c>
      <c r="N179" s="23"/>
      <c r="O179" s="23"/>
      <c r="P179" s="23"/>
      <c r="Q179" s="23"/>
    </row>
    <row r="180" spans="1:17" x14ac:dyDescent="0.2">
      <c r="A180" t="s">
        <v>888</v>
      </c>
      <c r="B180" t="s">
        <v>2238</v>
      </c>
      <c r="C180" s="18">
        <v>14</v>
      </c>
      <c r="D180" t="s">
        <v>785</v>
      </c>
      <c r="E180" s="2">
        <v>-3763</v>
      </c>
      <c r="F180" s="2">
        <v>-2698</v>
      </c>
      <c r="G180" s="2">
        <v>35</v>
      </c>
      <c r="H180" s="2">
        <v>4</v>
      </c>
      <c r="I180" s="2" t="s">
        <v>2989</v>
      </c>
      <c r="J180" s="23"/>
      <c r="K180" t="str">
        <f t="shared" si="2"/>
        <v>{ name: "Gerudo Sanctuary", landmark: "Cave", type: "(Entrance 2 of 2)", region: 14, level: "Surface", x: -3763, y: -2698, z: 35, zoom: 4, size: "XS", details: "" },</v>
      </c>
      <c r="N180" s="23"/>
      <c r="O180" s="23"/>
      <c r="P180" s="23"/>
      <c r="Q180" s="23"/>
    </row>
    <row r="181" spans="1:17" x14ac:dyDescent="0.2">
      <c r="A181" t="s">
        <v>902</v>
      </c>
      <c r="B181" t="s">
        <v>2237</v>
      </c>
      <c r="C181">
        <v>14</v>
      </c>
      <c r="D181" t="s">
        <v>785</v>
      </c>
      <c r="E181" s="2">
        <v>-2258</v>
      </c>
      <c r="F181" s="2">
        <v>-1759</v>
      </c>
      <c r="G181" s="2">
        <v>56</v>
      </c>
      <c r="H181" s="2">
        <v>4</v>
      </c>
      <c r="I181" s="2" t="s">
        <v>2989</v>
      </c>
      <c r="J181" s="23"/>
      <c r="K181" t="str">
        <f t="shared" si="2"/>
        <v>{ name: "Koukot Plateau Cave", landmark: "Cave", type: "(Entrance 1 of 2)", region: 14, level: "Surface", x: -2258, y: -1759, z: 56, zoom: 4, size: "XS", details: "" },</v>
      </c>
      <c r="N181" s="23"/>
      <c r="O181" s="23"/>
      <c r="P181" s="23"/>
      <c r="Q181" s="23"/>
    </row>
    <row r="182" spans="1:17" x14ac:dyDescent="0.2">
      <c r="A182" t="s">
        <v>902</v>
      </c>
      <c r="B182" t="s">
        <v>2238</v>
      </c>
      <c r="C182">
        <v>14</v>
      </c>
      <c r="D182" t="s">
        <v>785</v>
      </c>
      <c r="E182" s="2">
        <v>-2173</v>
      </c>
      <c r="F182" s="2">
        <v>-1841</v>
      </c>
      <c r="G182" s="2">
        <v>126</v>
      </c>
      <c r="H182" s="2">
        <v>4</v>
      </c>
      <c r="I182" s="2" t="s">
        <v>2989</v>
      </c>
      <c r="J182" s="23"/>
      <c r="K182" t="str">
        <f t="shared" si="2"/>
        <v>{ name: "Koukot Plateau Cave", landmark: "Cave", type: "(Entrance 2 of 2)", region: 14, level: "Surface", x: -2173, y: -1841, z: 126, zoom: 4, size: "XS", details: "" },</v>
      </c>
      <c r="N182" s="23"/>
      <c r="O182" s="23"/>
      <c r="P182" s="23"/>
      <c r="Q182" s="23"/>
    </row>
    <row r="183" spans="1:17" x14ac:dyDescent="0.2">
      <c r="A183" t="s">
        <v>912</v>
      </c>
      <c r="B183" t="s">
        <v>2220</v>
      </c>
      <c r="C183">
        <v>14</v>
      </c>
      <c r="D183" t="s">
        <v>785</v>
      </c>
      <c r="E183" s="2">
        <v>-1744</v>
      </c>
      <c r="F183" s="2">
        <v>-2394</v>
      </c>
      <c r="G183" s="2">
        <v>-11</v>
      </c>
      <c r="H183" s="2">
        <v>4</v>
      </c>
      <c r="I183" s="2" t="s">
        <v>2989</v>
      </c>
      <c r="J183" s="23"/>
      <c r="K183" t="str">
        <f t="shared" si="2"/>
        <v>{ name: "Lower Spectacle Rock Cave", landmark: "Cave", type: "", region: 14, level: "Surface", x: -1744, y: -2394, z: -11, zoom: 4, size: "XS", details: "" },</v>
      </c>
      <c r="N183" s="23"/>
      <c r="O183" s="23"/>
      <c r="P183" s="23"/>
      <c r="Q183" s="23"/>
    </row>
    <row r="184" spans="1:17" x14ac:dyDescent="0.2">
      <c r="A184" t="s">
        <v>920</v>
      </c>
      <c r="B184" t="s">
        <v>2237</v>
      </c>
      <c r="C184">
        <v>14</v>
      </c>
      <c r="D184" t="s">
        <v>785</v>
      </c>
      <c r="E184" s="2">
        <v>-1967</v>
      </c>
      <c r="F184" s="2">
        <v>-2059</v>
      </c>
      <c r="G184" s="2">
        <v>30</v>
      </c>
      <c r="H184" s="2">
        <v>4</v>
      </c>
      <c r="I184" s="2" t="s">
        <v>2989</v>
      </c>
      <c r="J184" s="23"/>
      <c r="K184" t="str">
        <f t="shared" si="2"/>
        <v>{ name: "Mount Nabooru Cave", landmark: "Cave", type: "(Entrance 1 of 2)", region: 14, level: "Surface", x: -1967, y: -2059, z: 30, zoom: 4, size: "XS", details: "" },</v>
      </c>
      <c r="N184" s="23"/>
      <c r="O184" s="23"/>
      <c r="P184" s="23"/>
      <c r="Q184" s="23"/>
    </row>
    <row r="185" spans="1:17" x14ac:dyDescent="0.2">
      <c r="A185" t="s">
        <v>920</v>
      </c>
      <c r="B185" t="s">
        <v>2238</v>
      </c>
      <c r="C185">
        <v>14</v>
      </c>
      <c r="D185" t="s">
        <v>785</v>
      </c>
      <c r="E185" s="2">
        <v>-1795</v>
      </c>
      <c r="F185" s="2">
        <v>-1961</v>
      </c>
      <c r="G185" s="2">
        <v>31</v>
      </c>
      <c r="H185" s="2">
        <v>4</v>
      </c>
      <c r="I185" s="2" t="s">
        <v>2989</v>
      </c>
      <c r="J185" s="23"/>
      <c r="K185" t="str">
        <f t="shared" si="2"/>
        <v>{ name: "Mount Nabooru Cave", landmark: "Cave", type: "(Entrance 2 of 2)", region: 14, level: "Surface", x: -1795, y: -1961, z: 31, zoom: 4, size: "XS", details: "" },</v>
      </c>
      <c r="N185" s="23"/>
      <c r="O185" s="23"/>
      <c r="P185" s="23"/>
      <c r="Q185" s="23"/>
    </row>
    <row r="186" spans="1:17" x14ac:dyDescent="0.2">
      <c r="A186" t="s">
        <v>921</v>
      </c>
      <c r="B186" t="s">
        <v>2220</v>
      </c>
      <c r="C186">
        <v>14</v>
      </c>
      <c r="D186" t="s">
        <v>785</v>
      </c>
      <c r="E186" s="2">
        <v>-1726</v>
      </c>
      <c r="F186" s="2">
        <v>-2183</v>
      </c>
      <c r="G186" s="2">
        <v>5</v>
      </c>
      <c r="H186" s="2">
        <v>4</v>
      </c>
      <c r="I186" s="2" t="s">
        <v>2989</v>
      </c>
      <c r="J186" s="23"/>
      <c r="K186" t="str">
        <f t="shared" si="2"/>
        <v>{ name: "Mount Nabooru South Cave", landmark: "Cave", type: "", region: 14, level: "Surface", x: -1726, y: -2183, z: 5, zoom: 4, size: "XS", details: "" },</v>
      </c>
      <c r="N186" s="23"/>
      <c r="O186" s="23"/>
      <c r="P186" s="23"/>
      <c r="Q186" s="23"/>
    </row>
    <row r="187" spans="1:17" x14ac:dyDescent="0.2">
      <c r="A187" t="s">
        <v>2077</v>
      </c>
      <c r="B187" t="s">
        <v>2220</v>
      </c>
      <c r="C187" s="18">
        <v>14</v>
      </c>
      <c r="D187" t="s">
        <v>785</v>
      </c>
      <c r="E187" s="2">
        <v>-3354</v>
      </c>
      <c r="F187" s="2">
        <v>-2693</v>
      </c>
      <c r="G187" s="2">
        <v>-4</v>
      </c>
      <c r="H187" s="2">
        <v>4</v>
      </c>
      <c r="I187" s="2" t="s">
        <v>2989</v>
      </c>
      <c r="J187" s="23"/>
      <c r="K187" t="str">
        <f t="shared" si="2"/>
        <v>{ name: "Source of the Oasis Cave", landmark: "Cave", type: "", region: 14, level: "Surface", x: -3354, y: -2693, z: -4, zoom: 4, size: "XS", details: "" },</v>
      </c>
      <c r="N187" s="23"/>
      <c r="O187" s="23"/>
      <c r="P187" s="23"/>
      <c r="Q187" s="23"/>
    </row>
    <row r="188" spans="1:17" x14ac:dyDescent="0.2">
      <c r="A188" t="s">
        <v>938</v>
      </c>
      <c r="B188" t="s">
        <v>2220</v>
      </c>
      <c r="C188" s="18">
        <v>14</v>
      </c>
      <c r="D188" t="s">
        <v>785</v>
      </c>
      <c r="E188" s="2">
        <v>-3238</v>
      </c>
      <c r="F188" s="2">
        <v>-2939</v>
      </c>
      <c r="G188" s="2">
        <v>-65</v>
      </c>
      <c r="H188" s="2">
        <v>4</v>
      </c>
      <c r="I188" s="2" t="s">
        <v>2989</v>
      </c>
      <c r="J188" s="23"/>
      <c r="K188" t="str">
        <f t="shared" si="2"/>
        <v>{ name: "Quicksand Lake Cave", landmark: "Cave", type: "", region: 14, level: "Surface", x: -3238, y: -2939, z: -65, zoom: 4, size: "XS", details: "" },</v>
      </c>
      <c r="N188" s="23"/>
      <c r="O188" s="23"/>
      <c r="P188" s="23"/>
      <c r="Q188" s="23"/>
    </row>
    <row r="189" spans="1:17" x14ac:dyDescent="0.2">
      <c r="A189" t="s">
        <v>958</v>
      </c>
      <c r="B189" t="s">
        <v>2220</v>
      </c>
      <c r="C189" s="18">
        <v>14</v>
      </c>
      <c r="D189" t="s">
        <v>785</v>
      </c>
      <c r="E189" s="2">
        <v>-2939</v>
      </c>
      <c r="F189" s="2">
        <v>-3857</v>
      </c>
      <c r="G189" s="2">
        <v>-37</v>
      </c>
      <c r="H189" s="2">
        <v>4</v>
      </c>
      <c r="I189" s="2" t="s">
        <v>2989</v>
      </c>
      <c r="J189" s="23"/>
      <c r="K189" t="str">
        <f t="shared" si="2"/>
        <v>{ name: "South Gerudo Cave", landmark: "Cave", type: "", region: 14, level: "Surface", x: -2939, y: -3857, z: -37, zoom: 4, size: "XS", details: "" },</v>
      </c>
      <c r="N189" s="23"/>
      <c r="O189" s="23"/>
      <c r="P189" s="23"/>
      <c r="Q189" s="23"/>
    </row>
    <row r="190" spans="1:17" x14ac:dyDescent="0.2">
      <c r="A190" t="s">
        <v>960</v>
      </c>
      <c r="B190" t="s">
        <v>2220</v>
      </c>
      <c r="C190">
        <v>14</v>
      </c>
      <c r="D190" t="s">
        <v>785</v>
      </c>
      <c r="E190" s="2">
        <v>-2215</v>
      </c>
      <c r="F190" s="2">
        <v>-2395</v>
      </c>
      <c r="G190" s="2">
        <v>247</v>
      </c>
      <c r="H190" s="2">
        <v>4</v>
      </c>
      <c r="I190" s="2" t="s">
        <v>2989</v>
      </c>
      <c r="J190" s="23"/>
      <c r="K190" t="str">
        <f t="shared" si="2"/>
        <v>{ name: "Spectacle Rock Cave", landmark: "Cave", type: "", region: 14, level: "Surface", x: -2215, y: -2395, z: 247, zoom: 4, size: "XS", details: "" },</v>
      </c>
      <c r="N190" s="23"/>
      <c r="O190" s="23"/>
      <c r="P190" s="23"/>
      <c r="Q190" s="23"/>
    </row>
    <row r="191" spans="1:17" x14ac:dyDescent="0.2">
      <c r="A191" t="s">
        <v>961</v>
      </c>
      <c r="B191" t="s">
        <v>2220</v>
      </c>
      <c r="C191">
        <v>14</v>
      </c>
      <c r="D191" t="s">
        <v>785</v>
      </c>
      <c r="E191" s="2">
        <v>-1527</v>
      </c>
      <c r="F191" s="2">
        <v>-2222</v>
      </c>
      <c r="G191" s="2">
        <v>-20</v>
      </c>
      <c r="H191" s="2">
        <v>4</v>
      </c>
      <c r="I191" s="2" t="s">
        <v>2989</v>
      </c>
      <c r="J191" s="23"/>
      <c r="K191" t="str">
        <f t="shared" si="2"/>
        <v>{ name: "Stalry Plateau Cave", landmark: "Cave", type: "", region: 14, level: "Surface", x: -1527, y: -2222, z: -20, zoom: 4, size: "XS", details: "" },</v>
      </c>
      <c r="N191" s="23"/>
      <c r="O191" s="23"/>
      <c r="P191" s="23"/>
      <c r="Q191" s="23"/>
    </row>
    <row r="192" spans="1:17" x14ac:dyDescent="0.2">
      <c r="A192" t="s">
        <v>964</v>
      </c>
      <c r="B192" t="s">
        <v>2220</v>
      </c>
      <c r="C192">
        <v>14</v>
      </c>
      <c r="D192" t="s">
        <v>785</v>
      </c>
      <c r="E192" s="2">
        <v>-2457</v>
      </c>
      <c r="F192" s="2">
        <v>-1798</v>
      </c>
      <c r="G192" s="2">
        <v>176</v>
      </c>
      <c r="H192" s="2">
        <v>4</v>
      </c>
      <c r="I192" s="2" t="s">
        <v>2989</v>
      </c>
      <c r="J192" s="23"/>
      <c r="K192" t="str">
        <f t="shared" si="2"/>
        <v>{ name: "Taafei Hill Cave", landmark: "Cave", type: "", region: 14, level: "Surface", x: -2457, y: -1798, z: 176, zoom: 4, size: "XS", details: "" },</v>
      </c>
      <c r="N192" s="23"/>
      <c r="O192" s="23"/>
      <c r="P192" s="23"/>
      <c r="Q192" s="23"/>
    </row>
    <row r="193" spans="1:17" x14ac:dyDescent="0.2">
      <c r="A193" t="s">
        <v>981</v>
      </c>
      <c r="B193" t="s">
        <v>2220</v>
      </c>
      <c r="C193" s="18">
        <v>14</v>
      </c>
      <c r="D193" t="s">
        <v>785</v>
      </c>
      <c r="E193" s="2">
        <v>-3827</v>
      </c>
      <c r="F193" s="2">
        <v>-2650</v>
      </c>
      <c r="G193" s="2">
        <v>35</v>
      </c>
      <c r="H193" s="2">
        <v>4</v>
      </c>
      <c r="I193" s="2" t="s">
        <v>2989</v>
      </c>
      <c r="J193" s="23"/>
      <c r="K193" t="str">
        <f t="shared" si="2"/>
        <v>{ name: "Valley of Silent Statues", landmark: "Cave", type: "", region: 14, level: "Surface", x: -3827, y: -2650, z: 35, zoom: 4, size: "XS", details: "" },</v>
      </c>
      <c r="N193" s="23"/>
      <c r="O193" s="23"/>
      <c r="P193" s="23"/>
      <c r="Q193" s="23"/>
    </row>
    <row r="194" spans="1:17" x14ac:dyDescent="0.2">
      <c r="A194" t="s">
        <v>983</v>
      </c>
      <c r="B194" t="s">
        <v>2220</v>
      </c>
      <c r="C194" s="18">
        <v>14</v>
      </c>
      <c r="D194" t="s">
        <v>785</v>
      </c>
      <c r="E194" s="2">
        <v>-4673</v>
      </c>
      <c r="F194" s="2">
        <v>-1986</v>
      </c>
      <c r="G194" s="2">
        <v>9</v>
      </c>
      <c r="H194" s="2">
        <v>4</v>
      </c>
      <c r="I194" s="2" t="s">
        <v>2989</v>
      </c>
      <c r="J194" s="23"/>
      <c r="K194" t="str">
        <f t="shared" si="2"/>
        <v>{ name: "West Gerudo Underground Ruins", landmark: "Cave", type: "", region: 14, level: "Surface", x: -4673, y: -1986, z: 9, zoom: 4, size: "XS", details: "" },</v>
      </c>
      <c r="N194" s="23"/>
      <c r="O194" s="23"/>
      <c r="P194" s="23"/>
      <c r="Q194" s="23"/>
    </row>
    <row r="195" spans="1:17" x14ac:dyDescent="0.2">
      <c r="A195" t="s">
        <v>987</v>
      </c>
      <c r="B195" t="s">
        <v>2220</v>
      </c>
      <c r="C195">
        <v>14</v>
      </c>
      <c r="D195" t="s">
        <v>785</v>
      </c>
      <c r="E195" s="2">
        <v>-2433</v>
      </c>
      <c r="F195" s="2">
        <v>-1819</v>
      </c>
      <c r="G195" s="2">
        <v>145</v>
      </c>
      <c r="H195" s="2">
        <v>4</v>
      </c>
      <c r="I195" s="2" t="s">
        <v>2989</v>
      </c>
      <c r="J195" s="23"/>
      <c r="K195" t="str">
        <f t="shared" ref="K195:K198" si="3">"{ name: "&amp;CHAR(34)&amp;A195&amp;CHAR(34)&amp;", landmark: "&amp;CHAR(34)&amp;"Cave"&amp;CHAR(34)&amp;", type: "&amp;CHAR(34)&amp;B195&amp;CHAR(34)&amp;", region: "&amp;C195&amp;", level: "&amp;CHAR(34)&amp;D195&amp;CHAR(34)&amp;", x: "&amp;E195&amp;", y: "&amp;F195&amp;", z: "&amp;G195&amp;", zoom: "&amp;IF(LEN(H195)&gt;1,"["&amp;H195&amp;"]",H195)&amp;", size: "&amp;CHAR(34)&amp;I195&amp;CHAR(34)&amp;", details: "&amp;CHAR(34)&amp;J195&amp;CHAR(34)&amp;" },"</f>
        <v>{ name: "Yiga Blademaster Station", landmark: "Cave", type: "", region: 14, level: "Surface", x: -2433, y: -1819, z: 145, zoom: 4, size: "XS", details: "" },</v>
      </c>
      <c r="N195" s="23"/>
      <c r="O195" s="23"/>
      <c r="P195" s="23"/>
      <c r="Q195" s="23"/>
    </row>
    <row r="196" spans="1:17" x14ac:dyDescent="0.2">
      <c r="A196" t="s">
        <v>915</v>
      </c>
      <c r="B196" t="s">
        <v>2220</v>
      </c>
      <c r="C196">
        <v>15</v>
      </c>
      <c r="D196" t="s">
        <v>785</v>
      </c>
      <c r="E196" s="2">
        <v>-3982</v>
      </c>
      <c r="F196" s="2">
        <v>-1245</v>
      </c>
      <c r="G196" s="2">
        <v>426</v>
      </c>
      <c r="H196" s="2">
        <v>4</v>
      </c>
      <c r="I196" s="2" t="s">
        <v>2989</v>
      </c>
      <c r="J196" s="23"/>
      <c r="K196" t="str">
        <f t="shared" si="3"/>
        <v>{ name: "Meadela's Mantle Cave", landmark: "Cave", type: "", region: 15, level: "Surface", x: -3982, y: -1245, z: 426, zoom: 4, size: "XS", details: "" },</v>
      </c>
      <c r="N196" s="23"/>
      <c r="O196" s="23"/>
      <c r="P196" s="23"/>
      <c r="Q196" s="23"/>
    </row>
    <row r="197" spans="1:17" x14ac:dyDescent="0.2">
      <c r="A197" t="s">
        <v>922</v>
      </c>
      <c r="B197" t="s">
        <v>2220</v>
      </c>
      <c r="C197">
        <v>15</v>
      </c>
      <c r="D197" t="s">
        <v>785</v>
      </c>
      <c r="E197" s="2">
        <v>-3881</v>
      </c>
      <c r="F197" s="2">
        <v>-726</v>
      </c>
      <c r="G197" s="2">
        <v>569</v>
      </c>
      <c r="H197" s="2">
        <v>4</v>
      </c>
      <c r="I197" s="2" t="s">
        <v>2989</v>
      </c>
      <c r="J197" s="23"/>
      <c r="K197" t="str">
        <f t="shared" si="3"/>
        <v>{ name: "Mystathi's Shelf Cave", landmark: "Cave", type: "", region: 15, level: "Surface", x: -3881, y: -726, z: 569, zoom: 4, size: "XS", details: "" },</v>
      </c>
    </row>
    <row r="198" spans="1:17" x14ac:dyDescent="0.2">
      <c r="A198" t="s">
        <v>962</v>
      </c>
      <c r="B198" t="s">
        <v>2220</v>
      </c>
      <c r="C198">
        <v>15</v>
      </c>
      <c r="D198" t="s">
        <v>785</v>
      </c>
      <c r="E198" s="2">
        <v>-4384</v>
      </c>
      <c r="F198" s="2">
        <v>-536</v>
      </c>
      <c r="G198" s="2">
        <v>473</v>
      </c>
      <c r="H198" s="2">
        <v>4</v>
      </c>
      <c r="I198" s="2" t="s">
        <v>2989</v>
      </c>
      <c r="J198" s="23"/>
      <c r="K198" t="str">
        <f t="shared" si="3"/>
        <v>{ name: "Statue of the Eighth Heroine Cave", landmark: "Cave", type: "", region: 15, level: "Surface", x: -4384, y: -536, z: 473, zoom: 4, size: "XS", details: "" },</v>
      </c>
    </row>
  </sheetData>
  <autoFilter ref="A1:K198" xr:uid="{9F268EE0-ED4E-D644-BE8D-34069771440A}">
    <sortState xmlns:xlrd2="http://schemas.microsoft.com/office/spreadsheetml/2017/richdata2" ref="A2:K198">
      <sortCondition ref="C1:C198"/>
    </sortState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56292-572C-6940-86CF-28B5941B8F64}">
  <sheetPr codeName="Sheet12">
    <tabColor theme="9"/>
  </sheetPr>
  <dimension ref="A1:N37"/>
  <sheetViews>
    <sheetView workbookViewId="0">
      <selection activeCell="A4" sqref="A4"/>
    </sheetView>
  </sheetViews>
  <sheetFormatPr baseColWidth="10" defaultRowHeight="16" x14ac:dyDescent="0.2"/>
  <cols>
    <col min="1" max="1" width="31.5" bestFit="1" customWidth="1"/>
    <col min="2" max="2" width="14.1640625" customWidth="1"/>
    <col min="3" max="3" width="10.6640625" style="2" bestFit="1" customWidth="1"/>
    <col min="4" max="4" width="17.83203125" bestFit="1" customWidth="1"/>
    <col min="5" max="9" width="10.83203125" style="2"/>
  </cols>
  <sheetData>
    <row r="1" spans="1:14" x14ac:dyDescent="0.2">
      <c r="A1" s="6" t="s">
        <v>781</v>
      </c>
      <c r="B1" s="6" t="s">
        <v>2083</v>
      </c>
      <c r="C1" s="4" t="s">
        <v>2074</v>
      </c>
      <c r="D1" s="6" t="s">
        <v>777</v>
      </c>
      <c r="E1" s="4" t="s">
        <v>778</v>
      </c>
      <c r="F1" s="4" t="s">
        <v>779</v>
      </c>
      <c r="G1" s="4" t="s">
        <v>780</v>
      </c>
      <c r="H1" s="4" t="s">
        <v>2541</v>
      </c>
      <c r="I1" s="4" t="s">
        <v>2544</v>
      </c>
      <c r="J1" s="4" t="s">
        <v>2081</v>
      </c>
      <c r="K1" s="4" t="s">
        <v>2075</v>
      </c>
    </row>
    <row r="2" spans="1:14" x14ac:dyDescent="0.2">
      <c r="A2" t="s">
        <v>823</v>
      </c>
      <c r="C2" s="2">
        <v>1</v>
      </c>
      <c r="D2" t="s">
        <v>2839</v>
      </c>
      <c r="E2" s="2">
        <v>-254</v>
      </c>
      <c r="F2" s="2">
        <v>1012</v>
      </c>
      <c r="G2" s="2">
        <v>-65</v>
      </c>
      <c r="H2" s="2">
        <v>4</v>
      </c>
      <c r="I2" s="2" t="s">
        <v>2989</v>
      </c>
      <c r="K2" t="str">
        <f>"{ name: "&amp;CHAR(34)&amp;A2&amp;CHAR(34)&amp;", landmark: "&amp;CHAR(34)&amp;"Chasm"&amp;CHAR(34)&amp;", type: "&amp;CHAR(34)&amp;B2&amp;CHAR(34)&amp;", region: "&amp;C2&amp;", level: "&amp;D2&amp;", x: "&amp;E2&amp;", y: "&amp;F2&amp;", z: "&amp;G2&amp;", zoom: "&amp;IF(LEN(H2)&gt;1,"["&amp;H2&amp;"]",H2)&amp;", size: "&amp;CHAR(34)&amp;I2&amp;CHAR(34)&amp;", details: "&amp;CHAR(34)&amp;J2&amp;CHAR(34)&amp;" },"</f>
        <v>{ name: "Hyrule Castle Chasm", landmark: "Chasm", type: "", region: 1, level: ["Surface", "Depths"], x: -254, y: 1012, z: -65, zoom: 4, size: "XS", details: "" },</v>
      </c>
      <c r="N2" s="23"/>
    </row>
    <row r="3" spans="1:14" x14ac:dyDescent="0.2">
      <c r="A3" t="s">
        <v>824</v>
      </c>
      <c r="C3" s="2">
        <v>1</v>
      </c>
      <c r="D3" t="s">
        <v>2839</v>
      </c>
      <c r="E3" s="2">
        <v>170</v>
      </c>
      <c r="F3" s="2">
        <v>882</v>
      </c>
      <c r="G3" s="2">
        <v>9</v>
      </c>
      <c r="H3" s="2">
        <v>4</v>
      </c>
      <c r="I3" s="2" t="s">
        <v>2989</v>
      </c>
      <c r="K3" t="str">
        <f t="shared" ref="K3:K37" si="0">"{ name: "&amp;CHAR(34)&amp;A3&amp;CHAR(34)&amp;", landmark: "&amp;CHAR(34)&amp;"Chasm"&amp;CHAR(34)&amp;", type: "&amp;CHAR(34)&amp;B3&amp;CHAR(34)&amp;", region: "&amp;C3&amp;", level: "&amp;D3&amp;", x: "&amp;E3&amp;", y: "&amp;F3&amp;", z: "&amp;G3&amp;", zoom: "&amp;IF(LEN(H3)&gt;1,"["&amp;H3&amp;"]",H3)&amp;", size: "&amp;CHAR(34)&amp;I3&amp;CHAR(34)&amp;", details: "&amp;CHAR(34)&amp;J3&amp;CHAR(34)&amp;" },"</f>
        <v>{ name: "Hyrule Castle Moat East Chasm", landmark: "Chasm", type: "", region: 1, level: ["Surface", "Depths"], x: 170, y: 882, z: 9, zoom: 4, size: "XS", details: "" },</v>
      </c>
      <c r="N3" s="23"/>
    </row>
    <row r="4" spans="1:14" x14ac:dyDescent="0.2">
      <c r="A4" t="s">
        <v>1363</v>
      </c>
      <c r="C4" s="2">
        <v>1</v>
      </c>
      <c r="D4" t="s">
        <v>2839</v>
      </c>
      <c r="E4" s="2">
        <v>-923</v>
      </c>
      <c r="F4" s="2">
        <v>667</v>
      </c>
      <c r="G4" s="2">
        <v>15</v>
      </c>
      <c r="H4" s="2">
        <v>4</v>
      </c>
      <c r="I4" s="2" t="s">
        <v>2989</v>
      </c>
      <c r="K4" t="str">
        <f t="shared" si="0"/>
        <v>{ name: "Hyrule Castle Moat West Chasm", landmark: "Chasm", type: "", region: 1, level: ["Surface", "Depths"], x: -923, y: 667, z: 15, zoom: 4, size: "XS", details: "" },</v>
      </c>
      <c r="N4" s="23"/>
    </row>
    <row r="5" spans="1:14" x14ac:dyDescent="0.2">
      <c r="A5" t="s">
        <v>825</v>
      </c>
      <c r="C5" s="2">
        <v>1</v>
      </c>
      <c r="D5" t="s">
        <v>2839</v>
      </c>
      <c r="E5" s="2">
        <v>-251</v>
      </c>
      <c r="F5" s="2">
        <v>-305</v>
      </c>
      <c r="G5" s="2">
        <v>-479</v>
      </c>
      <c r="H5" s="2">
        <v>4</v>
      </c>
      <c r="I5" s="2" t="s">
        <v>2989</v>
      </c>
      <c r="K5" t="str">
        <f t="shared" si="0"/>
        <v>{ name: "Hyrule Field Chasm", landmark: "Chasm", type: "", region: 1, level: ["Surface", "Depths"], x: -251, y: -305, z: -479, zoom: 4, size: "XS", details: "" },</v>
      </c>
      <c r="N5" s="23"/>
    </row>
    <row r="6" spans="1:14" x14ac:dyDescent="0.2">
      <c r="A6" t="s">
        <v>818</v>
      </c>
      <c r="C6" s="2">
        <v>2</v>
      </c>
      <c r="D6" t="s">
        <v>2839</v>
      </c>
      <c r="E6" s="2">
        <v>-128</v>
      </c>
      <c r="F6" s="2">
        <v>-1658</v>
      </c>
      <c r="G6" s="2">
        <v>10</v>
      </c>
      <c r="H6" s="2">
        <v>4</v>
      </c>
      <c r="I6" s="2" t="s">
        <v>2989</v>
      </c>
      <c r="K6" t="str">
        <f t="shared" si="0"/>
        <v>{ name: "Forest of Time Chasm", landmark: "Chasm", type: "", region: 2, level: ["Surface", "Depths"], x: -128, y: -1658, z: 10, zoom: 4, size: "XS", details: "" },</v>
      </c>
      <c r="N6" s="23"/>
    </row>
    <row r="7" spans="1:14" x14ac:dyDescent="0.2">
      <c r="A7" t="s">
        <v>819</v>
      </c>
      <c r="C7" s="2">
        <v>2</v>
      </c>
      <c r="D7" t="s">
        <v>2839</v>
      </c>
      <c r="E7" s="2">
        <v>-450</v>
      </c>
      <c r="F7" s="2">
        <v>-1993</v>
      </c>
      <c r="G7" s="2">
        <v>71</v>
      </c>
      <c r="H7" s="2">
        <v>4</v>
      </c>
      <c r="I7" s="2" t="s">
        <v>2989</v>
      </c>
      <c r="K7" t="str">
        <f t="shared" si="0"/>
        <v>{ name: "Great Plateau East Chasm", landmark: "Chasm", type: "", region: 2, level: ["Surface", "Depths"], x: -450, y: -1993, z: 71, zoom: 4, size: "XS", details: "" },</v>
      </c>
      <c r="N7" s="23"/>
    </row>
    <row r="8" spans="1:14" x14ac:dyDescent="0.2">
      <c r="A8" t="s">
        <v>820</v>
      </c>
      <c r="C8" s="2">
        <v>2</v>
      </c>
      <c r="D8" t="s">
        <v>2839</v>
      </c>
      <c r="E8" s="2">
        <v>-662</v>
      </c>
      <c r="F8" s="2">
        <v>-1510</v>
      </c>
      <c r="G8" s="2">
        <v>-518</v>
      </c>
      <c r="H8" s="2">
        <v>4</v>
      </c>
      <c r="I8" s="2" t="s">
        <v>2989</v>
      </c>
      <c r="K8" t="str">
        <f t="shared" si="0"/>
        <v>{ name: "Great Plateau North Chasm", landmark: "Chasm", type: "", region: 2, level: ["Surface", "Depths"], x: -662, y: -1510, z: -518, zoom: 4, size: "XS", details: "" },</v>
      </c>
      <c r="N8" s="23"/>
    </row>
    <row r="9" spans="1:14" x14ac:dyDescent="0.2">
      <c r="A9" t="s">
        <v>821</v>
      </c>
      <c r="C9" s="2">
        <v>2</v>
      </c>
      <c r="D9" t="s">
        <v>2839</v>
      </c>
      <c r="E9" s="2">
        <v>-930</v>
      </c>
      <c r="F9" s="2">
        <v>-2316</v>
      </c>
      <c r="G9" s="2">
        <v>167</v>
      </c>
      <c r="H9" s="2">
        <v>4</v>
      </c>
      <c r="I9" s="2" t="s">
        <v>2989</v>
      </c>
      <c r="K9" t="str">
        <f t="shared" si="0"/>
        <v>{ name: "Great Plateau South Chasm", landmark: "Chasm", type: "", region: 2, level: ["Surface", "Depths"], x: -930, y: -2316, z: 167, zoom: 4, size: "XS", details: "" },</v>
      </c>
      <c r="N9" s="23"/>
    </row>
    <row r="10" spans="1:14" x14ac:dyDescent="0.2">
      <c r="A10" t="s">
        <v>822</v>
      </c>
      <c r="C10" s="2">
        <v>2</v>
      </c>
      <c r="D10" t="s">
        <v>2839</v>
      </c>
      <c r="E10" s="2">
        <v>-1429</v>
      </c>
      <c r="F10" s="2">
        <v>-1993</v>
      </c>
      <c r="G10" s="2">
        <v>231</v>
      </c>
      <c r="H10" s="2">
        <v>4</v>
      </c>
      <c r="I10" s="2" t="s">
        <v>2989</v>
      </c>
      <c r="K10" t="str">
        <f t="shared" si="0"/>
        <v>{ name: "Great Plateau West Chasm", landmark: "Chasm", type: "", region: 2, level: ["Surface", "Depths"], x: -1429, y: -1993, z: 231, zoom: 4, size: "XS", details: "" },</v>
      </c>
      <c r="N10" s="23"/>
    </row>
    <row r="11" spans="1:14" x14ac:dyDescent="0.2">
      <c r="A11" t="s">
        <v>826</v>
      </c>
      <c r="C11" s="2">
        <v>3</v>
      </c>
      <c r="D11" t="s">
        <v>2839</v>
      </c>
      <c r="E11" s="2">
        <v>-2645</v>
      </c>
      <c r="F11" s="2">
        <v>1126</v>
      </c>
      <c r="G11" s="2">
        <v>175</v>
      </c>
      <c r="H11" s="2">
        <v>4</v>
      </c>
      <c r="I11" s="2" t="s">
        <v>2989</v>
      </c>
      <c r="K11" t="str">
        <f t="shared" si="0"/>
        <v>{ name: "Hyrule Ridge Chasm", landmark: "Chasm", type: "", region: 3, level: ["Surface", "Depths"], x: -2645, y: 1126, z: 175, zoom: 4, size: "XS", details: "" },</v>
      </c>
      <c r="N11" s="23"/>
    </row>
    <row r="12" spans="1:14" x14ac:dyDescent="0.2">
      <c r="A12" t="s">
        <v>831</v>
      </c>
      <c r="C12" s="2">
        <v>4</v>
      </c>
      <c r="D12" t="s">
        <v>2839</v>
      </c>
      <c r="E12" s="2">
        <v>-3571</v>
      </c>
      <c r="F12" s="2">
        <v>1803</v>
      </c>
      <c r="G12" s="2">
        <v>123</v>
      </c>
      <c r="H12" s="2">
        <v>4</v>
      </c>
      <c r="I12" s="2" t="s">
        <v>2989</v>
      </c>
      <c r="K12" t="str">
        <f t="shared" si="0"/>
        <v>{ name: "Rito Village Chasm", landmark: "Chasm", type: "", region: 4, level: ["Surface", "Depths"], x: -3571, y: 1803, z: 123, zoom: 4, size: "XS", details: "" },</v>
      </c>
      <c r="N12" s="23"/>
    </row>
    <row r="13" spans="1:14" x14ac:dyDescent="0.2">
      <c r="A13" t="s">
        <v>830</v>
      </c>
      <c r="C13" s="2">
        <v>5</v>
      </c>
      <c r="D13" t="s">
        <v>2839</v>
      </c>
      <c r="E13" s="2">
        <v>-814</v>
      </c>
      <c r="F13" s="2">
        <v>3535</v>
      </c>
      <c r="G13" s="2">
        <v>235</v>
      </c>
      <c r="H13" s="2">
        <v>4</v>
      </c>
      <c r="I13" s="2" t="s">
        <v>2989</v>
      </c>
      <c r="K13" t="str">
        <f t="shared" si="0"/>
        <v>{ name: "North Lomei Chasm", landmark: "Chasm", type: "", region: 5, level: ["Surface", "Depths"], x: -814, y: 3535, z: 235, zoom: 4, size: "XS", details: "" },</v>
      </c>
      <c r="N13" s="23"/>
    </row>
    <row r="14" spans="1:14" x14ac:dyDescent="0.2">
      <c r="A14" t="s">
        <v>1197</v>
      </c>
      <c r="C14" s="2">
        <v>6</v>
      </c>
      <c r="D14" t="s">
        <v>2839</v>
      </c>
      <c r="E14" s="2">
        <v>418</v>
      </c>
      <c r="F14" s="2">
        <v>2193</v>
      </c>
      <c r="G14" s="2">
        <v>144</v>
      </c>
      <c r="H14" s="2">
        <v>4</v>
      </c>
      <c r="I14" s="2" t="s">
        <v>2989</v>
      </c>
      <c r="K14" t="str">
        <f t="shared" si="0"/>
        <v>{ name: "Deku Tree Chasm", landmark: "Chasm", type: "", region: 6, level: ["Surface", "Depths"], x: 418, y: 2193, z: 144, zoom: 4, size: "XS", details: "" },</v>
      </c>
      <c r="N14" s="23"/>
    </row>
    <row r="15" spans="1:14" x14ac:dyDescent="0.2">
      <c r="A15" t="s">
        <v>1216</v>
      </c>
      <c r="C15" s="2">
        <v>6</v>
      </c>
      <c r="D15" t="s">
        <v>2839</v>
      </c>
      <c r="E15" s="2">
        <v>-63</v>
      </c>
      <c r="F15" s="2">
        <v>2984</v>
      </c>
      <c r="G15" s="2">
        <v>127</v>
      </c>
      <c r="H15" s="2">
        <v>4</v>
      </c>
      <c r="I15" s="2" t="s">
        <v>2989</v>
      </c>
      <c r="K15" t="str">
        <f t="shared" si="0"/>
        <v>{ name: "Drenan Highlands Chasm", landmark: "Chasm", type: "", region: 6, level: ["Surface", "Depths"], x: -63, y: 2984, z: 127, zoom: 4, size: "XS", details: "" },</v>
      </c>
      <c r="N15" s="23"/>
    </row>
    <row r="16" spans="1:14" x14ac:dyDescent="0.2">
      <c r="A16" t="s">
        <v>1246</v>
      </c>
      <c r="C16" s="2">
        <v>6</v>
      </c>
      <c r="D16" t="s">
        <v>2839</v>
      </c>
      <c r="E16" s="2">
        <v>-453</v>
      </c>
      <c r="F16" s="2">
        <v>1721</v>
      </c>
      <c r="G16" s="2">
        <v>169</v>
      </c>
      <c r="H16" s="2">
        <v>4</v>
      </c>
      <c r="I16" s="2" t="s">
        <v>2989</v>
      </c>
      <c r="K16" t="str">
        <f t="shared" si="0"/>
        <v>{ name: "Elma Knolls Chasm", landmark: "Chasm", type: "", region: 6, level: ["Surface", "Depths"], x: -453, y: 1721, z: 169, zoom: 4, size: "XS", details: "" },</v>
      </c>
      <c r="N16" s="23"/>
    </row>
    <row r="17" spans="1:14" x14ac:dyDescent="0.2">
      <c r="A17" t="s">
        <v>812</v>
      </c>
      <c r="C17" s="2">
        <v>7</v>
      </c>
      <c r="D17" t="s">
        <v>2839</v>
      </c>
      <c r="E17" s="2">
        <v>2535</v>
      </c>
      <c r="F17" s="2">
        <v>2603</v>
      </c>
      <c r="G17" s="2">
        <v>644</v>
      </c>
      <c r="H17" s="2">
        <v>4</v>
      </c>
      <c r="I17" s="2" t="s">
        <v>2989</v>
      </c>
      <c r="K17" t="str">
        <f t="shared" si="0"/>
        <v>{ name: "Death Mountain Chasm", landmark: "Chasm", type: "", region: 7, level: ["Surface", "Depths"], x: 2535, y: 2603, z: 644, zoom: 4, size: "XS", details: "" },</v>
      </c>
      <c r="N17" s="23"/>
    </row>
    <row r="18" spans="1:14" x14ac:dyDescent="0.2">
      <c r="A18" t="s">
        <v>1478</v>
      </c>
      <c r="C18" s="2">
        <v>7</v>
      </c>
      <c r="D18" t="s">
        <v>2839</v>
      </c>
      <c r="E18" s="2">
        <v>1055</v>
      </c>
      <c r="F18" s="2">
        <v>1668</v>
      </c>
      <c r="G18" s="2">
        <v>150</v>
      </c>
      <c r="H18" s="2">
        <v>4</v>
      </c>
      <c r="I18" s="2" t="s">
        <v>2989</v>
      </c>
      <c r="K18" t="str">
        <f t="shared" si="0"/>
        <v>{ name: "Minshi Woods Chasm", landmark: "Chasm", type: "", region: 7, level: ["Surface", "Depths"], x: 1055, y: 1668, z: 150, zoom: 4, size: "XS", details: "" },</v>
      </c>
      <c r="N18" s="23"/>
    </row>
    <row r="19" spans="1:14" x14ac:dyDescent="0.2">
      <c r="A19" t="s">
        <v>808</v>
      </c>
      <c r="C19" s="2">
        <v>8</v>
      </c>
      <c r="D19" t="s">
        <v>2839</v>
      </c>
      <c r="E19" s="2">
        <v>4037</v>
      </c>
      <c r="F19" s="2">
        <v>2177</v>
      </c>
      <c r="G19" s="2">
        <v>29</v>
      </c>
      <c r="H19" s="2">
        <v>4</v>
      </c>
      <c r="I19" s="2" t="s">
        <v>2989</v>
      </c>
      <c r="K19" t="str">
        <f t="shared" si="0"/>
        <v>{ name: "East Akkala Plains Chasm", landmark: "Chasm", type: "", region: 8, level: ["Surface", "Depths"], x: 4037, y: 2177, z: 29, zoom: 4, size: "XS", details: "" },</v>
      </c>
      <c r="N19" s="23"/>
    </row>
    <row r="20" spans="1:14" x14ac:dyDescent="0.2">
      <c r="A20" t="s">
        <v>833</v>
      </c>
      <c r="C20" s="2">
        <v>8</v>
      </c>
      <c r="D20" t="s">
        <v>2839</v>
      </c>
      <c r="E20" s="2">
        <v>4663</v>
      </c>
      <c r="F20" s="2">
        <v>3697</v>
      </c>
      <c r="G20" s="2">
        <v>50</v>
      </c>
      <c r="H20" s="2">
        <v>4</v>
      </c>
      <c r="I20" s="2" t="s">
        <v>2989</v>
      </c>
      <c r="K20" t="str">
        <f t="shared" si="0"/>
        <v>{ name: "Lomei Labyrinth Chasm", landmark: "Chasm", type: "", region: 8, level: ["Surface", "Depths"], x: 4663, y: 3697, z: 50, zoom: 4, size: "XS", details: "" },</v>
      </c>
      <c r="N20" s="23"/>
    </row>
    <row r="21" spans="1:14" x14ac:dyDescent="0.2">
      <c r="A21" t="s">
        <v>811</v>
      </c>
      <c r="C21" s="2">
        <v>8</v>
      </c>
      <c r="D21" t="s">
        <v>2839</v>
      </c>
      <c r="E21" s="2">
        <v>3248</v>
      </c>
      <c r="F21" s="2">
        <v>3441</v>
      </c>
      <c r="G21" s="2">
        <v>-43</v>
      </c>
      <c r="H21" s="2">
        <v>4</v>
      </c>
      <c r="I21" s="2" t="s">
        <v>2989</v>
      </c>
      <c r="K21" t="str">
        <f t="shared" si="0"/>
        <v>{ name: "Skull Lake Chasm", landmark: "Chasm", type: "", region: 8, level: ["Surface", "Depths"], x: 3248, y: 3441, z: -43, zoom: 4, size: "XS", details: "" },</v>
      </c>
      <c r="N21" s="23"/>
    </row>
    <row r="22" spans="1:14" x14ac:dyDescent="0.2">
      <c r="A22" t="s">
        <v>832</v>
      </c>
      <c r="C22" s="2">
        <v>9</v>
      </c>
      <c r="D22" t="s">
        <v>2839</v>
      </c>
      <c r="E22" s="2">
        <v>3272</v>
      </c>
      <c r="F22" s="2">
        <v>442</v>
      </c>
      <c r="G22" s="2">
        <v>-21</v>
      </c>
      <c r="H22" s="2">
        <v>4</v>
      </c>
      <c r="I22" s="2" t="s">
        <v>2989</v>
      </c>
      <c r="K22" t="str">
        <f t="shared" si="0"/>
        <v>{ name: "Chasm Under Zora's Domain", landmark: "Chasm", type: "", region: 9, level: ["Surface", "Depths"], x: 3272, y: 442, z: -21, zoom: 4, size: "XS", details: "" },</v>
      </c>
      <c r="N22" s="23"/>
    </row>
    <row r="23" spans="1:14" x14ac:dyDescent="0.2">
      <c r="A23" t="s">
        <v>809</v>
      </c>
      <c r="C23" s="2">
        <v>9</v>
      </c>
      <c r="D23" t="s">
        <v>2839</v>
      </c>
      <c r="E23" s="2">
        <v>3284</v>
      </c>
      <c r="F23" s="2">
        <v>1303</v>
      </c>
      <c r="G23" s="2">
        <v>217</v>
      </c>
      <c r="H23" s="2">
        <v>4</v>
      </c>
      <c r="I23" s="2" t="s">
        <v>2989</v>
      </c>
      <c r="K23" t="str">
        <f t="shared" si="0"/>
        <v>{ name: "South Akkala Plains Chasm", landmark: "Chasm", type: "", region: 9, level: ["Surface", "Depths"], x: 3284, y: 1303, z: 217, zoom: 4, size: "XS", details: "" },</v>
      </c>
      <c r="N23" s="23"/>
    </row>
    <row r="24" spans="1:14" x14ac:dyDescent="0.2">
      <c r="A24" t="s">
        <v>810</v>
      </c>
      <c r="C24" s="2">
        <v>9</v>
      </c>
      <c r="D24" t="s">
        <v>2839</v>
      </c>
      <c r="E24" s="2">
        <v>4708</v>
      </c>
      <c r="F24" s="2">
        <v>1308</v>
      </c>
      <c r="G24" s="2">
        <v>61</v>
      </c>
      <c r="H24" s="2">
        <v>4</v>
      </c>
      <c r="I24" s="2" t="s">
        <v>2989</v>
      </c>
      <c r="K24" t="str">
        <f t="shared" si="0"/>
        <v>{ name: "Tingel Island Chasm", landmark: "Chasm", type: "", region: 9, level: ["Surface", "Depths"], x: 4708, y: 1308, z: 61, zoom: 4, size: "XS", details: "" },</v>
      </c>
      <c r="N24" s="23"/>
    </row>
    <row r="25" spans="1:14" x14ac:dyDescent="0.2">
      <c r="A25" t="s">
        <v>828</v>
      </c>
      <c r="C25" s="2">
        <v>10</v>
      </c>
      <c r="D25" t="s">
        <v>2839</v>
      </c>
      <c r="E25" s="2">
        <v>1974</v>
      </c>
      <c r="F25" s="2">
        <v>-855</v>
      </c>
      <c r="G25" s="2">
        <v>178</v>
      </c>
      <c r="H25" s="2">
        <v>4</v>
      </c>
      <c r="I25" s="2" t="s">
        <v>2989</v>
      </c>
      <c r="K25" t="str">
        <f t="shared" si="0"/>
        <v>{ name: "East Hill Chasm", landmark: "Chasm", type: "", region: 10, level: ["Surface", "Depths"], x: 1974, y: -855, z: 178, zoom: 4, size: "XS", details: "" },</v>
      </c>
      <c r="N25" s="23"/>
    </row>
    <row r="26" spans="1:14" x14ac:dyDescent="0.2">
      <c r="A26" t="s">
        <v>1424</v>
      </c>
      <c r="C26" s="2">
        <v>10</v>
      </c>
      <c r="D26" t="s">
        <v>2839</v>
      </c>
      <c r="E26" s="2">
        <v>1727</v>
      </c>
      <c r="F26" s="2">
        <v>158</v>
      </c>
      <c r="G26" s="2">
        <v>-5</v>
      </c>
      <c r="H26" s="2">
        <v>4</v>
      </c>
      <c r="I26" s="2" t="s">
        <v>2989</v>
      </c>
      <c r="K26" t="str">
        <f t="shared" si="0"/>
        <v>{ name: "Lanayru Wetlands Chasm", landmark: "Chasm", type: "", region: 10, level: ["Surface", "Depths"], x: 1727, y: 158, z: -5, zoom: 4, size: "XS", details: "" },</v>
      </c>
      <c r="N26" s="23"/>
    </row>
    <row r="27" spans="1:14" x14ac:dyDescent="0.2">
      <c r="A27" t="s">
        <v>827</v>
      </c>
      <c r="C27" s="2">
        <v>11</v>
      </c>
      <c r="D27" t="s">
        <v>2839</v>
      </c>
      <c r="E27" s="2">
        <v>3591</v>
      </c>
      <c r="F27" s="2">
        <v>-1341</v>
      </c>
      <c r="G27" s="2">
        <v>117</v>
      </c>
      <c r="H27" s="2">
        <v>4</v>
      </c>
      <c r="I27" s="2" t="s">
        <v>2989</v>
      </c>
      <c r="K27" t="str">
        <f t="shared" si="0"/>
        <v>{ name: "Naydra Snowfield Chasm", landmark: "Chasm", type: "", region: 11, level: ["Surface", "Depths"], x: 3591, y: -1341, z: 117, zoom: 4, size: "XS", details: "" },</v>
      </c>
      <c r="N27" s="23"/>
    </row>
    <row r="28" spans="1:14" x14ac:dyDescent="0.2">
      <c r="A28" t="s">
        <v>1249</v>
      </c>
      <c r="C28" s="2">
        <v>12</v>
      </c>
      <c r="D28" t="s">
        <v>2839</v>
      </c>
      <c r="E28" s="2">
        <v>4507</v>
      </c>
      <c r="F28" s="2">
        <v>-3459</v>
      </c>
      <c r="G28" s="2">
        <v>-17</v>
      </c>
      <c r="H28" s="2">
        <v>4</v>
      </c>
      <c r="I28" s="2" t="s">
        <v>2989</v>
      </c>
      <c r="K28" t="str">
        <f t="shared" si="0"/>
        <v>{ name: "Eventide Island Chasm", landmark: "Chasm", type: "", region: 12, level: ["Surface", "Depths"], x: 4507, y: -3459, z: -17, zoom: 4, size: "XS", details: "" },</v>
      </c>
      <c r="N28" s="23"/>
    </row>
    <row r="29" spans="1:14" x14ac:dyDescent="0.2">
      <c r="A29" t="s">
        <v>1466</v>
      </c>
      <c r="C29" s="2">
        <v>12</v>
      </c>
      <c r="D29" t="s">
        <v>2839</v>
      </c>
      <c r="E29" s="2">
        <v>2513</v>
      </c>
      <c r="F29" s="2">
        <v>-2380</v>
      </c>
      <c r="G29" s="2">
        <v>131</v>
      </c>
      <c r="H29" s="2">
        <v>4</v>
      </c>
      <c r="I29" s="2" t="s">
        <v>2989</v>
      </c>
      <c r="K29" t="str">
        <f t="shared" si="0"/>
        <v>{ name: "Meda Mountain Chasm", landmark: "Chasm", type: "", region: 12, level: ["Surface", "Depths"], x: 2513, y: -2380, z: 131, zoom: 4, size: "XS", details: "" },</v>
      </c>
      <c r="N29" s="23"/>
    </row>
    <row r="30" spans="1:14" x14ac:dyDescent="0.2">
      <c r="A30" t="s">
        <v>829</v>
      </c>
      <c r="C30" s="2">
        <v>13</v>
      </c>
      <c r="D30" t="s">
        <v>2839</v>
      </c>
      <c r="E30" s="2">
        <v>222</v>
      </c>
      <c r="F30" s="2">
        <v>-2119</v>
      </c>
      <c r="G30" s="2">
        <v>53</v>
      </c>
      <c r="H30" s="2">
        <v>4</v>
      </c>
      <c r="I30" s="2" t="s">
        <v>2989</v>
      </c>
      <c r="K30" t="str">
        <f t="shared" si="0"/>
        <v>{ name: "Hills of Baumer Chasm", landmark: "Chasm", type: "", region: 13, level: ["Surface", "Depths"], x: 222, y: -2119, z: 53, zoom: 4, size: "XS", details: "" },</v>
      </c>
      <c r="N30" s="23"/>
    </row>
    <row r="31" spans="1:14" x14ac:dyDescent="0.2">
      <c r="A31" t="s">
        <v>1404</v>
      </c>
      <c r="C31" s="2">
        <v>13</v>
      </c>
      <c r="D31" t="s">
        <v>2839</v>
      </c>
      <c r="E31" s="2">
        <v>-332</v>
      </c>
      <c r="F31" s="2">
        <v>-2598</v>
      </c>
      <c r="G31" s="2">
        <v>-52</v>
      </c>
      <c r="H31" s="2">
        <v>4</v>
      </c>
      <c r="I31" s="2" t="s">
        <v>2989</v>
      </c>
      <c r="K31" t="str">
        <f t="shared" si="0"/>
        <v>{ name: "Lake Hylia Chasm", landmark: "Chasm", type: "", region: 13, level: ["Surface", "Depths"], x: -332, y: -2598, z: -52, zoom: 4, size: "XS", details: "" },</v>
      </c>
      <c r="N31" s="23"/>
    </row>
    <row r="32" spans="1:14" x14ac:dyDescent="0.2">
      <c r="A32" t="s">
        <v>1674</v>
      </c>
      <c r="C32" s="2">
        <v>13</v>
      </c>
      <c r="D32" t="s">
        <v>2839</v>
      </c>
      <c r="E32" s="2">
        <v>1305</v>
      </c>
      <c r="F32" s="2">
        <v>-2397</v>
      </c>
      <c r="G32" s="2">
        <v>62</v>
      </c>
      <c r="H32" s="2">
        <v>4</v>
      </c>
      <c r="I32" s="2" t="s">
        <v>2989</v>
      </c>
      <c r="K32" t="str">
        <f t="shared" si="0"/>
        <v>{ name: "Tobio's Hollow Chasm", landmark: "Chasm", type: "", region: 13, level: ["Surface", "Depths"], x: 1305, y: -2397, z: 62, zoom: 4, size: "XS", details: "" },</v>
      </c>
      <c r="N32" s="23"/>
    </row>
    <row r="33" spans="1:14" x14ac:dyDescent="0.2">
      <c r="A33" t="s">
        <v>814</v>
      </c>
      <c r="C33" s="2">
        <v>14</v>
      </c>
      <c r="D33" t="s">
        <v>2839</v>
      </c>
      <c r="E33" s="2">
        <v>-2491</v>
      </c>
      <c r="F33" s="2">
        <v>-3068</v>
      </c>
      <c r="G33" s="2">
        <v>81</v>
      </c>
      <c r="H33" s="2">
        <v>4</v>
      </c>
      <c r="I33" s="2" t="s">
        <v>2989</v>
      </c>
      <c r="K33" t="str">
        <f t="shared" si="0"/>
        <v>{ name: "East Gerudo Chasm", landmark: "Chasm", type: "", region: 14, level: ["Surface", "Depths"], x: -2491, y: -3068, z: 81, zoom: 4, size: "XS", details: "" },</v>
      </c>
      <c r="N33" s="23"/>
    </row>
    <row r="34" spans="1:14" x14ac:dyDescent="0.2">
      <c r="A34" t="s">
        <v>816</v>
      </c>
      <c r="C34" s="2">
        <v>14</v>
      </c>
      <c r="D34" t="s">
        <v>2839</v>
      </c>
      <c r="E34" s="2">
        <v>-1795</v>
      </c>
      <c r="F34" s="2">
        <v>-3462</v>
      </c>
      <c r="G34" s="2">
        <v>46</v>
      </c>
      <c r="H34" s="2">
        <v>4</v>
      </c>
      <c r="I34" s="2" t="s">
        <v>2989</v>
      </c>
      <c r="K34" t="str">
        <f t="shared" si="0"/>
        <v>{ name: "South Lomei Chasm", landmark: "Chasm", type: "", region: 14, level: ["Surface", "Depths"], x: -1795, y: -3462, z: 46, zoom: 4, size: "XS", details: "" },</v>
      </c>
      <c r="N34" s="23"/>
    </row>
    <row r="35" spans="1:14" x14ac:dyDescent="0.2">
      <c r="A35" t="s">
        <v>813</v>
      </c>
      <c r="C35" s="2">
        <v>15</v>
      </c>
      <c r="D35" t="s">
        <v>2839</v>
      </c>
      <c r="E35" s="2">
        <v>-3680</v>
      </c>
      <c r="F35" s="2">
        <v>-1853</v>
      </c>
      <c r="G35" s="2">
        <v>76</v>
      </c>
      <c r="H35" s="2">
        <v>4</v>
      </c>
      <c r="I35" s="2" t="s">
        <v>2989</v>
      </c>
      <c r="K35" t="str">
        <f t="shared" si="0"/>
        <v>{ name: "Birida Lookout Chasm", landmark: "Chasm", type: "", region: 15, level: ["Surface", "Depths"], x: -3680, y: -1853, z: 76, zoom: 4, size: "XS", details: "" },</v>
      </c>
    </row>
    <row r="36" spans="1:14" x14ac:dyDescent="0.2">
      <c r="A36" t="s">
        <v>815</v>
      </c>
      <c r="C36" s="2">
        <v>15</v>
      </c>
      <c r="D36" t="s">
        <v>2839</v>
      </c>
      <c r="E36" s="2">
        <v>-4203</v>
      </c>
      <c r="F36" s="2">
        <v>-639</v>
      </c>
      <c r="G36" s="2">
        <v>682</v>
      </c>
      <c r="H36" s="2">
        <v>4</v>
      </c>
      <c r="I36" s="2" t="s">
        <v>2989</v>
      </c>
      <c r="K36" t="str">
        <f t="shared" si="0"/>
        <v>{ name: "Gerudo Summit Chasm", landmark: "Chasm", type: "", region: 15, level: ["Surface", "Depths"], x: -4203, y: -639, z: 682, zoom: 4, size: "XS", details: "" },</v>
      </c>
    </row>
    <row r="37" spans="1:14" x14ac:dyDescent="0.2">
      <c r="A37" t="s">
        <v>817</v>
      </c>
      <c r="C37" s="2">
        <v>15</v>
      </c>
      <c r="D37" t="s">
        <v>2839</v>
      </c>
      <c r="E37" s="2">
        <v>-3429</v>
      </c>
      <c r="F37" s="2">
        <v>-1334</v>
      </c>
      <c r="G37" s="2">
        <v>335</v>
      </c>
      <c r="H37" s="2">
        <v>4</v>
      </c>
      <c r="I37" s="2" t="s">
        <v>2989</v>
      </c>
      <c r="K37" t="str">
        <f t="shared" si="0"/>
        <v>{ name: "Yiga Clan Hideout Chasm", landmark: "Chasm", type: "", region: 15, level: ["Surface", "Depths"], x: -3429, y: -1334, z: 335, zoom: 4, size: "XS", details: "" },</v>
      </c>
    </row>
  </sheetData>
  <autoFilter ref="A1:K37" xr:uid="{D3556292-572C-6940-86CF-28B5941B8F64}">
    <sortState xmlns:xlrd2="http://schemas.microsoft.com/office/spreadsheetml/2017/richdata2" ref="A2:K37">
      <sortCondition ref="C1:C37"/>
    </sortState>
  </autoFilter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4B9E3-8783-154E-9ABB-C6A7605FBA2B}">
  <sheetPr codeName="Sheet13">
    <tabColor theme="9"/>
  </sheetPr>
  <dimension ref="A1:L93"/>
  <sheetViews>
    <sheetView workbookViewId="0">
      <selection activeCell="H6" sqref="H6"/>
    </sheetView>
  </sheetViews>
  <sheetFormatPr baseColWidth="10" defaultRowHeight="16" x14ac:dyDescent="0.2"/>
  <cols>
    <col min="1" max="1" width="30.83203125" bestFit="1" customWidth="1"/>
    <col min="2" max="2" width="7.33203125" bestFit="1" customWidth="1"/>
    <col min="5" max="7" width="10.83203125" style="2"/>
    <col min="8" max="8" width="58.33203125" bestFit="1" customWidth="1"/>
  </cols>
  <sheetData>
    <row r="1" spans="1:9" s="6" customFormat="1" x14ac:dyDescent="0.2">
      <c r="A1" s="6" t="s">
        <v>781</v>
      </c>
      <c r="B1" s="6" t="s">
        <v>2083</v>
      </c>
      <c r="C1" s="6" t="s">
        <v>2074</v>
      </c>
      <c r="D1" s="6" t="s">
        <v>777</v>
      </c>
      <c r="E1" s="4" t="s">
        <v>778</v>
      </c>
      <c r="F1" s="4" t="s">
        <v>779</v>
      </c>
      <c r="G1" s="4" t="s">
        <v>780</v>
      </c>
      <c r="H1" s="6" t="s">
        <v>2081</v>
      </c>
      <c r="I1" s="6" t="s">
        <v>2075</v>
      </c>
    </row>
    <row r="2" spans="1:9" x14ac:dyDescent="0.2">
      <c r="A2" t="s">
        <v>2310</v>
      </c>
      <c r="C2">
        <v>2</v>
      </c>
      <c r="D2" t="s">
        <v>785</v>
      </c>
      <c r="E2" s="2">
        <v>-1619</v>
      </c>
      <c r="F2" s="2">
        <v>-1888</v>
      </c>
      <c r="G2" s="2">
        <v>1</v>
      </c>
      <c r="H2" t="s">
        <v>2261</v>
      </c>
      <c r="I2" t="str">
        <f>"{ name: "&amp;CHAR(34)&amp;A2&amp;CHAR(34)&amp;", landmark: "&amp;CHAR(34)&amp;"Dispenser"&amp;CHAR(34)&amp;", type: "&amp;CHAR(34)&amp;B2&amp;CHAR(34)&amp;", region: "&amp;C2&amp;", level: "&amp;CHAR(34)&amp;D2&amp;CHAR(34)&amp;", x: "&amp;E2&amp;", y: "&amp;F2&amp;", z: "&amp;G2&amp;", details: "&amp;CHAR(34)&amp;H2&amp;CHAR(34)&amp;" },"</f>
        <v>{ name: "Gerudo Canyon Pass Dispenser", landmark: "Dispenser", type: "", region: 2, level: "Surface", x: -1619, y: -1888, z: 1, details: "Battery, Big Wheel, Portable Pot, Spring, Stake" },</v>
      </c>
    </row>
    <row r="3" spans="1:9" x14ac:dyDescent="0.2">
      <c r="A3" t="s">
        <v>2299</v>
      </c>
      <c r="C3">
        <v>2</v>
      </c>
      <c r="D3" t="s">
        <v>783</v>
      </c>
      <c r="E3" s="2">
        <v>-1212</v>
      </c>
      <c r="F3" s="2">
        <v>-1585</v>
      </c>
      <c r="G3" s="2">
        <v>1006</v>
      </c>
      <c r="H3" t="s">
        <v>2253</v>
      </c>
      <c r="I3" t="s">
        <v>2313</v>
      </c>
    </row>
    <row r="4" spans="1:9" x14ac:dyDescent="0.2">
      <c r="A4" t="s">
        <v>2286</v>
      </c>
      <c r="C4">
        <v>3</v>
      </c>
      <c r="D4" t="s">
        <v>783</v>
      </c>
      <c r="E4" s="2">
        <v>-2370</v>
      </c>
      <c r="F4" s="2">
        <v>781</v>
      </c>
      <c r="G4" s="2">
        <v>610</v>
      </c>
      <c r="H4" t="s">
        <v>2244</v>
      </c>
      <c r="I4" t="s">
        <v>2314</v>
      </c>
    </row>
    <row r="5" spans="1:9" x14ac:dyDescent="0.2">
      <c r="A5" t="s">
        <v>2293</v>
      </c>
      <c r="C5">
        <v>3</v>
      </c>
      <c r="D5" t="s">
        <v>783</v>
      </c>
      <c r="E5" s="2">
        <v>-3612</v>
      </c>
      <c r="F5" s="2">
        <v>1066</v>
      </c>
      <c r="G5" s="2">
        <v>1655</v>
      </c>
      <c r="H5" t="s">
        <v>2265</v>
      </c>
      <c r="I5" t="s">
        <v>2315</v>
      </c>
    </row>
    <row r="6" spans="1:9" x14ac:dyDescent="0.2">
      <c r="A6" t="s">
        <v>2303</v>
      </c>
      <c r="C6">
        <v>3</v>
      </c>
      <c r="D6" t="s">
        <v>783</v>
      </c>
      <c r="E6" s="2">
        <v>-3455</v>
      </c>
      <c r="F6" s="2">
        <v>393</v>
      </c>
      <c r="G6" s="2">
        <v>1694</v>
      </c>
      <c r="H6" t="s">
        <v>2256</v>
      </c>
      <c r="I6" t="s">
        <v>2316</v>
      </c>
    </row>
    <row r="7" spans="1:9" x14ac:dyDescent="0.2">
      <c r="A7" t="s">
        <v>2307</v>
      </c>
      <c r="C7">
        <v>4</v>
      </c>
      <c r="D7" t="s">
        <v>783</v>
      </c>
      <c r="E7" s="2">
        <v>-3803</v>
      </c>
      <c r="F7" s="2">
        <v>2766</v>
      </c>
      <c r="G7" s="2">
        <v>701</v>
      </c>
      <c r="H7" t="s">
        <v>2259</v>
      </c>
      <c r="I7" t="s">
        <v>2317</v>
      </c>
    </row>
    <row r="8" spans="1:9" x14ac:dyDescent="0.2">
      <c r="A8" t="s">
        <v>2289</v>
      </c>
      <c r="C8">
        <v>5</v>
      </c>
      <c r="D8" t="s">
        <v>783</v>
      </c>
      <c r="E8" s="2">
        <v>-1705</v>
      </c>
      <c r="F8" s="2">
        <v>3371</v>
      </c>
      <c r="G8" s="2">
        <v>947</v>
      </c>
      <c r="H8" t="s">
        <v>2264</v>
      </c>
      <c r="I8" t="s">
        <v>2318</v>
      </c>
    </row>
    <row r="9" spans="1:9" x14ac:dyDescent="0.2">
      <c r="A9" t="s">
        <v>2285</v>
      </c>
      <c r="C9">
        <v>6</v>
      </c>
      <c r="D9" t="s">
        <v>783</v>
      </c>
      <c r="E9" s="2">
        <v>215</v>
      </c>
      <c r="F9" s="2">
        <v>1981</v>
      </c>
      <c r="G9" s="2">
        <v>754</v>
      </c>
      <c r="H9" t="s">
        <v>2243</v>
      </c>
      <c r="I9" t="s">
        <v>2319</v>
      </c>
    </row>
    <row r="10" spans="1:9" x14ac:dyDescent="0.2">
      <c r="A10" t="s">
        <v>2294</v>
      </c>
      <c r="C10">
        <v>6</v>
      </c>
      <c r="D10" t="s">
        <v>783</v>
      </c>
      <c r="E10" s="2">
        <v>443</v>
      </c>
      <c r="F10" s="2">
        <v>2821</v>
      </c>
      <c r="G10" s="2">
        <v>1819</v>
      </c>
      <c r="H10" t="s">
        <v>2249</v>
      </c>
      <c r="I10" t="s">
        <v>2320</v>
      </c>
    </row>
    <row r="11" spans="1:9" x14ac:dyDescent="0.2">
      <c r="A11" t="s">
        <v>2283</v>
      </c>
      <c r="C11">
        <v>7</v>
      </c>
      <c r="D11" t="s">
        <v>994</v>
      </c>
      <c r="E11" s="2">
        <v>2190</v>
      </c>
      <c r="F11" s="2">
        <v>2640</v>
      </c>
      <c r="G11" s="2">
        <v>-963</v>
      </c>
      <c r="H11" t="s">
        <v>2242</v>
      </c>
      <c r="I11" t="s">
        <v>2321</v>
      </c>
    </row>
    <row r="12" spans="1:9" x14ac:dyDescent="0.2">
      <c r="A12" t="s">
        <v>2298</v>
      </c>
      <c r="C12">
        <v>7</v>
      </c>
      <c r="D12" t="s">
        <v>783</v>
      </c>
      <c r="E12" s="2">
        <v>1983</v>
      </c>
      <c r="F12" s="2">
        <v>1221</v>
      </c>
      <c r="G12" s="2">
        <v>1250</v>
      </c>
      <c r="H12" t="s">
        <v>2252</v>
      </c>
      <c r="I12" t="s">
        <v>2322</v>
      </c>
    </row>
    <row r="13" spans="1:9" x14ac:dyDescent="0.2">
      <c r="A13" t="s">
        <v>2296</v>
      </c>
      <c r="C13">
        <v>8</v>
      </c>
      <c r="D13" t="s">
        <v>783</v>
      </c>
      <c r="E13" s="2">
        <v>4557</v>
      </c>
      <c r="F13" s="2">
        <v>2076</v>
      </c>
      <c r="G13" s="2">
        <v>1154</v>
      </c>
      <c r="H13" t="s">
        <v>2251</v>
      </c>
      <c r="I13" t="s">
        <v>2323</v>
      </c>
    </row>
    <row r="14" spans="1:9" x14ac:dyDescent="0.2">
      <c r="A14" t="s">
        <v>2297</v>
      </c>
      <c r="C14">
        <v>8</v>
      </c>
      <c r="D14" t="s">
        <v>783</v>
      </c>
      <c r="E14" s="2">
        <v>3755</v>
      </c>
      <c r="F14" s="2">
        <v>1542</v>
      </c>
      <c r="G14" s="2">
        <v>1156</v>
      </c>
      <c r="H14" t="s">
        <v>2267</v>
      </c>
      <c r="I14" t="s">
        <v>2324</v>
      </c>
    </row>
    <row r="15" spans="1:9" x14ac:dyDescent="0.2">
      <c r="A15" t="s">
        <v>2311</v>
      </c>
      <c r="C15">
        <v>8</v>
      </c>
      <c r="D15" t="s">
        <v>785</v>
      </c>
      <c r="E15" s="2">
        <v>3807</v>
      </c>
      <c r="F15" s="2">
        <v>1561</v>
      </c>
      <c r="G15" s="2">
        <v>89</v>
      </c>
      <c r="H15" t="s">
        <v>2262</v>
      </c>
      <c r="I15" t="s">
        <v>2325</v>
      </c>
    </row>
    <row r="16" spans="1:9" x14ac:dyDescent="0.2">
      <c r="A16" t="s">
        <v>2292</v>
      </c>
      <c r="C16">
        <v>9</v>
      </c>
      <c r="D16" t="s">
        <v>783</v>
      </c>
      <c r="E16" s="2">
        <v>2915</v>
      </c>
      <c r="F16" s="2">
        <v>502</v>
      </c>
      <c r="G16" s="2">
        <v>950</v>
      </c>
      <c r="H16" t="s">
        <v>2248</v>
      </c>
      <c r="I16" t="s">
        <v>2326</v>
      </c>
    </row>
    <row r="17" spans="1:9" x14ac:dyDescent="0.2">
      <c r="A17" t="s">
        <v>2306</v>
      </c>
      <c r="C17">
        <v>9</v>
      </c>
      <c r="D17" t="s">
        <v>783</v>
      </c>
      <c r="E17" s="2">
        <v>3430</v>
      </c>
      <c r="F17" s="2">
        <v>636</v>
      </c>
      <c r="G17" s="2">
        <v>1316</v>
      </c>
      <c r="H17" t="s">
        <v>2270</v>
      </c>
      <c r="I17" t="s">
        <v>2327</v>
      </c>
    </row>
    <row r="18" spans="1:9" x14ac:dyDescent="0.2">
      <c r="A18" t="s">
        <v>2312</v>
      </c>
      <c r="C18">
        <v>10</v>
      </c>
      <c r="D18" t="s">
        <v>785</v>
      </c>
      <c r="E18" s="2">
        <v>1838</v>
      </c>
      <c r="F18" s="2">
        <v>-1093</v>
      </c>
      <c r="G18" s="2">
        <v>154</v>
      </c>
      <c r="H18" t="s">
        <v>2260</v>
      </c>
      <c r="I18" t="s">
        <v>2328</v>
      </c>
    </row>
    <row r="19" spans="1:9" x14ac:dyDescent="0.2">
      <c r="A19" t="s">
        <v>2295</v>
      </c>
      <c r="C19">
        <v>10</v>
      </c>
      <c r="D19" t="s">
        <v>783</v>
      </c>
      <c r="E19" s="2">
        <v>1778</v>
      </c>
      <c r="F19" s="2">
        <v>-1096</v>
      </c>
      <c r="G19" s="2">
        <v>917</v>
      </c>
      <c r="H19" t="s">
        <v>2250</v>
      </c>
      <c r="I19" t="s">
        <v>2329</v>
      </c>
    </row>
    <row r="20" spans="1:9" x14ac:dyDescent="0.2">
      <c r="A20" t="s">
        <v>2308</v>
      </c>
      <c r="C20">
        <v>10</v>
      </c>
      <c r="D20" t="s">
        <v>783</v>
      </c>
      <c r="E20" s="2">
        <v>1344</v>
      </c>
      <c r="F20" s="2">
        <v>-2151</v>
      </c>
      <c r="G20" s="2">
        <v>584</v>
      </c>
      <c r="H20" t="s">
        <v>2269</v>
      </c>
      <c r="I20" t="s">
        <v>2330</v>
      </c>
    </row>
    <row r="21" spans="1:9" x14ac:dyDescent="0.2">
      <c r="A21" t="s">
        <v>2309</v>
      </c>
      <c r="C21">
        <v>10</v>
      </c>
      <c r="D21" t="s">
        <v>783</v>
      </c>
      <c r="E21" s="2">
        <v>2320</v>
      </c>
      <c r="F21" s="2">
        <v>-1718</v>
      </c>
      <c r="G21" s="2">
        <v>1484</v>
      </c>
      <c r="H21" t="s">
        <v>2271</v>
      </c>
      <c r="I21" t="s">
        <v>2331</v>
      </c>
    </row>
    <row r="22" spans="1:9" x14ac:dyDescent="0.2">
      <c r="A22" t="s">
        <v>2300</v>
      </c>
      <c r="C22">
        <v>11</v>
      </c>
      <c r="D22" t="s">
        <v>783</v>
      </c>
      <c r="E22" s="2">
        <v>4675</v>
      </c>
      <c r="F22" s="2">
        <v>-1029</v>
      </c>
      <c r="G22" s="2">
        <v>1788</v>
      </c>
      <c r="H22" t="s">
        <v>2254</v>
      </c>
      <c r="I22" t="s">
        <v>2332</v>
      </c>
    </row>
    <row r="23" spans="1:9" x14ac:dyDescent="0.2">
      <c r="A23" t="s">
        <v>2305</v>
      </c>
      <c r="C23">
        <v>11</v>
      </c>
      <c r="D23" t="s">
        <v>783</v>
      </c>
      <c r="E23" s="2">
        <v>4510</v>
      </c>
      <c r="F23" s="2">
        <v>-805</v>
      </c>
      <c r="G23" s="2">
        <v>1116</v>
      </c>
      <c r="H23" t="s">
        <v>2258</v>
      </c>
      <c r="I23" t="s">
        <v>2333</v>
      </c>
    </row>
    <row r="24" spans="1:9" x14ac:dyDescent="0.2">
      <c r="A24" t="s">
        <v>2301</v>
      </c>
      <c r="C24">
        <v>12</v>
      </c>
      <c r="D24" t="s">
        <v>783</v>
      </c>
      <c r="E24" s="2">
        <v>2851</v>
      </c>
      <c r="F24" s="2">
        <v>-2958</v>
      </c>
      <c r="G24" s="2">
        <v>1211</v>
      </c>
      <c r="H24" t="s">
        <v>2255</v>
      </c>
      <c r="I24" t="s">
        <v>2334</v>
      </c>
    </row>
    <row r="25" spans="1:9" x14ac:dyDescent="0.2">
      <c r="A25" t="s">
        <v>2284</v>
      </c>
      <c r="C25">
        <v>13</v>
      </c>
      <c r="D25" t="s">
        <v>994</v>
      </c>
      <c r="E25" s="2">
        <v>1058</v>
      </c>
      <c r="F25" s="2">
        <v>-2320</v>
      </c>
      <c r="G25" s="2">
        <v>-553</v>
      </c>
      <c r="H25" t="s">
        <v>2266</v>
      </c>
      <c r="I25" t="s">
        <v>2335</v>
      </c>
    </row>
    <row r="26" spans="1:9" x14ac:dyDescent="0.2">
      <c r="A26" t="s">
        <v>2287</v>
      </c>
      <c r="C26">
        <v>13</v>
      </c>
      <c r="D26" t="s">
        <v>783</v>
      </c>
      <c r="E26" s="2">
        <v>1390</v>
      </c>
      <c r="F26" s="2">
        <v>-3239</v>
      </c>
      <c r="G26" s="2">
        <v>416</v>
      </c>
      <c r="H26" t="s">
        <v>2245</v>
      </c>
      <c r="I26" t="s">
        <v>2336</v>
      </c>
    </row>
    <row r="27" spans="1:9" x14ac:dyDescent="0.2">
      <c r="A27" t="s">
        <v>2290</v>
      </c>
      <c r="C27">
        <v>13</v>
      </c>
      <c r="D27" t="s">
        <v>783</v>
      </c>
      <c r="E27" s="2">
        <v>769</v>
      </c>
      <c r="F27" s="2">
        <v>-1259</v>
      </c>
      <c r="G27" s="2">
        <v>1578</v>
      </c>
      <c r="H27" t="s">
        <v>2246</v>
      </c>
      <c r="I27" t="s">
        <v>2337</v>
      </c>
    </row>
    <row r="28" spans="1:9" x14ac:dyDescent="0.2">
      <c r="A28" t="s">
        <v>2291</v>
      </c>
      <c r="C28">
        <v>13</v>
      </c>
      <c r="D28" t="s">
        <v>783</v>
      </c>
      <c r="E28" s="2">
        <v>435</v>
      </c>
      <c r="F28" s="2">
        <v>-1686</v>
      </c>
      <c r="G28" s="2">
        <v>1442</v>
      </c>
      <c r="H28" t="s">
        <v>2247</v>
      </c>
      <c r="I28" t="s">
        <v>2338</v>
      </c>
    </row>
    <row r="29" spans="1:9" x14ac:dyDescent="0.2">
      <c r="A29" t="s">
        <v>2304</v>
      </c>
      <c r="C29">
        <v>13</v>
      </c>
      <c r="D29" t="s">
        <v>783</v>
      </c>
      <c r="E29" s="2">
        <v>1104</v>
      </c>
      <c r="F29" s="2">
        <v>-3331</v>
      </c>
      <c r="G29" s="2">
        <v>827</v>
      </c>
      <c r="H29" t="s">
        <v>2257</v>
      </c>
      <c r="I29" t="s">
        <v>2339</v>
      </c>
    </row>
    <row r="30" spans="1:9" x14ac:dyDescent="0.2">
      <c r="A30" t="s">
        <v>2288</v>
      </c>
      <c r="C30">
        <v>14</v>
      </c>
      <c r="D30" t="s">
        <v>783</v>
      </c>
      <c r="E30" s="2">
        <v>-1771</v>
      </c>
      <c r="F30" s="2">
        <v>-2019</v>
      </c>
      <c r="G30" s="2">
        <v>1147</v>
      </c>
      <c r="H30" t="s">
        <v>2263</v>
      </c>
      <c r="I30" t="s">
        <v>2340</v>
      </c>
    </row>
    <row r="31" spans="1:9" x14ac:dyDescent="0.2">
      <c r="A31" t="s">
        <v>2302</v>
      </c>
      <c r="C31">
        <v>15</v>
      </c>
      <c r="D31" t="s">
        <v>783</v>
      </c>
      <c r="E31" s="2">
        <v>-3457</v>
      </c>
      <c r="F31" s="2">
        <v>-373</v>
      </c>
      <c r="G31" s="2">
        <v>1942</v>
      </c>
      <c r="H31" t="s">
        <v>2268</v>
      </c>
      <c r="I31" t="s">
        <v>2341</v>
      </c>
    </row>
    <row r="33" spans="8:12" x14ac:dyDescent="0.2">
      <c r="H33" s="2"/>
      <c r="I33" s="2"/>
      <c r="J33" s="2"/>
      <c r="K33" s="2"/>
      <c r="L33" s="2"/>
    </row>
    <row r="34" spans="8:12" x14ac:dyDescent="0.2">
      <c r="H34" s="2"/>
      <c r="I34" s="2"/>
      <c r="J34" s="2"/>
      <c r="K34" s="2"/>
      <c r="L34" s="2"/>
    </row>
    <row r="35" spans="8:12" x14ac:dyDescent="0.2">
      <c r="H35" s="2"/>
      <c r="I35" s="2"/>
      <c r="J35" s="2"/>
      <c r="K35" s="2"/>
      <c r="L35" s="2"/>
    </row>
    <row r="36" spans="8:12" x14ac:dyDescent="0.2">
      <c r="H36" s="2"/>
      <c r="I36" s="2"/>
      <c r="J36" s="2"/>
      <c r="K36" s="2"/>
      <c r="L36" s="2"/>
    </row>
    <row r="37" spans="8:12" x14ac:dyDescent="0.2">
      <c r="H37" s="2"/>
      <c r="I37" s="2"/>
      <c r="J37" s="2"/>
      <c r="K37" s="2"/>
      <c r="L37" s="2"/>
    </row>
    <row r="38" spans="8:12" x14ac:dyDescent="0.2">
      <c r="H38" s="2"/>
      <c r="I38" s="2"/>
      <c r="J38" s="2"/>
      <c r="K38" s="2"/>
      <c r="L38" s="2"/>
    </row>
    <row r="39" spans="8:12" x14ac:dyDescent="0.2">
      <c r="H39" s="2"/>
      <c r="I39" s="2"/>
      <c r="J39" s="2"/>
      <c r="K39" s="2"/>
      <c r="L39" s="2"/>
    </row>
    <row r="40" spans="8:12" x14ac:dyDescent="0.2">
      <c r="H40" s="2"/>
      <c r="I40" s="2"/>
      <c r="J40" s="2"/>
      <c r="K40" s="2"/>
      <c r="L40" s="2"/>
    </row>
    <row r="41" spans="8:12" x14ac:dyDescent="0.2">
      <c r="H41" s="2"/>
      <c r="I41" s="2"/>
      <c r="J41" s="2"/>
      <c r="K41" s="2"/>
      <c r="L41" s="2"/>
    </row>
    <row r="42" spans="8:12" x14ac:dyDescent="0.2">
      <c r="H42" s="2"/>
      <c r="I42" s="2"/>
      <c r="J42" s="2"/>
      <c r="K42" s="2"/>
      <c r="L42" s="2"/>
    </row>
    <row r="43" spans="8:12" x14ac:dyDescent="0.2">
      <c r="H43" s="2"/>
      <c r="I43" s="2"/>
      <c r="J43" s="2"/>
      <c r="K43" s="2"/>
      <c r="L43" s="2"/>
    </row>
    <row r="44" spans="8:12" x14ac:dyDescent="0.2">
      <c r="H44" s="2"/>
      <c r="I44" s="2"/>
      <c r="J44" s="2"/>
      <c r="K44" s="2"/>
      <c r="L44" s="2"/>
    </row>
    <row r="45" spans="8:12" x14ac:dyDescent="0.2">
      <c r="H45" s="2"/>
      <c r="I45" s="2"/>
      <c r="J45" s="2"/>
      <c r="K45" s="2"/>
      <c r="L45" s="2"/>
    </row>
    <row r="46" spans="8:12" x14ac:dyDescent="0.2">
      <c r="H46" s="2"/>
      <c r="I46" s="2"/>
      <c r="J46" s="2"/>
      <c r="K46" s="2"/>
      <c r="L46" s="2"/>
    </row>
    <row r="47" spans="8:12" x14ac:dyDescent="0.2">
      <c r="H47" s="2"/>
      <c r="I47" s="2"/>
      <c r="J47" s="2"/>
      <c r="K47" s="2"/>
      <c r="L47" s="2"/>
    </row>
    <row r="48" spans="8:12" x14ac:dyDescent="0.2">
      <c r="H48" s="2"/>
      <c r="I48" s="2"/>
      <c r="J48" s="2"/>
      <c r="K48" s="2"/>
      <c r="L48" s="2"/>
    </row>
    <row r="49" spans="5:12" x14ac:dyDescent="0.2">
      <c r="H49" s="2"/>
      <c r="I49" s="2"/>
      <c r="J49" s="2"/>
      <c r="K49" s="2"/>
      <c r="L49" s="2"/>
    </row>
    <row r="50" spans="5:12" x14ac:dyDescent="0.2">
      <c r="H50" s="2"/>
      <c r="I50" s="2"/>
      <c r="J50" s="2"/>
      <c r="K50" s="2"/>
      <c r="L50" s="2"/>
    </row>
    <row r="51" spans="5:12" x14ac:dyDescent="0.2">
      <c r="H51" s="2"/>
      <c r="I51" s="2"/>
      <c r="J51" s="2"/>
      <c r="K51" s="2"/>
      <c r="L51" s="2"/>
    </row>
    <row r="52" spans="5:12" x14ac:dyDescent="0.2">
      <c r="H52" s="2"/>
      <c r="I52" s="2"/>
      <c r="J52" s="2"/>
      <c r="K52" s="2"/>
      <c r="L52" s="2"/>
    </row>
    <row r="53" spans="5:12" x14ac:dyDescent="0.2">
      <c r="H53" s="2"/>
      <c r="I53" s="2"/>
      <c r="J53" s="2"/>
      <c r="K53" s="2"/>
      <c r="L53" s="2"/>
    </row>
    <row r="54" spans="5:12" x14ac:dyDescent="0.2">
      <c r="H54" s="2"/>
      <c r="I54" s="2"/>
      <c r="J54" s="2"/>
      <c r="K54" s="2"/>
      <c r="L54" s="2"/>
    </row>
    <row r="55" spans="5:12" x14ac:dyDescent="0.2">
      <c r="H55" s="2"/>
      <c r="I55" s="2"/>
      <c r="J55" s="2"/>
      <c r="K55" s="2"/>
      <c r="L55" s="2"/>
    </row>
    <row r="56" spans="5:12" x14ac:dyDescent="0.2">
      <c r="H56" s="2"/>
      <c r="I56" s="2"/>
      <c r="J56" s="2"/>
      <c r="K56" s="2"/>
      <c r="L56" s="2"/>
    </row>
    <row r="57" spans="5:12" x14ac:dyDescent="0.2">
      <c r="H57" s="2"/>
      <c r="I57" s="2"/>
      <c r="J57" s="2"/>
      <c r="K57" s="2"/>
      <c r="L57" s="2"/>
    </row>
    <row r="58" spans="5:12" x14ac:dyDescent="0.2">
      <c r="H58" s="2"/>
      <c r="I58" s="2"/>
      <c r="J58" s="2"/>
      <c r="K58" s="2"/>
      <c r="L58" s="2"/>
    </row>
    <row r="59" spans="5:12" x14ac:dyDescent="0.2">
      <c r="H59" s="2"/>
      <c r="I59" s="2"/>
      <c r="J59" s="2"/>
      <c r="K59" s="2"/>
      <c r="L59" s="2"/>
    </row>
    <row r="60" spans="5:12" x14ac:dyDescent="0.2">
      <c r="H60" s="2"/>
      <c r="I60" s="2"/>
      <c r="J60" s="2"/>
      <c r="K60" s="2"/>
      <c r="L60" s="2"/>
    </row>
    <row r="61" spans="5:12" x14ac:dyDescent="0.2">
      <c r="H61" s="2"/>
      <c r="I61" s="2"/>
      <c r="J61" s="2"/>
      <c r="K61" s="2"/>
      <c r="L61" s="2"/>
    </row>
    <row r="62" spans="5:12" x14ac:dyDescent="0.2">
      <c r="H62" s="2"/>
      <c r="I62" s="2"/>
      <c r="J62" s="2"/>
      <c r="K62" s="2"/>
      <c r="L62" s="2"/>
    </row>
    <row r="64" spans="5:12" x14ac:dyDescent="0.2">
      <c r="E64"/>
    </row>
    <row r="65" spans="5:5" x14ac:dyDescent="0.2">
      <c r="E65"/>
    </row>
    <row r="66" spans="5:5" x14ac:dyDescent="0.2">
      <c r="E66"/>
    </row>
    <row r="67" spans="5:5" x14ac:dyDescent="0.2">
      <c r="E67"/>
    </row>
    <row r="68" spans="5:5" x14ac:dyDescent="0.2">
      <c r="E68"/>
    </row>
    <row r="69" spans="5:5" x14ac:dyDescent="0.2">
      <c r="E69"/>
    </row>
    <row r="70" spans="5:5" x14ac:dyDescent="0.2">
      <c r="E70"/>
    </row>
    <row r="71" spans="5:5" x14ac:dyDescent="0.2">
      <c r="E71"/>
    </row>
    <row r="72" spans="5:5" x14ac:dyDescent="0.2">
      <c r="E72"/>
    </row>
    <row r="73" spans="5:5" x14ac:dyDescent="0.2">
      <c r="E73"/>
    </row>
    <row r="74" spans="5:5" x14ac:dyDescent="0.2">
      <c r="E74"/>
    </row>
    <row r="75" spans="5:5" x14ac:dyDescent="0.2">
      <c r="E75"/>
    </row>
    <row r="76" spans="5:5" x14ac:dyDescent="0.2">
      <c r="E76"/>
    </row>
    <row r="77" spans="5:5" x14ac:dyDescent="0.2">
      <c r="E77"/>
    </row>
    <row r="78" spans="5:5" x14ac:dyDescent="0.2">
      <c r="E78"/>
    </row>
    <row r="79" spans="5:5" x14ac:dyDescent="0.2">
      <c r="E79"/>
    </row>
    <row r="80" spans="5:5" x14ac:dyDescent="0.2">
      <c r="E80"/>
    </row>
    <row r="81" spans="5:5" x14ac:dyDescent="0.2">
      <c r="E81"/>
    </row>
    <row r="82" spans="5:5" x14ac:dyDescent="0.2">
      <c r="E82"/>
    </row>
    <row r="83" spans="5:5" x14ac:dyDescent="0.2">
      <c r="E83"/>
    </row>
    <row r="84" spans="5:5" x14ac:dyDescent="0.2">
      <c r="E84"/>
    </row>
    <row r="85" spans="5:5" x14ac:dyDescent="0.2">
      <c r="E85"/>
    </row>
    <row r="86" spans="5:5" x14ac:dyDescent="0.2">
      <c r="E86"/>
    </row>
    <row r="87" spans="5:5" x14ac:dyDescent="0.2">
      <c r="E87"/>
    </row>
    <row r="88" spans="5:5" x14ac:dyDescent="0.2">
      <c r="E88"/>
    </row>
    <row r="89" spans="5:5" x14ac:dyDescent="0.2">
      <c r="E89"/>
    </row>
    <row r="90" spans="5:5" x14ac:dyDescent="0.2">
      <c r="E90"/>
    </row>
    <row r="91" spans="5:5" x14ac:dyDescent="0.2">
      <c r="E91"/>
    </row>
    <row r="92" spans="5:5" x14ac:dyDescent="0.2">
      <c r="E92"/>
    </row>
    <row r="93" spans="5:5" x14ac:dyDescent="0.2">
      <c r="E93"/>
    </row>
  </sheetData>
  <autoFilter ref="A1:I30" xr:uid="{9224B9E3-8783-154E-9ABB-C6A7605FBA2B}">
    <sortState xmlns:xlrd2="http://schemas.microsoft.com/office/spreadsheetml/2017/richdata2" ref="A2:I30">
      <sortCondition ref="C1:C30"/>
    </sortState>
  </autoFilter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DC08D-24C7-1C43-BA27-774C1FF9C429}">
  <sheetPr codeName="Sheet5">
    <tabColor theme="9"/>
  </sheetPr>
  <dimension ref="A1:I13"/>
  <sheetViews>
    <sheetView workbookViewId="0">
      <selection activeCell="B2" sqref="B2"/>
    </sheetView>
  </sheetViews>
  <sheetFormatPr baseColWidth="10" defaultRowHeight="16" x14ac:dyDescent="0.2"/>
  <cols>
    <col min="1" max="1" width="14.1640625" bestFit="1" customWidth="1"/>
    <col min="2" max="2" width="20.1640625" bestFit="1" customWidth="1"/>
  </cols>
  <sheetData>
    <row r="1" spans="1:9" s="6" customFormat="1" x14ac:dyDescent="0.2">
      <c r="A1" s="6" t="s">
        <v>781</v>
      </c>
      <c r="B1" s="6" t="s">
        <v>2083</v>
      </c>
      <c r="C1" s="6" t="s">
        <v>2074</v>
      </c>
      <c r="D1" s="6" t="s">
        <v>777</v>
      </c>
      <c r="E1" s="6" t="s">
        <v>778</v>
      </c>
      <c r="F1" s="6" t="s">
        <v>779</v>
      </c>
      <c r="G1" s="6" t="s">
        <v>780</v>
      </c>
      <c r="H1" s="6" t="s">
        <v>2081</v>
      </c>
      <c r="I1" s="6" t="s">
        <v>2075</v>
      </c>
    </row>
    <row r="2" spans="1:9" x14ac:dyDescent="0.2">
      <c r="A2" t="s">
        <v>2418</v>
      </c>
      <c r="B2" t="s">
        <v>2417</v>
      </c>
      <c r="C2">
        <v>3</v>
      </c>
      <c r="D2" t="s">
        <v>785</v>
      </c>
      <c r="E2">
        <v>-1412</v>
      </c>
      <c r="F2">
        <v>965</v>
      </c>
      <c r="G2">
        <v>123</v>
      </c>
      <c r="I2" t="str">
        <f t="shared" ref="I2:I13" si="0">"{ name: "&amp;CHAR(34)&amp;A2&amp;CHAR(34)&amp;", landmark: "&amp;CHAR(34)&amp;"Dragon Tear"&amp;CHAR(34)&amp;", type: "&amp;CHAR(34)&amp;B2&amp;CHAR(34)&amp;", region: "&amp;C2&amp;", level: "&amp;CHAR(34)&amp;D2&amp;CHAR(34)&amp;", x: "&amp;E2&amp;", y: "&amp;F2&amp;", z: "&amp;G2&amp;", details: "&amp;CHAR(34)&amp;H2&amp;CHAR(34)&amp;" },"</f>
        <v>{ name: "Dragon Tear #1", landmark: "Dragon Tear", type: "Rauru Geoglyph", region: 3, level: "Surface", x: -1412, y: 965, z: 123, details: "" },</v>
      </c>
    </row>
    <row r="3" spans="1:9" x14ac:dyDescent="0.2">
      <c r="A3" t="s">
        <v>2423</v>
      </c>
      <c r="B3" t="s">
        <v>2437</v>
      </c>
      <c r="C3">
        <v>3</v>
      </c>
      <c r="D3" t="s">
        <v>785</v>
      </c>
      <c r="E3">
        <v>-3096</v>
      </c>
      <c r="F3">
        <v>-77</v>
      </c>
      <c r="G3">
        <v>211</v>
      </c>
      <c r="I3" t="str">
        <f t="shared" si="0"/>
        <v>{ name: "Dragon Tear #6", landmark: "Dragon Tear", type: "Sonia Geoglyph", region: 3, level: "Surface", x: -3096, y: -77, z: 211, details: "" },</v>
      </c>
    </row>
    <row r="4" spans="1:9" x14ac:dyDescent="0.2">
      <c r="A4" t="s">
        <v>2419</v>
      </c>
      <c r="B4" t="s">
        <v>2430</v>
      </c>
      <c r="C4">
        <v>5</v>
      </c>
      <c r="D4" t="s">
        <v>785</v>
      </c>
      <c r="E4">
        <v>-2550</v>
      </c>
      <c r="F4">
        <v>1887</v>
      </c>
      <c r="G4">
        <v>319</v>
      </c>
      <c r="I4" t="str">
        <f t="shared" si="0"/>
        <v>{ name: "Dragon Tear #2", landmark: "Dragon Tear", type: "Castle Geoglyph", region: 5, level: "Surface", x: -2550, y: 1887, z: 319, details: "" },</v>
      </c>
    </row>
    <row r="5" spans="1:9" x14ac:dyDescent="0.2">
      <c r="A5" t="s">
        <v>2425</v>
      </c>
      <c r="B5" t="s">
        <v>2433</v>
      </c>
      <c r="C5">
        <v>5</v>
      </c>
      <c r="D5" t="s">
        <v>785</v>
      </c>
      <c r="E5">
        <v>-1863</v>
      </c>
      <c r="F5">
        <v>3621</v>
      </c>
      <c r="G5">
        <v>236</v>
      </c>
      <c r="I5" t="str">
        <f t="shared" si="0"/>
        <v>{ name: "Dragon Tear #8", landmark: "Dragon Tear", type: "Demon King Geoglyph", region: 5, level: "Surface", x: -1863, y: 3621, z: 236, details: "" },</v>
      </c>
    </row>
    <row r="6" spans="1:9" x14ac:dyDescent="0.2">
      <c r="A6" t="s">
        <v>2428</v>
      </c>
      <c r="B6" t="s">
        <v>2435</v>
      </c>
      <c r="C6">
        <v>6</v>
      </c>
      <c r="D6" t="s">
        <v>785</v>
      </c>
      <c r="E6">
        <v>892</v>
      </c>
      <c r="F6">
        <v>2951</v>
      </c>
      <c r="G6">
        <v>362</v>
      </c>
      <c r="I6" t="str">
        <f t="shared" si="0"/>
        <v>{ name: "Dragon Tear #11", landmark: "Dragon Tear", type: "Master Sword Geoglyph", region: 6, level: "Surface", x: 892, y: 2951, z: 362, details: "" },</v>
      </c>
    </row>
    <row r="7" spans="1:9" x14ac:dyDescent="0.2">
      <c r="A7" t="s">
        <v>2420</v>
      </c>
      <c r="B7" t="s">
        <v>2431</v>
      </c>
      <c r="C7">
        <v>7</v>
      </c>
      <c r="D7" t="s">
        <v>785</v>
      </c>
      <c r="E7">
        <v>1829</v>
      </c>
      <c r="F7">
        <v>737</v>
      </c>
      <c r="G7">
        <v>89</v>
      </c>
      <c r="I7" t="str">
        <f t="shared" si="0"/>
        <v>{ name: "Dragon Tear #3", landmark: "Dragon Tear", type: "Purah Pad Geoglyph", region: 7, level: "Surface", x: 1829, y: 737, z: 89, details: "" },</v>
      </c>
    </row>
    <row r="8" spans="1:9" x14ac:dyDescent="0.2">
      <c r="A8" t="s">
        <v>2429</v>
      </c>
      <c r="B8" t="s">
        <v>2436</v>
      </c>
      <c r="C8">
        <v>8</v>
      </c>
      <c r="D8" t="s">
        <v>785</v>
      </c>
      <c r="E8">
        <v>4534</v>
      </c>
      <c r="F8">
        <v>2143</v>
      </c>
      <c r="G8">
        <v>0</v>
      </c>
      <c r="I8" t="str">
        <f t="shared" si="0"/>
        <v>{ name: "Dragon Tear #12", landmark: "Dragon Tear", type: "Final Tear Geoglyph", region: 8, level: "Surface", x: 4534, y: 2143, z: 0, details: "" },</v>
      </c>
    </row>
    <row r="9" spans="1:9" x14ac:dyDescent="0.2">
      <c r="A9" t="s">
        <v>2426</v>
      </c>
      <c r="B9" t="s">
        <v>2440</v>
      </c>
      <c r="C9">
        <v>9</v>
      </c>
      <c r="D9" t="s">
        <v>785</v>
      </c>
      <c r="E9">
        <v>4468</v>
      </c>
      <c r="F9">
        <v>-304</v>
      </c>
      <c r="G9">
        <v>74</v>
      </c>
      <c r="I9" t="str">
        <f t="shared" si="0"/>
        <v>{ name: "Dragon Tear #9", landmark: "Dragon Tear", type: "Sacred Stone Geoglyph", region: 9, level: "Surface", x: 4468, y: -304, z: 74, details: "" },</v>
      </c>
    </row>
    <row r="10" spans="1:9" x14ac:dyDescent="0.2">
      <c r="A10" t="s">
        <v>2424</v>
      </c>
      <c r="B10" t="s">
        <v>2439</v>
      </c>
      <c r="C10">
        <v>12</v>
      </c>
      <c r="D10" t="s">
        <v>785</v>
      </c>
      <c r="E10">
        <v>3325</v>
      </c>
      <c r="F10">
        <v>-3567</v>
      </c>
      <c r="G10">
        <v>4</v>
      </c>
      <c r="I10" t="str">
        <f t="shared" si="0"/>
        <v>{ name: "Dragon Tear #7", landmark: "Dragon Tear", type: "Scimitar Geoglyph", region: 12, level: "Surface", x: 3325, y: -3567, z: 4, details: "" },</v>
      </c>
    </row>
    <row r="11" spans="1:9" x14ac:dyDescent="0.2">
      <c r="A11" t="s">
        <v>2421</v>
      </c>
      <c r="B11" t="s">
        <v>2432</v>
      </c>
      <c r="C11">
        <v>13</v>
      </c>
      <c r="D11" t="s">
        <v>785</v>
      </c>
      <c r="E11">
        <v>694</v>
      </c>
      <c r="F11">
        <v>-1309</v>
      </c>
      <c r="G11">
        <v>53</v>
      </c>
      <c r="I11" t="str">
        <f t="shared" si="0"/>
        <v>{ name: "Dragon Tear #4", landmark: "Dragon Tear", type: "Molduga Geoglyph", region: 13, level: "Surface", x: 694, y: -1309, z: 53, details: "" },</v>
      </c>
    </row>
    <row r="12" spans="1:9" x14ac:dyDescent="0.2">
      <c r="A12" t="s">
        <v>2427</v>
      </c>
      <c r="B12" t="s">
        <v>2434</v>
      </c>
      <c r="C12">
        <v>13</v>
      </c>
      <c r="D12" t="s">
        <v>785</v>
      </c>
      <c r="E12">
        <v>-649</v>
      </c>
      <c r="F12">
        <v>-2682</v>
      </c>
      <c r="G12">
        <v>68</v>
      </c>
      <c r="I12" t="str">
        <f t="shared" si="0"/>
        <v>{ name: "Dragon Tear #10", landmark: "Dragon Tear", type: "Shrine Geoglyph", region: 13, level: "Surface", x: -649, y: -2682, z: 68, details: "" },</v>
      </c>
    </row>
    <row r="13" spans="1:9" x14ac:dyDescent="0.2">
      <c r="A13" t="s">
        <v>2422</v>
      </c>
      <c r="B13" t="s">
        <v>2438</v>
      </c>
      <c r="C13">
        <v>15</v>
      </c>
      <c r="D13" t="s">
        <v>785</v>
      </c>
      <c r="E13">
        <v>-3179</v>
      </c>
      <c r="F13">
        <v>-1699</v>
      </c>
      <c r="G13">
        <v>1048</v>
      </c>
      <c r="I13" t="str">
        <f t="shared" si="0"/>
        <v>{ name: "Dragon Tear #5", landmark: "Dragon Tear", type: "Ganondorf Geoglyph", region: 15, level: "Surface", x: -3179, y: -1699, z: 1048, details: "" },</v>
      </c>
    </row>
  </sheetData>
  <autoFilter ref="A1:I2" xr:uid="{A095D5C8-FF81-DA46-ADE3-61DE071C2139}">
    <sortState xmlns:xlrd2="http://schemas.microsoft.com/office/spreadsheetml/2017/richdata2" ref="A2:I13">
      <sortCondition ref="C1:C13"/>
    </sortState>
  </autoFilter>
  <phoneticPr fontId="1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17B2F-88B3-D043-82D1-8464B78A8BDD}">
  <sheetPr codeName="Sheet21">
    <tabColor theme="9"/>
  </sheetPr>
  <dimension ref="A1:I16"/>
  <sheetViews>
    <sheetView workbookViewId="0">
      <selection activeCell="I11" sqref="I11"/>
    </sheetView>
  </sheetViews>
  <sheetFormatPr baseColWidth="10" defaultRowHeight="16" x14ac:dyDescent="0.2"/>
  <cols>
    <col min="1" max="2" width="16.83203125" bestFit="1" customWidth="1"/>
  </cols>
  <sheetData>
    <row r="1" spans="1:9" s="6" customFormat="1" x14ac:dyDescent="0.2">
      <c r="A1" s="6" t="s">
        <v>781</v>
      </c>
      <c r="B1" s="6" t="s">
        <v>2083</v>
      </c>
      <c r="C1" s="6" t="s">
        <v>2074</v>
      </c>
      <c r="D1" s="6" t="s">
        <v>777</v>
      </c>
      <c r="E1" s="6" t="s">
        <v>778</v>
      </c>
      <c r="F1" s="6" t="s">
        <v>779</v>
      </c>
      <c r="G1" s="6" t="s">
        <v>780</v>
      </c>
      <c r="H1" s="6" t="s">
        <v>2081</v>
      </c>
      <c r="I1" s="6" t="s">
        <v>2075</v>
      </c>
    </row>
    <row r="2" spans="1:9" x14ac:dyDescent="0.2">
      <c r="A2" t="s">
        <v>916</v>
      </c>
      <c r="B2" t="s">
        <v>1272</v>
      </c>
      <c r="C2" t="s">
        <v>2503</v>
      </c>
      <c r="D2" t="s">
        <v>783</v>
      </c>
      <c r="E2">
        <v>463</v>
      </c>
      <c r="F2">
        <v>-1679</v>
      </c>
      <c r="G2">
        <v>1371</v>
      </c>
      <c r="I2" t="str">
        <f>"{ name: "&amp;CHAR(34)&amp;A2&amp;CHAR(34)&amp;", landmark: "&amp;CHAR(34)&amp;"Forge &amp; Refinery"&amp;CHAR(34)&amp;", type: "&amp;CHAR(34)&amp;B2&amp;CHAR(34)&amp;", region: "&amp;C2&amp;", level: "&amp;CHAR(34)&amp;D2&amp;CHAR(34)&amp;", x: "&amp;E2&amp;", y: "&amp;F2&amp;", z: "&amp;G2&amp;", details: "&amp;CHAR(34)&amp;H2&amp;CHAR(34)&amp;" },"</f>
        <v>{ name: "Mining Cave", landmark: "Forge &amp; Refinery", type: "Forge Construct", region: [0,13], level: "Sky", x: 463, y: -1679, z: 1371, details: "" },</v>
      </c>
    </row>
    <row r="3" spans="1:9" x14ac:dyDescent="0.2">
      <c r="A3" t="s">
        <v>991</v>
      </c>
      <c r="B3" t="s">
        <v>1182</v>
      </c>
      <c r="C3" t="s">
        <v>2503</v>
      </c>
      <c r="D3" t="s">
        <v>783</v>
      </c>
      <c r="E3">
        <v>362</v>
      </c>
      <c r="F3">
        <v>-1651</v>
      </c>
      <c r="G3">
        <v>2298</v>
      </c>
      <c r="I3" t="str">
        <f t="shared" ref="I3:I16" si="0">"{ name: "&amp;CHAR(34)&amp;A3&amp;CHAR(34)&amp;", landmark: "&amp;CHAR(34)&amp;"Forge &amp; Refinery"&amp;CHAR(34)&amp;", type: "&amp;CHAR(34)&amp;B3&amp;CHAR(34)&amp;", region: "&amp;C3&amp;", level: "&amp;CHAR(34)&amp;D3&amp;CHAR(34)&amp;", x: "&amp;E3&amp;", y: "&amp;F3&amp;", z: "&amp;G3&amp;", details: "&amp;CHAR(34)&amp;H3&amp;CHAR(34)&amp;" },"</f>
        <v>{ name: "Great Sky Island", landmark: "Forge &amp; Refinery", type: "Crystal Refinery", region: [0,13], level: "Sky", x: 362, y: -1651, z: 2298, details: "" },</v>
      </c>
    </row>
    <row r="4" spans="1:9" x14ac:dyDescent="0.2">
      <c r="A4" t="s">
        <v>2064</v>
      </c>
      <c r="B4" t="s">
        <v>1182</v>
      </c>
      <c r="C4">
        <v>1</v>
      </c>
      <c r="D4" t="s">
        <v>785</v>
      </c>
      <c r="E4">
        <v>-214</v>
      </c>
      <c r="F4">
        <v>194</v>
      </c>
      <c r="G4">
        <v>31</v>
      </c>
      <c r="I4" t="str">
        <f t="shared" si="0"/>
        <v>{ name: "North Hyrule Field", landmark: "Forge &amp; Refinery", type: "Crystal Refinery", region: 1, level: "Surface", x: -214, y: 194, z: 31, details: "" },</v>
      </c>
    </row>
    <row r="5" spans="1:9" x14ac:dyDescent="0.2">
      <c r="A5" t="s">
        <v>2447</v>
      </c>
      <c r="B5" t="s">
        <v>1272</v>
      </c>
      <c r="C5">
        <v>2</v>
      </c>
      <c r="D5" t="s">
        <v>994</v>
      </c>
      <c r="E5">
        <v>-851</v>
      </c>
      <c r="F5">
        <v>-1944</v>
      </c>
      <c r="G5">
        <v>-522</v>
      </c>
      <c r="I5" t="str">
        <f t="shared" si="0"/>
        <v>{ name: "Great Central Mine", landmark: "Forge &amp; Refinery", type: "Forge Construct", region: 2, level: "Depths", x: -851, y: -1944, z: -522, details: "" },</v>
      </c>
    </row>
    <row r="6" spans="1:9" x14ac:dyDescent="0.2">
      <c r="A6" t="s">
        <v>2494</v>
      </c>
      <c r="B6" t="s">
        <v>1272</v>
      </c>
      <c r="C6">
        <v>4</v>
      </c>
      <c r="D6" t="s">
        <v>994</v>
      </c>
      <c r="E6">
        <v>-3463</v>
      </c>
      <c r="F6">
        <v>1915</v>
      </c>
      <c r="G6">
        <v>-416</v>
      </c>
      <c r="I6" t="str">
        <f t="shared" si="0"/>
        <v>{ name: "Hebra Mine", landmark: "Forge &amp; Refinery", type: "Forge Construct", region: 4, level: "Depths", x: -3463, y: 1915, z: -416, details: "" },</v>
      </c>
    </row>
    <row r="7" spans="1:9" x14ac:dyDescent="0.2">
      <c r="A7" t="s">
        <v>2495</v>
      </c>
      <c r="B7" t="s">
        <v>1272</v>
      </c>
      <c r="C7">
        <v>7</v>
      </c>
      <c r="D7" t="s">
        <v>994</v>
      </c>
      <c r="E7">
        <v>1689</v>
      </c>
      <c r="F7">
        <v>2387</v>
      </c>
      <c r="G7">
        <v>-824</v>
      </c>
      <c r="I7" t="str">
        <f t="shared" si="0"/>
        <v>{ name: "Eldin Mine", landmark: "Forge &amp; Refinery", type: "Forge Construct", region: 7, level: "Depths", x: 1689, y: 2387, z: -824, details: "" },</v>
      </c>
    </row>
    <row r="8" spans="1:9" x14ac:dyDescent="0.2">
      <c r="A8" t="s">
        <v>2497</v>
      </c>
      <c r="B8" t="s">
        <v>1272</v>
      </c>
      <c r="C8">
        <v>8</v>
      </c>
      <c r="D8" t="s">
        <v>994</v>
      </c>
      <c r="E8">
        <v>3959</v>
      </c>
      <c r="F8">
        <v>1566</v>
      </c>
      <c r="G8">
        <v>-576</v>
      </c>
      <c r="I8" t="str">
        <f t="shared" si="0"/>
        <v>{ name: "Tarrey Mine", landmark: "Forge &amp; Refinery", type: "Forge Construct", region: 8, level: "Depths", x: 3959, y: 1566, z: -576, details: "" },</v>
      </c>
    </row>
    <row r="9" spans="1:9" x14ac:dyDescent="0.2">
      <c r="A9" t="s">
        <v>2496</v>
      </c>
      <c r="B9" t="s">
        <v>1272</v>
      </c>
      <c r="C9">
        <v>9</v>
      </c>
      <c r="D9" t="s">
        <v>994</v>
      </c>
      <c r="E9">
        <v>3253</v>
      </c>
      <c r="F9">
        <v>559</v>
      </c>
      <c r="G9">
        <v>-750</v>
      </c>
      <c r="I9" t="str">
        <f t="shared" si="0"/>
        <v>{ name: "Lanayru Mine", landmark: "Forge &amp; Refinery", type: "Forge Construct", region: 9, level: "Depths", x: 3253, y: 559, z: -750, details: "" },</v>
      </c>
    </row>
    <row r="10" spans="1:9" x14ac:dyDescent="0.2">
      <c r="A10" t="s">
        <v>2498</v>
      </c>
      <c r="B10" t="s">
        <v>1272</v>
      </c>
      <c r="C10">
        <v>10</v>
      </c>
      <c r="D10" t="s">
        <v>994</v>
      </c>
      <c r="E10">
        <v>1777</v>
      </c>
      <c r="F10">
        <v>-1183</v>
      </c>
      <c r="G10">
        <v>-629</v>
      </c>
      <c r="I10" t="str">
        <f t="shared" si="0"/>
        <v>{ name: "Kakariko Mine", landmark: "Forge &amp; Refinery", type: "Forge Construct", region: 10, level: "Depths", x: 1777, y: -1183, z: -629, details: "" },</v>
      </c>
    </row>
    <row r="11" spans="1:9" x14ac:dyDescent="0.2">
      <c r="A11" t="s">
        <v>2499</v>
      </c>
      <c r="B11" t="s">
        <v>1272</v>
      </c>
      <c r="C11">
        <v>11</v>
      </c>
      <c r="D11" t="s">
        <v>994</v>
      </c>
      <c r="E11">
        <v>3526</v>
      </c>
      <c r="F11">
        <v>-2189</v>
      </c>
      <c r="G11">
        <v>-587</v>
      </c>
      <c r="I11" t="str">
        <f t="shared" si="0"/>
        <v>{ name: "Hateno Mine", landmark: "Forge &amp; Refinery", type: "Forge Construct", region: 11, level: "Depths", x: 3526, y: -2189, z: -587, details: "" },</v>
      </c>
    </row>
    <row r="12" spans="1:9" x14ac:dyDescent="0.2">
      <c r="A12" t="s">
        <v>2500</v>
      </c>
      <c r="B12" t="s">
        <v>1272</v>
      </c>
      <c r="C12">
        <v>12</v>
      </c>
      <c r="D12" t="s">
        <v>994</v>
      </c>
      <c r="E12">
        <v>2942</v>
      </c>
      <c r="F12">
        <v>-3378</v>
      </c>
      <c r="G12">
        <v>-452</v>
      </c>
      <c r="I12" t="str">
        <f t="shared" si="0"/>
        <v>{ name: "Lurelin Mine", landmark: "Forge &amp; Refinery", type: "Forge Construct", region: 12, level: "Depths", x: 2942, y: -3378, z: -452, details: "" },</v>
      </c>
    </row>
    <row r="13" spans="1:9" x14ac:dyDescent="0.2">
      <c r="A13" t="s">
        <v>2402</v>
      </c>
      <c r="B13" t="s">
        <v>1272</v>
      </c>
      <c r="C13">
        <v>13</v>
      </c>
      <c r="D13" t="s">
        <v>994</v>
      </c>
      <c r="E13">
        <v>1329</v>
      </c>
      <c r="F13">
        <v>-3359</v>
      </c>
      <c r="G13">
        <v>-737</v>
      </c>
      <c r="I13" t="str">
        <f t="shared" si="0"/>
        <v>{ name: "Spirit Temple", landmark: "Forge &amp; Refinery", type: "Forge Construct", region: 13, level: "Depths", x: 1329, y: -3359, z: -737, details: "" },</v>
      </c>
    </row>
    <row r="14" spans="1:9" x14ac:dyDescent="0.2">
      <c r="A14" t="s">
        <v>2402</v>
      </c>
      <c r="B14" t="s">
        <v>1618</v>
      </c>
      <c r="C14">
        <v>13</v>
      </c>
      <c r="D14" t="s">
        <v>994</v>
      </c>
      <c r="E14">
        <v>1369</v>
      </c>
      <c r="F14">
        <v>-3373</v>
      </c>
      <c r="G14">
        <v>-737</v>
      </c>
      <c r="I14" t="str">
        <f t="shared" si="0"/>
        <v>{ name: "Spirit Temple", landmark: "Forge &amp; Refinery", type: "Smithing Construct", region: 13, level: "Depths", x: 1369, y: -3373, z: -737, details: "" },</v>
      </c>
    </row>
    <row r="15" spans="1:9" x14ac:dyDescent="0.2">
      <c r="A15" t="s">
        <v>2501</v>
      </c>
      <c r="B15" t="s">
        <v>1272</v>
      </c>
      <c r="C15">
        <v>14</v>
      </c>
      <c r="D15" t="s">
        <v>994</v>
      </c>
      <c r="E15">
        <v>-3815</v>
      </c>
      <c r="F15">
        <v>-2952</v>
      </c>
      <c r="G15">
        <v>-487</v>
      </c>
      <c r="I15" t="str">
        <f t="shared" si="0"/>
        <v>{ name: "Gerudo Mine", landmark: "Forge &amp; Refinery", type: "Forge Construct", region: 14, level: "Depths", x: -3815, y: -2952, z: -487, details: "" },</v>
      </c>
    </row>
    <row r="16" spans="1:9" x14ac:dyDescent="0.2">
      <c r="A16" t="s">
        <v>2502</v>
      </c>
      <c r="B16" t="s">
        <v>1272</v>
      </c>
      <c r="C16">
        <v>14</v>
      </c>
      <c r="D16" t="s">
        <v>994</v>
      </c>
      <c r="E16">
        <v>-3196</v>
      </c>
      <c r="F16">
        <v>-2508</v>
      </c>
      <c r="G16">
        <v>-475</v>
      </c>
      <c r="I16" t="str">
        <f t="shared" si="0"/>
        <v>{ name: "Kara Kara Mine", landmark: "Forge &amp; Refinery", type: "Forge Construct", region: 14, level: "Depths", x: -3196, y: -2508, z: -475, details: "" },</v>
      </c>
    </row>
  </sheetData>
  <autoFilter ref="A1:I12" xr:uid="{DEC17B2F-88B3-D043-82D1-8464B78A8BDD}">
    <sortState xmlns:xlrd2="http://schemas.microsoft.com/office/spreadsheetml/2017/richdata2" ref="A2:I16">
      <sortCondition ref="C1:C16"/>
    </sortState>
  </autoFilter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1B5D9-C0FB-9C4E-A9F5-0D114B9E73E7}">
  <sheetPr codeName="Sheet7">
    <tabColor theme="9"/>
  </sheetPr>
  <dimension ref="A1:I6"/>
  <sheetViews>
    <sheetView workbookViewId="0">
      <selection activeCell="G7" sqref="G7"/>
    </sheetView>
  </sheetViews>
  <sheetFormatPr baseColWidth="10" defaultRowHeight="16" x14ac:dyDescent="0.2"/>
  <cols>
    <col min="1" max="1" width="21.1640625" customWidth="1"/>
  </cols>
  <sheetData>
    <row r="1" spans="1:9" s="6" customFormat="1" x14ac:dyDescent="0.2">
      <c r="A1" s="6" t="s">
        <v>781</v>
      </c>
      <c r="B1" s="6" t="s">
        <v>2083</v>
      </c>
      <c r="C1" s="6" t="s">
        <v>2074</v>
      </c>
      <c r="D1" s="6" t="s">
        <v>777</v>
      </c>
      <c r="E1" s="6" t="s">
        <v>778</v>
      </c>
      <c r="F1" s="6" t="s">
        <v>779</v>
      </c>
      <c r="G1" s="6" t="s">
        <v>780</v>
      </c>
      <c r="H1" s="6" t="s">
        <v>2081</v>
      </c>
      <c r="I1" s="6" t="s">
        <v>2075</v>
      </c>
    </row>
    <row r="2" spans="1:9" x14ac:dyDescent="0.2">
      <c r="A2" t="s">
        <v>1310</v>
      </c>
      <c r="B2" t="s">
        <v>2450</v>
      </c>
      <c r="C2">
        <v>5</v>
      </c>
      <c r="D2" t="s">
        <v>785</v>
      </c>
      <c r="E2">
        <v>-1461</v>
      </c>
      <c r="F2">
        <v>2995</v>
      </c>
      <c r="G2">
        <v>305</v>
      </c>
      <c r="I2" t="str">
        <f>"{ name: "&amp;CHAR(34)&amp;A2&amp;CHAR(34)&amp;", landmark: "&amp;CHAR(34)&amp;"Great Fairy"&amp;CHAR(34)&amp;", type: "&amp;CHAR(34)&amp;B2&amp;CHAR(34)&amp;", region: "&amp;C2&amp;", level: "&amp;CHAR(34)&amp;D2&amp;CHAR(34)&amp;", x: "&amp;E2&amp;", y: "&amp;F2&amp;", z: "&amp;G2&amp;", details: "&amp;CHAR(34)&amp;H2&amp;CHAR(34)&amp;" },"</f>
        <v>{ name: "Great Fairy Fountain", landmark: "Great Fairy", type: "Mija", region: 5, level: "Surface", x: -1461, y: 2995, z: 305, details: "" },</v>
      </c>
    </row>
    <row r="3" spans="1:9" x14ac:dyDescent="0.2">
      <c r="A3" t="s">
        <v>1310</v>
      </c>
      <c r="B3" t="s">
        <v>2451</v>
      </c>
      <c r="C3">
        <v>7</v>
      </c>
      <c r="D3" t="s">
        <v>785</v>
      </c>
      <c r="E3">
        <v>920</v>
      </c>
      <c r="F3">
        <v>1381</v>
      </c>
      <c r="G3">
        <v>93</v>
      </c>
      <c r="I3" t="s">
        <v>2460</v>
      </c>
    </row>
    <row r="4" spans="1:9" x14ac:dyDescent="0.2">
      <c r="A4" t="s">
        <v>1310</v>
      </c>
      <c r="B4" t="s">
        <v>2452</v>
      </c>
      <c r="C4">
        <v>2</v>
      </c>
      <c r="D4" t="s">
        <v>785</v>
      </c>
      <c r="E4">
        <v>-1555</v>
      </c>
      <c r="F4">
        <v>-1237</v>
      </c>
      <c r="G4">
        <v>85</v>
      </c>
      <c r="I4" t="s">
        <v>2461</v>
      </c>
    </row>
    <row r="5" spans="1:9" x14ac:dyDescent="0.2">
      <c r="A5" t="s">
        <v>1310</v>
      </c>
      <c r="B5" t="s">
        <v>2453</v>
      </c>
      <c r="C5">
        <v>12</v>
      </c>
      <c r="D5" t="s">
        <v>785</v>
      </c>
      <c r="E5">
        <v>1766</v>
      </c>
      <c r="F5">
        <v>-2172</v>
      </c>
      <c r="G5">
        <v>13</v>
      </c>
      <c r="I5" t="s">
        <v>2462</v>
      </c>
    </row>
    <row r="6" spans="1:9" x14ac:dyDescent="0.2">
      <c r="A6" t="s">
        <v>1456</v>
      </c>
      <c r="B6" t="s">
        <v>2454</v>
      </c>
      <c r="C6">
        <v>8</v>
      </c>
      <c r="D6" t="s">
        <v>785</v>
      </c>
      <c r="E6">
        <v>4296</v>
      </c>
      <c r="F6">
        <v>3219</v>
      </c>
      <c r="G6">
        <v>149</v>
      </c>
      <c r="I6" t="s">
        <v>2463</v>
      </c>
    </row>
  </sheetData>
  <autoFilter ref="A1:I2" xr:uid="{A095D5C8-FF81-DA46-ADE3-61DE071C2139}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A49C6-82B2-9D4E-982E-632DBDEA2C70}">
  <sheetPr codeName="Sheet31">
    <tabColor theme="9"/>
  </sheetPr>
  <dimension ref="A1:I11"/>
  <sheetViews>
    <sheetView workbookViewId="0">
      <selection activeCell="O22" sqref="O22"/>
    </sheetView>
  </sheetViews>
  <sheetFormatPr baseColWidth="10" defaultRowHeight="16" x14ac:dyDescent="0.2"/>
  <cols>
    <col min="1" max="1" width="17.5" bestFit="1" customWidth="1"/>
    <col min="2" max="2" width="14.83203125" bestFit="1" customWidth="1"/>
    <col min="3" max="3" width="10.6640625" bestFit="1" customWidth="1"/>
    <col min="8" max="8" width="9.6640625" bestFit="1" customWidth="1"/>
  </cols>
  <sheetData>
    <row r="1" spans="1:9" s="6" customFormat="1" x14ac:dyDescent="0.2">
      <c r="A1" s="6" t="s">
        <v>781</v>
      </c>
      <c r="B1" s="6" t="s">
        <v>2083</v>
      </c>
      <c r="C1" s="6" t="s">
        <v>2074</v>
      </c>
      <c r="D1" s="6" t="s">
        <v>777</v>
      </c>
      <c r="E1" s="6" t="s">
        <v>778</v>
      </c>
      <c r="F1" s="6" t="s">
        <v>779</v>
      </c>
      <c r="G1" s="6" t="s">
        <v>780</v>
      </c>
      <c r="H1" s="6" t="s">
        <v>2081</v>
      </c>
      <c r="I1" s="6" t="s">
        <v>2075</v>
      </c>
    </row>
    <row r="2" spans="1:9" x14ac:dyDescent="0.2">
      <c r="A2" t="s">
        <v>2390</v>
      </c>
      <c r="B2" t="s">
        <v>847</v>
      </c>
      <c r="C2">
        <v>4</v>
      </c>
      <c r="D2" t="s">
        <v>785</v>
      </c>
      <c r="E2">
        <v>-3610</v>
      </c>
      <c r="F2">
        <v>1827</v>
      </c>
      <c r="G2">
        <v>182</v>
      </c>
      <c r="I2" t="str">
        <f t="shared" ref="I2:I11" si="0">"{ name: "&amp;CHAR(34)&amp;A2&amp;CHAR(34)&amp;", landmark: "&amp;CHAR(34)&amp;"Inn"&amp;CHAR(34)&amp;", type: "&amp;CHAR(34)&amp;B2&amp;CHAR(34)&amp;", region: "&amp;C2&amp;", level: "&amp;CHAR(34)&amp;D2&amp;CHAR(34)&amp;", x: "&amp;E2&amp;", y: "&amp;F2&amp;", z: "&amp;G2&amp;", details: "&amp;CHAR(34)&amp;H2&amp;CHAR(34)&amp;" },"</f>
        <v>{ name: "Swallow's Roost", landmark: "Inn", type: "Rito Village", region: 4, level: "Surface", x: -3610, y: 1827, z: 182, details: "" },</v>
      </c>
    </row>
    <row r="3" spans="1:9" x14ac:dyDescent="0.2">
      <c r="A3" t="s">
        <v>1399</v>
      </c>
      <c r="B3" t="s">
        <v>1371</v>
      </c>
      <c r="C3">
        <v>6</v>
      </c>
      <c r="D3" t="s">
        <v>785</v>
      </c>
      <c r="E3">
        <v>410</v>
      </c>
      <c r="F3">
        <v>2172</v>
      </c>
      <c r="G3">
        <v>154</v>
      </c>
      <c r="I3" t="str">
        <f t="shared" si="0"/>
        <v>{ name: "Korok Forest", landmark: "Inn", type: "Inn", region: 6, level: "Surface", x: 410, y: 2172, z: 154, details: "" },</v>
      </c>
    </row>
    <row r="4" spans="1:9" x14ac:dyDescent="0.2">
      <c r="A4" t="s">
        <v>1302</v>
      </c>
      <c r="B4" t="s">
        <v>1371</v>
      </c>
      <c r="C4">
        <v>7</v>
      </c>
      <c r="D4" t="s">
        <v>785</v>
      </c>
      <c r="E4">
        <v>1683</v>
      </c>
      <c r="F4">
        <v>2421</v>
      </c>
      <c r="G4">
        <v>384</v>
      </c>
      <c r="I4" t="str">
        <f t="shared" si="0"/>
        <v>{ name: "Goron City", landmark: "Inn", type: "Inn", region: 7, level: "Surface", x: 1683, y: 2421, z: 384, details: "" },</v>
      </c>
    </row>
    <row r="5" spans="1:9" x14ac:dyDescent="0.2">
      <c r="A5" t="s">
        <v>1664</v>
      </c>
      <c r="B5" t="s">
        <v>1371</v>
      </c>
      <c r="C5">
        <v>8</v>
      </c>
      <c r="D5" t="s">
        <v>785</v>
      </c>
      <c r="E5">
        <v>3996</v>
      </c>
      <c r="F5">
        <v>1598</v>
      </c>
      <c r="G5">
        <v>129</v>
      </c>
      <c r="I5" t="str">
        <f t="shared" si="0"/>
        <v>{ name: "Tarrey Town", landmark: "Inn", type: "Inn", region: 8, level: "Surface", x: 3996, y: 1598, z: 129, details: "" },</v>
      </c>
    </row>
    <row r="6" spans="1:9" x14ac:dyDescent="0.2">
      <c r="A6" t="s">
        <v>2388</v>
      </c>
      <c r="B6" t="s">
        <v>1730</v>
      </c>
      <c r="C6">
        <v>9</v>
      </c>
      <c r="D6" t="s">
        <v>785</v>
      </c>
      <c r="E6">
        <v>3296</v>
      </c>
      <c r="F6">
        <v>488</v>
      </c>
      <c r="G6">
        <v>140</v>
      </c>
      <c r="I6" t="str">
        <f t="shared" si="0"/>
        <v>{ name: "Seabed Inn", landmark: "Inn", type: "Zora's Domain", region: 9, level: "Surface", x: 3296, y: 488, z: 140, details: "" },</v>
      </c>
    </row>
    <row r="7" spans="1:9" x14ac:dyDescent="0.2">
      <c r="A7" t="s">
        <v>2389</v>
      </c>
      <c r="B7" t="s">
        <v>999</v>
      </c>
      <c r="C7">
        <v>10</v>
      </c>
      <c r="D7" t="s">
        <v>785</v>
      </c>
      <c r="E7">
        <v>1825</v>
      </c>
      <c r="F7">
        <v>-1012</v>
      </c>
      <c r="G7">
        <v>114</v>
      </c>
      <c r="I7" t="str">
        <f t="shared" si="0"/>
        <v>{ name: "Shuteye Inn", landmark: "Inn", type: "Kakariko Village", region: 10, level: "Surface", x: 1825, y: -1012, z: 114, details: "" },</v>
      </c>
    </row>
    <row r="8" spans="1:9" x14ac:dyDescent="0.2">
      <c r="A8" t="s">
        <v>2517</v>
      </c>
      <c r="B8" t="s">
        <v>1329</v>
      </c>
      <c r="C8">
        <v>11</v>
      </c>
      <c r="D8" t="s">
        <v>785</v>
      </c>
      <c r="E8">
        <v>3472</v>
      </c>
      <c r="F8">
        <v>-2112</v>
      </c>
      <c r="G8">
        <v>130</v>
      </c>
      <c r="I8" t="str">
        <f t="shared" si="0"/>
        <v>{ name: "Ton Pu Inn", landmark: "Inn", type: "Hateno Village", region: 11, level: "Surface", x: 3472, y: -2112, z: 130, details: "" },</v>
      </c>
    </row>
    <row r="9" spans="1:9" x14ac:dyDescent="0.2">
      <c r="A9" t="s">
        <v>1447</v>
      </c>
      <c r="B9" t="s">
        <v>1371</v>
      </c>
      <c r="C9">
        <v>12</v>
      </c>
      <c r="D9" t="s">
        <v>785</v>
      </c>
      <c r="E9">
        <v>2943</v>
      </c>
      <c r="F9">
        <v>-3433</v>
      </c>
      <c r="G9">
        <v>6</v>
      </c>
      <c r="I9" t="str">
        <f t="shared" si="0"/>
        <v>{ name: "Lurelin Village", landmark: "Inn", type: "Inn", region: 12, level: "Surface", x: 2943, y: -3433, z: 6, details: "" },</v>
      </c>
    </row>
    <row r="10" spans="1:9" x14ac:dyDescent="0.2">
      <c r="A10" t="s">
        <v>2387</v>
      </c>
      <c r="B10" t="s">
        <v>1284</v>
      </c>
      <c r="C10">
        <v>14</v>
      </c>
      <c r="D10" t="s">
        <v>785</v>
      </c>
      <c r="E10">
        <v>-3846</v>
      </c>
      <c r="F10">
        <v>-2891</v>
      </c>
      <c r="G10">
        <v>43</v>
      </c>
      <c r="I10" t="str">
        <f t="shared" si="0"/>
        <v>{ name: "Hotel Oasis", landmark: "Inn", type: "Gerudo Town", region: 14, level: "Surface", x: -3846, y: -2891, z: 43, details: "" },</v>
      </c>
    </row>
    <row r="11" spans="1:9" x14ac:dyDescent="0.2">
      <c r="A11" t="s">
        <v>1385</v>
      </c>
      <c r="B11" t="s">
        <v>1371</v>
      </c>
      <c r="C11">
        <v>14</v>
      </c>
      <c r="D11" t="s">
        <v>785</v>
      </c>
      <c r="E11">
        <v>-3257</v>
      </c>
      <c r="F11">
        <v>-2611</v>
      </c>
      <c r="G11">
        <v>25</v>
      </c>
      <c r="I11" t="str">
        <f t="shared" si="0"/>
        <v>{ name: "Kara Kara Bazaar", landmark: "Inn", type: "Inn", region: 14, level: "Surface", x: -3257, y: -2611, z: 25, details: "" },</v>
      </c>
    </row>
  </sheetData>
  <autoFilter ref="A1:I1" xr:uid="{A095D5C8-FF81-DA46-ADE3-61DE071C2139}">
    <sortState xmlns:xlrd2="http://schemas.microsoft.com/office/spreadsheetml/2017/richdata2" ref="A2:I11">
      <sortCondition ref="C1:C11"/>
    </sortState>
  </autoFilter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DDB2E-485F-0D49-8A42-EA9B4A0D5D31}">
  <sheetPr>
    <tabColor theme="9"/>
  </sheetPr>
  <dimension ref="A1:J901"/>
  <sheetViews>
    <sheetView topLeftCell="A801" workbookViewId="0">
      <selection activeCell="B821" sqref="B821"/>
    </sheetView>
  </sheetViews>
  <sheetFormatPr baseColWidth="10" defaultRowHeight="16" x14ac:dyDescent="0.2"/>
  <cols>
    <col min="1" max="1" width="10.5" style="2" bestFit="1" customWidth="1"/>
    <col min="2" max="2" width="36.5" customWidth="1"/>
    <col min="3" max="3" width="29.33203125" bestFit="1" customWidth="1"/>
    <col min="5" max="8" width="10.83203125" style="2"/>
    <col min="9" max="9" width="25" bestFit="1" customWidth="1"/>
  </cols>
  <sheetData>
    <row r="1" spans="1:10" s="6" customFormat="1" x14ac:dyDescent="0.2">
      <c r="A1" s="4" t="s">
        <v>3156</v>
      </c>
      <c r="B1" s="6" t="s">
        <v>781</v>
      </c>
      <c r="C1" s="6" t="s">
        <v>2083</v>
      </c>
      <c r="D1" s="6" t="s">
        <v>2074</v>
      </c>
      <c r="E1" s="4" t="s">
        <v>777</v>
      </c>
      <c r="F1" s="4" t="s">
        <v>778</v>
      </c>
      <c r="G1" s="4" t="s">
        <v>779</v>
      </c>
      <c r="H1" s="4" t="s">
        <v>780</v>
      </c>
      <c r="I1" s="6" t="s">
        <v>2081</v>
      </c>
      <c r="J1" s="6" t="s">
        <v>2075</v>
      </c>
    </row>
    <row r="2" spans="1:10" x14ac:dyDescent="0.2">
      <c r="A2" s="2">
        <v>1</v>
      </c>
      <c r="B2" s="34" t="s">
        <v>3155</v>
      </c>
      <c r="C2" t="s">
        <v>2824</v>
      </c>
      <c r="D2" s="2">
        <v>0</v>
      </c>
      <c r="E2" s="2" t="s">
        <v>783</v>
      </c>
      <c r="F2" s="2">
        <v>246</v>
      </c>
      <c r="G2" s="2">
        <v>-822</v>
      </c>
      <c r="H2" s="2">
        <v>1450</v>
      </c>
      <c r="J2" t="str">
        <f>"{ name: "&amp;CHAR(34)&amp;B2&amp;CHAR(34)&amp;", landmark: "&amp;CHAR(34)&amp;IF(LEN(C2)=LEN(SUBSTITUTE(C2,"Transport","")),"Korok x1","Korok x2")&amp;CHAR(34)&amp;", type: "&amp;CHAR(34)&amp;C2&amp;CHAR(34)&amp;", region: "&amp;D2&amp;", level: "&amp;CHAR(34)&amp;E2&amp;CHAR(34)&amp;", x: "&amp;F2&amp;", y: "&amp;G2&amp;", z: "&amp;H2&amp;", details: "&amp;CHAR(34)&amp;I2&amp;CHAR(34)&amp;" },"</f>
        <v>{ name: "Great Sky Island Korok #01", landmark: "Korok x1", type: "Catch the Moving Sparkle", region: 0, level: "Sky", x: 246, y: -822, z: 1450, details: "" },</v>
      </c>
    </row>
    <row r="3" spans="1:10" x14ac:dyDescent="0.2">
      <c r="A3" s="2">
        <v>2</v>
      </c>
      <c r="B3" s="34" t="s">
        <v>3408</v>
      </c>
      <c r="C3" t="s">
        <v>2826</v>
      </c>
      <c r="D3" s="2">
        <v>0</v>
      </c>
      <c r="E3" s="2" t="s">
        <v>783</v>
      </c>
      <c r="F3" s="2">
        <v>464</v>
      </c>
      <c r="G3" s="2">
        <v>-881</v>
      </c>
      <c r="H3" s="2">
        <v>1447</v>
      </c>
      <c r="J3" t="str">
        <f>"{ name: "&amp;CHAR(34)&amp;B3&amp;CHAR(34)&amp;", landmark: "&amp;CHAR(34)&amp;IF(LEN(C3)=LEN(SUBSTITUTE(C3,"Transport","")),"Korok x1","Korok x2")&amp;CHAR(34)&amp;", type: "&amp;CHAR(34)&amp;C3&amp;CHAR(34)&amp;", region: "&amp;D3&amp;", level: "&amp;CHAR(34)&amp;E3&amp;CHAR(34)&amp;", x: "&amp;F3&amp;", y: "&amp;G3&amp;", z: "&amp;H3&amp;", details: "&amp;CHAR(34)&amp;I3&amp;CHAR(34)&amp;" },"</f>
        <v>{ name: "Great Sky Island Korok #02", landmark: "Korok x1", type: "Ascend Through the Marker", region: 0, level: "Sky", x: 464, y: -881, z: 1447, details: "" },</v>
      </c>
    </row>
    <row r="4" spans="1:10" x14ac:dyDescent="0.2">
      <c r="A4" s="2">
        <v>3</v>
      </c>
      <c r="B4" s="34" t="s">
        <v>3409</v>
      </c>
      <c r="C4" t="s">
        <v>2812</v>
      </c>
      <c r="D4" s="2">
        <v>0</v>
      </c>
      <c r="E4" s="2" t="s">
        <v>783</v>
      </c>
      <c r="F4" s="2">
        <v>113</v>
      </c>
      <c r="G4" s="2">
        <v>-1081</v>
      </c>
      <c r="H4" s="2">
        <v>1418</v>
      </c>
      <c r="J4" t="str">
        <f>"{ name: "&amp;CHAR(34)&amp;B4&amp;CHAR(34)&amp;", landmark: "&amp;CHAR(34)&amp;IF(LEN(C4)=LEN(SUBSTITUTE(C4,"Transport","")),"Korok x1","Korok x2")&amp;CHAR(34)&amp;", type: "&amp;CHAR(34)&amp;C4&amp;CHAR(34)&amp;", region: "&amp;D4&amp;", level: "&amp;CHAR(34)&amp;E4&amp;CHAR(34)&amp;", x: "&amp;F4&amp;", y: "&amp;G4&amp;", z: "&amp;H4&amp;", details: "&amp;CHAR(34)&amp;I4&amp;CHAR(34)&amp;" },"</f>
        <v>{ name: "Great Sky Island Korok #03", landmark: "Korok x1", type: "Lift the Rock", region: 0, level: "Sky", x: 113, y: -1081, z: 1418, details: "" },</v>
      </c>
    </row>
    <row r="5" spans="1:10" x14ac:dyDescent="0.2">
      <c r="A5" s="2">
        <v>4</v>
      </c>
      <c r="B5" s="34" t="s">
        <v>3410</v>
      </c>
      <c r="C5" t="s">
        <v>2802</v>
      </c>
      <c r="D5" s="2">
        <v>0</v>
      </c>
      <c r="E5" s="2" t="s">
        <v>783</v>
      </c>
      <c r="F5" s="2">
        <v>-91</v>
      </c>
      <c r="G5" s="2">
        <v>-1241</v>
      </c>
      <c r="H5" s="2">
        <v>1407</v>
      </c>
      <c r="I5" t="s">
        <v>2596</v>
      </c>
      <c r="J5" t="str">
        <f>"{ name: "&amp;CHAR(34)&amp;B5&amp;CHAR(34)&amp;", landmark: "&amp;CHAR(34)&amp;IF(LEN(C5)=LEN(SUBSTITUTE(C5,"Transport","")),"Korok x1","Korok x2")&amp;CHAR(34)&amp;", type: "&amp;CHAR(34)&amp;C5&amp;CHAR(34)&amp;", region: "&amp;D5&amp;", level: "&amp;CHAR(34)&amp;E5&amp;CHAR(34)&amp;", x: "&amp;F5&amp;", y: "&amp;G5&amp;", z: "&amp;H5&amp;", details: "&amp;CHAR(34)&amp;I5&amp;CHAR(34)&amp;" },"</f>
        <v>{ name: "Great Sky Island Korok #04", landmark: "Korok x2", type: "Transport to Friend", region: 0, level: "Sky", x: -91, y: -1241, z: 1407, details: "Starts at (19, -1263, 1419)" },</v>
      </c>
    </row>
    <row r="6" spans="1:10" x14ac:dyDescent="0.2">
      <c r="A6" s="2">
        <v>5</v>
      </c>
      <c r="B6" s="34" t="s">
        <v>3411</v>
      </c>
      <c r="C6" t="s">
        <v>2811</v>
      </c>
      <c r="D6" s="2">
        <v>0</v>
      </c>
      <c r="E6" s="2" t="s">
        <v>783</v>
      </c>
      <c r="F6" s="2">
        <v>513</v>
      </c>
      <c r="G6" s="2">
        <v>-1318</v>
      </c>
      <c r="H6" s="2">
        <v>1420</v>
      </c>
      <c r="I6" t="s">
        <v>2731</v>
      </c>
      <c r="J6" t="str">
        <f>"{ name: "&amp;CHAR(34)&amp;B6&amp;CHAR(34)&amp;", landmark: "&amp;CHAR(34)&amp;IF(LEN(C6)=LEN(SUBSTITUTE(C6,"Transport","")),"Korok x1","Korok x2")&amp;CHAR(34)&amp;", type: "&amp;CHAR(34)&amp;C6&amp;CHAR(34)&amp;", region: "&amp;D6&amp;", level: "&amp;CHAR(34)&amp;E6&amp;CHAR(34)&amp;", x: "&amp;F6&amp;", y: "&amp;G6&amp;", z: "&amp;H6&amp;", details: "&amp;CHAR(34)&amp;I6&amp;CHAR(34)&amp;" },"</f>
        <v>{ name: "Great Sky Island Korok #05", landmark: "Korok x1", type: "Follow the Yellow Flowers", region: 0, level: "Sky", x: 513, y: -1318, z: 1420, details: "Starts at (521, -1324, 1419)" },</v>
      </c>
    </row>
    <row r="7" spans="1:10" x14ac:dyDescent="0.2">
      <c r="A7" s="2">
        <v>6</v>
      </c>
      <c r="B7" s="34" t="s">
        <v>3412</v>
      </c>
      <c r="C7" t="s">
        <v>2808</v>
      </c>
      <c r="D7" s="2">
        <v>0</v>
      </c>
      <c r="E7" s="2" t="s">
        <v>783</v>
      </c>
      <c r="F7" s="2">
        <v>760</v>
      </c>
      <c r="G7" s="2">
        <v>-1341</v>
      </c>
      <c r="H7" s="2">
        <v>1604</v>
      </c>
      <c r="J7" t="str">
        <f>"{ name: "&amp;CHAR(34)&amp;B7&amp;CHAR(34)&amp;", landmark: "&amp;CHAR(34)&amp;IF(LEN(C7)=LEN(SUBSTITUTE(C7,"Transport","")),"Korok x1","Korok x2")&amp;CHAR(34)&amp;", type: "&amp;CHAR(34)&amp;C7&amp;CHAR(34)&amp;", region: "&amp;D7&amp;", level: "&amp;CHAR(34)&amp;E7&amp;CHAR(34)&amp;", x: "&amp;F7&amp;", y: "&amp;G7&amp;", z: "&amp;H7&amp;", details: "&amp;CHAR(34)&amp;I7&amp;CHAR(34)&amp;" },"</f>
        <v>{ name: "Great Sky Island Korok #06", landmark: "Korok x1", type: "Complete the Rock Pattern", region: 0, level: "Sky", x: 760, y: -1341, z: 1604, details: "" },</v>
      </c>
    </row>
    <row r="8" spans="1:10" x14ac:dyDescent="0.2">
      <c r="A8" s="2">
        <v>7</v>
      </c>
      <c r="B8" s="34" t="s">
        <v>3413</v>
      </c>
      <c r="C8" t="s">
        <v>2809</v>
      </c>
      <c r="D8" s="2">
        <v>0</v>
      </c>
      <c r="E8" s="2" t="s">
        <v>783</v>
      </c>
      <c r="F8" s="2">
        <v>311</v>
      </c>
      <c r="G8" s="2">
        <v>-1439</v>
      </c>
      <c r="H8" s="2">
        <v>2019</v>
      </c>
      <c r="J8" t="str">
        <f>"{ name: "&amp;CHAR(34)&amp;B8&amp;CHAR(34)&amp;", landmark: "&amp;CHAR(34)&amp;IF(LEN(C8)=LEN(SUBSTITUTE(C8,"Transport","")),"Korok x1","Korok x2")&amp;CHAR(34)&amp;", type: "&amp;CHAR(34)&amp;C8&amp;CHAR(34)&amp;", region: "&amp;D8&amp;", level: "&amp;CHAR(34)&amp;E8&amp;CHAR(34)&amp;", x: "&amp;F8&amp;", y: "&amp;G8&amp;", z: "&amp;H8&amp;", details: "&amp;CHAR(34)&amp;I8&amp;CHAR(34)&amp;" },"</f>
        <v>{ name: "Great Sky Island Korok #07", landmark: "Korok x1", type: "Dive into the Lily Ring", region: 0, level: "Sky", x: 311, y: -1439, z: 2019, details: "" },</v>
      </c>
    </row>
    <row r="9" spans="1:10" x14ac:dyDescent="0.2">
      <c r="A9" s="2">
        <v>8</v>
      </c>
      <c r="B9" s="34" t="s">
        <v>3414</v>
      </c>
      <c r="C9" t="s">
        <v>2808</v>
      </c>
      <c r="D9" s="2">
        <v>0</v>
      </c>
      <c r="E9" s="2" t="s">
        <v>783</v>
      </c>
      <c r="F9" s="2">
        <v>424</v>
      </c>
      <c r="G9" s="2">
        <v>-1504</v>
      </c>
      <c r="H9" s="2">
        <v>1501</v>
      </c>
      <c r="J9" t="str">
        <f>"{ name: "&amp;CHAR(34)&amp;B9&amp;CHAR(34)&amp;", landmark: "&amp;CHAR(34)&amp;IF(LEN(C9)=LEN(SUBSTITUTE(C9,"Transport","")),"Korok x1","Korok x2")&amp;CHAR(34)&amp;", type: "&amp;CHAR(34)&amp;C9&amp;CHAR(34)&amp;", region: "&amp;D9&amp;", level: "&amp;CHAR(34)&amp;E9&amp;CHAR(34)&amp;", x: "&amp;F9&amp;", y: "&amp;G9&amp;", z: "&amp;H9&amp;", details: "&amp;CHAR(34)&amp;I9&amp;CHAR(34)&amp;" },"</f>
        <v>{ name: "Great Sky Island Korok #08", landmark: "Korok x1", type: "Complete the Rock Pattern", region: 0, level: "Sky", x: 424, y: -1504, z: 1501, details: "" },</v>
      </c>
    </row>
    <row r="10" spans="1:10" x14ac:dyDescent="0.2">
      <c r="A10" s="2">
        <v>9</v>
      </c>
      <c r="B10" s="34" t="s">
        <v>3415</v>
      </c>
      <c r="C10" t="s">
        <v>2822</v>
      </c>
      <c r="D10" s="2">
        <v>0</v>
      </c>
      <c r="E10" s="2" t="s">
        <v>783</v>
      </c>
      <c r="F10" s="2">
        <v>450</v>
      </c>
      <c r="G10" s="2">
        <v>-1522</v>
      </c>
      <c r="H10" s="2">
        <v>1359</v>
      </c>
      <c r="J10" t="str">
        <f>"{ name: "&amp;CHAR(34)&amp;B10&amp;CHAR(34)&amp;", landmark: "&amp;CHAR(34)&amp;IF(LEN(C10)=LEN(SUBSTITUTE(C10,"Transport","")),"Korok x1","Korok x2")&amp;CHAR(34)&amp;", type: "&amp;CHAR(34)&amp;C10&amp;CHAR(34)&amp;", region: "&amp;D10&amp;", level: "&amp;CHAR(34)&amp;E10&amp;CHAR(34)&amp;", x: "&amp;F10&amp;", y: "&amp;G10&amp;", z: "&amp;H10&amp;", details: "&amp;CHAR(34)&amp;I10&amp;CHAR(34)&amp;" },"</f>
        <v>{ name: "Great Sky Island Korok #09", landmark: "Korok x1", type: "Shoot the Hidden Balloon", region: 0, level: "Sky", x: 450, y: -1522, z: 1359, details: "" },</v>
      </c>
    </row>
    <row r="11" spans="1:10" x14ac:dyDescent="0.2">
      <c r="A11" s="2">
        <v>10</v>
      </c>
      <c r="B11" s="34" t="s">
        <v>3416</v>
      </c>
      <c r="C11" t="s">
        <v>2807</v>
      </c>
      <c r="D11" s="2">
        <v>0</v>
      </c>
      <c r="E11" s="2" t="s">
        <v>783</v>
      </c>
      <c r="F11" s="2">
        <v>631</v>
      </c>
      <c r="G11" s="2">
        <v>-1531</v>
      </c>
      <c r="H11" s="2">
        <v>1450</v>
      </c>
      <c r="J11" t="str">
        <f>"{ name: "&amp;CHAR(34)&amp;B11&amp;CHAR(34)&amp;", landmark: "&amp;CHAR(34)&amp;IF(LEN(C11)=LEN(SUBSTITUTE(C11,"Transport","")),"Korok x1","Korok x2")&amp;CHAR(34)&amp;", type: "&amp;CHAR(34)&amp;C11&amp;CHAR(34)&amp;", region: "&amp;D11&amp;", level: "&amp;CHAR(34)&amp;E11&amp;CHAR(34)&amp;", x: "&amp;F11&amp;", y: "&amp;G11&amp;", z: "&amp;H11&amp;", details: "&amp;CHAR(34)&amp;I11&amp;CHAR(34)&amp;" },"</f>
        <v>{ name: "Great Sky Island Korok #10", landmark: "Korok x1", type: "Complete the Cube Puzzle", region: 0, level: "Sky", x: 631, y: -1531, z: 1450, details: "" },</v>
      </c>
    </row>
    <row r="12" spans="1:10" x14ac:dyDescent="0.2">
      <c r="A12" s="2">
        <v>11</v>
      </c>
      <c r="B12" s="34" t="s">
        <v>3417</v>
      </c>
      <c r="C12" t="s">
        <v>2812</v>
      </c>
      <c r="D12" s="2">
        <v>0</v>
      </c>
      <c r="E12" s="2" t="s">
        <v>783</v>
      </c>
      <c r="F12" s="2">
        <v>24</v>
      </c>
      <c r="G12" s="2">
        <v>-1558</v>
      </c>
      <c r="H12" s="2">
        <v>1452</v>
      </c>
      <c r="J12" t="str">
        <f>"{ name: "&amp;CHAR(34)&amp;B12&amp;CHAR(34)&amp;", landmark: "&amp;CHAR(34)&amp;IF(LEN(C12)=LEN(SUBSTITUTE(C12,"Transport","")),"Korok x1","Korok x2")&amp;CHAR(34)&amp;", type: "&amp;CHAR(34)&amp;C12&amp;CHAR(34)&amp;", region: "&amp;D12&amp;", level: "&amp;CHAR(34)&amp;E12&amp;CHAR(34)&amp;", x: "&amp;F12&amp;", y: "&amp;G12&amp;", z: "&amp;H12&amp;", details: "&amp;CHAR(34)&amp;I12&amp;CHAR(34)&amp;" },"</f>
        <v>{ name: "Great Sky Island Korok #11", landmark: "Korok x1", type: "Lift the Rock", region: 0, level: "Sky", x: 24, y: -1558, z: 1452, details: "" },</v>
      </c>
    </row>
    <row r="13" spans="1:10" x14ac:dyDescent="0.2">
      <c r="A13" s="2">
        <v>12</v>
      </c>
      <c r="B13" s="34" t="s">
        <v>3418</v>
      </c>
      <c r="C13" t="s">
        <v>2807</v>
      </c>
      <c r="D13" s="2">
        <v>0</v>
      </c>
      <c r="E13" s="2" t="s">
        <v>783</v>
      </c>
      <c r="F13" s="2">
        <v>542</v>
      </c>
      <c r="G13" s="2">
        <v>-1581</v>
      </c>
      <c r="H13" s="2">
        <v>1488</v>
      </c>
      <c r="J13" t="str">
        <f>"{ name: "&amp;CHAR(34)&amp;B13&amp;CHAR(34)&amp;", landmark: "&amp;CHAR(34)&amp;IF(LEN(C13)=LEN(SUBSTITUTE(C13,"Transport","")),"Korok x1","Korok x2")&amp;CHAR(34)&amp;", type: "&amp;CHAR(34)&amp;C13&amp;CHAR(34)&amp;", region: "&amp;D13&amp;", level: "&amp;CHAR(34)&amp;E13&amp;CHAR(34)&amp;", x: "&amp;F13&amp;", y: "&amp;G13&amp;", z: "&amp;H13&amp;", details: "&amp;CHAR(34)&amp;I13&amp;CHAR(34)&amp;" },"</f>
        <v>{ name: "Great Sky Island Korok #12", landmark: "Korok x1", type: "Complete the Cube Puzzle", region: 0, level: "Sky", x: 542, y: -1581, z: 1488, details: "" },</v>
      </c>
    </row>
    <row r="14" spans="1:10" x14ac:dyDescent="0.2">
      <c r="A14" s="2">
        <v>13</v>
      </c>
      <c r="B14" s="34" t="s">
        <v>3419</v>
      </c>
      <c r="C14" t="s">
        <v>2804</v>
      </c>
      <c r="D14" s="2">
        <v>0</v>
      </c>
      <c r="E14" s="2" t="s">
        <v>783</v>
      </c>
      <c r="F14" s="2">
        <v>229</v>
      </c>
      <c r="G14" s="2">
        <v>-1644</v>
      </c>
      <c r="H14" s="2">
        <v>1406</v>
      </c>
      <c r="J14" t="str">
        <f>"{ name: "&amp;CHAR(34)&amp;B14&amp;CHAR(34)&amp;", landmark: "&amp;CHAR(34)&amp;IF(LEN(C14)=LEN(SUBSTITUTE(C14,"Transport","")),"Korok x1","Korok x2")&amp;CHAR(34)&amp;", type: "&amp;CHAR(34)&amp;C14&amp;CHAR(34)&amp;", region: "&amp;D14&amp;", level: "&amp;CHAR(34)&amp;E14&amp;CHAR(34)&amp;", x: "&amp;F14&amp;", y: "&amp;G14&amp;", z: "&amp;H14&amp;", details: "&amp;CHAR(34)&amp;I14&amp;CHAR(34)&amp;" },"</f>
        <v>{ name: "Great Sky Island Korok #13", landmark: "Korok x1", type: "Burn the Leaves", region: 0, level: "Sky", x: 229, y: -1644, z: 1406, details: "" },</v>
      </c>
    </row>
    <row r="15" spans="1:10" x14ac:dyDescent="0.2">
      <c r="A15" s="2">
        <v>14</v>
      </c>
      <c r="B15" s="34" t="s">
        <v>3420</v>
      </c>
      <c r="C15" t="s">
        <v>2595</v>
      </c>
      <c r="D15" s="2">
        <v>0</v>
      </c>
      <c r="E15" s="2" t="s">
        <v>783</v>
      </c>
      <c r="F15" s="2">
        <v>622</v>
      </c>
      <c r="G15" s="2">
        <v>-1658</v>
      </c>
      <c r="H15" s="2">
        <v>1511</v>
      </c>
      <c r="J15" t="str">
        <f>"{ name: "&amp;CHAR(34)&amp;B15&amp;CHAR(34)&amp;", landmark: "&amp;CHAR(34)&amp;IF(LEN(C15)=LEN(SUBSTITUTE(C15,"Transport","")),"Korok x1","Korok x2")&amp;CHAR(34)&amp;", type: "&amp;CHAR(34)&amp;C15&amp;CHAR(34)&amp;", region: "&amp;D15&amp;", level: "&amp;CHAR(34)&amp;E15&amp;CHAR(34)&amp;", x: "&amp;F15&amp;", y: "&amp;G15&amp;", z: "&amp;H15&amp;", details: "&amp;CHAR(34)&amp;I15&amp;CHAR(34)&amp;" },"</f>
        <v>{ name: "Great Sky Island Korok #14", landmark: "Korok x1", type: "Attack and catch the dandelion", region: 0, level: "Sky", x: 622, y: -1658, z: 1511, details: "" },</v>
      </c>
    </row>
    <row r="16" spans="1:10" x14ac:dyDescent="0.2">
      <c r="A16" s="2">
        <v>15</v>
      </c>
      <c r="B16" s="34" t="s">
        <v>3421</v>
      </c>
      <c r="C16" t="s">
        <v>2825</v>
      </c>
      <c r="D16" s="2">
        <v>0</v>
      </c>
      <c r="E16" s="2" t="s">
        <v>783</v>
      </c>
      <c r="F16" s="2">
        <v>377</v>
      </c>
      <c r="G16" s="2">
        <v>-1732</v>
      </c>
      <c r="H16" s="2">
        <v>2355</v>
      </c>
      <c r="J16" t="str">
        <f>"{ name: "&amp;CHAR(34)&amp;B16&amp;CHAR(34)&amp;", landmark: "&amp;CHAR(34)&amp;IF(LEN(C16)=LEN(SUBSTITUTE(C16,"Transport","")),"Korok x1","Korok x2")&amp;CHAR(34)&amp;", type: "&amp;CHAR(34)&amp;C16&amp;CHAR(34)&amp;", region: "&amp;D16&amp;", level: "&amp;CHAR(34)&amp;E16&amp;CHAR(34)&amp;", x: "&amp;F16&amp;", y: "&amp;G16&amp;", z: "&amp;H16&amp;", details: "&amp;CHAR(34)&amp;I16&amp;CHAR(34)&amp;" },"</f>
        <v>{ name: "Great Sky Island Korok #15", landmark: "Korok x1", type: "Climb and Examine the Fairy Lights", region: 0, level: "Sky", x: 377, y: -1732, z: 2355, details: "" },</v>
      </c>
    </row>
    <row r="17" spans="1:10" x14ac:dyDescent="0.2">
      <c r="A17" s="2">
        <v>16</v>
      </c>
      <c r="B17" s="34" t="s">
        <v>3422</v>
      </c>
      <c r="C17" t="s">
        <v>2810</v>
      </c>
      <c r="D17" s="2">
        <v>0</v>
      </c>
      <c r="E17" s="2" t="s">
        <v>783</v>
      </c>
      <c r="F17" s="2">
        <v>343</v>
      </c>
      <c r="G17" s="2">
        <v>-1756</v>
      </c>
      <c r="H17" s="2">
        <v>2282</v>
      </c>
      <c r="J17" t="str">
        <f>"{ name: "&amp;CHAR(34)&amp;B17&amp;CHAR(34)&amp;", landmark: "&amp;CHAR(34)&amp;IF(LEN(C17)=LEN(SUBSTITUTE(C17,"Transport","")),"Korok x1","Korok x2")&amp;CHAR(34)&amp;", type: "&amp;CHAR(34)&amp;C17&amp;CHAR(34)&amp;", region: "&amp;D17&amp;", level: "&amp;CHAR(34)&amp;E17&amp;CHAR(34)&amp;", x: "&amp;F17&amp;", y: "&amp;G17&amp;", z: "&amp;H17&amp;", details: "&amp;CHAR(34)&amp;I17&amp;CHAR(34)&amp;" },"</f>
        <v>{ name: "Great Sky Island Korok #16", landmark: "Korok x1", type: "Examine the Sparkle", region: 0, level: "Sky", x: 343, y: -1756, z: 2282, details: "" },</v>
      </c>
    </row>
    <row r="18" spans="1:10" x14ac:dyDescent="0.2">
      <c r="A18" s="2">
        <v>17</v>
      </c>
      <c r="B18" s="34" t="s">
        <v>3423</v>
      </c>
      <c r="C18" t="s">
        <v>2802</v>
      </c>
      <c r="D18" s="2">
        <v>0</v>
      </c>
      <c r="E18" s="2" t="s">
        <v>783</v>
      </c>
      <c r="F18" s="2">
        <v>445</v>
      </c>
      <c r="G18" s="2">
        <v>-1787</v>
      </c>
      <c r="H18" s="2">
        <v>1447</v>
      </c>
      <c r="I18" t="s">
        <v>2597</v>
      </c>
      <c r="J18" t="str">
        <f>"{ name: "&amp;CHAR(34)&amp;B18&amp;CHAR(34)&amp;", landmark: "&amp;CHAR(34)&amp;IF(LEN(C18)=LEN(SUBSTITUTE(C18,"Transport","")),"Korok x1","Korok x2")&amp;CHAR(34)&amp;", type: "&amp;CHAR(34)&amp;C18&amp;CHAR(34)&amp;", region: "&amp;D18&amp;", level: "&amp;CHAR(34)&amp;E18&amp;CHAR(34)&amp;", x: "&amp;F18&amp;", y: "&amp;G18&amp;", z: "&amp;H18&amp;", details: "&amp;CHAR(34)&amp;I18&amp;CHAR(34)&amp;" },"</f>
        <v>{ name: "Great Sky Island Korok #17", landmark: "Korok x2", type: "Transport to Friend", region: 0, level: "Sky", x: 445, y: -1787, z: 1447, details: "Starts at (474, -1695, 1443)" },</v>
      </c>
    </row>
    <row r="19" spans="1:10" x14ac:dyDescent="0.2">
      <c r="A19" s="2">
        <v>113</v>
      </c>
      <c r="B19" s="34" t="s">
        <v>3176</v>
      </c>
      <c r="C19" t="s">
        <v>2827</v>
      </c>
      <c r="D19" s="2">
        <v>1</v>
      </c>
      <c r="E19" s="2" t="s">
        <v>785</v>
      </c>
      <c r="F19" s="2">
        <v>-1146</v>
      </c>
      <c r="G19" s="2">
        <v>-381</v>
      </c>
      <c r="H19" s="2">
        <v>40</v>
      </c>
      <c r="I19" t="s">
        <v>2754</v>
      </c>
      <c r="J19" t="str">
        <f>"{ name: "&amp;CHAR(34)&amp;B19&amp;CHAR(34)&amp;", landmark: "&amp;CHAR(34)&amp;IF(LEN(C19)=LEN(SUBSTITUTE(C19,"Transport","")),"Korok x1","Korok x2")&amp;CHAR(34)&amp;", type: "&amp;CHAR(34)&amp;C19&amp;CHAR(34)&amp;", region: "&amp;D19&amp;", level: "&amp;CHAR(34)&amp;E19&amp;CHAR(34)&amp;", x: "&amp;F19&amp;", y: "&amp;G19&amp;", z: "&amp;H19&amp;", details: "&amp;CHAR(34)&amp;I19&amp;CHAR(34)&amp;" },"</f>
        <v>{ name: "Ancient Tree Stump Korok", landmark: "Korok x1", type: "Paraglide to the Goal", region: 1, level: "Surface", x: -1146, y: -381, z: 40, details: "Starts at (-1110, -420, 63)" },</v>
      </c>
    </row>
    <row r="20" spans="1:10" x14ac:dyDescent="0.2">
      <c r="A20" s="2">
        <v>87</v>
      </c>
      <c r="B20" s="34" t="s">
        <v>3204</v>
      </c>
      <c r="C20" t="s">
        <v>2801</v>
      </c>
      <c r="D20" s="2">
        <v>1</v>
      </c>
      <c r="E20" s="2" t="s">
        <v>785</v>
      </c>
      <c r="F20" s="2">
        <v>270</v>
      </c>
      <c r="G20" s="2">
        <v>701</v>
      </c>
      <c r="H20" s="2">
        <v>11</v>
      </c>
      <c r="J20" t="str">
        <f>"{ name: "&amp;CHAR(34)&amp;B20&amp;CHAR(34)&amp;", landmark: "&amp;CHAR(34)&amp;IF(LEN(C20)=LEN(SUBSTITUTE(C20,"Transport","")),"Korok x1","Korok x2")&amp;CHAR(34)&amp;", type: "&amp;CHAR(34)&amp;C20&amp;CHAR(34)&amp;", region: "&amp;D20&amp;", level: "&amp;CHAR(34)&amp;E20&amp;CHAR(34)&amp;", x: "&amp;F20&amp;", y: "&amp;G20&amp;", z: "&amp;H20&amp;", details: "&amp;CHAR(34)&amp;I20&amp;CHAR(34)&amp;" },"</f>
        <v>{ name: "Boneyard Bridge Korok", landmark: "Korok x1", type: "Break the Acorn Pot", region: 1, level: "Surface", x: 270, y: 701, z: 11, details: "" },</v>
      </c>
    </row>
    <row r="21" spans="1:10" x14ac:dyDescent="0.2">
      <c r="A21" s="2">
        <v>119</v>
      </c>
      <c r="B21" s="34" t="s">
        <v>3206</v>
      </c>
      <c r="C21" t="s">
        <v>2812</v>
      </c>
      <c r="D21" s="2">
        <v>1</v>
      </c>
      <c r="E21" s="2" t="s">
        <v>785</v>
      </c>
      <c r="F21" s="2">
        <v>501</v>
      </c>
      <c r="G21" s="2">
        <v>-470</v>
      </c>
      <c r="H21" s="2">
        <v>63</v>
      </c>
      <c r="J21" t="str">
        <f>"{ name: "&amp;CHAR(34)&amp;B21&amp;CHAR(34)&amp;", landmark: "&amp;CHAR(34)&amp;IF(LEN(C21)=LEN(SUBSTITUTE(C21,"Transport","")),"Korok x1","Korok x2")&amp;CHAR(34)&amp;", type: "&amp;CHAR(34)&amp;C21&amp;CHAR(34)&amp;", region: "&amp;D21&amp;", level: "&amp;CHAR(34)&amp;E21&amp;CHAR(34)&amp;", x: "&amp;F21&amp;", y: "&amp;G21&amp;", z: "&amp;H21&amp;", details: "&amp;CHAR(34)&amp;I21&amp;CHAR(34)&amp;" },"</f>
        <v>{ name: "Bottomless Pond Korok #01", landmark: "Korok x1", type: "Lift the Rock", region: 1, level: "Surface", x: 501, y: -470, z: 63, details: "" },</v>
      </c>
    </row>
    <row r="22" spans="1:10" x14ac:dyDescent="0.2">
      <c r="A22" s="2">
        <v>121</v>
      </c>
      <c r="B22" s="34" t="s">
        <v>3207</v>
      </c>
      <c r="C22" t="s">
        <v>2812</v>
      </c>
      <c r="D22" s="2">
        <v>1</v>
      </c>
      <c r="E22" s="2" t="s">
        <v>785</v>
      </c>
      <c r="F22" s="2">
        <v>625</v>
      </c>
      <c r="G22" s="2">
        <v>-753</v>
      </c>
      <c r="H22" s="2">
        <v>22</v>
      </c>
      <c r="J22" t="str">
        <f>"{ name: "&amp;CHAR(34)&amp;B22&amp;CHAR(34)&amp;", landmark: "&amp;CHAR(34)&amp;IF(LEN(C22)=LEN(SUBSTITUTE(C22,"Transport","")),"Korok x1","Korok x2")&amp;CHAR(34)&amp;", type: "&amp;CHAR(34)&amp;C22&amp;CHAR(34)&amp;", region: "&amp;D22&amp;", level: "&amp;CHAR(34)&amp;E22&amp;CHAR(34)&amp;", x: "&amp;F22&amp;", y: "&amp;G22&amp;", z: "&amp;H22&amp;", details: "&amp;CHAR(34)&amp;I22&amp;CHAR(34)&amp;" },"</f>
        <v>{ name: "Bottomless Pond Korok #02", landmark: "Korok x1", type: "Lift the Rock", region: 1, level: "Surface", x: 625, y: -753, z: 22, details: "" },</v>
      </c>
    </row>
    <row r="23" spans="1:10" x14ac:dyDescent="0.2">
      <c r="A23" s="2">
        <v>65</v>
      </c>
      <c r="B23" s="34" t="s">
        <v>3226</v>
      </c>
      <c r="C23" t="s">
        <v>2802</v>
      </c>
      <c r="D23" s="2">
        <v>1</v>
      </c>
      <c r="E23" s="2" t="s">
        <v>785</v>
      </c>
      <c r="F23" s="2">
        <v>-753</v>
      </c>
      <c r="G23" s="2">
        <v>1071</v>
      </c>
      <c r="H23" s="2">
        <v>45</v>
      </c>
      <c r="I23" t="s">
        <v>2618</v>
      </c>
      <c r="J23" t="str">
        <f>"{ name: "&amp;CHAR(34)&amp;B23&amp;CHAR(34)&amp;", landmark: "&amp;CHAR(34)&amp;IF(LEN(C23)=LEN(SUBSTITUTE(C23,"Transport","")),"Korok x1","Korok x2")&amp;CHAR(34)&amp;", type: "&amp;CHAR(34)&amp;C23&amp;CHAR(34)&amp;", region: "&amp;D23&amp;", level: "&amp;CHAR(34)&amp;E23&amp;CHAR(34)&amp;", x: "&amp;F23&amp;", y: "&amp;G23&amp;", z: "&amp;H23&amp;", details: "&amp;CHAR(34)&amp;I23&amp;CHAR(34)&amp;" },"</f>
        <v>{ name: "Castle Town Prison Korok #01", landmark: "Korok x2", type: "Transport to Friend", region: 1, level: "Surface", x: -753, y: 1071, z: 45, details: "Starts at (-776, 939, 18)" },</v>
      </c>
    </row>
    <row r="24" spans="1:10" x14ac:dyDescent="0.2">
      <c r="A24" s="2">
        <v>69</v>
      </c>
      <c r="B24" s="34" t="s">
        <v>3227</v>
      </c>
      <c r="C24" t="s">
        <v>2801</v>
      </c>
      <c r="D24" s="2">
        <v>1</v>
      </c>
      <c r="E24" s="2" t="s">
        <v>785</v>
      </c>
      <c r="F24" s="2">
        <v>-666</v>
      </c>
      <c r="G24" s="2">
        <v>963</v>
      </c>
      <c r="H24" s="2">
        <v>11</v>
      </c>
      <c r="J24" t="str">
        <f>"{ name: "&amp;CHAR(34)&amp;B24&amp;CHAR(34)&amp;", landmark: "&amp;CHAR(34)&amp;IF(LEN(C24)=LEN(SUBSTITUTE(C24,"Transport","")),"Korok x1","Korok x2")&amp;CHAR(34)&amp;", type: "&amp;CHAR(34)&amp;C24&amp;CHAR(34)&amp;", region: "&amp;D24&amp;", level: "&amp;CHAR(34)&amp;E24&amp;CHAR(34)&amp;", x: "&amp;F24&amp;", y: "&amp;G24&amp;", z: "&amp;H24&amp;", details: "&amp;CHAR(34)&amp;I24&amp;CHAR(34)&amp;" },"</f>
        <v>{ name: "Castle Town Prison Korok #02", landmark: "Korok x1", type: "Break the Acorn Pot", region: 1, level: "Surface", x: -666, y: 963, z: 11, details: "" },</v>
      </c>
    </row>
    <row r="25" spans="1:10" x14ac:dyDescent="0.2">
      <c r="A25" s="2">
        <v>77</v>
      </c>
      <c r="B25" s="34" t="s">
        <v>3228</v>
      </c>
      <c r="C25" t="s">
        <v>2824</v>
      </c>
      <c r="D25" s="2">
        <v>1</v>
      </c>
      <c r="E25" s="2" t="s">
        <v>785</v>
      </c>
      <c r="F25" s="2">
        <v>-675</v>
      </c>
      <c r="G25" s="2">
        <v>861</v>
      </c>
      <c r="H25" s="2">
        <v>16</v>
      </c>
      <c r="J25" t="str">
        <f>"{ name: "&amp;CHAR(34)&amp;B25&amp;CHAR(34)&amp;", landmark: "&amp;CHAR(34)&amp;IF(LEN(C25)=LEN(SUBSTITUTE(C25,"Transport","")),"Korok x1","Korok x2")&amp;CHAR(34)&amp;", type: "&amp;CHAR(34)&amp;C25&amp;CHAR(34)&amp;", region: "&amp;D25&amp;", level: "&amp;CHAR(34)&amp;E25&amp;CHAR(34)&amp;", x: "&amp;F25&amp;", y: "&amp;G25&amp;", z: "&amp;H25&amp;", details: "&amp;CHAR(34)&amp;I25&amp;CHAR(34)&amp;" },"</f>
        <v>{ name: "Castle Town Prison Korok #03", landmark: "Korok x1", type: "Catch the Moving Sparkle", region: 1, level: "Surface", x: -675, y: 861, z: 16, details: "" },</v>
      </c>
    </row>
    <row r="26" spans="1:10" x14ac:dyDescent="0.2">
      <c r="A26" s="2">
        <v>94</v>
      </c>
      <c r="B26" s="34" t="s">
        <v>3229</v>
      </c>
      <c r="C26" t="s">
        <v>2812</v>
      </c>
      <c r="D26" s="2">
        <v>1</v>
      </c>
      <c r="E26" s="2" t="s">
        <v>785</v>
      </c>
      <c r="F26" s="2">
        <v>-254</v>
      </c>
      <c r="G26" s="2">
        <v>426</v>
      </c>
      <c r="H26" s="2">
        <v>30</v>
      </c>
      <c r="J26" t="str">
        <f>"{ name: "&amp;CHAR(34)&amp;B26&amp;CHAR(34)&amp;", landmark: "&amp;CHAR(34)&amp;IF(LEN(C26)=LEN(SUBSTITUTE(C26,"Transport","")),"Korok x1","Korok x2")&amp;CHAR(34)&amp;", type: "&amp;CHAR(34)&amp;C26&amp;CHAR(34)&amp;", region: "&amp;D26&amp;", level: "&amp;CHAR(34)&amp;E26&amp;CHAR(34)&amp;", x: "&amp;F26&amp;", y: "&amp;G26&amp;", z: "&amp;H26&amp;", details: "&amp;CHAR(34)&amp;I26&amp;CHAR(34)&amp;" },"</f>
        <v>{ name: "Central Square Korok #01", landmark: "Korok x1", type: "Lift the Rock", region: 1, level: "Surface", x: -254, y: 426, z: 30, details: "" },</v>
      </c>
    </row>
    <row r="27" spans="1:10" x14ac:dyDescent="0.2">
      <c r="A27" s="2">
        <v>99</v>
      </c>
      <c r="B27" s="34" t="s">
        <v>3230</v>
      </c>
      <c r="C27" t="s">
        <v>2804</v>
      </c>
      <c r="D27" s="2">
        <v>1</v>
      </c>
      <c r="E27" s="2" t="s">
        <v>785</v>
      </c>
      <c r="F27" s="2">
        <v>-313</v>
      </c>
      <c r="G27" s="2">
        <v>324</v>
      </c>
      <c r="H27" s="2">
        <v>26</v>
      </c>
      <c r="J27" t="str">
        <f>"{ name: "&amp;CHAR(34)&amp;B27&amp;CHAR(34)&amp;", landmark: "&amp;CHAR(34)&amp;IF(LEN(C27)=LEN(SUBSTITUTE(C27,"Transport","")),"Korok x1","Korok x2")&amp;CHAR(34)&amp;", type: "&amp;CHAR(34)&amp;C27&amp;CHAR(34)&amp;", region: "&amp;D27&amp;", level: "&amp;CHAR(34)&amp;E27&amp;CHAR(34)&amp;", x: "&amp;F27&amp;", y: "&amp;G27&amp;", z: "&amp;H27&amp;", details: "&amp;CHAR(34)&amp;I27&amp;CHAR(34)&amp;" },"</f>
        <v>{ name: "Central Square Korok #02", landmark: "Korok x1", type: "Burn the Leaves", region: 1, level: "Surface", x: -313, y: 324, z: 26, details: "" },</v>
      </c>
    </row>
    <row r="28" spans="1:10" x14ac:dyDescent="0.2">
      <c r="A28" s="2">
        <v>102</v>
      </c>
      <c r="B28" s="34" t="s">
        <v>3231</v>
      </c>
      <c r="C28" t="s">
        <v>2812</v>
      </c>
      <c r="D28" s="2">
        <v>1</v>
      </c>
      <c r="E28" s="2" t="s">
        <v>785</v>
      </c>
      <c r="F28" s="2">
        <v>-254</v>
      </c>
      <c r="G28" s="2">
        <v>257</v>
      </c>
      <c r="H28" s="2">
        <v>47</v>
      </c>
      <c r="J28" t="str">
        <f>"{ name: "&amp;CHAR(34)&amp;B28&amp;CHAR(34)&amp;", landmark: "&amp;CHAR(34)&amp;IF(LEN(C28)=LEN(SUBSTITUTE(C28,"Transport","")),"Korok x1","Korok x2")&amp;CHAR(34)&amp;", type: "&amp;CHAR(34)&amp;C28&amp;CHAR(34)&amp;", region: "&amp;D28&amp;", level: "&amp;CHAR(34)&amp;E28&amp;CHAR(34)&amp;", x: "&amp;F28&amp;", y: "&amp;G28&amp;", z: "&amp;H28&amp;", details: "&amp;CHAR(34)&amp;I28&amp;CHAR(34)&amp;" },"</f>
        <v>{ name: "Central Square Korok #03", landmark: "Korok x1", type: "Lift the Rock", region: 1, level: "Surface", x: -254, y: 257, z: 47, details: "" },</v>
      </c>
    </row>
    <row r="29" spans="1:10" x14ac:dyDescent="0.2">
      <c r="A29" s="2">
        <v>95</v>
      </c>
      <c r="B29" s="34" t="s">
        <v>3298</v>
      </c>
      <c r="C29" t="s">
        <v>2826</v>
      </c>
      <c r="D29" s="2">
        <v>1</v>
      </c>
      <c r="E29" s="2" t="s">
        <v>785</v>
      </c>
      <c r="F29" s="2">
        <v>-87</v>
      </c>
      <c r="G29" s="2">
        <v>401</v>
      </c>
      <c r="H29" s="2">
        <v>37</v>
      </c>
      <c r="J29" t="str">
        <f>"{ name: "&amp;CHAR(34)&amp;B29&amp;CHAR(34)&amp;", landmark: "&amp;CHAR(34)&amp;IF(LEN(C29)=LEN(SUBSTITUTE(C29,"Transport","")),"Korok x1","Korok x2")&amp;CHAR(34)&amp;", type: "&amp;CHAR(34)&amp;C29&amp;CHAR(34)&amp;", region: "&amp;D29&amp;", level: "&amp;CHAR(34)&amp;E29&amp;CHAR(34)&amp;", x: "&amp;F29&amp;", y: "&amp;G29&amp;", z: "&amp;H29&amp;", details: "&amp;CHAR(34)&amp;I29&amp;CHAR(34)&amp;" },"</f>
        <v>{ name: "East Castle Town Korok", landmark: "Korok x1", type: "Ascend Through the Marker", region: 1, level: "Surface", x: -87, y: 401, z: 37, details: "" },</v>
      </c>
    </row>
    <row r="30" spans="1:10" x14ac:dyDescent="0.2">
      <c r="A30" s="2">
        <v>103</v>
      </c>
      <c r="B30" s="34" t="s">
        <v>3375</v>
      </c>
      <c r="C30" t="s">
        <v>2812</v>
      </c>
      <c r="D30" s="2">
        <v>1</v>
      </c>
      <c r="E30" s="2" t="s">
        <v>785</v>
      </c>
      <c r="F30" s="2">
        <v>-1131</v>
      </c>
      <c r="G30" s="2">
        <v>19</v>
      </c>
      <c r="H30" s="2">
        <v>40</v>
      </c>
      <c r="J30" t="str">
        <f>"{ name: "&amp;CHAR(34)&amp;B30&amp;CHAR(34)&amp;", landmark: "&amp;CHAR(34)&amp;IF(LEN(C30)=LEN(SUBSTITUTE(C30,"Transport","")),"Korok x1","Korok x2")&amp;CHAR(34)&amp;", type: "&amp;CHAR(34)&amp;C30&amp;CHAR(34)&amp;", region: "&amp;D30&amp;", level: "&amp;CHAR(34)&amp;E30&amp;CHAR(34)&amp;", x: "&amp;F30&amp;", y: "&amp;G30&amp;", z: "&amp;H30&amp;", details: "&amp;CHAR(34)&amp;I30&amp;CHAR(34)&amp;" },"</f>
        <v>{ name: "Giant's Forest Korok #01", landmark: "Korok x1", type: "Lift the Rock", region: 1, level: "Surface", x: -1131, y: 19, z: 40, details: "" },</v>
      </c>
    </row>
    <row r="31" spans="1:10" x14ac:dyDescent="0.2">
      <c r="A31" s="2">
        <v>109</v>
      </c>
      <c r="B31" s="34" t="s">
        <v>3376</v>
      </c>
      <c r="C31" t="s">
        <v>2595</v>
      </c>
      <c r="D31" s="2">
        <v>1</v>
      </c>
      <c r="E31" s="2" t="s">
        <v>785</v>
      </c>
      <c r="F31" s="2">
        <v>-1096</v>
      </c>
      <c r="G31" s="2">
        <v>-197</v>
      </c>
      <c r="H31" s="2">
        <v>46</v>
      </c>
      <c r="J31" t="str">
        <f>"{ name: "&amp;CHAR(34)&amp;B31&amp;CHAR(34)&amp;", landmark: "&amp;CHAR(34)&amp;IF(LEN(C31)=LEN(SUBSTITUTE(C31,"Transport","")),"Korok x1","Korok x2")&amp;CHAR(34)&amp;", type: "&amp;CHAR(34)&amp;C31&amp;CHAR(34)&amp;", region: "&amp;D31&amp;", level: "&amp;CHAR(34)&amp;E31&amp;CHAR(34)&amp;", x: "&amp;F31&amp;", y: "&amp;G31&amp;", z: "&amp;H31&amp;", details: "&amp;CHAR(34)&amp;I31&amp;CHAR(34)&amp;" },"</f>
        <v>{ name: "Giant's Forest Korok #02", landmark: "Korok x1", type: "Attack and catch the dandelion", region: 1, level: "Surface", x: -1096, y: -197, z: 46, details: "" },</v>
      </c>
    </row>
    <row r="32" spans="1:10" x14ac:dyDescent="0.2">
      <c r="A32" s="2">
        <v>97</v>
      </c>
      <c r="B32" s="34" t="s">
        <v>3468</v>
      </c>
      <c r="C32" t="s">
        <v>2808</v>
      </c>
      <c r="D32" s="2">
        <v>1</v>
      </c>
      <c r="E32" s="2" t="s">
        <v>785</v>
      </c>
      <c r="F32" s="2">
        <v>716</v>
      </c>
      <c r="G32" s="2">
        <v>368</v>
      </c>
      <c r="H32" s="2">
        <v>11</v>
      </c>
      <c r="J32" t="str">
        <f>"{ name: "&amp;CHAR(34)&amp;B32&amp;CHAR(34)&amp;", landmark: "&amp;CHAR(34)&amp;IF(LEN(C32)=LEN(SUBSTITUTE(C32,"Transport","")),"Korok x1","Korok x2")&amp;CHAR(34)&amp;", type: "&amp;CHAR(34)&amp;C32&amp;CHAR(34)&amp;", region: "&amp;D32&amp;", level: "&amp;CHAR(34)&amp;E32&amp;CHAR(34)&amp;", x: "&amp;F32&amp;", y: "&amp;G32&amp;", z: "&amp;H32&amp;", details: "&amp;CHAR(34)&amp;I32&amp;CHAR(34)&amp;" },"</f>
        <v>{ name: "Hylia River Korok #01", landmark: "Korok x1", type: "Complete the Rock Pattern", region: 1, level: "Surface", x: 716, y: 368, z: 11, details: "" },</v>
      </c>
    </row>
    <row r="33" spans="1:10" x14ac:dyDescent="0.2">
      <c r="A33" s="2">
        <v>120</v>
      </c>
      <c r="B33" s="34" t="s">
        <v>3469</v>
      </c>
      <c r="C33" t="s">
        <v>2812</v>
      </c>
      <c r="D33" s="2">
        <v>1</v>
      </c>
      <c r="E33" s="2" t="s">
        <v>785</v>
      </c>
      <c r="F33" s="2">
        <v>754</v>
      </c>
      <c r="G33" s="2">
        <v>-451</v>
      </c>
      <c r="H33" s="2">
        <v>31</v>
      </c>
      <c r="J33" t="str">
        <f>"{ name: "&amp;CHAR(34)&amp;B33&amp;CHAR(34)&amp;", landmark: "&amp;CHAR(34)&amp;IF(LEN(C33)=LEN(SUBSTITUTE(C33,"Transport","")),"Korok x1","Korok x2")&amp;CHAR(34)&amp;", type: "&amp;CHAR(34)&amp;C33&amp;CHAR(34)&amp;", region: "&amp;D33&amp;", level: "&amp;CHAR(34)&amp;E33&amp;CHAR(34)&amp;", x: "&amp;F33&amp;", y: "&amp;G33&amp;", z: "&amp;H33&amp;", details: "&amp;CHAR(34)&amp;I33&amp;CHAR(34)&amp;" },"</f>
        <v>{ name: "Hylia River Korok #02", landmark: "Korok x1", type: "Lift the Rock", region: 1, level: "Surface", x: 754, y: -451, z: 31, details: "" },</v>
      </c>
    </row>
    <row r="34" spans="1:10" x14ac:dyDescent="0.2">
      <c r="A34" s="2">
        <v>88</v>
      </c>
      <c r="B34" s="34" t="s">
        <v>3474</v>
      </c>
      <c r="C34" t="s">
        <v>2809</v>
      </c>
      <c r="D34" s="2">
        <v>1</v>
      </c>
      <c r="E34" s="2" t="s">
        <v>785</v>
      </c>
      <c r="F34" s="2">
        <v>-280</v>
      </c>
      <c r="G34" s="2">
        <v>609</v>
      </c>
      <c r="H34" s="2">
        <v>5</v>
      </c>
      <c r="J34" t="str">
        <f>"{ name: "&amp;CHAR(34)&amp;B34&amp;CHAR(34)&amp;", landmark: "&amp;CHAR(34)&amp;IF(LEN(C34)=LEN(SUBSTITUTE(C34,"Transport","")),"Korok x1","Korok x2")&amp;CHAR(34)&amp;", type: "&amp;CHAR(34)&amp;C34&amp;CHAR(34)&amp;", region: "&amp;D34&amp;", level: "&amp;CHAR(34)&amp;E34&amp;CHAR(34)&amp;", x: "&amp;F34&amp;", y: "&amp;G34&amp;", z: "&amp;H34&amp;", details: "&amp;CHAR(34)&amp;I34&amp;CHAR(34)&amp;" },"</f>
        <v>{ name: "Hyrule Castle Bridge Korok #01", landmark: "Korok x1", type: "Dive into the Lily Ring", region: 1, level: "Surface", x: -280, y: 609, z: 5, details: "" },</v>
      </c>
    </row>
    <row r="35" spans="1:10" x14ac:dyDescent="0.2">
      <c r="A35" s="2">
        <v>89</v>
      </c>
      <c r="B35" s="34" t="s">
        <v>3475</v>
      </c>
      <c r="C35" t="s">
        <v>2812</v>
      </c>
      <c r="D35" s="2">
        <v>1</v>
      </c>
      <c r="E35" s="2" t="s">
        <v>785</v>
      </c>
      <c r="F35" s="2">
        <v>-237</v>
      </c>
      <c r="G35" s="2">
        <v>632</v>
      </c>
      <c r="H35" s="2">
        <v>80</v>
      </c>
      <c r="J35" t="str">
        <f>"{ name: "&amp;CHAR(34)&amp;B35&amp;CHAR(34)&amp;", landmark: "&amp;CHAR(34)&amp;IF(LEN(C35)=LEN(SUBSTITUTE(C35,"Transport","")),"Korok x1","Korok x2")&amp;CHAR(34)&amp;", type: "&amp;CHAR(34)&amp;C35&amp;CHAR(34)&amp;", region: "&amp;D35&amp;", level: "&amp;CHAR(34)&amp;E35&amp;CHAR(34)&amp;", x: "&amp;F35&amp;", y: "&amp;G35&amp;", z: "&amp;H35&amp;", details: "&amp;CHAR(34)&amp;I35&amp;CHAR(34)&amp;" },"</f>
        <v>{ name: "Hyrule Castle Bridge Korok #02", landmark: "Korok x1", type: "Lift the Rock", region: 1, level: "Surface", x: -237, y: 632, z: 80, details: "" },</v>
      </c>
    </row>
    <row r="36" spans="1:10" x14ac:dyDescent="0.2">
      <c r="A36" s="2">
        <v>82</v>
      </c>
      <c r="B36" s="34" t="s">
        <v>3476</v>
      </c>
      <c r="C36" t="s">
        <v>2812</v>
      </c>
      <c r="D36" s="2">
        <v>1</v>
      </c>
      <c r="E36" s="2" t="s">
        <v>785</v>
      </c>
      <c r="F36" s="2">
        <v>-128</v>
      </c>
      <c r="G36" s="2">
        <v>814</v>
      </c>
      <c r="H36" s="2">
        <v>97</v>
      </c>
      <c r="J36" t="str">
        <f>"{ name: "&amp;CHAR(34)&amp;B36&amp;CHAR(34)&amp;", landmark: "&amp;CHAR(34)&amp;IF(LEN(C36)=LEN(SUBSTITUTE(C36,"Transport","")),"Korok x1","Korok x2")&amp;CHAR(34)&amp;", type: "&amp;CHAR(34)&amp;C36&amp;CHAR(34)&amp;", region: "&amp;D36&amp;", level: "&amp;CHAR(34)&amp;E36&amp;CHAR(34)&amp;", x: "&amp;F36&amp;", y: "&amp;G36&amp;", z: "&amp;H36&amp;", details: "&amp;CHAR(34)&amp;I36&amp;CHAR(34)&amp;" },"</f>
        <v>{ name: "Hyrule Castle Dining Hall Korok", landmark: "Korok x1", type: "Lift the Rock", region: 1, level: "Surface", x: -128, y: 814, z: 97, details: "" },</v>
      </c>
    </row>
    <row r="37" spans="1:10" x14ac:dyDescent="0.2">
      <c r="A37" s="2">
        <v>62</v>
      </c>
      <c r="B37" s="34" t="s">
        <v>3477</v>
      </c>
      <c r="C37" t="s">
        <v>2809</v>
      </c>
      <c r="D37" s="2">
        <v>1</v>
      </c>
      <c r="E37" s="2" t="s">
        <v>785</v>
      </c>
      <c r="F37" s="2">
        <v>-296</v>
      </c>
      <c r="G37" s="2">
        <v>1123</v>
      </c>
      <c r="H37" s="2">
        <v>6</v>
      </c>
      <c r="J37" t="str">
        <f>"{ name: "&amp;CHAR(34)&amp;B37&amp;CHAR(34)&amp;", landmark: "&amp;CHAR(34)&amp;IF(LEN(C37)=LEN(SUBSTITUTE(C37,"Transport","")),"Korok x1","Korok x2")&amp;CHAR(34)&amp;", type: "&amp;CHAR(34)&amp;C37&amp;CHAR(34)&amp;", region: "&amp;D37&amp;", level: "&amp;CHAR(34)&amp;E37&amp;CHAR(34)&amp;", x: "&amp;F37&amp;", y: "&amp;G37&amp;", z: "&amp;H37&amp;", details: "&amp;CHAR(34)&amp;I37&amp;CHAR(34)&amp;" },"</f>
        <v>{ name: "Hyrule Castle Docks Korok #01", landmark: "Korok x1", type: "Dive into the Lily Ring", region: 1, level: "Surface", x: -296, y: 1123, z: 6, details: "" },</v>
      </c>
    </row>
    <row r="38" spans="1:10" x14ac:dyDescent="0.2">
      <c r="A38" s="2">
        <v>63</v>
      </c>
      <c r="B38" s="34" t="s">
        <v>3478</v>
      </c>
      <c r="C38" t="s">
        <v>2827</v>
      </c>
      <c r="D38" s="2">
        <v>1</v>
      </c>
      <c r="E38" s="2" t="s">
        <v>785</v>
      </c>
      <c r="F38" s="2">
        <v>-282</v>
      </c>
      <c r="G38" s="2">
        <v>1125</v>
      </c>
      <c r="H38" s="2">
        <v>78</v>
      </c>
      <c r="I38" t="s">
        <v>2750</v>
      </c>
      <c r="J38" t="str">
        <f>"{ name: "&amp;CHAR(34)&amp;B38&amp;CHAR(34)&amp;", landmark: "&amp;CHAR(34)&amp;IF(LEN(C38)=LEN(SUBSTITUTE(C38,"Transport","")),"Korok x1","Korok x2")&amp;CHAR(34)&amp;", type: "&amp;CHAR(34)&amp;C38&amp;CHAR(34)&amp;", region: "&amp;D38&amp;", level: "&amp;CHAR(34)&amp;E38&amp;CHAR(34)&amp;", x: "&amp;F38&amp;", y: "&amp;G38&amp;", z: "&amp;H38&amp;", details: "&amp;CHAR(34)&amp;I38&amp;CHAR(34)&amp;" },"</f>
        <v>{ name: "Hyrule Castle Docks Korok #02", landmark: "Korok x1", type: "Paraglide to the Goal", region: 1, level: "Surface", x: -282, y: 1125, z: 78, details: "Starts at (-303, 1123, 91)" },</v>
      </c>
    </row>
    <row r="39" spans="1:10" x14ac:dyDescent="0.2">
      <c r="A39" s="2">
        <v>71</v>
      </c>
      <c r="B39" s="34" t="s">
        <v>3479</v>
      </c>
      <c r="C39" t="s">
        <v>2807</v>
      </c>
      <c r="D39" s="2">
        <v>1</v>
      </c>
      <c r="E39" s="2" t="s">
        <v>785</v>
      </c>
      <c r="F39" s="2">
        <v>-53</v>
      </c>
      <c r="G39" s="2">
        <v>971</v>
      </c>
      <c r="H39" s="2">
        <v>278</v>
      </c>
      <c r="J39" t="str">
        <f>"{ name: "&amp;CHAR(34)&amp;B39&amp;CHAR(34)&amp;", landmark: "&amp;CHAR(34)&amp;IF(LEN(C39)=LEN(SUBSTITUTE(C39,"Transport","")),"Korok x1","Korok x2")&amp;CHAR(34)&amp;", type: "&amp;CHAR(34)&amp;C39&amp;CHAR(34)&amp;", region: "&amp;D39&amp;", level: "&amp;CHAR(34)&amp;E39&amp;CHAR(34)&amp;", x: "&amp;F39&amp;", y: "&amp;G39&amp;", z: "&amp;H39&amp;", details: "&amp;CHAR(34)&amp;I39&amp;CHAR(34)&amp;" },"</f>
        <v>{ name: "Hyrule Castle East Korok #01", landmark: "Korok x1", type: "Complete the Cube Puzzle", region: 1, level: "Surface", x: -53, y: 971, z: 278, details: "" },</v>
      </c>
    </row>
    <row r="40" spans="1:10" x14ac:dyDescent="0.2">
      <c r="A40" s="2">
        <v>74</v>
      </c>
      <c r="B40" s="34" t="s">
        <v>3480</v>
      </c>
      <c r="C40" t="s">
        <v>2822</v>
      </c>
      <c r="D40" s="2">
        <v>1</v>
      </c>
      <c r="E40" s="2" t="s">
        <v>785</v>
      </c>
      <c r="F40" s="2">
        <v>-84</v>
      </c>
      <c r="G40" s="2">
        <v>907</v>
      </c>
      <c r="H40" s="2">
        <v>320</v>
      </c>
      <c r="J40" t="str">
        <f>"{ name: "&amp;CHAR(34)&amp;B40&amp;CHAR(34)&amp;", landmark: "&amp;CHAR(34)&amp;IF(LEN(C40)=LEN(SUBSTITUTE(C40,"Transport","")),"Korok x1","Korok x2")&amp;CHAR(34)&amp;", type: "&amp;CHAR(34)&amp;C40&amp;CHAR(34)&amp;", region: "&amp;D40&amp;", level: "&amp;CHAR(34)&amp;E40&amp;CHAR(34)&amp;", x: "&amp;F40&amp;", y: "&amp;G40&amp;", z: "&amp;H40&amp;", details: "&amp;CHAR(34)&amp;I40&amp;CHAR(34)&amp;" },"</f>
        <v>{ name: "Hyrule Castle East Korok #02", landmark: "Korok x1", type: "Shoot the Hidden Balloon", region: 1, level: "Surface", x: -84, y: 907, z: 320, details: "" },</v>
      </c>
    </row>
    <row r="41" spans="1:10" x14ac:dyDescent="0.2">
      <c r="A41" s="2">
        <v>81</v>
      </c>
      <c r="B41" s="34" t="s">
        <v>3481</v>
      </c>
      <c r="C41" t="s">
        <v>2808</v>
      </c>
      <c r="D41" s="2">
        <v>1</v>
      </c>
      <c r="E41" s="2" t="s">
        <v>785</v>
      </c>
      <c r="F41" s="2">
        <v>-61</v>
      </c>
      <c r="G41" s="2">
        <v>867</v>
      </c>
      <c r="H41" s="2">
        <v>169</v>
      </c>
      <c r="J41" t="str">
        <f>"{ name: "&amp;CHAR(34)&amp;B41&amp;CHAR(34)&amp;", landmark: "&amp;CHAR(34)&amp;IF(LEN(C41)=LEN(SUBSTITUTE(C41,"Transport","")),"Korok x1","Korok x2")&amp;CHAR(34)&amp;", type: "&amp;CHAR(34)&amp;C41&amp;CHAR(34)&amp;", region: "&amp;D41&amp;", level: "&amp;CHAR(34)&amp;E41&amp;CHAR(34)&amp;", x: "&amp;F41&amp;", y: "&amp;G41&amp;", z: "&amp;H41&amp;", details: "&amp;CHAR(34)&amp;I41&amp;CHAR(34)&amp;" },"</f>
        <v>{ name: "Hyrule Castle East Korok #03", landmark: "Korok x1", type: "Complete the Rock Pattern", region: 1, level: "Surface", x: -61, y: 867, z: 169, details: "" },</v>
      </c>
    </row>
    <row r="42" spans="1:10" x14ac:dyDescent="0.2">
      <c r="A42" s="2">
        <v>72</v>
      </c>
      <c r="B42" s="34" t="s">
        <v>3482</v>
      </c>
      <c r="C42" t="s">
        <v>2811</v>
      </c>
      <c r="D42" s="2">
        <v>1</v>
      </c>
      <c r="E42" s="2" t="s">
        <v>785</v>
      </c>
      <c r="F42" s="2">
        <v>-427</v>
      </c>
      <c r="G42" s="2">
        <v>891</v>
      </c>
      <c r="H42" s="2">
        <v>118</v>
      </c>
      <c r="I42" t="s">
        <v>2749</v>
      </c>
      <c r="J42" t="str">
        <f>"{ name: "&amp;CHAR(34)&amp;B42&amp;CHAR(34)&amp;", landmark: "&amp;CHAR(34)&amp;IF(LEN(C42)=LEN(SUBSTITUTE(C42,"Transport","")),"Korok x1","Korok x2")&amp;CHAR(34)&amp;", type: "&amp;CHAR(34)&amp;C42&amp;CHAR(34)&amp;", region: "&amp;D42&amp;", level: "&amp;CHAR(34)&amp;E42&amp;CHAR(34)&amp;", x: "&amp;F42&amp;", y: "&amp;G42&amp;", z: "&amp;H42&amp;", details: "&amp;CHAR(34)&amp;I42&amp;CHAR(34)&amp;" },"</f>
        <v>{ name: "Hyrule Castle First Gatehouse Korok #01", landmark: "Korok x1", type: "Follow the Yellow Flowers", region: 1, level: "Surface", x: -427, y: 891, z: 118, details: "Starts at (-467, 851, 101)" },</v>
      </c>
    </row>
    <row r="43" spans="1:10" x14ac:dyDescent="0.2">
      <c r="A43" s="2">
        <v>73</v>
      </c>
      <c r="B43" s="34" t="s">
        <v>3483</v>
      </c>
      <c r="C43" t="s">
        <v>2821</v>
      </c>
      <c r="D43" s="2">
        <v>1</v>
      </c>
      <c r="E43" s="2" t="s">
        <v>785</v>
      </c>
      <c r="F43" s="2">
        <v>-360</v>
      </c>
      <c r="G43" s="2">
        <v>885</v>
      </c>
      <c r="H43" s="2">
        <v>279</v>
      </c>
      <c r="J43" t="str">
        <f>"{ name: "&amp;CHAR(34)&amp;B43&amp;CHAR(34)&amp;", landmark: "&amp;CHAR(34)&amp;IF(LEN(C43)=LEN(SUBSTITUTE(C43,"Transport","")),"Korok x1","Korok x2")&amp;CHAR(34)&amp;", type: "&amp;CHAR(34)&amp;C43&amp;CHAR(34)&amp;", region: "&amp;D43&amp;", level: "&amp;CHAR(34)&amp;E43&amp;CHAR(34)&amp;", x: "&amp;F43&amp;", y: "&amp;G43&amp;", z: "&amp;H43&amp;", details: "&amp;CHAR(34)&amp;I43&amp;CHAR(34)&amp;" },"</f>
        <v>{ name: "Hyrule Castle First Gatehouse Korok #02", landmark: "Korok x1", type: "Shoot the Balloons", region: 1, level: "Surface", x: -360, y: 885, z: 279, details: "" },</v>
      </c>
    </row>
    <row r="44" spans="1:10" x14ac:dyDescent="0.2">
      <c r="A44" s="2">
        <v>78</v>
      </c>
      <c r="B44" s="34" t="s">
        <v>3484</v>
      </c>
      <c r="C44" t="s">
        <v>2824</v>
      </c>
      <c r="D44" s="2">
        <v>1</v>
      </c>
      <c r="E44" s="2" t="s">
        <v>785</v>
      </c>
      <c r="F44" s="2">
        <v>-421</v>
      </c>
      <c r="G44" s="2">
        <v>845</v>
      </c>
      <c r="H44" s="2">
        <v>86</v>
      </c>
      <c r="J44" t="str">
        <f>"{ name: "&amp;CHAR(34)&amp;B44&amp;CHAR(34)&amp;", landmark: "&amp;CHAR(34)&amp;IF(LEN(C44)=LEN(SUBSTITUTE(C44,"Transport","")),"Korok x1","Korok x2")&amp;CHAR(34)&amp;", type: "&amp;CHAR(34)&amp;C44&amp;CHAR(34)&amp;", region: "&amp;D44&amp;", level: "&amp;CHAR(34)&amp;E44&amp;CHAR(34)&amp;", x: "&amp;F44&amp;", y: "&amp;G44&amp;", z: "&amp;H44&amp;", details: "&amp;CHAR(34)&amp;I44&amp;CHAR(34)&amp;" },"</f>
        <v>{ name: "Hyrule Castle First Gatehouse Korok #03", landmark: "Korok x1", type: "Catch the Moving Sparkle", region: 1, level: "Surface", x: -421, y: 845, z: 86, details: "" },</v>
      </c>
    </row>
    <row r="45" spans="1:10" x14ac:dyDescent="0.2">
      <c r="A45" s="2">
        <v>79</v>
      </c>
      <c r="B45" s="34" t="s">
        <v>3485</v>
      </c>
      <c r="C45" t="s">
        <v>2825</v>
      </c>
      <c r="D45" s="2">
        <v>1</v>
      </c>
      <c r="E45" s="2" t="s">
        <v>785</v>
      </c>
      <c r="F45" s="2">
        <v>-351</v>
      </c>
      <c r="G45" s="2">
        <v>828</v>
      </c>
      <c r="H45" s="2">
        <v>182</v>
      </c>
      <c r="J45" t="str">
        <f>"{ name: "&amp;CHAR(34)&amp;B45&amp;CHAR(34)&amp;", landmark: "&amp;CHAR(34)&amp;IF(LEN(C45)=LEN(SUBSTITUTE(C45,"Transport","")),"Korok x1","Korok x2")&amp;CHAR(34)&amp;", type: "&amp;CHAR(34)&amp;C45&amp;CHAR(34)&amp;", region: "&amp;D45&amp;", level: "&amp;CHAR(34)&amp;E45&amp;CHAR(34)&amp;", x: "&amp;F45&amp;", y: "&amp;G45&amp;", z: "&amp;H45&amp;", details: "&amp;CHAR(34)&amp;I45&amp;CHAR(34)&amp;" },"</f>
        <v>{ name: "Hyrule Castle First Gatehouse Korok #04", landmark: "Korok x1", type: "Climb and Examine the Fairy Lights", region: 1, level: "Surface", x: -351, y: 828, z: 182, details: "" },</v>
      </c>
    </row>
    <row r="46" spans="1:10" x14ac:dyDescent="0.2">
      <c r="A46" s="2">
        <v>80</v>
      </c>
      <c r="B46" s="34" t="s">
        <v>3486</v>
      </c>
      <c r="C46" t="s">
        <v>2812</v>
      </c>
      <c r="D46" s="2">
        <v>1</v>
      </c>
      <c r="E46" s="2" t="s">
        <v>785</v>
      </c>
      <c r="F46" s="2">
        <v>-287</v>
      </c>
      <c r="G46" s="2">
        <v>840</v>
      </c>
      <c r="H46" s="2">
        <v>106</v>
      </c>
      <c r="J46" t="str">
        <f>"{ name: "&amp;CHAR(34)&amp;B46&amp;CHAR(34)&amp;", landmark: "&amp;CHAR(34)&amp;IF(LEN(C46)=LEN(SUBSTITUTE(C46,"Transport","")),"Korok x1","Korok x2")&amp;CHAR(34)&amp;", type: "&amp;CHAR(34)&amp;C46&amp;CHAR(34)&amp;", region: "&amp;D46&amp;", level: "&amp;CHAR(34)&amp;E46&amp;CHAR(34)&amp;", x: "&amp;F46&amp;", y: "&amp;G46&amp;", z: "&amp;H46&amp;", details: "&amp;CHAR(34)&amp;I46&amp;CHAR(34)&amp;" },"</f>
        <v>{ name: "Hyrule Castle First Gatehouse Korok #05", landmark: "Korok x1", type: "Lift the Rock", region: 1, level: "Surface", x: -287, y: 840, z: 106, details: "" },</v>
      </c>
    </row>
    <row r="47" spans="1:10" x14ac:dyDescent="0.2">
      <c r="A47" s="2">
        <v>83</v>
      </c>
      <c r="B47" s="34" t="s">
        <v>3487</v>
      </c>
      <c r="C47" t="s">
        <v>2807</v>
      </c>
      <c r="D47" s="2">
        <v>1</v>
      </c>
      <c r="E47" s="2" t="s">
        <v>785</v>
      </c>
      <c r="F47" s="2">
        <v>-344</v>
      </c>
      <c r="G47" s="2">
        <v>786</v>
      </c>
      <c r="H47" s="2">
        <v>59</v>
      </c>
      <c r="J47" t="str">
        <f>"{ name: "&amp;CHAR(34)&amp;B47&amp;CHAR(34)&amp;", landmark: "&amp;CHAR(34)&amp;IF(LEN(C47)=LEN(SUBSTITUTE(C47,"Transport","")),"Korok x1","Korok x2")&amp;CHAR(34)&amp;", type: "&amp;CHAR(34)&amp;C47&amp;CHAR(34)&amp;", region: "&amp;D47&amp;", level: "&amp;CHAR(34)&amp;E47&amp;CHAR(34)&amp;", x: "&amp;F47&amp;", y: "&amp;G47&amp;", z: "&amp;H47&amp;", details: "&amp;CHAR(34)&amp;I47&amp;CHAR(34)&amp;" },"</f>
        <v>{ name: "Hyrule Castle First Gatehouse Korok #06", landmark: "Korok x1", type: "Complete the Cube Puzzle", region: 1, level: "Surface", x: -344, y: 786, z: 59, details: "" },</v>
      </c>
    </row>
    <row r="48" spans="1:10" x14ac:dyDescent="0.2">
      <c r="A48" s="2">
        <v>61</v>
      </c>
      <c r="B48" s="34" t="s">
        <v>3488</v>
      </c>
      <c r="C48" t="s">
        <v>2821</v>
      </c>
      <c r="D48" s="2">
        <v>1</v>
      </c>
      <c r="E48" s="2" t="s">
        <v>785</v>
      </c>
      <c r="F48" s="2">
        <v>-438</v>
      </c>
      <c r="G48" s="2">
        <v>1116</v>
      </c>
      <c r="H48" s="2">
        <v>27</v>
      </c>
      <c r="J48" t="str">
        <f>"{ name: "&amp;CHAR(34)&amp;B48&amp;CHAR(34)&amp;", landmark: "&amp;CHAR(34)&amp;IF(LEN(C48)=LEN(SUBSTITUTE(C48,"Transport","")),"Korok x1","Korok x2")&amp;CHAR(34)&amp;", type: "&amp;CHAR(34)&amp;C48&amp;CHAR(34)&amp;", region: "&amp;D48&amp;", level: "&amp;CHAR(34)&amp;E48&amp;CHAR(34)&amp;", x: "&amp;F48&amp;", y: "&amp;G48&amp;", z: "&amp;H48&amp;", details: "&amp;CHAR(34)&amp;I48&amp;CHAR(34)&amp;" },"</f>
        <v>{ name: "Hyrule Castle Lockup Korok", landmark: "Korok x1", type: "Shoot the Balloons", region: 1, level: "Surface", x: -438, y: 1116, z: 27, details: "" },</v>
      </c>
    </row>
    <row r="49" spans="1:10" x14ac:dyDescent="0.2">
      <c r="A49" s="2">
        <v>76</v>
      </c>
      <c r="B49" s="34" t="s">
        <v>3489</v>
      </c>
      <c r="C49" t="s">
        <v>2817</v>
      </c>
      <c r="D49" s="2">
        <v>1</v>
      </c>
      <c r="E49" s="2" t="s">
        <v>785</v>
      </c>
      <c r="F49" s="2">
        <v>-942</v>
      </c>
      <c r="G49" s="2">
        <v>820</v>
      </c>
      <c r="H49" s="2">
        <v>30</v>
      </c>
      <c r="I49" t="s">
        <v>2617</v>
      </c>
      <c r="J49" t="str">
        <f>"{ name: "&amp;CHAR(34)&amp;B49&amp;CHAR(34)&amp;", landmark: "&amp;CHAR(34)&amp;IF(LEN(C49)=LEN(SUBSTITUTE(C49,"Transport","")),"Korok x1","Korok x2")&amp;CHAR(34)&amp;", type: "&amp;CHAR(34)&amp;C49&amp;CHAR(34)&amp;", region: "&amp;D49&amp;", level: "&amp;CHAR(34)&amp;E49&amp;CHAR(34)&amp;", x: "&amp;F49&amp;", y: "&amp;G49&amp;", z: "&amp;H49&amp;", details: "&amp;CHAR(34)&amp;I49&amp;CHAR(34)&amp;" },"</f>
        <v>{ name: "Hyrule Castle Moat West Korok #01", landmark: "Korok x1", type: "Reach the Target Ring", region: 1, level: "Surface", x: -942, y: 820, z: 30, details: "Starts at (-948, 682, 56)" },</v>
      </c>
    </row>
    <row r="50" spans="1:10" x14ac:dyDescent="0.2">
      <c r="A50" s="2">
        <v>86</v>
      </c>
      <c r="B50" s="34" t="s">
        <v>3490</v>
      </c>
      <c r="C50" t="s">
        <v>2812</v>
      </c>
      <c r="D50" s="2">
        <v>1</v>
      </c>
      <c r="E50" s="2" t="s">
        <v>785</v>
      </c>
      <c r="F50" s="2">
        <v>-530</v>
      </c>
      <c r="G50" s="2">
        <v>694</v>
      </c>
      <c r="H50" s="2">
        <v>35</v>
      </c>
      <c r="J50" t="str">
        <f>"{ name: "&amp;CHAR(34)&amp;B50&amp;CHAR(34)&amp;", landmark: "&amp;CHAR(34)&amp;IF(LEN(C50)=LEN(SUBSTITUTE(C50,"Transport","")),"Korok x1","Korok x2")&amp;CHAR(34)&amp;", type: "&amp;CHAR(34)&amp;C50&amp;CHAR(34)&amp;", region: "&amp;D50&amp;", level: "&amp;CHAR(34)&amp;E50&amp;CHAR(34)&amp;", x: "&amp;F50&amp;", y: "&amp;G50&amp;", z: "&amp;H50&amp;", details: "&amp;CHAR(34)&amp;I50&amp;CHAR(34)&amp;" },"</f>
        <v>{ name: "Hyrule Castle Moat West Korok #02", landmark: "Korok x1", type: "Lift the Rock", region: 1, level: "Surface", x: -530, y: 694, z: 35, details: "" },</v>
      </c>
    </row>
    <row r="51" spans="1:10" x14ac:dyDescent="0.2">
      <c r="A51" s="2">
        <v>60</v>
      </c>
      <c r="B51" s="34" t="s">
        <v>3491</v>
      </c>
      <c r="C51" t="s">
        <v>2801</v>
      </c>
      <c r="D51" s="2">
        <v>1</v>
      </c>
      <c r="E51" s="2" t="s">
        <v>785</v>
      </c>
      <c r="F51" s="2">
        <v>-124</v>
      </c>
      <c r="G51" s="2">
        <v>1193</v>
      </c>
      <c r="H51" s="2">
        <v>37</v>
      </c>
      <c r="J51" t="str">
        <f>"{ name: "&amp;CHAR(34)&amp;B51&amp;CHAR(34)&amp;", landmark: "&amp;CHAR(34)&amp;IF(LEN(C51)=LEN(SUBSTITUTE(C51,"Transport","")),"Korok x1","Korok x2")&amp;CHAR(34)&amp;", type: "&amp;CHAR(34)&amp;C51&amp;CHAR(34)&amp;", region: "&amp;D51&amp;", level: "&amp;CHAR(34)&amp;E51&amp;CHAR(34)&amp;", x: "&amp;F51&amp;", y: "&amp;G51&amp;", z: "&amp;H51&amp;", details: "&amp;CHAR(34)&amp;I51&amp;CHAR(34)&amp;" },"</f>
        <v>{ name: "Hyrule Castle North Korok", landmark: "Korok x1", type: "Break the Acorn Pot", region: 1, level: "Surface", x: -124, y: 1193, z: 37, details: "" },</v>
      </c>
    </row>
    <row r="52" spans="1:10" x14ac:dyDescent="0.2">
      <c r="A52" s="2">
        <v>84</v>
      </c>
      <c r="B52" s="34" t="s">
        <v>3492</v>
      </c>
      <c r="C52" t="s">
        <v>2821</v>
      </c>
      <c r="D52" s="2">
        <v>1</v>
      </c>
      <c r="E52" s="2" t="s">
        <v>785</v>
      </c>
      <c r="F52" s="2">
        <v>-273</v>
      </c>
      <c r="G52" s="2">
        <v>746</v>
      </c>
      <c r="H52" s="2">
        <v>135</v>
      </c>
      <c r="J52" t="str">
        <f>"{ name: "&amp;CHAR(34)&amp;B52&amp;CHAR(34)&amp;", landmark: "&amp;CHAR(34)&amp;IF(LEN(C52)=LEN(SUBSTITUTE(C52,"Transport","")),"Korok x1","Korok x2")&amp;CHAR(34)&amp;", type: "&amp;CHAR(34)&amp;C52&amp;CHAR(34)&amp;", region: "&amp;D52&amp;", level: "&amp;CHAR(34)&amp;E52&amp;CHAR(34)&amp;", x: "&amp;F52&amp;", y: "&amp;G52&amp;", z: "&amp;H52&amp;", details: "&amp;CHAR(34)&amp;I52&amp;CHAR(34)&amp;" },"</f>
        <v>{ name: "Hyrule Castle Observation Room Korok", landmark: "Korok x1", type: "Shoot the Balloons", region: 1, level: "Surface", x: -273, y: 746, z: 135, details: "" },</v>
      </c>
    </row>
    <row r="53" spans="1:10" x14ac:dyDescent="0.2">
      <c r="A53" s="2">
        <v>66</v>
      </c>
      <c r="B53" s="34" t="s">
        <v>3493</v>
      </c>
      <c r="C53" t="s">
        <v>2825</v>
      </c>
      <c r="D53" s="2">
        <v>1</v>
      </c>
      <c r="E53" s="2" t="s">
        <v>785</v>
      </c>
      <c r="F53" s="2">
        <v>-254</v>
      </c>
      <c r="G53" s="2">
        <v>1059</v>
      </c>
      <c r="H53" s="2">
        <v>563</v>
      </c>
      <c r="J53" t="str">
        <f>"{ name: "&amp;CHAR(34)&amp;B53&amp;CHAR(34)&amp;", landmark: "&amp;CHAR(34)&amp;IF(LEN(C53)=LEN(SUBSTITUTE(C53,"Transport","")),"Korok x1","Korok x2")&amp;CHAR(34)&amp;", type: "&amp;CHAR(34)&amp;C53&amp;CHAR(34)&amp;", region: "&amp;D53&amp;", level: "&amp;CHAR(34)&amp;E53&amp;CHAR(34)&amp;", x: "&amp;F53&amp;", y: "&amp;G53&amp;", z: "&amp;H53&amp;", details: "&amp;CHAR(34)&amp;I53&amp;CHAR(34)&amp;" },"</f>
        <v>{ name: "Hyrule Castle Sanctum Korok #01", landmark: "Korok x1", type: "Climb and Examine the Fairy Lights", region: 1, level: "Surface", x: -254, y: 1059, z: 563, details: "" },</v>
      </c>
    </row>
    <row r="54" spans="1:10" x14ac:dyDescent="0.2">
      <c r="A54" s="2">
        <v>70</v>
      </c>
      <c r="B54" s="34" t="s">
        <v>3494</v>
      </c>
      <c r="C54" t="s">
        <v>2812</v>
      </c>
      <c r="D54" s="2">
        <v>1</v>
      </c>
      <c r="E54" s="2" t="s">
        <v>785</v>
      </c>
      <c r="F54" s="2">
        <v>-254</v>
      </c>
      <c r="G54" s="2">
        <v>944</v>
      </c>
      <c r="H54" s="2">
        <v>306</v>
      </c>
      <c r="J54" t="str">
        <f>"{ name: "&amp;CHAR(34)&amp;B54&amp;CHAR(34)&amp;", landmark: "&amp;CHAR(34)&amp;IF(LEN(C54)=LEN(SUBSTITUTE(C54,"Transport","")),"Korok x1","Korok x2")&amp;CHAR(34)&amp;", type: "&amp;CHAR(34)&amp;C54&amp;CHAR(34)&amp;", region: "&amp;D54&amp;", level: "&amp;CHAR(34)&amp;E54&amp;CHAR(34)&amp;", x: "&amp;F54&amp;", y: "&amp;G54&amp;", z: "&amp;H54&amp;", details: "&amp;CHAR(34)&amp;I54&amp;CHAR(34)&amp;" },"</f>
        <v>{ name: "Hyrule Castle Sanctum Korok #02", landmark: "Korok x1", type: "Lift the Rock", region: 1, level: "Surface", x: -254, y: 944, z: 306, details: "" },</v>
      </c>
    </row>
    <row r="55" spans="1:10" x14ac:dyDescent="0.2">
      <c r="A55" s="2">
        <v>898</v>
      </c>
      <c r="B55" s="34" t="s">
        <v>3495</v>
      </c>
      <c r="C55" t="s">
        <v>2820</v>
      </c>
      <c r="D55" s="2">
        <v>1</v>
      </c>
      <c r="E55" s="2" t="s">
        <v>785</v>
      </c>
      <c r="F55" s="2">
        <v>-254</v>
      </c>
      <c r="G55" s="2">
        <v>1067</v>
      </c>
      <c r="H55" s="2">
        <v>470</v>
      </c>
      <c r="J55" t="str">
        <f>"{ name: "&amp;CHAR(34)&amp;B55&amp;CHAR(34)&amp;", landmark: "&amp;CHAR(34)&amp;IF(LEN(C55)=LEN(SUBSTITUTE(C55,"Transport","")),"Korok x1","Korok x2")&amp;CHAR(34)&amp;", type: "&amp;CHAR(34)&amp;C55&amp;CHAR(34)&amp;", region: "&amp;D55&amp;", level: "&amp;CHAR(34)&amp;E55&amp;CHAR(34)&amp;", x: "&amp;F55&amp;", y: "&amp;G55&amp;", z: "&amp;H55&amp;", details: "&amp;CHAR(34)&amp;I55&amp;CHAR(34)&amp;" },"</f>
        <v>{ name: "Hyrule Castle Sanctum Korok #03", landmark: "Korok x1", type: "Ring the Bell", region: 1, level: "Surface", x: -254, y: 1067, z: 470, details: "" },</v>
      </c>
    </row>
    <row r="56" spans="1:10" x14ac:dyDescent="0.2">
      <c r="A56" s="2">
        <v>101</v>
      </c>
      <c r="B56" s="34" t="s">
        <v>3496</v>
      </c>
      <c r="C56" t="s">
        <v>2811</v>
      </c>
      <c r="D56" s="2">
        <v>1</v>
      </c>
      <c r="E56" s="2" t="s">
        <v>785</v>
      </c>
      <c r="F56" s="2">
        <v>-428</v>
      </c>
      <c r="G56" s="2">
        <v>249</v>
      </c>
      <c r="H56" s="2">
        <v>39</v>
      </c>
      <c r="I56" t="s">
        <v>2748</v>
      </c>
      <c r="J56" t="str">
        <f>"{ name: "&amp;CHAR(34)&amp;B56&amp;CHAR(34)&amp;", landmark: "&amp;CHAR(34)&amp;IF(LEN(C56)=LEN(SUBSTITUTE(C56,"Transport","")),"Korok x1","Korok x2")&amp;CHAR(34)&amp;", type: "&amp;CHAR(34)&amp;C56&amp;CHAR(34)&amp;", region: "&amp;D56&amp;", level: "&amp;CHAR(34)&amp;E56&amp;CHAR(34)&amp;", x: "&amp;F56&amp;", y: "&amp;G56&amp;", z: "&amp;H56&amp;", details: "&amp;CHAR(34)&amp;I56&amp;CHAR(34)&amp;" },"</f>
        <v>{ name: "Hyrule Castle Town Outer Wall Korok", landmark: "Korok x1", type: "Follow the Yellow Flowers", region: 1, level: "Surface", x: -428, y: 249, z: 39, details: "Starts at (-527, 188, 63)" },</v>
      </c>
    </row>
    <row r="57" spans="1:10" x14ac:dyDescent="0.2">
      <c r="A57" s="2">
        <v>67</v>
      </c>
      <c r="B57" s="34" t="s">
        <v>3497</v>
      </c>
      <c r="C57" t="s">
        <v>2822</v>
      </c>
      <c r="D57" s="2">
        <v>1</v>
      </c>
      <c r="E57" s="2" t="s">
        <v>785</v>
      </c>
      <c r="F57" s="2">
        <v>-394</v>
      </c>
      <c r="G57" s="2">
        <v>999</v>
      </c>
      <c r="H57" s="2">
        <v>322</v>
      </c>
      <c r="J57" t="str">
        <f>"{ name: "&amp;CHAR(34)&amp;B57&amp;CHAR(34)&amp;", landmark: "&amp;CHAR(34)&amp;IF(LEN(C57)=LEN(SUBSTITUTE(C57,"Transport","")),"Korok x1","Korok x2")&amp;CHAR(34)&amp;", type: "&amp;CHAR(34)&amp;C57&amp;CHAR(34)&amp;", region: "&amp;D57&amp;", level: "&amp;CHAR(34)&amp;E57&amp;CHAR(34)&amp;", x: "&amp;F57&amp;", y: "&amp;G57&amp;", z: "&amp;H57&amp;", details: "&amp;CHAR(34)&amp;I57&amp;CHAR(34)&amp;" },"</f>
        <v>{ name: "Hyrule Castle Zelda's Study Korok #01", landmark: "Korok x1", type: "Shoot the Hidden Balloon", region: 1, level: "Surface", x: -394, y: 999, z: 322, details: "" },</v>
      </c>
    </row>
    <row r="58" spans="1:10" x14ac:dyDescent="0.2">
      <c r="A58" s="2">
        <v>68</v>
      </c>
      <c r="B58" s="34" t="s">
        <v>3498</v>
      </c>
      <c r="C58" t="s">
        <v>2825</v>
      </c>
      <c r="D58" s="2">
        <v>1</v>
      </c>
      <c r="E58" s="2" t="s">
        <v>785</v>
      </c>
      <c r="F58" s="2">
        <v>-381</v>
      </c>
      <c r="G58" s="2">
        <v>996</v>
      </c>
      <c r="H58" s="2">
        <v>393</v>
      </c>
      <c r="J58" t="str">
        <f>"{ name: "&amp;CHAR(34)&amp;B58&amp;CHAR(34)&amp;", landmark: "&amp;CHAR(34)&amp;IF(LEN(C58)=LEN(SUBSTITUTE(C58,"Transport","")),"Korok x1","Korok x2")&amp;CHAR(34)&amp;", type: "&amp;CHAR(34)&amp;C58&amp;CHAR(34)&amp;", region: "&amp;D58&amp;", level: "&amp;CHAR(34)&amp;E58&amp;CHAR(34)&amp;", x: "&amp;F58&amp;", y: "&amp;G58&amp;", z: "&amp;H58&amp;", details: "&amp;CHAR(34)&amp;I58&amp;CHAR(34)&amp;" },"</f>
        <v>{ name: "Hyrule Castle Zelda's Study Korok #02", landmark: "Korok x1", type: "Climb and Examine the Fairy Lights", region: 1, level: "Surface", x: -381, y: 996, z: 393, details: "" },</v>
      </c>
    </row>
    <row r="59" spans="1:10" x14ac:dyDescent="0.2">
      <c r="A59" s="2">
        <v>90</v>
      </c>
      <c r="B59" s="34" t="s">
        <v>3499</v>
      </c>
      <c r="C59" t="s">
        <v>2801</v>
      </c>
      <c r="D59" s="2">
        <v>1</v>
      </c>
      <c r="E59" s="2" t="s">
        <v>785</v>
      </c>
      <c r="F59" s="2">
        <v>133</v>
      </c>
      <c r="G59" s="2">
        <v>600</v>
      </c>
      <c r="H59" s="2">
        <v>29</v>
      </c>
      <c r="J59" t="str">
        <f>"{ name: "&amp;CHAR(34)&amp;B59&amp;CHAR(34)&amp;", landmark: "&amp;CHAR(34)&amp;IF(LEN(C59)=LEN(SUBSTITUTE(C59,"Transport","")),"Korok x1","Korok x2")&amp;CHAR(34)&amp;", type: "&amp;CHAR(34)&amp;C59&amp;CHAR(34)&amp;", region: "&amp;D59&amp;", level: "&amp;CHAR(34)&amp;E59&amp;CHAR(34)&amp;", x: "&amp;F59&amp;", y: "&amp;G59&amp;", z: "&amp;H59&amp;", details: "&amp;CHAR(34)&amp;I59&amp;CHAR(34)&amp;" },"</f>
        <v>{ name: "Hyrule Cathedral Korok", landmark: "Korok x1", type: "Break the Acorn Pot", region: 1, level: "Surface", x: 133, y: 600, z: 29, details: "" },</v>
      </c>
    </row>
    <row r="60" spans="1:10" x14ac:dyDescent="0.2">
      <c r="A60" s="2">
        <v>75</v>
      </c>
      <c r="B60" s="34" t="s">
        <v>3500</v>
      </c>
      <c r="C60" t="s">
        <v>2824</v>
      </c>
      <c r="D60" s="2">
        <v>1</v>
      </c>
      <c r="E60" s="2" t="s">
        <v>785</v>
      </c>
      <c r="F60" s="2">
        <v>192</v>
      </c>
      <c r="G60" s="2">
        <v>897</v>
      </c>
      <c r="H60" s="2">
        <v>27</v>
      </c>
      <c r="J60" t="str">
        <f>"{ name: "&amp;CHAR(34)&amp;B60&amp;CHAR(34)&amp;", landmark: "&amp;CHAR(34)&amp;IF(LEN(C60)=LEN(SUBSTITUTE(C60,"Transport","")),"Korok x1","Korok x2")&amp;CHAR(34)&amp;", type: "&amp;CHAR(34)&amp;C60&amp;CHAR(34)&amp;", region: "&amp;D60&amp;", level: "&amp;CHAR(34)&amp;E60&amp;CHAR(34)&amp;", x: "&amp;F60&amp;", y: "&amp;G60&amp;", z: "&amp;H60&amp;", details: "&amp;CHAR(34)&amp;I60&amp;CHAR(34)&amp;" },"</f>
        <v>{ name: "Hyrule Forest Park Korok #01", landmark: "Korok x1", type: "Catch the Moving Sparkle", region: 1, level: "Surface", x: 192, y: 897, z: 27, details: "" },</v>
      </c>
    </row>
    <row r="61" spans="1:10" x14ac:dyDescent="0.2">
      <c r="A61" s="2">
        <v>118</v>
      </c>
      <c r="B61" s="34" t="s">
        <v>3502</v>
      </c>
      <c r="C61" t="s">
        <v>2812</v>
      </c>
      <c r="D61" s="2">
        <v>1</v>
      </c>
      <c r="E61" s="2" t="s">
        <v>785</v>
      </c>
      <c r="F61" s="2">
        <v>-589</v>
      </c>
      <c r="G61" s="2">
        <v>-559</v>
      </c>
      <c r="H61" s="2">
        <v>25</v>
      </c>
      <c r="J61" t="str">
        <f>"{ name: "&amp;CHAR(34)&amp;B61&amp;CHAR(34)&amp;", landmark: "&amp;CHAR(34)&amp;IF(LEN(C61)=LEN(SUBSTITUTE(C61,"Transport","")),"Korok x1","Korok x2")&amp;CHAR(34)&amp;", type: "&amp;CHAR(34)&amp;C61&amp;CHAR(34)&amp;", region: "&amp;D61&amp;", level: "&amp;CHAR(34)&amp;E61&amp;CHAR(34)&amp;", x: "&amp;F61&amp;", y: "&amp;G61&amp;", z: "&amp;H61&amp;", details: "&amp;CHAR(34)&amp;I61&amp;CHAR(34)&amp;" },"</f>
        <v>{ name: "Hyrule Garrison Ruins Korok", landmark: "Korok x1", type: "Lift the Rock", region: 1, level: "Surface", x: -589, y: -559, z: 25, details: "" },</v>
      </c>
    </row>
    <row r="62" spans="1:10" x14ac:dyDescent="0.2">
      <c r="A62" s="2">
        <v>111</v>
      </c>
      <c r="B62" s="34" t="s">
        <v>3612</v>
      </c>
      <c r="C62" t="s">
        <v>2595</v>
      </c>
      <c r="D62" s="2">
        <v>1</v>
      </c>
      <c r="E62" s="2" t="s">
        <v>785</v>
      </c>
      <c r="F62" s="2">
        <v>617</v>
      </c>
      <c r="G62" s="2">
        <v>-76</v>
      </c>
      <c r="H62" s="2">
        <v>57</v>
      </c>
      <c r="J62" t="str">
        <f>"{ name: "&amp;CHAR(34)&amp;B62&amp;CHAR(34)&amp;", landmark: "&amp;CHAR(34)&amp;IF(LEN(C62)=LEN(SUBSTITUTE(C62,"Transport","")),"Korok x1","Korok x2")&amp;CHAR(34)&amp;", type: "&amp;CHAR(34)&amp;C62&amp;CHAR(34)&amp;", region: "&amp;D62&amp;", level: "&amp;CHAR(34)&amp;E62&amp;CHAR(34)&amp;", x: "&amp;F62&amp;", y: "&amp;G62&amp;", z: "&amp;H62&amp;", details: "&amp;CHAR(34)&amp;I62&amp;CHAR(34)&amp;" },"</f>
        <v>{ name: "Mabe Prairie Korok #01", landmark: "Korok x1", type: "Attack and catch the dandelion", region: 1, level: "Surface", x: 617, y: -76, z: 57, details: "" },</v>
      </c>
    </row>
    <row r="63" spans="1:10" x14ac:dyDescent="0.2">
      <c r="A63" s="2">
        <v>112</v>
      </c>
      <c r="B63" s="34" t="s">
        <v>3613</v>
      </c>
      <c r="C63" t="s">
        <v>2801</v>
      </c>
      <c r="D63" s="2">
        <v>1</v>
      </c>
      <c r="E63" s="2" t="s">
        <v>785</v>
      </c>
      <c r="F63" s="2">
        <v>290</v>
      </c>
      <c r="G63" s="2">
        <v>-247</v>
      </c>
      <c r="H63" s="2">
        <v>28</v>
      </c>
      <c r="J63" t="str">
        <f>"{ name: "&amp;CHAR(34)&amp;B63&amp;CHAR(34)&amp;", landmark: "&amp;CHAR(34)&amp;IF(LEN(C63)=LEN(SUBSTITUTE(C63,"Transport","")),"Korok x1","Korok x2")&amp;CHAR(34)&amp;", type: "&amp;CHAR(34)&amp;C63&amp;CHAR(34)&amp;", region: "&amp;D63&amp;", level: "&amp;CHAR(34)&amp;E63&amp;CHAR(34)&amp;", x: "&amp;F63&amp;", y: "&amp;G63&amp;", z: "&amp;H63&amp;", details: "&amp;CHAR(34)&amp;I63&amp;CHAR(34)&amp;" },"</f>
        <v>{ name: "Mabe Prairie Korok #02", landmark: "Korok x1", type: "Break the Acorn Pot", region: 1, level: "Surface", x: 290, y: -247, z: 28, details: "" },</v>
      </c>
    </row>
    <row r="64" spans="1:10" x14ac:dyDescent="0.2">
      <c r="A64" s="2">
        <v>85</v>
      </c>
      <c r="B64" s="34" t="s">
        <v>3638</v>
      </c>
      <c r="C64" t="s">
        <v>2822</v>
      </c>
      <c r="D64" s="2">
        <v>1</v>
      </c>
      <c r="E64" s="2" t="s">
        <v>785</v>
      </c>
      <c r="F64" s="2">
        <v>-613</v>
      </c>
      <c r="G64" s="2">
        <v>667</v>
      </c>
      <c r="H64" s="2">
        <v>13</v>
      </c>
      <c r="J64" t="str">
        <f>"{ name: "&amp;CHAR(34)&amp;B64&amp;CHAR(34)&amp;", landmark: "&amp;CHAR(34)&amp;IF(LEN(C64)=LEN(SUBSTITUTE(C64,"Transport","")),"Korok x1","Korok x2")&amp;CHAR(34)&amp;", type: "&amp;CHAR(34)&amp;C64&amp;CHAR(34)&amp;", region: "&amp;D64&amp;", level: "&amp;CHAR(34)&amp;E64&amp;CHAR(34)&amp;", x: "&amp;F64&amp;", y: "&amp;G64&amp;", z: "&amp;H64&amp;", details: "&amp;CHAR(34)&amp;I64&amp;CHAR(34)&amp;" },"</f>
        <v>{ name: "Moat Bridge Korok", landmark: "Korok x1", type: "Shoot the Hidden Balloon", region: 1, level: "Surface", x: -613, y: 667, z: 13, details: "" },</v>
      </c>
    </row>
    <row r="65" spans="1:10" x14ac:dyDescent="0.2">
      <c r="A65" s="2">
        <v>116</v>
      </c>
      <c r="B65" s="34" t="s">
        <v>3641</v>
      </c>
      <c r="C65" t="s">
        <v>2801</v>
      </c>
      <c r="D65" s="2">
        <v>1</v>
      </c>
      <c r="E65" s="2" t="s">
        <v>785</v>
      </c>
      <c r="F65" s="2">
        <v>-1089</v>
      </c>
      <c r="G65" s="2">
        <v>-514</v>
      </c>
      <c r="H65" s="2">
        <v>61</v>
      </c>
      <c r="J65" t="str">
        <f>"{ name: "&amp;CHAR(34)&amp;B65&amp;CHAR(34)&amp;", landmark: "&amp;CHAR(34)&amp;IF(LEN(C65)=LEN(SUBSTITUTE(C65,"Transport","")),"Korok x1","Korok x2")&amp;CHAR(34)&amp;", type: "&amp;CHAR(34)&amp;C65&amp;CHAR(34)&amp;", region: "&amp;D65&amp;", level: "&amp;CHAR(34)&amp;E65&amp;CHAR(34)&amp;", x: "&amp;F65&amp;", y: "&amp;G65&amp;", z: "&amp;H65&amp;", details: "&amp;CHAR(34)&amp;I65&amp;CHAR(34)&amp;" },"</f>
        <v>{ name: "Mount Daphnes Korok #01", landmark: "Korok x1", type: "Break the Acorn Pot", region: 1, level: "Surface", x: -1089, y: -514, z: 61, details: "" },</v>
      </c>
    </row>
    <row r="66" spans="1:10" x14ac:dyDescent="0.2">
      <c r="A66" s="2">
        <v>117</v>
      </c>
      <c r="B66" s="34" t="s">
        <v>3642</v>
      </c>
      <c r="C66" t="s">
        <v>2808</v>
      </c>
      <c r="D66" s="2">
        <v>1</v>
      </c>
      <c r="E66" s="2" t="s">
        <v>785</v>
      </c>
      <c r="F66" s="2">
        <v>-1112</v>
      </c>
      <c r="G66" s="2">
        <v>-571</v>
      </c>
      <c r="H66" s="2">
        <v>95</v>
      </c>
      <c r="J66" t="str">
        <f>"{ name: "&amp;CHAR(34)&amp;B66&amp;CHAR(34)&amp;", landmark: "&amp;CHAR(34)&amp;IF(LEN(C66)=LEN(SUBSTITUTE(C66,"Transport","")),"Korok x1","Korok x2")&amp;CHAR(34)&amp;", type: "&amp;CHAR(34)&amp;C66&amp;CHAR(34)&amp;", region: "&amp;D66&amp;", level: "&amp;CHAR(34)&amp;E66&amp;CHAR(34)&amp;", x: "&amp;F66&amp;", y: "&amp;G66&amp;", z: "&amp;H66&amp;", details: "&amp;CHAR(34)&amp;I66&amp;CHAR(34)&amp;" },"</f>
        <v>{ name: "Mount Daphnes Korok #02", landmark: "Korok x1", type: "Complete the Rock Pattern", region: 1, level: "Surface", x: -1112, y: -571, z: 95, details: "" },</v>
      </c>
    </row>
    <row r="67" spans="1:10" x14ac:dyDescent="0.2">
      <c r="A67" s="2">
        <v>98</v>
      </c>
      <c r="B67" s="34" t="s">
        <v>3655</v>
      </c>
      <c r="C67" t="s">
        <v>2826</v>
      </c>
      <c r="D67" s="2">
        <v>1</v>
      </c>
      <c r="E67" s="2" t="s">
        <v>785</v>
      </c>
      <c r="F67" s="2">
        <v>-945</v>
      </c>
      <c r="G67" s="2">
        <v>348</v>
      </c>
      <c r="H67" s="2">
        <v>36</v>
      </c>
      <c r="J67" t="str">
        <f>"{ name: "&amp;CHAR(34)&amp;B67&amp;CHAR(34)&amp;", landmark: "&amp;CHAR(34)&amp;IF(LEN(C67)=LEN(SUBSTITUTE(C67,"Transport","")),"Korok x1","Korok x2")&amp;CHAR(34)&amp;", type: "&amp;CHAR(34)&amp;C67&amp;CHAR(34)&amp;", region: "&amp;D67&amp;", level: "&amp;CHAR(34)&amp;E67&amp;CHAR(34)&amp;", x: "&amp;F67&amp;", y: "&amp;G67&amp;", z: "&amp;H67&amp;", details: "&amp;CHAR(34)&amp;I67&amp;CHAR(34)&amp;" },"</f>
        <v>{ name: "Mount Gustaf Korok #01", landmark: "Korok x1", type: "Ascend Through the Marker", region: 1, level: "Surface", x: -945, y: 348, z: 36, details: "" },</v>
      </c>
    </row>
    <row r="68" spans="1:10" x14ac:dyDescent="0.2">
      <c r="A68" s="2">
        <v>100</v>
      </c>
      <c r="B68" s="34" t="s">
        <v>3656</v>
      </c>
      <c r="C68" t="s">
        <v>2801</v>
      </c>
      <c r="D68" s="2">
        <v>1</v>
      </c>
      <c r="E68" s="2" t="s">
        <v>785</v>
      </c>
      <c r="F68" s="2">
        <v>-748</v>
      </c>
      <c r="G68" s="2">
        <v>200</v>
      </c>
      <c r="H68" s="2">
        <v>31</v>
      </c>
      <c r="J68" t="str">
        <f>"{ name: "&amp;CHAR(34)&amp;B68&amp;CHAR(34)&amp;", landmark: "&amp;CHAR(34)&amp;IF(LEN(C68)=LEN(SUBSTITUTE(C68,"Transport","")),"Korok x1","Korok x2")&amp;CHAR(34)&amp;", type: "&amp;CHAR(34)&amp;C68&amp;CHAR(34)&amp;", region: "&amp;D68&amp;", level: "&amp;CHAR(34)&amp;E68&amp;CHAR(34)&amp;", x: "&amp;F68&amp;", y: "&amp;G68&amp;", z: "&amp;H68&amp;", details: "&amp;CHAR(34)&amp;I68&amp;CHAR(34)&amp;" },"</f>
        <v>{ name: "Mount Gustaf Korok #02", landmark: "Korok x1", type: "Break the Acorn Pot", region: 1, level: "Surface", x: -748, y: 200, z: 31, details: "" },</v>
      </c>
    </row>
    <row r="69" spans="1:10" x14ac:dyDescent="0.2">
      <c r="A69" s="2">
        <v>64</v>
      </c>
      <c r="B69" s="34" t="s">
        <v>3689</v>
      </c>
      <c r="C69" t="s">
        <v>2827</v>
      </c>
      <c r="D69" s="2">
        <v>1</v>
      </c>
      <c r="E69" s="2" t="s">
        <v>785</v>
      </c>
      <c r="F69" s="2">
        <v>-892</v>
      </c>
      <c r="G69" s="2">
        <v>1037</v>
      </c>
      <c r="H69" s="2">
        <v>13</v>
      </c>
      <c r="I69" t="s">
        <v>2747</v>
      </c>
      <c r="J69" t="str">
        <f>"{ name: "&amp;CHAR(34)&amp;B69&amp;CHAR(34)&amp;", landmark: "&amp;CHAR(34)&amp;IF(LEN(C69)=LEN(SUBSTITUTE(C69,"Transport","")),"Korok x1","Korok x2")&amp;CHAR(34)&amp;", type: "&amp;CHAR(34)&amp;C69&amp;CHAR(34)&amp;", region: "&amp;D69&amp;", level: "&amp;CHAR(34)&amp;E69&amp;CHAR(34)&amp;", x: "&amp;F69&amp;", y: "&amp;G69&amp;", z: "&amp;H69&amp;", details: "&amp;CHAR(34)&amp;I69&amp;CHAR(34)&amp;" },"</f>
        <v>{ name: "North Hyrule Plain Korok #01", landmark: "Korok x1", type: "Paraglide to the Goal", region: 1, level: "Surface", x: -892, y: 1037, z: 13, details: "Starts at (-1035, 1083, 62)" },</v>
      </c>
    </row>
    <row r="70" spans="1:10" x14ac:dyDescent="0.2">
      <c r="A70" s="2">
        <v>104</v>
      </c>
      <c r="B70" s="34" t="s">
        <v>3740</v>
      </c>
      <c r="C70" t="s">
        <v>2812</v>
      </c>
      <c r="D70" s="2">
        <v>1</v>
      </c>
      <c r="E70" s="2" t="s">
        <v>785</v>
      </c>
      <c r="F70" s="2">
        <v>-924</v>
      </c>
      <c r="G70" s="2">
        <v>-45</v>
      </c>
      <c r="H70" s="2">
        <v>107</v>
      </c>
      <c r="J70" t="str">
        <f>"{ name: "&amp;CHAR(34)&amp;B70&amp;CHAR(34)&amp;", landmark: "&amp;CHAR(34)&amp;IF(LEN(C70)=LEN(SUBSTITUTE(C70,"Transport","")),"Korok x1","Korok x2")&amp;CHAR(34)&amp;", type: "&amp;CHAR(34)&amp;C70&amp;CHAR(34)&amp;", region: "&amp;D70&amp;", level: "&amp;CHAR(34)&amp;E70&amp;CHAR(34)&amp;", x: "&amp;F70&amp;", y: "&amp;G70&amp;", z: "&amp;H70&amp;", details: "&amp;CHAR(34)&amp;I70&amp;CHAR(34)&amp;" },"</f>
        <v>{ name: "Passeri Greenbelt Korok #01", landmark: "Korok x1", type: "Lift the Rock", region: 1, level: "Surface", x: -924, y: -45, z: 107, details: "" },</v>
      </c>
    </row>
    <row r="71" spans="1:10" x14ac:dyDescent="0.2">
      <c r="A71" s="2">
        <v>106</v>
      </c>
      <c r="B71" s="34" t="s">
        <v>3741</v>
      </c>
      <c r="C71" t="s">
        <v>2822</v>
      </c>
      <c r="D71" s="2">
        <v>1</v>
      </c>
      <c r="E71" s="2" t="s">
        <v>785</v>
      </c>
      <c r="F71" s="2">
        <v>-795</v>
      </c>
      <c r="G71" s="2">
        <v>-14</v>
      </c>
      <c r="H71" s="2">
        <v>71</v>
      </c>
      <c r="J71" t="str">
        <f>"{ name: "&amp;CHAR(34)&amp;B71&amp;CHAR(34)&amp;", landmark: "&amp;CHAR(34)&amp;IF(LEN(C71)=LEN(SUBSTITUTE(C71,"Transport","")),"Korok x1","Korok x2")&amp;CHAR(34)&amp;", type: "&amp;CHAR(34)&amp;C71&amp;CHAR(34)&amp;", region: "&amp;D71&amp;", level: "&amp;CHAR(34)&amp;E71&amp;CHAR(34)&amp;", x: "&amp;F71&amp;", y: "&amp;G71&amp;", z: "&amp;H71&amp;", details: "&amp;CHAR(34)&amp;I71&amp;CHAR(34)&amp;" },"</f>
        <v>{ name: "Passeri Greenbelt Korok #02", landmark: "Korok x1", type: "Shoot the Hidden Balloon", region: 1, level: "Surface", x: -795, y: -14, z: 71, details: "" },</v>
      </c>
    </row>
    <row r="72" spans="1:10" x14ac:dyDescent="0.2">
      <c r="A72" s="2">
        <v>110</v>
      </c>
      <c r="B72" s="34" t="s">
        <v>3742</v>
      </c>
      <c r="C72" t="s">
        <v>2821</v>
      </c>
      <c r="D72" s="2">
        <v>1</v>
      </c>
      <c r="E72" s="2" t="s">
        <v>785</v>
      </c>
      <c r="F72" s="2">
        <v>-426</v>
      </c>
      <c r="G72" s="2">
        <v>-147</v>
      </c>
      <c r="H72" s="2">
        <v>32</v>
      </c>
      <c r="J72" t="str">
        <f>"{ name: "&amp;CHAR(34)&amp;B72&amp;CHAR(34)&amp;", landmark: "&amp;CHAR(34)&amp;IF(LEN(C72)=LEN(SUBSTITUTE(C72,"Transport","")),"Korok x1","Korok x2")&amp;CHAR(34)&amp;", type: "&amp;CHAR(34)&amp;C72&amp;CHAR(34)&amp;", region: "&amp;D72&amp;", level: "&amp;CHAR(34)&amp;E72&amp;CHAR(34)&amp;", x: "&amp;F72&amp;", y: "&amp;G72&amp;", z: "&amp;H72&amp;", details: "&amp;CHAR(34)&amp;I72&amp;CHAR(34)&amp;" },"</f>
        <v>{ name: "Passeri Greenbelt Korok #03", landmark: "Korok x1", type: "Shoot the Balloons", region: 1, level: "Surface", x: -426, y: -147, z: 32, details: "" },</v>
      </c>
    </row>
    <row r="73" spans="1:10" x14ac:dyDescent="0.2">
      <c r="A73" s="2">
        <v>92</v>
      </c>
      <c r="B73" s="34" t="s">
        <v>3762</v>
      </c>
      <c r="C73" t="s">
        <v>2824</v>
      </c>
      <c r="D73" s="2">
        <v>1</v>
      </c>
      <c r="E73" s="2" t="s">
        <v>785</v>
      </c>
      <c r="F73" s="2">
        <v>-797</v>
      </c>
      <c r="G73" s="2">
        <v>559</v>
      </c>
      <c r="H73" s="2">
        <v>83</v>
      </c>
      <c r="J73" t="str">
        <f>"{ name: "&amp;CHAR(34)&amp;B73&amp;CHAR(34)&amp;", landmark: "&amp;CHAR(34)&amp;IF(LEN(C73)=LEN(SUBSTITUTE(C73,"Transport","")),"Korok x1","Korok x2")&amp;CHAR(34)&amp;", type: "&amp;CHAR(34)&amp;C73&amp;CHAR(34)&amp;", region: "&amp;D73&amp;", level: "&amp;CHAR(34)&amp;E73&amp;CHAR(34)&amp;", x: "&amp;F73&amp;", y: "&amp;G73&amp;", z: "&amp;H73&amp;", details: "&amp;CHAR(34)&amp;I73&amp;CHAR(34)&amp;" },"</f>
        <v>{ name: "Quarry Ruins Korok", landmark: "Korok x1", type: "Catch the Moving Sparkle", region: 1, level: "Surface", x: -797, y: 559, z: 83, details: "" },</v>
      </c>
    </row>
    <row r="74" spans="1:10" x14ac:dyDescent="0.2">
      <c r="A74" s="2">
        <v>115</v>
      </c>
      <c r="B74" s="34" t="s">
        <v>3770</v>
      </c>
      <c r="C74" t="s">
        <v>2804</v>
      </c>
      <c r="D74" s="2">
        <v>1</v>
      </c>
      <c r="E74" s="2" t="s">
        <v>785</v>
      </c>
      <c r="F74" s="2">
        <v>75</v>
      </c>
      <c r="G74" s="2">
        <v>-327</v>
      </c>
      <c r="H74" s="2">
        <v>35</v>
      </c>
      <c r="J74" t="str">
        <f>"{ name: "&amp;CHAR(34)&amp;B74&amp;CHAR(34)&amp;", landmark: "&amp;CHAR(34)&amp;IF(LEN(C74)=LEN(SUBSTITUTE(C74,"Transport","")),"Korok x1","Korok x2")&amp;CHAR(34)&amp;", type: "&amp;CHAR(34)&amp;C74&amp;CHAR(34)&amp;", region: "&amp;D74&amp;", level: "&amp;CHAR(34)&amp;E74&amp;CHAR(34)&amp;", x: "&amp;F74&amp;", y: "&amp;G74&amp;", z: "&amp;H74&amp;", details: "&amp;CHAR(34)&amp;I74&amp;CHAR(34)&amp;" },"</f>
        <v>{ name: "Ranch Ruins Korok", landmark: "Korok x1", type: "Burn the Leaves", region: 1, level: "Surface", x: 75, y: -327, z: 35, details: "" },</v>
      </c>
    </row>
    <row r="75" spans="1:10" x14ac:dyDescent="0.2">
      <c r="A75" s="2">
        <v>107</v>
      </c>
      <c r="B75" s="34" t="s">
        <v>3774</v>
      </c>
      <c r="C75" t="s">
        <v>2819</v>
      </c>
      <c r="D75" s="2">
        <v>1</v>
      </c>
      <c r="E75" s="2" t="s">
        <v>785</v>
      </c>
      <c r="F75" s="2">
        <v>762</v>
      </c>
      <c r="G75" s="2">
        <v>11</v>
      </c>
      <c r="H75" s="2">
        <v>32</v>
      </c>
      <c r="J75" t="str">
        <f>"{ name: "&amp;CHAR(34)&amp;B75&amp;CHAR(34)&amp;", landmark: "&amp;CHAR(34)&amp;IF(LEN(C75)=LEN(SUBSTITUTE(C75,"Transport","")),"Korok x1","Korok x2")&amp;CHAR(34)&amp;", type: "&amp;CHAR(34)&amp;C75&amp;CHAR(34)&amp;", region: "&amp;D75&amp;", level: "&amp;CHAR(34)&amp;E75&amp;CHAR(34)&amp;", x: "&amp;F75&amp;", y: "&amp;G75&amp;", z: "&amp;H75&amp;", details: "&amp;CHAR(34)&amp;I75&amp;CHAR(34)&amp;" },"</f>
        <v>{ name: "Rebonae Bridge Korok #01", landmark: "Korok x1", type: "Repair the Roof", region: 1, level: "Surface", x: 762, y: 11, z: 32, details: "" },</v>
      </c>
    </row>
    <row r="76" spans="1:10" x14ac:dyDescent="0.2">
      <c r="A76" s="2">
        <v>91</v>
      </c>
      <c r="B76" s="34" t="s">
        <v>3776</v>
      </c>
      <c r="C76" t="s">
        <v>2808</v>
      </c>
      <c r="D76" s="2">
        <v>1</v>
      </c>
      <c r="E76" s="2" t="s">
        <v>785</v>
      </c>
      <c r="F76" s="2">
        <v>-1017</v>
      </c>
      <c r="G76" s="2">
        <v>569</v>
      </c>
      <c r="H76" s="2">
        <v>11</v>
      </c>
      <c r="J76" t="str">
        <f>"{ name: "&amp;CHAR(34)&amp;B76&amp;CHAR(34)&amp;", landmark: "&amp;CHAR(34)&amp;IF(LEN(C76)=LEN(SUBSTITUTE(C76,"Transport","")),"Korok x1","Korok x2")&amp;CHAR(34)&amp;", type: "&amp;CHAR(34)&amp;C76&amp;CHAR(34)&amp;", region: "&amp;D76&amp;", level: "&amp;CHAR(34)&amp;E76&amp;CHAR(34)&amp;", x: "&amp;F76&amp;", y: "&amp;G76&amp;", z: "&amp;H76&amp;", details: "&amp;CHAR(34)&amp;I76&amp;CHAR(34)&amp;" },"</f>
        <v>{ name: "Regencia River Korok #01", landmark: "Korok x1", type: "Complete the Rock Pattern", region: 1, level: "Surface", x: -1017, y: 569, z: 11, details: "" },</v>
      </c>
    </row>
    <row r="77" spans="1:10" x14ac:dyDescent="0.2">
      <c r="A77" s="2">
        <v>105</v>
      </c>
      <c r="B77" s="34" t="s">
        <v>3777</v>
      </c>
      <c r="C77" t="s">
        <v>2816</v>
      </c>
      <c r="D77" s="2">
        <v>1</v>
      </c>
      <c r="E77" s="2" t="s">
        <v>785</v>
      </c>
      <c r="F77" s="2">
        <v>3</v>
      </c>
      <c r="G77" s="2">
        <v>3</v>
      </c>
      <c r="H77" s="2">
        <v>-106</v>
      </c>
      <c r="J77" t="str">
        <f>"{ name: "&amp;CHAR(34)&amp;B77&amp;CHAR(34)&amp;", landmark: "&amp;CHAR(34)&amp;IF(LEN(C77)=LEN(SUBSTITUTE(C77,"Transport","")),"Korok x1","Korok x2")&amp;CHAR(34)&amp;", type: "&amp;CHAR(34)&amp;C77&amp;CHAR(34)&amp;", region: "&amp;D77&amp;", level: "&amp;CHAR(34)&amp;E77&amp;CHAR(34)&amp;", x: "&amp;F77&amp;", y: "&amp;G77&amp;", z: "&amp;H77&amp;", details: "&amp;CHAR(34)&amp;I77&amp;CHAR(34)&amp;" },"</f>
        <v>{ name: "Regencia River Korok #02", landmark: "Korok x1", type: "Pull the Plug", region: 1, level: "Surface", x: 3, y: 3, z: -106, details: "" },</v>
      </c>
    </row>
    <row r="78" spans="1:10" x14ac:dyDescent="0.2">
      <c r="A78" s="2">
        <v>96</v>
      </c>
      <c r="B78" s="34" t="s">
        <v>3804</v>
      </c>
      <c r="C78" t="s">
        <v>2811</v>
      </c>
      <c r="D78" s="2">
        <v>1</v>
      </c>
      <c r="E78" s="2" t="s">
        <v>785</v>
      </c>
      <c r="F78" s="2">
        <v>384</v>
      </c>
      <c r="G78" s="2">
        <v>462</v>
      </c>
      <c r="H78" s="2">
        <v>55</v>
      </c>
      <c r="I78" t="s">
        <v>2751</v>
      </c>
      <c r="J78" t="str">
        <f>"{ name: "&amp;CHAR(34)&amp;B78&amp;CHAR(34)&amp;", landmark: "&amp;CHAR(34)&amp;IF(LEN(C78)=LEN(SUBSTITUTE(C78,"Transport","")),"Korok x1","Korok x2")&amp;CHAR(34)&amp;", type: "&amp;CHAR(34)&amp;C78&amp;CHAR(34)&amp;", region: "&amp;D78&amp;", level: "&amp;CHAR(34)&amp;E78&amp;CHAR(34)&amp;", x: "&amp;F78&amp;", y: "&amp;G78&amp;", z: "&amp;H78&amp;", details: "&amp;CHAR(34)&amp;I78&amp;CHAR(34)&amp;" },"</f>
        <v>{ name: "Romani Plains Korok", landmark: "Korok x1", type: "Follow the Yellow Flowers", region: 1, level: "Surface", x: 384, y: 462, z: 55, details: "Starts at (347, 493, 42)" },</v>
      </c>
    </row>
    <row r="79" spans="1:10" x14ac:dyDescent="0.2">
      <c r="A79" s="2">
        <v>108</v>
      </c>
      <c r="B79" s="34" t="s">
        <v>3817</v>
      </c>
      <c r="C79" t="s">
        <v>2807</v>
      </c>
      <c r="D79" s="2">
        <v>1</v>
      </c>
      <c r="E79" s="2" t="s">
        <v>785</v>
      </c>
      <c r="F79" s="2">
        <v>-1352</v>
      </c>
      <c r="G79" s="2">
        <v>-192</v>
      </c>
      <c r="H79" s="2">
        <v>17</v>
      </c>
      <c r="J79" t="str">
        <f>"{ name: "&amp;CHAR(34)&amp;B79&amp;CHAR(34)&amp;", landmark: "&amp;CHAR(34)&amp;IF(LEN(C79)=LEN(SUBSTITUTE(C79,"Transport","")),"Korok x1","Korok x2")&amp;CHAR(34)&amp;", type: "&amp;CHAR(34)&amp;C79&amp;CHAR(34)&amp;", region: "&amp;D79&amp;", level: "&amp;CHAR(34)&amp;E79&amp;CHAR(34)&amp;", x: "&amp;F79&amp;", y: "&amp;G79&amp;", z: "&amp;H79&amp;", details: "&amp;CHAR(34)&amp;I79&amp;CHAR(34)&amp;" },"</f>
        <v>{ name: "Sage Temple Ruins Korok", landmark: "Korok x1", type: "Complete the Cube Puzzle", region: 1, level: "Surface", x: -1352, y: -192, z: 17, details: "" },</v>
      </c>
    </row>
    <row r="80" spans="1:10" x14ac:dyDescent="0.2">
      <c r="A80" s="2">
        <v>93</v>
      </c>
      <c r="B80" s="34" t="s">
        <v>3998</v>
      </c>
      <c r="C80" t="s">
        <v>2807</v>
      </c>
      <c r="D80" s="2">
        <v>1</v>
      </c>
      <c r="E80" s="2" t="s">
        <v>785</v>
      </c>
      <c r="F80" s="2">
        <v>-665</v>
      </c>
      <c r="G80" s="2">
        <v>547</v>
      </c>
      <c r="H80" s="2">
        <v>28</v>
      </c>
      <c r="J80" t="str">
        <f>"{ name: "&amp;CHAR(34)&amp;B80&amp;CHAR(34)&amp;", landmark: "&amp;CHAR(34)&amp;IF(LEN(C80)=LEN(SUBSTITUTE(C80,"Transport","")),"Korok x1","Korok x2")&amp;CHAR(34)&amp;", type: "&amp;CHAR(34)&amp;C80&amp;CHAR(34)&amp;", region: "&amp;D80&amp;", level: "&amp;CHAR(34)&amp;E80&amp;CHAR(34)&amp;", x: "&amp;F80&amp;", y: "&amp;G80&amp;", z: "&amp;H80&amp;", details: "&amp;CHAR(34)&amp;I80&amp;CHAR(34)&amp;" },"</f>
        <v>{ name: "Water Reservoir Korok", landmark: "Korok x1", type: "Complete the Cube Puzzle", region: 1, level: "Surface", x: -665, y: 547, z: 28, details: "" },</v>
      </c>
    </row>
    <row r="81" spans="1:10" x14ac:dyDescent="0.2">
      <c r="A81" s="2">
        <v>114</v>
      </c>
      <c r="B81" s="34" t="s">
        <v>4029</v>
      </c>
      <c r="C81" t="s">
        <v>2812</v>
      </c>
      <c r="D81" s="2">
        <v>1</v>
      </c>
      <c r="E81" s="2" t="s">
        <v>785</v>
      </c>
      <c r="F81" s="2">
        <v>-218</v>
      </c>
      <c r="G81" s="2">
        <v>-383</v>
      </c>
      <c r="H81" s="2">
        <v>53</v>
      </c>
      <c r="J81" t="str">
        <f>"{ name: "&amp;CHAR(34)&amp;B81&amp;CHAR(34)&amp;", landmark: "&amp;CHAR(34)&amp;IF(LEN(C81)=LEN(SUBSTITUTE(C81,"Transport","")),"Korok x1","Korok x2")&amp;CHAR(34)&amp;", type: "&amp;CHAR(34)&amp;C81&amp;CHAR(34)&amp;", region: "&amp;D81&amp;", level: "&amp;CHAR(34)&amp;E81&amp;CHAR(34)&amp;", x: "&amp;F81&amp;", y: "&amp;G81&amp;", z: "&amp;H81&amp;", details: "&amp;CHAR(34)&amp;I81&amp;CHAR(34)&amp;" },"</f>
        <v>{ name: "Windvane Meadow Korok #01", landmark: "Korok x1", type: "Lift the Rock", region: 1, level: "Surface", x: -218, y: -383, z: 53, details: "" },</v>
      </c>
    </row>
    <row r="82" spans="1:10" x14ac:dyDescent="0.2">
      <c r="A82" s="2">
        <v>144</v>
      </c>
      <c r="B82" s="34" t="s">
        <v>3179</v>
      </c>
      <c r="C82" t="s">
        <v>2809</v>
      </c>
      <c r="D82" s="2">
        <v>2</v>
      </c>
      <c r="E82" s="2" t="s">
        <v>785</v>
      </c>
      <c r="F82" s="2">
        <v>-1149</v>
      </c>
      <c r="G82" s="2">
        <v>-1012</v>
      </c>
      <c r="H82" s="2">
        <v>6</v>
      </c>
      <c r="J82" t="str">
        <f>"{ name: "&amp;CHAR(34)&amp;B82&amp;CHAR(34)&amp;", landmark: "&amp;CHAR(34)&amp;IF(LEN(C82)=LEN(SUBSTITUTE(C82,"Transport","")),"Korok x1","Korok x2")&amp;CHAR(34)&amp;", type: "&amp;CHAR(34)&amp;C82&amp;CHAR(34)&amp;", region: "&amp;D82&amp;", level: "&amp;CHAR(34)&amp;E82&amp;CHAR(34)&amp;", x: "&amp;F82&amp;", y: "&amp;G82&amp;", z: "&amp;H82&amp;", details: "&amp;CHAR(34)&amp;I82&amp;CHAR(34)&amp;" },"</f>
        <v>{ name: "Aquame Bridge Korok", landmark: "Korok x1", type: "Dive into the Lily Ring", region: 2, level: "Surface", x: -1149, y: -1012, z: 6, details: "" },</v>
      </c>
    </row>
    <row r="83" spans="1:10" x14ac:dyDescent="0.2">
      <c r="A83" s="2">
        <v>196</v>
      </c>
      <c r="B83" s="34" t="s">
        <v>3213</v>
      </c>
      <c r="C83" t="s">
        <v>2812</v>
      </c>
      <c r="D83" s="2">
        <v>2</v>
      </c>
      <c r="E83" s="2" t="s">
        <v>785</v>
      </c>
      <c r="F83" s="2">
        <v>-103</v>
      </c>
      <c r="G83" s="2">
        <v>-2292</v>
      </c>
      <c r="H83" s="2">
        <v>71</v>
      </c>
      <c r="J83" t="str">
        <f>"{ name: "&amp;CHAR(34)&amp;B83&amp;CHAR(34)&amp;", landmark: "&amp;CHAR(34)&amp;IF(LEN(C83)=LEN(SUBSTITUTE(C83,"Transport","")),"Korok x1","Korok x2")&amp;CHAR(34)&amp;", type: "&amp;CHAR(34)&amp;C83&amp;CHAR(34)&amp;", region: "&amp;D83&amp;", level: "&amp;CHAR(34)&amp;E83&amp;CHAR(34)&amp;", x: "&amp;F83&amp;", y: "&amp;G83&amp;", z: "&amp;H83&amp;", details: "&amp;CHAR(34)&amp;I83&amp;CHAR(34)&amp;" },"</f>
        <v>{ name: "Bridge of Hylia Korok #01", landmark: "Korok x1", type: "Lift the Rock", region: 2, level: "Surface", x: -103, y: -2292, z: 71, details: "" },</v>
      </c>
    </row>
    <row r="84" spans="1:10" x14ac:dyDescent="0.2">
      <c r="A84" s="2">
        <v>157</v>
      </c>
      <c r="B84" s="34" t="s">
        <v>3238</v>
      </c>
      <c r="C84" t="s">
        <v>2595</v>
      </c>
      <c r="D84" s="2">
        <v>2</v>
      </c>
      <c r="E84" s="2" t="s">
        <v>785</v>
      </c>
      <c r="F84" s="2">
        <v>-1053</v>
      </c>
      <c r="G84" s="2">
        <v>-1328</v>
      </c>
      <c r="H84" s="2">
        <v>70</v>
      </c>
      <c r="J84" t="str">
        <f>"{ name: "&amp;CHAR(34)&amp;B84&amp;CHAR(34)&amp;", landmark: "&amp;CHAR(34)&amp;IF(LEN(C84)=LEN(SUBSTITUTE(C84,"Transport","")),"Korok x1","Korok x2")&amp;CHAR(34)&amp;", type: "&amp;CHAR(34)&amp;C84&amp;CHAR(34)&amp;", region: "&amp;D84&amp;", level: "&amp;CHAR(34)&amp;E84&amp;CHAR(34)&amp;", x: "&amp;F84&amp;", y: "&amp;G84&amp;", z: "&amp;H84&amp;", details: "&amp;CHAR(34)&amp;I84&amp;CHAR(34)&amp;" },"</f>
        <v>{ name: "Coliseum Ruins Korok", landmark: "Korok x1", type: "Attack and catch the dandelion", region: 2, level: "Surface", x: -1053, y: -1328, z: 70, details: "" },</v>
      </c>
    </row>
    <row r="85" spans="1:10" x14ac:dyDescent="0.2">
      <c r="A85" s="2">
        <v>148</v>
      </c>
      <c r="B85" s="34" t="s">
        <v>3252</v>
      </c>
      <c r="C85" t="s">
        <v>2826</v>
      </c>
      <c r="D85" s="2">
        <v>2</v>
      </c>
      <c r="E85" s="2" t="s">
        <v>785</v>
      </c>
      <c r="F85" s="2">
        <v>-2395</v>
      </c>
      <c r="G85" s="2">
        <v>-1034</v>
      </c>
      <c r="H85" s="2">
        <v>138</v>
      </c>
      <c r="J85" t="str">
        <f>"{ name: "&amp;CHAR(34)&amp;B85&amp;CHAR(34)&amp;", landmark: "&amp;CHAR(34)&amp;IF(LEN(C85)=LEN(SUBSTITUTE(C85,"Transport","")),"Korok x1","Korok x2")&amp;CHAR(34)&amp;", type: "&amp;CHAR(34)&amp;C85&amp;CHAR(34)&amp;", region: "&amp;D85&amp;", level: "&amp;CHAR(34)&amp;E85&amp;CHAR(34)&amp;", x: "&amp;F85&amp;", y: "&amp;G85&amp;", z: "&amp;H85&amp;", details: "&amp;CHAR(34)&amp;I85&amp;CHAR(34)&amp;" },"</f>
        <v>{ name: "Dalite Forest Korok #01", landmark: "Korok x1", type: "Ascend Through the Marker", region: 2, level: "Surface", x: -2395, y: -1034, z: 138, details: "" },</v>
      </c>
    </row>
    <row r="86" spans="1:10" x14ac:dyDescent="0.2">
      <c r="A86" s="2">
        <v>149</v>
      </c>
      <c r="B86" s="34" t="s">
        <v>3253</v>
      </c>
      <c r="C86" t="s">
        <v>2812</v>
      </c>
      <c r="D86" s="2">
        <v>2</v>
      </c>
      <c r="E86" s="2" t="s">
        <v>785</v>
      </c>
      <c r="F86" s="2">
        <v>-2340</v>
      </c>
      <c r="G86" s="2">
        <v>-1104</v>
      </c>
      <c r="H86" s="2">
        <v>145</v>
      </c>
      <c r="J86" t="str">
        <f>"{ name: "&amp;CHAR(34)&amp;B86&amp;CHAR(34)&amp;", landmark: "&amp;CHAR(34)&amp;IF(LEN(C86)=LEN(SUBSTITUTE(C86,"Transport","")),"Korok x1","Korok x2")&amp;CHAR(34)&amp;", type: "&amp;CHAR(34)&amp;C86&amp;CHAR(34)&amp;", region: "&amp;D86&amp;", level: "&amp;CHAR(34)&amp;E86&amp;CHAR(34)&amp;", x: "&amp;F86&amp;", y: "&amp;G86&amp;", z: "&amp;H86&amp;", details: "&amp;CHAR(34)&amp;I86&amp;CHAR(34)&amp;" },"</f>
        <v>{ name: "Dalite Forest Korok #02", landmark: "Korok x1", type: "Lift the Rock", region: 2, level: "Surface", x: -2340, y: -1104, z: 145, details: "" },</v>
      </c>
    </row>
    <row r="87" spans="1:10" x14ac:dyDescent="0.2">
      <c r="A87" s="2">
        <v>150</v>
      </c>
      <c r="B87" s="34" t="s">
        <v>3254</v>
      </c>
      <c r="C87" t="s">
        <v>2811</v>
      </c>
      <c r="D87" s="2">
        <v>2</v>
      </c>
      <c r="E87" s="2" t="s">
        <v>785</v>
      </c>
      <c r="F87" s="2">
        <v>-1968</v>
      </c>
      <c r="G87" s="2">
        <v>-1091</v>
      </c>
      <c r="H87" s="2">
        <v>99</v>
      </c>
      <c r="I87" t="s">
        <v>2762</v>
      </c>
      <c r="J87" t="str">
        <f>"{ name: "&amp;CHAR(34)&amp;B87&amp;CHAR(34)&amp;", landmark: "&amp;CHAR(34)&amp;IF(LEN(C87)=LEN(SUBSTITUTE(C87,"Transport","")),"Korok x1","Korok x2")&amp;CHAR(34)&amp;", type: "&amp;CHAR(34)&amp;C87&amp;CHAR(34)&amp;", region: "&amp;D87&amp;", level: "&amp;CHAR(34)&amp;E87&amp;CHAR(34)&amp;", x: "&amp;F87&amp;", y: "&amp;G87&amp;", z: "&amp;H87&amp;", details: "&amp;CHAR(34)&amp;I87&amp;CHAR(34)&amp;" },"</f>
        <v>{ name: "Dalite Forest Korok #03", landmark: "Korok x1", type: "Follow the Yellow Flowers", region: 2, level: "Surface", x: -1968, y: -1091, z: 99, details: "Starts at (-1968, -1090, 99)" },</v>
      </c>
    </row>
    <row r="88" spans="1:10" x14ac:dyDescent="0.2">
      <c r="A88" s="2">
        <v>164</v>
      </c>
      <c r="B88" s="34" t="s">
        <v>3270</v>
      </c>
      <c r="C88" t="s">
        <v>2822</v>
      </c>
      <c r="D88" s="2">
        <v>2</v>
      </c>
      <c r="E88" s="2" t="s">
        <v>785</v>
      </c>
      <c r="F88" s="2">
        <v>-1688</v>
      </c>
      <c r="G88" s="2">
        <v>-1600</v>
      </c>
      <c r="H88" s="2">
        <v>-8</v>
      </c>
      <c r="J88" t="str">
        <f>"{ name: "&amp;CHAR(34)&amp;B88&amp;CHAR(34)&amp;", landmark: "&amp;CHAR(34)&amp;IF(LEN(C88)=LEN(SUBSTITUTE(C88,"Transport","")),"Korok x1","Korok x2")&amp;CHAR(34)&amp;", type: "&amp;CHAR(34)&amp;C88&amp;CHAR(34)&amp;", region: "&amp;D88&amp;", level: "&amp;CHAR(34)&amp;E88&amp;CHAR(34)&amp;", x: "&amp;F88&amp;", y: "&amp;G88&amp;", z: "&amp;H88&amp;", details: "&amp;CHAR(34)&amp;I88&amp;CHAR(34)&amp;" },"</f>
        <v>{ name: "Digdogg Suspension Bridge Korok #01", landmark: "Korok x1", type: "Shoot the Hidden Balloon", region: 2, level: "Surface", x: -1688, y: -1600, z: -8, details: "" },</v>
      </c>
    </row>
    <row r="89" spans="1:10" x14ac:dyDescent="0.2">
      <c r="A89" s="2">
        <v>170</v>
      </c>
      <c r="B89" s="34" t="s">
        <v>3271</v>
      </c>
      <c r="C89" t="s">
        <v>2816</v>
      </c>
      <c r="D89" s="2">
        <v>2</v>
      </c>
      <c r="E89" s="2" t="s">
        <v>785</v>
      </c>
      <c r="F89" s="2">
        <v>-1706</v>
      </c>
      <c r="G89" s="2">
        <v>-1707</v>
      </c>
      <c r="H89" s="2">
        <v>-36</v>
      </c>
      <c r="J89" t="str">
        <f>"{ name: "&amp;CHAR(34)&amp;B89&amp;CHAR(34)&amp;", landmark: "&amp;CHAR(34)&amp;IF(LEN(C89)=LEN(SUBSTITUTE(C89,"Transport","")),"Korok x1","Korok x2")&amp;CHAR(34)&amp;", type: "&amp;CHAR(34)&amp;C89&amp;CHAR(34)&amp;", region: "&amp;D89&amp;", level: "&amp;CHAR(34)&amp;E89&amp;CHAR(34)&amp;", x: "&amp;F89&amp;", y: "&amp;G89&amp;", z: "&amp;H89&amp;", details: "&amp;CHAR(34)&amp;I89&amp;CHAR(34)&amp;" },"</f>
        <v>{ name: "Digdogg Suspension Bridge Korok #02", landmark: "Korok x1", type: "Pull the Plug", region: 2, level: "Surface", x: -1706, y: -1707, z: -36, details: "" },</v>
      </c>
    </row>
    <row r="90" spans="1:10" x14ac:dyDescent="0.2">
      <c r="A90" s="2">
        <v>177</v>
      </c>
      <c r="B90" s="34" t="s">
        <v>3272</v>
      </c>
      <c r="C90" t="s">
        <v>2812</v>
      </c>
      <c r="D90" s="2">
        <v>2</v>
      </c>
      <c r="E90" s="2" t="s">
        <v>785</v>
      </c>
      <c r="F90" s="2">
        <v>-1700</v>
      </c>
      <c r="G90" s="2">
        <v>-1826</v>
      </c>
      <c r="H90" s="2">
        <v>-16</v>
      </c>
      <c r="J90" t="str">
        <f>"{ name: "&amp;CHAR(34)&amp;B90&amp;CHAR(34)&amp;", landmark: "&amp;CHAR(34)&amp;IF(LEN(C90)=LEN(SUBSTITUTE(C90,"Transport","")),"Korok x1","Korok x2")&amp;CHAR(34)&amp;", type: "&amp;CHAR(34)&amp;C90&amp;CHAR(34)&amp;", region: "&amp;D90&amp;", level: "&amp;CHAR(34)&amp;E90&amp;CHAR(34)&amp;", x: "&amp;F90&amp;", y: "&amp;G90&amp;", z: "&amp;H90&amp;", details: "&amp;CHAR(34)&amp;I90&amp;CHAR(34)&amp;" },"</f>
        <v>{ name: "Digdogg Suspension Bridge Korok #03", landmark: "Korok x1", type: "Lift the Rock", region: 2, level: "Surface", x: -1700, y: -1826, z: -16, details: "" },</v>
      </c>
    </row>
    <row r="91" spans="1:10" x14ac:dyDescent="0.2">
      <c r="A91" s="2">
        <v>161</v>
      </c>
      <c r="B91" s="34" t="s">
        <v>3307</v>
      </c>
      <c r="C91" t="s">
        <v>2812</v>
      </c>
      <c r="D91" s="2">
        <v>2</v>
      </c>
      <c r="E91" s="2" t="s">
        <v>785</v>
      </c>
      <c r="F91" s="2">
        <v>-1518</v>
      </c>
      <c r="G91" s="2">
        <v>-1508</v>
      </c>
      <c r="H91" s="2">
        <v>44</v>
      </c>
      <c r="J91" t="str">
        <f>"{ name: "&amp;CHAR(34)&amp;B91&amp;CHAR(34)&amp;", landmark: "&amp;CHAR(34)&amp;IF(LEN(C91)=LEN(SUBSTITUTE(C91,"Transport","")),"Korok x1","Korok x2")&amp;CHAR(34)&amp;", type: "&amp;CHAR(34)&amp;C91&amp;CHAR(34)&amp;", region: "&amp;D91&amp;", level: "&amp;CHAR(34)&amp;E91&amp;CHAR(34)&amp;", x: "&amp;F91&amp;", y: "&amp;G91&amp;", z: "&amp;H91&amp;", details: "&amp;CHAR(34)&amp;I91&amp;CHAR(34)&amp;" },"</f>
        <v>{ name: "East of Digdogg Suspension Bridge Korok", landmark: "Korok x1", type: "Lift the Rock", region: 2, level: "Surface", x: -1518, y: -1508, z: 44, details: "" },</v>
      </c>
    </row>
    <row r="92" spans="1:10" x14ac:dyDescent="0.2">
      <c r="A92" s="2">
        <v>189</v>
      </c>
      <c r="B92" s="34" t="s">
        <v>3319</v>
      </c>
      <c r="C92" t="s">
        <v>2807</v>
      </c>
      <c r="D92" s="2">
        <v>2</v>
      </c>
      <c r="E92" s="2" t="s">
        <v>785</v>
      </c>
      <c r="F92" s="2">
        <v>-472</v>
      </c>
      <c r="G92" s="2">
        <v>-2039</v>
      </c>
      <c r="H92" s="2">
        <v>78</v>
      </c>
      <c r="J92" t="str">
        <f>"{ name: "&amp;CHAR(34)&amp;B92&amp;CHAR(34)&amp;", landmark: "&amp;CHAR(34)&amp;IF(LEN(C92)=LEN(SUBSTITUTE(C92,"Transport","")),"Korok x1","Korok x2")&amp;CHAR(34)&amp;", type: "&amp;CHAR(34)&amp;C92&amp;CHAR(34)&amp;", region: "&amp;D92&amp;", level: "&amp;CHAR(34)&amp;E92&amp;CHAR(34)&amp;", x: "&amp;F92&amp;", y: "&amp;G92&amp;", z: "&amp;H92&amp;", details: "&amp;CHAR(34)&amp;I92&amp;CHAR(34)&amp;" },"</f>
        <v>{ name: "Eastern Abbey Korok", landmark: "Korok x1", type: "Complete the Cube Puzzle", region: 2, level: "Surface", x: -472, y: -2039, z: 78, details: "" },</v>
      </c>
    </row>
    <row r="93" spans="1:10" x14ac:dyDescent="0.2">
      <c r="A93" s="2">
        <v>165</v>
      </c>
      <c r="B93" s="34" t="s">
        <v>3345</v>
      </c>
      <c r="C93" t="s">
        <v>2821</v>
      </c>
      <c r="D93" s="2">
        <v>2</v>
      </c>
      <c r="E93" s="2" t="s">
        <v>785</v>
      </c>
      <c r="F93" s="2">
        <v>-964</v>
      </c>
      <c r="G93" s="2">
        <v>-1607</v>
      </c>
      <c r="H93" s="2">
        <v>104</v>
      </c>
      <c r="J93" t="str">
        <f>"{ name: "&amp;CHAR(34)&amp;B93&amp;CHAR(34)&amp;", landmark: "&amp;CHAR(34)&amp;IF(LEN(C93)=LEN(SUBSTITUTE(C93,"Transport","")),"Korok x1","Korok x2")&amp;CHAR(34)&amp;", type: "&amp;CHAR(34)&amp;C93&amp;CHAR(34)&amp;", region: "&amp;D93&amp;", level: "&amp;CHAR(34)&amp;E93&amp;CHAR(34)&amp;", x: "&amp;F93&amp;", y: "&amp;G93&amp;", z: "&amp;H93&amp;", details: "&amp;CHAR(34)&amp;I93&amp;CHAR(34)&amp;" },"</f>
        <v>{ name: "Forest of Spirits Korok #01", landmark: "Korok x1", type: "Shoot the Balloons", region: 2, level: "Surface", x: -964, y: -1607, z: 104, details: "" },</v>
      </c>
    </row>
    <row r="94" spans="1:10" x14ac:dyDescent="0.2">
      <c r="A94" s="2">
        <v>172</v>
      </c>
      <c r="B94" s="34" t="s">
        <v>3346</v>
      </c>
      <c r="C94" t="s">
        <v>2816</v>
      </c>
      <c r="D94" s="2">
        <v>2</v>
      </c>
      <c r="E94" s="2" t="s">
        <v>785</v>
      </c>
      <c r="F94" s="2">
        <v>-952</v>
      </c>
      <c r="G94" s="2">
        <v>-1720</v>
      </c>
      <c r="H94" s="2">
        <v>98</v>
      </c>
      <c r="J94" t="str">
        <f>"{ name: "&amp;CHAR(34)&amp;B94&amp;CHAR(34)&amp;", landmark: "&amp;CHAR(34)&amp;IF(LEN(C94)=LEN(SUBSTITUTE(C94,"Transport","")),"Korok x1","Korok x2")&amp;CHAR(34)&amp;", type: "&amp;CHAR(34)&amp;C94&amp;CHAR(34)&amp;", region: "&amp;D94&amp;", level: "&amp;CHAR(34)&amp;E94&amp;CHAR(34)&amp;", x: "&amp;F94&amp;", y: "&amp;G94&amp;", z: "&amp;H94&amp;", details: "&amp;CHAR(34)&amp;I94&amp;CHAR(34)&amp;" },"</f>
        <v>{ name: "Forest of Spirits Korok #02", landmark: "Korok x1", type: "Pull the Plug", region: 2, level: "Surface", x: -952, y: -1720, z: 98, details: "" },</v>
      </c>
    </row>
    <row r="95" spans="1:10" x14ac:dyDescent="0.2">
      <c r="A95" s="2">
        <v>179</v>
      </c>
      <c r="B95" s="34" t="s">
        <v>3347</v>
      </c>
      <c r="C95" t="s">
        <v>2826</v>
      </c>
      <c r="D95" s="2">
        <v>2</v>
      </c>
      <c r="E95" s="2" t="s">
        <v>785</v>
      </c>
      <c r="F95" s="2">
        <v>-951</v>
      </c>
      <c r="G95" s="2">
        <v>-1840</v>
      </c>
      <c r="H95" s="2">
        <v>102</v>
      </c>
      <c r="J95" t="str">
        <f>"{ name: "&amp;CHAR(34)&amp;B95&amp;CHAR(34)&amp;", landmark: "&amp;CHAR(34)&amp;IF(LEN(C95)=LEN(SUBSTITUTE(C95,"Transport","")),"Korok x1","Korok x2")&amp;CHAR(34)&amp;", type: "&amp;CHAR(34)&amp;C95&amp;CHAR(34)&amp;", region: "&amp;D95&amp;", level: "&amp;CHAR(34)&amp;E95&amp;CHAR(34)&amp;", x: "&amp;F95&amp;", y: "&amp;G95&amp;", z: "&amp;H95&amp;", details: "&amp;CHAR(34)&amp;I95&amp;CHAR(34)&amp;" },"</f>
        <v>{ name: "Forest of Spirits Korok #03", landmark: "Korok x1", type: "Ascend Through the Marker", region: 2, level: "Surface", x: -951, y: -1840, z: 102, details: "" },</v>
      </c>
    </row>
    <row r="96" spans="1:10" x14ac:dyDescent="0.2">
      <c r="A96" s="2">
        <v>162</v>
      </c>
      <c r="B96" s="34" t="s">
        <v>3351</v>
      </c>
      <c r="C96" t="s">
        <v>2817</v>
      </c>
      <c r="D96" s="2">
        <v>2</v>
      </c>
      <c r="E96" s="2" t="s">
        <v>785</v>
      </c>
      <c r="F96" s="2">
        <v>-595</v>
      </c>
      <c r="G96" s="2">
        <v>-1415</v>
      </c>
      <c r="H96" s="2">
        <v>40</v>
      </c>
      <c r="I96" t="s">
        <v>2627</v>
      </c>
      <c r="J96" t="str">
        <f>"{ name: "&amp;CHAR(34)&amp;B96&amp;CHAR(34)&amp;", landmark: "&amp;CHAR(34)&amp;IF(LEN(C96)=LEN(SUBSTITUTE(C96,"Transport","")),"Korok x1","Korok x2")&amp;CHAR(34)&amp;", type: "&amp;CHAR(34)&amp;C96&amp;CHAR(34)&amp;", region: "&amp;D96&amp;", level: "&amp;CHAR(34)&amp;E96&amp;CHAR(34)&amp;", x: "&amp;F96&amp;", y: "&amp;G96&amp;", z: "&amp;H96&amp;", details: "&amp;CHAR(34)&amp;I96&amp;CHAR(34)&amp;" },"</f>
        <v>{ name: "Gatepost Town Ruins Korok", landmark: "Korok x1", type: "Reach the Target Ring", region: 2, level: "Surface", x: -595, y: -1415, z: 40, details: "Starts at (-657, -1390, 53)" },</v>
      </c>
    </row>
    <row r="97" spans="1:10" x14ac:dyDescent="0.2">
      <c r="A97" s="2">
        <v>163</v>
      </c>
      <c r="B97" s="34" t="s">
        <v>3401</v>
      </c>
      <c r="C97" t="s">
        <v>2801</v>
      </c>
      <c r="D97" s="2">
        <v>2</v>
      </c>
      <c r="E97" s="2" t="s">
        <v>785</v>
      </c>
      <c r="F97" s="2">
        <v>-612</v>
      </c>
      <c r="G97" s="2">
        <v>-1525</v>
      </c>
      <c r="H97" s="2">
        <v>74</v>
      </c>
      <c r="J97" t="str">
        <f>"{ name: "&amp;CHAR(34)&amp;B97&amp;CHAR(34)&amp;", landmark: "&amp;CHAR(34)&amp;IF(LEN(C97)=LEN(SUBSTITUTE(C97,"Transport","")),"Korok x1","Korok x2")&amp;CHAR(34)&amp;", type: "&amp;CHAR(34)&amp;C97&amp;CHAR(34)&amp;", region: "&amp;D97&amp;", level: "&amp;CHAR(34)&amp;E97&amp;CHAR(34)&amp;", x: "&amp;F97&amp;", y: "&amp;G97&amp;", z: "&amp;H97&amp;", details: "&amp;CHAR(34)&amp;I97&amp;CHAR(34)&amp;" },"</f>
        <v>{ name: "Great Plateau North Korok #01", landmark: "Korok x1", type: "Break the Acorn Pot", region: 2, level: "Surface", x: -612, y: -1525, z: 74, details: "" },</v>
      </c>
    </row>
    <row r="98" spans="1:10" x14ac:dyDescent="0.2">
      <c r="A98" s="2">
        <v>178</v>
      </c>
      <c r="B98" s="34" t="s">
        <v>3402</v>
      </c>
      <c r="C98" t="s">
        <v>2802</v>
      </c>
      <c r="D98" s="2">
        <v>2</v>
      </c>
      <c r="E98" s="2" t="s">
        <v>785</v>
      </c>
      <c r="F98" s="2">
        <v>-1025</v>
      </c>
      <c r="G98" s="2">
        <v>-1857</v>
      </c>
      <c r="H98" s="2">
        <v>143</v>
      </c>
      <c r="I98" t="s">
        <v>2626</v>
      </c>
      <c r="J98" t="str">
        <f>"{ name: "&amp;CHAR(34)&amp;B98&amp;CHAR(34)&amp;", landmark: "&amp;CHAR(34)&amp;IF(LEN(C98)=LEN(SUBSTITUTE(C98,"Transport","")),"Korok x1","Korok x2")&amp;CHAR(34)&amp;", type: "&amp;CHAR(34)&amp;C98&amp;CHAR(34)&amp;", region: "&amp;D98&amp;", level: "&amp;CHAR(34)&amp;E98&amp;CHAR(34)&amp;", x: "&amp;F98&amp;", y: "&amp;G98&amp;", z: "&amp;H98&amp;", details: "&amp;CHAR(34)&amp;I98&amp;CHAR(34)&amp;" },"</f>
        <v>{ name: "Great Plateau North Korok #02", landmark: "Korok x2", type: "Transport to Friend", region: 2, level: "Surface", x: -1025, y: -1857, z: 143, details: "Starts at (-696, -1574, 67)" },</v>
      </c>
    </row>
    <row r="99" spans="1:10" x14ac:dyDescent="0.2">
      <c r="A99" s="2">
        <v>191</v>
      </c>
      <c r="B99" s="34" t="s">
        <v>3403</v>
      </c>
      <c r="C99" t="s">
        <v>2826</v>
      </c>
      <c r="D99" s="2">
        <v>2</v>
      </c>
      <c r="E99" s="2" t="s">
        <v>785</v>
      </c>
      <c r="F99" s="2">
        <v>-931</v>
      </c>
      <c r="G99" s="2">
        <v>-2208</v>
      </c>
      <c r="H99" s="2">
        <v>82</v>
      </c>
      <c r="J99" t="str">
        <f>"{ name: "&amp;CHAR(34)&amp;B99&amp;CHAR(34)&amp;", landmark: "&amp;CHAR(34)&amp;IF(LEN(C99)=LEN(SUBSTITUTE(C99,"Transport","")),"Korok x1","Korok x2")&amp;CHAR(34)&amp;", type: "&amp;CHAR(34)&amp;C99&amp;CHAR(34)&amp;", region: "&amp;D99&amp;", level: "&amp;CHAR(34)&amp;E99&amp;CHAR(34)&amp;", x: "&amp;F99&amp;", y: "&amp;G99&amp;", z: "&amp;H99&amp;", details: "&amp;CHAR(34)&amp;I99&amp;CHAR(34)&amp;" },"</f>
        <v>{ name: "Great Plateau South Korok #01", landmark: "Korok x1", type: "Ascend Through the Marker", region: 2, level: "Surface", x: -931, y: -2208, z: 82, details: "" },</v>
      </c>
    </row>
    <row r="100" spans="1:10" x14ac:dyDescent="0.2">
      <c r="A100" s="2">
        <v>192</v>
      </c>
      <c r="B100" s="34" t="s">
        <v>3404</v>
      </c>
      <c r="C100" t="s">
        <v>2807</v>
      </c>
      <c r="D100" s="2">
        <v>2</v>
      </c>
      <c r="E100" s="2" t="s">
        <v>785</v>
      </c>
      <c r="F100" s="2">
        <v>-886</v>
      </c>
      <c r="G100" s="2">
        <v>-2271</v>
      </c>
      <c r="H100" s="2">
        <v>21</v>
      </c>
      <c r="J100" t="str">
        <f>"{ name: "&amp;CHAR(34)&amp;B100&amp;CHAR(34)&amp;", landmark: "&amp;CHAR(34)&amp;IF(LEN(C100)=LEN(SUBSTITUTE(C100,"Transport","")),"Korok x1","Korok x2")&amp;CHAR(34)&amp;", type: "&amp;CHAR(34)&amp;C100&amp;CHAR(34)&amp;", region: "&amp;D100&amp;", level: "&amp;CHAR(34)&amp;E100&amp;CHAR(34)&amp;", x: "&amp;F100&amp;", y: "&amp;G100&amp;", z: "&amp;H100&amp;", details: "&amp;CHAR(34)&amp;I100&amp;CHAR(34)&amp;" },"</f>
        <v>{ name: "Great Plateau South Korok #02", landmark: "Korok x1", type: "Complete the Cube Puzzle", region: 2, level: "Surface", x: -886, y: -2271, z: 21, details: "" },</v>
      </c>
    </row>
    <row r="101" spans="1:10" x14ac:dyDescent="0.2">
      <c r="A101" s="2">
        <v>193</v>
      </c>
      <c r="B101" s="34" t="s">
        <v>3405</v>
      </c>
      <c r="C101" t="s">
        <v>2814</v>
      </c>
      <c r="D101" s="2">
        <v>2</v>
      </c>
      <c r="E101" s="2" t="s">
        <v>785</v>
      </c>
      <c r="F101" s="2">
        <v>-790</v>
      </c>
      <c r="G101" s="2">
        <v>-2230</v>
      </c>
      <c r="H101" s="2">
        <v>89</v>
      </c>
      <c r="J101" t="str">
        <f>"{ name: "&amp;CHAR(34)&amp;B101&amp;CHAR(34)&amp;", landmark: "&amp;CHAR(34)&amp;IF(LEN(C101)=LEN(SUBSTITUTE(C101,"Transport","")),"Korok x1","Korok x2")&amp;CHAR(34)&amp;", type: "&amp;CHAR(34)&amp;C101&amp;CHAR(34)&amp;", region: "&amp;D101&amp;", level: "&amp;CHAR(34)&amp;E101&amp;CHAR(34)&amp;", x: "&amp;F101&amp;", y: "&amp;G101&amp;", z: "&amp;H101&amp;", details: "&amp;CHAR(34)&amp;I101&amp;CHAR(34)&amp;" },"</f>
        <v>{ name: "Great Plateau South Korok #03", landmark: "Korok x1", type: "Make Offering to Statue", region: 2, level: "Surface", x: -790, y: -2230, z: 89, details: "" },</v>
      </c>
    </row>
    <row r="102" spans="1:10" x14ac:dyDescent="0.2">
      <c r="A102" s="2">
        <v>180</v>
      </c>
      <c r="B102" s="34" t="s">
        <v>3406</v>
      </c>
      <c r="C102" t="s">
        <v>2812</v>
      </c>
      <c r="D102" s="2">
        <v>2</v>
      </c>
      <c r="E102" s="2" t="s">
        <v>785</v>
      </c>
      <c r="F102" s="2">
        <v>-1517</v>
      </c>
      <c r="G102" s="2">
        <v>-1923</v>
      </c>
      <c r="H102" s="2">
        <v>133</v>
      </c>
      <c r="J102" t="str">
        <f>"{ name: "&amp;CHAR(34)&amp;B102&amp;CHAR(34)&amp;", landmark: "&amp;CHAR(34)&amp;IF(LEN(C102)=LEN(SUBSTITUTE(C102,"Transport","")),"Korok x1","Korok x2")&amp;CHAR(34)&amp;", type: "&amp;CHAR(34)&amp;C102&amp;CHAR(34)&amp;", region: "&amp;D102&amp;", level: "&amp;CHAR(34)&amp;E102&amp;CHAR(34)&amp;", x: "&amp;F102&amp;", y: "&amp;G102&amp;", z: "&amp;H102&amp;", details: "&amp;CHAR(34)&amp;I102&amp;CHAR(34)&amp;" },"</f>
        <v>{ name: "Great Plateau West Korok #01", landmark: "Korok x1", type: "Lift the Rock", region: 2, level: "Surface", x: -1517, y: -1923, z: 133, details: "" },</v>
      </c>
    </row>
    <row r="103" spans="1:10" x14ac:dyDescent="0.2">
      <c r="A103" s="2">
        <v>181</v>
      </c>
      <c r="B103" s="34" t="s">
        <v>3407</v>
      </c>
      <c r="C103" t="s">
        <v>2823</v>
      </c>
      <c r="D103" s="2">
        <v>2</v>
      </c>
      <c r="E103" s="2" t="s">
        <v>785</v>
      </c>
      <c r="F103" s="2">
        <v>-1433</v>
      </c>
      <c r="G103" s="2">
        <v>-1953</v>
      </c>
      <c r="H103" s="2">
        <v>221</v>
      </c>
      <c r="J103" t="str">
        <f>"{ name: "&amp;CHAR(34)&amp;B103&amp;CHAR(34)&amp;", landmark: "&amp;CHAR(34)&amp;IF(LEN(C103)=LEN(SUBSTITUTE(C103,"Transport","")),"Korok x1","Korok x2")&amp;CHAR(34)&amp;", type: "&amp;CHAR(34)&amp;C103&amp;CHAR(34)&amp;", region: "&amp;D103&amp;", level: "&amp;CHAR(34)&amp;E103&amp;CHAR(34)&amp;", x: "&amp;F103&amp;", y: "&amp;G103&amp;", z: "&amp;H103&amp;", details: "&amp;CHAR(34)&amp;I103&amp;CHAR(34)&amp;" },"</f>
        <v>{ name: "Great Plateau West Korok #02", landmark: "Korok x1", type: "Examine Fairy Lights", region: 2, level: "Surface", x: -1433, y: -1953, z: 221, details: "" },</v>
      </c>
    </row>
    <row r="104" spans="1:10" x14ac:dyDescent="0.2">
      <c r="A104" s="2">
        <v>171</v>
      </c>
      <c r="B104" s="34" t="s">
        <v>3464</v>
      </c>
      <c r="C104" t="s">
        <v>2811</v>
      </c>
      <c r="D104" s="2">
        <v>2</v>
      </c>
      <c r="E104" s="2" t="s">
        <v>785</v>
      </c>
      <c r="F104" s="2">
        <v>-1202</v>
      </c>
      <c r="G104" s="2">
        <v>-1691</v>
      </c>
      <c r="H104" s="2">
        <v>84</v>
      </c>
      <c r="I104" t="s">
        <v>2755</v>
      </c>
      <c r="J104" t="str">
        <f>"{ name: "&amp;CHAR(34)&amp;B104&amp;CHAR(34)&amp;", landmark: "&amp;CHAR(34)&amp;IF(LEN(C104)=LEN(SUBSTITUTE(C104,"Transport","")),"Korok x1","Korok x2")&amp;CHAR(34)&amp;", type: "&amp;CHAR(34)&amp;C104&amp;CHAR(34)&amp;", region: "&amp;D104&amp;", level: "&amp;CHAR(34)&amp;E104&amp;CHAR(34)&amp;", x: "&amp;F104&amp;", y: "&amp;G104&amp;", z: "&amp;H104&amp;", details: "&amp;CHAR(34)&amp;I104&amp;CHAR(34)&amp;" },"</f>
        <v>{ name: "Hopper Pond Korok", landmark: "Korok x1", type: "Follow the Yellow Flowers", region: 2, level: "Surface", x: -1202, y: -1691, z: 84, details: "Starts at (-1173, -1655, 83)" },</v>
      </c>
    </row>
    <row r="105" spans="1:10" x14ac:dyDescent="0.2">
      <c r="A105" s="2">
        <v>194</v>
      </c>
      <c r="B105" s="34" t="s">
        <v>3544</v>
      </c>
      <c r="C105" t="s">
        <v>2819</v>
      </c>
      <c r="D105" s="2">
        <v>2</v>
      </c>
      <c r="E105" s="2" t="s">
        <v>785</v>
      </c>
      <c r="F105" s="2">
        <v>-207</v>
      </c>
      <c r="G105" s="2">
        <v>-2205</v>
      </c>
      <c r="H105" s="2">
        <v>21</v>
      </c>
      <c r="J105" t="str">
        <f>"{ name: "&amp;CHAR(34)&amp;B105&amp;CHAR(34)&amp;", landmark: "&amp;CHAR(34)&amp;IF(LEN(C105)=LEN(SUBSTITUTE(C105,"Transport","")),"Korok x1","Korok x2")&amp;CHAR(34)&amp;", type: "&amp;CHAR(34)&amp;C105&amp;CHAR(34)&amp;", region: "&amp;D105&amp;", level: "&amp;CHAR(34)&amp;E105&amp;CHAR(34)&amp;", x: "&amp;F105&amp;", y: "&amp;G105&amp;", z: "&amp;H105&amp;", details: "&amp;CHAR(34)&amp;I105&amp;CHAR(34)&amp;" },"</f>
        <v>{ name: "Lake Hylia Korok #01", landmark: "Korok x1", type: "Repair the Roof", region: 2, level: "Surface", x: -207, y: -2205, z: 21, details: "" },</v>
      </c>
    </row>
    <row r="106" spans="1:10" x14ac:dyDescent="0.2">
      <c r="A106" s="2">
        <v>195</v>
      </c>
      <c r="B106" s="34" t="s">
        <v>3545</v>
      </c>
      <c r="C106" t="s">
        <v>2802</v>
      </c>
      <c r="D106" s="2">
        <v>2</v>
      </c>
      <c r="E106" s="2" t="s">
        <v>785</v>
      </c>
      <c r="F106" s="2">
        <v>-190</v>
      </c>
      <c r="G106" s="2">
        <v>-2249</v>
      </c>
      <c r="H106" s="2">
        <v>21</v>
      </c>
      <c r="I106" t="s">
        <v>2633</v>
      </c>
      <c r="J106" t="str">
        <f>"{ name: "&amp;CHAR(34)&amp;B106&amp;CHAR(34)&amp;", landmark: "&amp;CHAR(34)&amp;IF(LEN(C106)=LEN(SUBSTITUTE(C106,"Transport","")),"Korok x1","Korok x2")&amp;CHAR(34)&amp;", type: "&amp;CHAR(34)&amp;C106&amp;CHAR(34)&amp;", region: "&amp;D106&amp;", level: "&amp;CHAR(34)&amp;E106&amp;CHAR(34)&amp;", x: "&amp;F106&amp;", y: "&amp;G106&amp;", z: "&amp;H106&amp;", details: "&amp;CHAR(34)&amp;I106&amp;CHAR(34)&amp;" },"</f>
        <v>{ name: "Lake Hylia Korok #02", landmark: "Korok x2", type: "Transport to Friend", region: 2, level: "Surface", x: -190, y: -2249, z: 21, details: "Starts at (-190, -2249, 21)" },</v>
      </c>
    </row>
    <row r="107" spans="1:10" x14ac:dyDescent="0.2">
      <c r="A107" s="2">
        <v>151</v>
      </c>
      <c r="B107" s="34" t="s">
        <v>3558</v>
      </c>
      <c r="C107" t="s">
        <v>2812</v>
      </c>
      <c r="D107" s="2">
        <v>2</v>
      </c>
      <c r="E107" s="2" t="s">
        <v>785</v>
      </c>
      <c r="F107" s="2">
        <v>-599</v>
      </c>
      <c r="G107" s="2">
        <v>-1076</v>
      </c>
      <c r="H107" s="2">
        <v>37</v>
      </c>
      <c r="J107" t="str">
        <f>"{ name: "&amp;CHAR(34)&amp;B107&amp;CHAR(34)&amp;", landmark: "&amp;CHAR(34)&amp;IF(LEN(C107)=LEN(SUBSTITUTE(C107,"Transport","")),"Korok x1","Korok x2")&amp;CHAR(34)&amp;", type: "&amp;CHAR(34)&amp;C107&amp;CHAR(34)&amp;", region: "&amp;D107&amp;", level: "&amp;CHAR(34)&amp;E107&amp;CHAR(34)&amp;", x: "&amp;F107&amp;", y: "&amp;G107&amp;", z: "&amp;H107&amp;", details: "&amp;CHAR(34)&amp;I107&amp;CHAR(34)&amp;" },"</f>
        <v>{ name: "Lake Kolomo Korok #01", landmark: "Korok x1", type: "Lift the Rock", region: 2, level: "Surface", x: -599, y: -1076, z: 37, details: "" },</v>
      </c>
    </row>
    <row r="108" spans="1:10" x14ac:dyDescent="0.2">
      <c r="A108" s="2">
        <v>158</v>
      </c>
      <c r="B108" s="34" t="s">
        <v>3559</v>
      </c>
      <c r="C108" t="s">
        <v>2812</v>
      </c>
      <c r="D108" s="2">
        <v>2</v>
      </c>
      <c r="E108" s="2" t="s">
        <v>785</v>
      </c>
      <c r="F108" s="2">
        <v>-664</v>
      </c>
      <c r="G108" s="2">
        <v>-1222</v>
      </c>
      <c r="H108" s="2">
        <v>29</v>
      </c>
      <c r="J108" t="str">
        <f>"{ name: "&amp;CHAR(34)&amp;B108&amp;CHAR(34)&amp;", landmark: "&amp;CHAR(34)&amp;IF(LEN(C108)=LEN(SUBSTITUTE(C108,"Transport","")),"Korok x1","Korok x2")&amp;CHAR(34)&amp;", type: "&amp;CHAR(34)&amp;C108&amp;CHAR(34)&amp;", region: "&amp;D108&amp;", level: "&amp;CHAR(34)&amp;E108&amp;CHAR(34)&amp;", x: "&amp;F108&amp;", y: "&amp;G108&amp;", z: "&amp;H108&amp;", details: "&amp;CHAR(34)&amp;I108&amp;CHAR(34)&amp;" },"</f>
        <v>{ name: "Lake Kolomo Korok #02", landmark: "Korok x1", type: "Lift the Rock", region: 2, level: "Surface", x: -664, y: -1222, z: 29, details: "" },</v>
      </c>
    </row>
    <row r="109" spans="1:10" x14ac:dyDescent="0.2">
      <c r="A109" s="2">
        <v>159</v>
      </c>
      <c r="B109" s="34" t="s">
        <v>3560</v>
      </c>
      <c r="C109" t="s">
        <v>2808</v>
      </c>
      <c r="D109" s="2">
        <v>2</v>
      </c>
      <c r="E109" s="2" t="s">
        <v>785</v>
      </c>
      <c r="F109" s="2">
        <v>-511</v>
      </c>
      <c r="G109" s="2">
        <v>-1177</v>
      </c>
      <c r="H109" s="2">
        <v>23</v>
      </c>
      <c r="J109" t="str">
        <f>"{ name: "&amp;CHAR(34)&amp;B109&amp;CHAR(34)&amp;", landmark: "&amp;CHAR(34)&amp;IF(LEN(C109)=LEN(SUBSTITUTE(C109,"Transport","")),"Korok x1","Korok x2")&amp;CHAR(34)&amp;", type: "&amp;CHAR(34)&amp;C109&amp;CHAR(34)&amp;", region: "&amp;D109&amp;", level: "&amp;CHAR(34)&amp;E109&amp;CHAR(34)&amp;", x: "&amp;F109&amp;", y: "&amp;G109&amp;", z: "&amp;H109&amp;", details: "&amp;CHAR(34)&amp;I109&amp;CHAR(34)&amp;" },"</f>
        <v>{ name: "Lake Kolomo Korok #03", landmark: "Korok x1", type: "Complete the Rock Pattern", region: 2, level: "Surface", x: -511, y: -1177, z: 23, details: "" },</v>
      </c>
    </row>
    <row r="110" spans="1:10" x14ac:dyDescent="0.2">
      <c r="A110" s="2">
        <v>131</v>
      </c>
      <c r="B110" s="34" t="s">
        <v>3620</v>
      </c>
      <c r="C110" t="s">
        <v>2802</v>
      </c>
      <c r="D110" s="2">
        <v>2</v>
      </c>
      <c r="E110" s="2" t="s">
        <v>785</v>
      </c>
      <c r="F110" s="2">
        <v>-1321</v>
      </c>
      <c r="G110" s="2">
        <v>-570</v>
      </c>
      <c r="H110" s="2">
        <v>11</v>
      </c>
      <c r="I110" t="s">
        <v>2620</v>
      </c>
      <c r="J110" t="str">
        <f>"{ name: "&amp;CHAR(34)&amp;B110&amp;CHAR(34)&amp;", landmark: "&amp;CHAR(34)&amp;IF(LEN(C110)=LEN(SUBSTITUTE(C110,"Transport","")),"Korok x1","Korok x2")&amp;CHAR(34)&amp;", type: "&amp;CHAR(34)&amp;C110&amp;CHAR(34)&amp;", region: "&amp;D110&amp;", level: "&amp;CHAR(34)&amp;E110&amp;CHAR(34)&amp;", x: "&amp;F110&amp;", y: "&amp;G110&amp;", z: "&amp;H110&amp;", details: "&amp;CHAR(34)&amp;I110&amp;CHAR(34)&amp;" },"</f>
        <v>{ name: "Manhala Bridge Korok #01", landmark: "Korok x2", type: "Transport to Friend", region: 2, level: "Surface", x: -1321, y: -570, z: 11, details: "Starts at (-1548, -1002, 28)" },</v>
      </c>
    </row>
    <row r="111" spans="1:10" x14ac:dyDescent="0.2">
      <c r="A111" s="2">
        <v>143</v>
      </c>
      <c r="B111" s="34" t="s">
        <v>3621</v>
      </c>
      <c r="C111" t="s">
        <v>2801</v>
      </c>
      <c r="D111" s="2">
        <v>2</v>
      </c>
      <c r="E111" s="2" t="s">
        <v>785</v>
      </c>
      <c r="F111" s="2">
        <v>-1598</v>
      </c>
      <c r="G111" s="2">
        <v>-1016</v>
      </c>
      <c r="H111" s="2">
        <v>19</v>
      </c>
      <c r="J111" t="str">
        <f>"{ name: "&amp;CHAR(34)&amp;B111&amp;CHAR(34)&amp;", landmark: "&amp;CHAR(34)&amp;IF(LEN(C111)=LEN(SUBSTITUTE(C111,"Transport","")),"Korok x1","Korok x2")&amp;CHAR(34)&amp;", type: "&amp;CHAR(34)&amp;C111&amp;CHAR(34)&amp;", region: "&amp;D111&amp;", level: "&amp;CHAR(34)&amp;E111&amp;CHAR(34)&amp;", x: "&amp;F111&amp;", y: "&amp;G111&amp;", z: "&amp;H111&amp;", details: "&amp;CHAR(34)&amp;I111&amp;CHAR(34)&amp;" },"</f>
        <v>{ name: "Manhala Bridge Korok #02", landmark: "Korok x1", type: "Break the Acorn Pot", region: 2, level: "Surface", x: -1598, y: -1016, z: 19, details: "" },</v>
      </c>
    </row>
    <row r="112" spans="1:10" x14ac:dyDescent="0.2">
      <c r="A112" s="2">
        <v>190</v>
      </c>
      <c r="B112" s="34" t="s">
        <v>3657</v>
      </c>
      <c r="C112" t="s">
        <v>2812</v>
      </c>
      <c r="D112" s="2">
        <v>2</v>
      </c>
      <c r="E112" s="2" t="s">
        <v>785</v>
      </c>
      <c r="F112" s="2">
        <v>-1295</v>
      </c>
      <c r="G112" s="2">
        <v>-2214</v>
      </c>
      <c r="H112" s="2">
        <v>313</v>
      </c>
      <c r="J112" t="str">
        <f>"{ name: "&amp;CHAR(34)&amp;B112&amp;CHAR(34)&amp;", landmark: "&amp;CHAR(34)&amp;IF(LEN(C112)=LEN(SUBSTITUTE(C112,"Transport","")),"Korok x1","Korok x2")&amp;CHAR(34)&amp;", type: "&amp;CHAR(34)&amp;C112&amp;CHAR(34)&amp;", region: "&amp;D112&amp;", level: "&amp;CHAR(34)&amp;E112&amp;CHAR(34)&amp;", x: "&amp;F112&amp;", y: "&amp;G112&amp;", z: "&amp;H112&amp;", details: "&amp;CHAR(34)&amp;I112&amp;CHAR(34)&amp;" },"</f>
        <v>{ name: "Mount Hylia Korok", landmark: "Korok x1", type: "Lift the Rock", region: 2, level: "Surface", x: -1295, y: -2214, z: 313, details: "" },</v>
      </c>
    </row>
    <row r="113" spans="1:10" x14ac:dyDescent="0.2">
      <c r="A113" s="2">
        <v>125</v>
      </c>
      <c r="B113" s="34" t="s">
        <v>3680</v>
      </c>
      <c r="C113" t="s">
        <v>2812</v>
      </c>
      <c r="D113" s="2">
        <v>2</v>
      </c>
      <c r="E113" s="2" t="s">
        <v>785</v>
      </c>
      <c r="F113" s="2">
        <v>-1742</v>
      </c>
      <c r="G113" s="2">
        <v>-401</v>
      </c>
      <c r="H113" s="2">
        <v>122</v>
      </c>
      <c r="J113" t="str">
        <f>"{ name: "&amp;CHAR(34)&amp;B113&amp;CHAR(34)&amp;", landmark: "&amp;CHAR(34)&amp;IF(LEN(C113)=LEN(SUBSTITUTE(C113,"Transport","")),"Korok x1","Korok x2")&amp;CHAR(34)&amp;", type: "&amp;CHAR(34)&amp;C113&amp;CHAR(34)&amp;", region: "&amp;D113&amp;", level: "&amp;CHAR(34)&amp;E113&amp;CHAR(34)&amp;", x: "&amp;F113&amp;", y: "&amp;G113&amp;", z: "&amp;H113&amp;", details: "&amp;CHAR(34)&amp;I113&amp;CHAR(34)&amp;" },"</f>
        <v>{ name: "Nima Plain Korok #01", landmark: "Korok x1", type: "Lift the Rock", region: 2, level: "Surface", x: -1742, y: -401, z: 122, details: "" },</v>
      </c>
    </row>
    <row r="114" spans="1:10" x14ac:dyDescent="0.2">
      <c r="A114" s="2">
        <v>127</v>
      </c>
      <c r="B114" s="34" t="s">
        <v>3681</v>
      </c>
      <c r="C114" t="s">
        <v>2824</v>
      </c>
      <c r="D114" s="2">
        <v>2</v>
      </c>
      <c r="E114" s="2" t="s">
        <v>785</v>
      </c>
      <c r="F114" s="2">
        <v>-1409</v>
      </c>
      <c r="G114" s="2">
        <v>-465</v>
      </c>
      <c r="H114" s="2">
        <v>45</v>
      </c>
      <c r="J114" t="str">
        <f>"{ name: "&amp;CHAR(34)&amp;B114&amp;CHAR(34)&amp;", landmark: "&amp;CHAR(34)&amp;IF(LEN(C114)=LEN(SUBSTITUTE(C114,"Transport","")),"Korok x1","Korok x2")&amp;CHAR(34)&amp;", type: "&amp;CHAR(34)&amp;C114&amp;CHAR(34)&amp;", region: "&amp;D114&amp;", level: "&amp;CHAR(34)&amp;E114&amp;CHAR(34)&amp;", x: "&amp;F114&amp;", y: "&amp;G114&amp;", z: "&amp;H114&amp;", details: "&amp;CHAR(34)&amp;I114&amp;CHAR(34)&amp;" },"</f>
        <v>{ name: "Nima Plain Korok #02", landmark: "Korok x1", type: "Catch the Moving Sparkle", region: 2, level: "Surface", x: -1409, y: -465, z: 45, details: "" },</v>
      </c>
    </row>
    <row r="115" spans="1:10" x14ac:dyDescent="0.2">
      <c r="A115" s="2">
        <v>166</v>
      </c>
      <c r="B115" s="34" t="s">
        <v>3722</v>
      </c>
      <c r="C115" t="s">
        <v>2821</v>
      </c>
      <c r="D115" s="2">
        <v>2</v>
      </c>
      <c r="E115" s="2" t="s">
        <v>785</v>
      </c>
      <c r="F115" s="2">
        <v>-282</v>
      </c>
      <c r="G115" s="2">
        <v>-1576</v>
      </c>
      <c r="H115" s="2">
        <v>55</v>
      </c>
      <c r="J115" t="str">
        <f>"{ name: "&amp;CHAR(34)&amp;B115&amp;CHAR(34)&amp;", landmark: "&amp;CHAR(34)&amp;IF(LEN(C115)=LEN(SUBSTITUTE(C115,"Transport","")),"Korok x1","Korok x2")&amp;CHAR(34)&amp;", type: "&amp;CHAR(34)&amp;C115&amp;CHAR(34)&amp;", region: "&amp;D115&amp;", level: "&amp;CHAR(34)&amp;E115&amp;CHAR(34)&amp;", x: "&amp;F115&amp;", y: "&amp;G115&amp;", z: "&amp;H115&amp;", details: "&amp;CHAR(34)&amp;I115&amp;CHAR(34)&amp;" },"</f>
        <v>{ name: "Outpost Ruins Korok #01", landmark: "Korok x1", type: "Shoot the Balloons", region: 2, level: "Surface", x: -282, y: -1576, z: 55, details: "" },</v>
      </c>
    </row>
    <row r="116" spans="1:10" x14ac:dyDescent="0.2">
      <c r="A116" s="2">
        <v>173</v>
      </c>
      <c r="B116" s="34" t="s">
        <v>3723</v>
      </c>
      <c r="C116" t="s">
        <v>2802</v>
      </c>
      <c r="D116" s="2">
        <v>2</v>
      </c>
      <c r="E116" s="2" t="s">
        <v>785</v>
      </c>
      <c r="F116" s="2">
        <v>-509</v>
      </c>
      <c r="G116" s="2">
        <v>-1696</v>
      </c>
      <c r="H116" s="2">
        <v>66</v>
      </c>
      <c r="I116" t="s">
        <v>2628</v>
      </c>
      <c r="J116" t="str">
        <f>"{ name: "&amp;CHAR(34)&amp;B116&amp;CHAR(34)&amp;", landmark: "&amp;CHAR(34)&amp;IF(LEN(C116)=LEN(SUBSTITUTE(C116,"Transport","")),"Korok x1","Korok x2")&amp;CHAR(34)&amp;", type: "&amp;CHAR(34)&amp;C116&amp;CHAR(34)&amp;", region: "&amp;D116&amp;", level: "&amp;CHAR(34)&amp;E116&amp;CHAR(34)&amp;", x: "&amp;F116&amp;", y: "&amp;G116&amp;", z: "&amp;H116&amp;", details: "&amp;CHAR(34)&amp;I116&amp;CHAR(34)&amp;" },"</f>
        <v>{ name: "Outpost Ruins Korok #02", landmark: "Korok x2", type: "Transport to Friend", region: 2, level: "Surface", x: -509, y: -1696, z: 66, details: "Starts at (-455, -1648, 20)" },</v>
      </c>
    </row>
    <row r="117" spans="1:10" x14ac:dyDescent="0.2">
      <c r="A117" s="2">
        <v>153</v>
      </c>
      <c r="B117" s="34" t="s">
        <v>3724</v>
      </c>
      <c r="C117" t="s">
        <v>2819</v>
      </c>
      <c r="D117" s="2">
        <v>2</v>
      </c>
      <c r="E117" s="2" t="s">
        <v>785</v>
      </c>
      <c r="F117" s="2">
        <v>-1659</v>
      </c>
      <c r="G117" s="2">
        <v>-1322</v>
      </c>
      <c r="H117" s="2">
        <v>109</v>
      </c>
      <c r="J117" t="str">
        <f>"{ name: "&amp;CHAR(34)&amp;B117&amp;CHAR(34)&amp;", landmark: "&amp;CHAR(34)&amp;IF(LEN(C117)=LEN(SUBSTITUTE(C117,"Transport","")),"Korok x1","Korok x2")&amp;CHAR(34)&amp;", type: "&amp;CHAR(34)&amp;C117&amp;CHAR(34)&amp;", region: "&amp;D117&amp;", level: "&amp;CHAR(34)&amp;E117&amp;CHAR(34)&amp;", x: "&amp;F117&amp;", y: "&amp;G117&amp;", z: "&amp;H117&amp;", details: "&amp;CHAR(34)&amp;I117&amp;CHAR(34)&amp;" },"</f>
        <v>{ name: "Outskirt Hill Korok #01", landmark: "Korok x1", type: "Repair the Roof", region: 2, level: "Surface", x: -1659, y: -1322, z: 109, details: "" },</v>
      </c>
    </row>
    <row r="118" spans="1:10" x14ac:dyDescent="0.2">
      <c r="A118" s="2">
        <v>160</v>
      </c>
      <c r="B118" s="34" t="s">
        <v>3725</v>
      </c>
      <c r="C118" t="s">
        <v>2807</v>
      </c>
      <c r="D118" s="2">
        <v>2</v>
      </c>
      <c r="E118" s="2" t="s">
        <v>785</v>
      </c>
      <c r="F118" s="2">
        <v>-1764</v>
      </c>
      <c r="G118" s="2">
        <v>-1449</v>
      </c>
      <c r="H118" s="2">
        <v>93</v>
      </c>
      <c r="J118" t="str">
        <f>"{ name: "&amp;CHAR(34)&amp;B118&amp;CHAR(34)&amp;", landmark: "&amp;CHAR(34)&amp;IF(LEN(C118)=LEN(SUBSTITUTE(C118,"Transport","")),"Korok x1","Korok x2")&amp;CHAR(34)&amp;", type: "&amp;CHAR(34)&amp;C118&amp;CHAR(34)&amp;", region: "&amp;D118&amp;", level: "&amp;CHAR(34)&amp;E118&amp;CHAR(34)&amp;", x: "&amp;F118&amp;", y: "&amp;G118&amp;", z: "&amp;H118&amp;", details: "&amp;CHAR(34)&amp;I118&amp;CHAR(34)&amp;" },"</f>
        <v>{ name: "Outskirt Hill Korok #02", landmark: "Korok x1", type: "Complete the Cube Puzzle", region: 2, level: "Surface", x: -1764, y: -1449, z: 93, details: "" },</v>
      </c>
    </row>
    <row r="119" spans="1:10" x14ac:dyDescent="0.2">
      <c r="A119" s="2">
        <v>154</v>
      </c>
      <c r="B119" s="34" t="s">
        <v>3726</v>
      </c>
      <c r="C119" t="s">
        <v>2801</v>
      </c>
      <c r="D119" s="2">
        <v>2</v>
      </c>
      <c r="E119" s="2" t="s">
        <v>785</v>
      </c>
      <c r="F119" s="2">
        <v>-1428</v>
      </c>
      <c r="G119" s="2">
        <v>-1298</v>
      </c>
      <c r="H119" s="2">
        <v>37</v>
      </c>
      <c r="J119" t="str">
        <f>"{ name: "&amp;CHAR(34)&amp;B119&amp;CHAR(34)&amp;", landmark: "&amp;CHAR(34)&amp;IF(LEN(C119)=LEN(SUBSTITUTE(C119,"Transport","")),"Korok x1","Korok x2")&amp;CHAR(34)&amp;", type: "&amp;CHAR(34)&amp;C119&amp;CHAR(34)&amp;", region: "&amp;D119&amp;", level: "&amp;CHAR(34)&amp;E119&amp;CHAR(34)&amp;", x: "&amp;F119&amp;", y: "&amp;G119&amp;", z: "&amp;H119&amp;", details: "&amp;CHAR(34)&amp;I119&amp;CHAR(34)&amp;" },"</f>
        <v>{ name: "Outskirt Stable Korok #01", landmark: "Korok x1", type: "Break the Acorn Pot", region: 2, level: "Surface", x: -1428, y: -1298, z: 37, details: "" },</v>
      </c>
    </row>
    <row r="120" spans="1:10" x14ac:dyDescent="0.2">
      <c r="A120" s="2">
        <v>155</v>
      </c>
      <c r="B120" s="34" t="s">
        <v>3727</v>
      </c>
      <c r="C120" t="s">
        <v>2814</v>
      </c>
      <c r="D120" s="2">
        <v>2</v>
      </c>
      <c r="E120" s="2" t="s">
        <v>785</v>
      </c>
      <c r="F120" s="2">
        <v>-1316</v>
      </c>
      <c r="G120" s="2">
        <v>-1261</v>
      </c>
      <c r="H120" s="2">
        <v>34</v>
      </c>
      <c r="J120" t="str">
        <f>"{ name: "&amp;CHAR(34)&amp;B120&amp;CHAR(34)&amp;", landmark: "&amp;CHAR(34)&amp;IF(LEN(C120)=LEN(SUBSTITUTE(C120,"Transport","")),"Korok x1","Korok x2")&amp;CHAR(34)&amp;", type: "&amp;CHAR(34)&amp;C120&amp;CHAR(34)&amp;", region: "&amp;D120&amp;", level: "&amp;CHAR(34)&amp;E120&amp;CHAR(34)&amp;", x: "&amp;F120&amp;", y: "&amp;G120&amp;", z: "&amp;H120&amp;", details: "&amp;CHAR(34)&amp;I120&amp;CHAR(34)&amp;" },"</f>
        <v>{ name: "Outskirt Stable Korok #02", landmark: "Korok x1", type: "Make Offering to Statue", region: 2, level: "Surface", x: -1316, y: -1261, z: 34, details: "" },</v>
      </c>
    </row>
    <row r="121" spans="1:10" x14ac:dyDescent="0.2">
      <c r="A121" s="2">
        <v>156</v>
      </c>
      <c r="B121" s="34" t="s">
        <v>3728</v>
      </c>
      <c r="C121" t="s">
        <v>2802</v>
      </c>
      <c r="D121" s="2">
        <v>2</v>
      </c>
      <c r="E121" s="2" t="s">
        <v>785</v>
      </c>
      <c r="F121" s="2">
        <v>-1302</v>
      </c>
      <c r="G121" s="2">
        <v>-1332</v>
      </c>
      <c r="H121" s="2">
        <v>139</v>
      </c>
      <c r="I121" t="s">
        <v>2625</v>
      </c>
      <c r="J121" t="str">
        <f>"{ name: "&amp;CHAR(34)&amp;B121&amp;CHAR(34)&amp;", landmark: "&amp;CHAR(34)&amp;IF(LEN(C121)=LEN(SUBSTITUTE(C121,"Transport","")),"Korok x1","Korok x2")&amp;CHAR(34)&amp;", type: "&amp;CHAR(34)&amp;C121&amp;CHAR(34)&amp;", region: "&amp;D121&amp;", level: "&amp;CHAR(34)&amp;E121&amp;CHAR(34)&amp;", x: "&amp;F121&amp;", y: "&amp;G121&amp;", z: "&amp;H121&amp;", details: "&amp;CHAR(34)&amp;I121&amp;CHAR(34)&amp;" },"</f>
        <v>{ name: "Outskirt Stable Korok #03", landmark: "Korok x2", type: "Transport to Friend", region: 2, level: "Surface", x: -1302, y: -1332, z: 139, details: "Starts at (-1356, -1310, 47)" },</v>
      </c>
    </row>
    <row r="122" spans="1:10" x14ac:dyDescent="0.2">
      <c r="A122" s="2">
        <v>145</v>
      </c>
      <c r="B122" s="34" t="s">
        <v>3743</v>
      </c>
      <c r="C122" t="s">
        <v>2802</v>
      </c>
      <c r="D122" s="2">
        <v>2</v>
      </c>
      <c r="E122" s="2" t="s">
        <v>785</v>
      </c>
      <c r="F122" s="2">
        <v>-881</v>
      </c>
      <c r="G122" s="2">
        <v>-930</v>
      </c>
      <c r="H122" s="2">
        <v>20</v>
      </c>
      <c r="I122" t="s">
        <v>2621</v>
      </c>
      <c r="J122" t="str">
        <f>"{ name: "&amp;CHAR(34)&amp;B122&amp;CHAR(34)&amp;", landmark: "&amp;CHAR(34)&amp;IF(LEN(C122)=LEN(SUBSTITUTE(C122,"Transport","")),"Korok x1","Korok x2")&amp;CHAR(34)&amp;", type: "&amp;CHAR(34)&amp;C122&amp;CHAR(34)&amp;", region: "&amp;D122&amp;", level: "&amp;CHAR(34)&amp;E122&amp;CHAR(34)&amp;", x: "&amp;F122&amp;", y: "&amp;G122&amp;", z: "&amp;H122&amp;", details: "&amp;CHAR(34)&amp;I122&amp;CHAR(34)&amp;" },"</f>
        <v>{ name: "Passeri Greenbelt Korok #04", landmark: "Korok x2", type: "Transport to Friend", region: 2, level: "Surface", x: -881, y: -930, z: 20, details: "Starts at (-779, -500, 18)" },</v>
      </c>
    </row>
    <row r="123" spans="1:10" x14ac:dyDescent="0.2">
      <c r="A123" s="2">
        <v>168</v>
      </c>
      <c r="B123" s="34" t="s">
        <v>3756</v>
      </c>
      <c r="C123" t="s">
        <v>2812</v>
      </c>
      <c r="D123" s="2">
        <v>2</v>
      </c>
      <c r="E123" s="2" t="s">
        <v>785</v>
      </c>
      <c r="F123" s="2">
        <v>148</v>
      </c>
      <c r="G123" s="2">
        <v>-1611</v>
      </c>
      <c r="H123" s="2">
        <v>31</v>
      </c>
      <c r="J123" t="str">
        <f>"{ name: "&amp;CHAR(34)&amp;B123&amp;CHAR(34)&amp;", landmark: "&amp;CHAR(34)&amp;IF(LEN(C123)=LEN(SUBSTITUTE(C123,"Transport","")),"Korok x1","Korok x2")&amp;CHAR(34)&amp;", type: "&amp;CHAR(34)&amp;C123&amp;CHAR(34)&amp;", region: "&amp;D123&amp;", level: "&amp;CHAR(34)&amp;E123&amp;CHAR(34)&amp;", x: "&amp;F123&amp;", y: "&amp;G123&amp;", z: "&amp;H123&amp;", details: "&amp;CHAR(34)&amp;I123&amp;CHAR(34)&amp;" },"</f>
        <v>{ name: "Proxim Bridge Korok #01", landmark: "Korok x1", type: "Lift the Rock", region: 2, level: "Surface", x: 148, y: -1611, z: 31, details: "" },</v>
      </c>
    </row>
    <row r="124" spans="1:10" x14ac:dyDescent="0.2">
      <c r="A124" s="2">
        <v>169</v>
      </c>
      <c r="B124" s="34" t="s">
        <v>3757</v>
      </c>
      <c r="C124" t="s">
        <v>2826</v>
      </c>
      <c r="D124" s="2">
        <v>2</v>
      </c>
      <c r="E124" s="2" t="s">
        <v>785</v>
      </c>
      <c r="F124" s="2">
        <v>229</v>
      </c>
      <c r="G124" s="2">
        <v>-1609</v>
      </c>
      <c r="H124" s="2">
        <v>22</v>
      </c>
      <c r="J124" t="str">
        <f>"{ name: "&amp;CHAR(34)&amp;B124&amp;CHAR(34)&amp;", landmark: "&amp;CHAR(34)&amp;IF(LEN(C124)=LEN(SUBSTITUTE(C124,"Transport","")),"Korok x1","Korok x2")&amp;CHAR(34)&amp;", type: "&amp;CHAR(34)&amp;C124&amp;CHAR(34)&amp;", region: "&amp;D124&amp;", level: "&amp;CHAR(34)&amp;E124&amp;CHAR(34)&amp;", x: "&amp;F124&amp;", y: "&amp;G124&amp;", z: "&amp;H124&amp;", details: "&amp;CHAR(34)&amp;I124&amp;CHAR(34)&amp;" },"</f>
        <v>{ name: "Proxim Bridge Korok #02", landmark: "Korok x1", type: "Ascend Through the Marker", region: 2, level: "Surface", x: 229, y: -1609, z: 22, details: "" },</v>
      </c>
    </row>
    <row r="125" spans="1:10" x14ac:dyDescent="0.2">
      <c r="A125" s="2">
        <v>137</v>
      </c>
      <c r="B125" s="34" t="s">
        <v>3778</v>
      </c>
      <c r="C125" t="s">
        <v>2812</v>
      </c>
      <c r="D125" s="2">
        <v>2</v>
      </c>
      <c r="E125" s="2" t="s">
        <v>785</v>
      </c>
      <c r="F125" s="2">
        <v>-1344</v>
      </c>
      <c r="G125" s="2">
        <v>-689</v>
      </c>
      <c r="H125" s="2">
        <v>11</v>
      </c>
      <c r="J125" t="str">
        <f>"{ name: "&amp;CHAR(34)&amp;B125&amp;CHAR(34)&amp;", landmark: "&amp;CHAR(34)&amp;IF(LEN(C125)=LEN(SUBSTITUTE(C125,"Transport","")),"Korok x1","Korok x2")&amp;CHAR(34)&amp;", type: "&amp;CHAR(34)&amp;C125&amp;CHAR(34)&amp;", region: "&amp;D125&amp;", level: "&amp;CHAR(34)&amp;E125&amp;CHAR(34)&amp;", x: "&amp;F125&amp;", y: "&amp;G125&amp;", z: "&amp;H125&amp;", details: "&amp;CHAR(34)&amp;I125&amp;CHAR(34)&amp;" },"</f>
        <v>{ name: "Regencia River Korok #03", landmark: "Korok x1", type: "Lift the Rock", region: 2, level: "Surface", x: -1344, y: -689, z: 11, details: "" },</v>
      </c>
    </row>
    <row r="126" spans="1:10" x14ac:dyDescent="0.2">
      <c r="A126" s="2">
        <v>141</v>
      </c>
      <c r="B126" s="34" t="s">
        <v>3779</v>
      </c>
      <c r="C126" t="s">
        <v>2595</v>
      </c>
      <c r="D126" s="2">
        <v>2</v>
      </c>
      <c r="E126" s="2" t="s">
        <v>785</v>
      </c>
      <c r="F126" s="2">
        <v>-1440</v>
      </c>
      <c r="G126" s="2">
        <v>-847</v>
      </c>
      <c r="H126" s="2">
        <v>23</v>
      </c>
      <c r="J126" t="str">
        <f>"{ name: "&amp;CHAR(34)&amp;B126&amp;CHAR(34)&amp;", landmark: "&amp;CHAR(34)&amp;IF(LEN(C126)=LEN(SUBSTITUTE(C126,"Transport","")),"Korok x1","Korok x2")&amp;CHAR(34)&amp;", type: "&amp;CHAR(34)&amp;C126&amp;CHAR(34)&amp;", region: "&amp;D126&amp;", level: "&amp;CHAR(34)&amp;E126&amp;CHAR(34)&amp;", x: "&amp;F126&amp;", y: "&amp;G126&amp;", z: "&amp;H126&amp;", details: "&amp;CHAR(34)&amp;I126&amp;CHAR(34)&amp;" },"</f>
        <v>{ name: "Regencia River Korok #04", landmark: "Korok x1", type: "Attack and catch the dandelion", region: 2, level: "Surface", x: -1440, y: -847, z: 23, details: "" },</v>
      </c>
    </row>
    <row r="127" spans="1:10" x14ac:dyDescent="0.2">
      <c r="A127" s="2">
        <v>152</v>
      </c>
      <c r="B127" s="34" t="s">
        <v>3780</v>
      </c>
      <c r="C127" t="s">
        <v>2812</v>
      </c>
      <c r="D127" s="2">
        <v>2</v>
      </c>
      <c r="E127" s="2" t="s">
        <v>785</v>
      </c>
      <c r="F127" s="2">
        <v>-1771</v>
      </c>
      <c r="G127" s="2">
        <v>-1243</v>
      </c>
      <c r="H127" s="2">
        <v>11</v>
      </c>
      <c r="J127" t="str">
        <f>"{ name: "&amp;CHAR(34)&amp;B127&amp;CHAR(34)&amp;", landmark: "&amp;CHAR(34)&amp;IF(LEN(C127)=LEN(SUBSTITUTE(C127,"Transport","")),"Korok x1","Korok x2")&amp;CHAR(34)&amp;", type: "&amp;CHAR(34)&amp;C127&amp;CHAR(34)&amp;", region: "&amp;D127&amp;", level: "&amp;CHAR(34)&amp;E127&amp;CHAR(34)&amp;", x: "&amp;F127&amp;", y: "&amp;G127&amp;", z: "&amp;H127&amp;", details: "&amp;CHAR(34)&amp;I127&amp;CHAR(34)&amp;" },"</f>
        <v>{ name: "Regencia River Korok #05", landmark: "Korok x1", type: "Lift the Rock", region: 2, level: "Surface", x: -1771, y: -1243, z: 11, details: "" },</v>
      </c>
    </row>
    <row r="128" spans="1:10" x14ac:dyDescent="0.2">
      <c r="A128" s="2">
        <v>174</v>
      </c>
      <c r="B128" s="34" t="s">
        <v>3796</v>
      </c>
      <c r="C128" t="s">
        <v>2824</v>
      </c>
      <c r="D128" s="2">
        <v>2</v>
      </c>
      <c r="E128" s="2" t="s">
        <v>785</v>
      </c>
      <c r="F128" s="2">
        <v>-1151</v>
      </c>
      <c r="G128" s="2">
        <v>-1788</v>
      </c>
      <c r="H128" s="2">
        <v>156</v>
      </c>
      <c r="J128" t="str">
        <f>"{ name: "&amp;CHAR(34)&amp;B128&amp;CHAR(34)&amp;", landmark: "&amp;CHAR(34)&amp;IF(LEN(C128)=LEN(SUBSTITUTE(C128,"Transport","")),"Korok x1","Korok x2")&amp;CHAR(34)&amp;", type: "&amp;CHAR(34)&amp;C128&amp;CHAR(34)&amp;", region: "&amp;D128&amp;", level: "&amp;CHAR(34)&amp;E128&amp;CHAR(34)&amp;", x: "&amp;F128&amp;", y: "&amp;G128&amp;", z: "&amp;H128&amp;", details: "&amp;CHAR(34)&amp;I128&amp;CHAR(34)&amp;" },"</f>
        <v>{ name: "River of the Dead Korok #01", landmark: "Korok x1", type: "Catch the Moving Sparkle", region: 2, level: "Surface", x: -1151, y: -1788, z: 156, details: "" },</v>
      </c>
    </row>
    <row r="129" spans="1:10" x14ac:dyDescent="0.2">
      <c r="A129" s="2">
        <v>187</v>
      </c>
      <c r="B129" s="34" t="s">
        <v>3797</v>
      </c>
      <c r="C129" t="s">
        <v>2802</v>
      </c>
      <c r="D129" s="2">
        <v>2</v>
      </c>
      <c r="E129" s="2" t="s">
        <v>785</v>
      </c>
      <c r="F129" s="2">
        <v>-1178</v>
      </c>
      <c r="G129" s="2">
        <v>-2089</v>
      </c>
      <c r="H129" s="2">
        <v>146</v>
      </c>
      <c r="I129" t="s">
        <v>2632</v>
      </c>
      <c r="J129" t="str">
        <f>"{ name: "&amp;CHAR(34)&amp;B129&amp;CHAR(34)&amp;", landmark: "&amp;CHAR(34)&amp;IF(LEN(C129)=LEN(SUBSTITUTE(C129,"Transport","")),"Korok x1","Korok x2")&amp;CHAR(34)&amp;", type: "&amp;CHAR(34)&amp;C129&amp;CHAR(34)&amp;", region: "&amp;D129&amp;", level: "&amp;CHAR(34)&amp;E129&amp;CHAR(34)&amp;", x: "&amp;F129&amp;", y: "&amp;G129&amp;", z: "&amp;H129&amp;", details: "&amp;CHAR(34)&amp;I129&amp;CHAR(34)&amp;" },"</f>
        <v>{ name: "River of the Dead Korok #02", landmark: "Korok x2", type: "Transport to Friend", region: 2, level: "Surface", x: -1178, y: -2089, z: 146, details: "Starts at (-1130, -1971, 145)" },</v>
      </c>
    </row>
    <row r="130" spans="1:10" x14ac:dyDescent="0.2">
      <c r="A130" s="2">
        <v>188</v>
      </c>
      <c r="B130" s="34" t="s">
        <v>3798</v>
      </c>
      <c r="C130" t="s">
        <v>2825</v>
      </c>
      <c r="D130" s="2">
        <v>2</v>
      </c>
      <c r="E130" s="2" t="s">
        <v>785</v>
      </c>
      <c r="F130" s="2">
        <v>-1086</v>
      </c>
      <c r="G130" s="2">
        <v>-2050</v>
      </c>
      <c r="H130" s="2">
        <v>147</v>
      </c>
      <c r="J130" t="str">
        <f>"{ name: "&amp;CHAR(34)&amp;B130&amp;CHAR(34)&amp;", landmark: "&amp;CHAR(34)&amp;IF(LEN(C130)=LEN(SUBSTITUTE(C130,"Transport","")),"Korok x1","Korok x2")&amp;CHAR(34)&amp;", type: "&amp;CHAR(34)&amp;C130&amp;CHAR(34)&amp;", region: "&amp;D130&amp;", level: "&amp;CHAR(34)&amp;E130&amp;CHAR(34)&amp;", x: "&amp;F130&amp;", y: "&amp;G130&amp;", z: "&amp;H130&amp;", details: "&amp;CHAR(34)&amp;I130&amp;CHAR(34)&amp;" },"</f>
        <v>{ name: "River of the Dead Korok #03", landmark: "Korok x1", type: "Climb and Examine the Fairy Lights", region: 2, level: "Surface", x: -1086, y: -2050, z: 147, details: "" },</v>
      </c>
    </row>
    <row r="131" spans="1:10" x14ac:dyDescent="0.2">
      <c r="A131" s="2">
        <v>128</v>
      </c>
      <c r="B131" s="34" t="s">
        <v>3810</v>
      </c>
      <c r="C131" t="s">
        <v>2811</v>
      </c>
      <c r="D131" s="2">
        <v>2</v>
      </c>
      <c r="E131" s="2" t="s">
        <v>785</v>
      </c>
      <c r="F131" s="2">
        <v>-2498</v>
      </c>
      <c r="G131" s="2">
        <v>-568</v>
      </c>
      <c r="H131" s="2">
        <v>206</v>
      </c>
      <c r="I131" t="s">
        <v>2760</v>
      </c>
      <c r="J131" t="str">
        <f>"{ name: "&amp;CHAR(34)&amp;B131&amp;CHAR(34)&amp;", landmark: "&amp;CHAR(34)&amp;IF(LEN(C131)=LEN(SUBSTITUTE(C131,"Transport","")),"Korok x1","Korok x2")&amp;CHAR(34)&amp;", type: "&amp;CHAR(34)&amp;C131&amp;CHAR(34)&amp;", region: "&amp;D131&amp;", level: "&amp;CHAR(34)&amp;E131&amp;CHAR(34)&amp;", x: "&amp;F131&amp;", y: "&amp;G131&amp;", z: "&amp;H131&amp;", details: "&amp;CHAR(34)&amp;I131&amp;CHAR(34)&amp;" },"</f>
        <v>{ name: "Rutile Lake Korok #01", landmark: "Korok x1", type: "Follow the Yellow Flowers", region: 2, level: "Surface", x: -2498, y: -568, z: 206, details: "Starts at (-2537, -629, 203)" },</v>
      </c>
    </row>
    <row r="132" spans="1:10" x14ac:dyDescent="0.2">
      <c r="A132" s="2">
        <v>133</v>
      </c>
      <c r="B132" s="34" t="s">
        <v>3811</v>
      </c>
      <c r="C132" t="s">
        <v>2812</v>
      </c>
      <c r="D132" s="2">
        <v>2</v>
      </c>
      <c r="E132" s="2" t="s">
        <v>785</v>
      </c>
      <c r="F132" s="2">
        <v>-2601</v>
      </c>
      <c r="G132" s="2">
        <v>-669</v>
      </c>
      <c r="H132" s="2">
        <v>214</v>
      </c>
      <c r="J132" t="str">
        <f>"{ name: "&amp;CHAR(34)&amp;B132&amp;CHAR(34)&amp;", landmark: "&amp;CHAR(34)&amp;IF(LEN(C132)=LEN(SUBSTITUTE(C132,"Transport","")),"Korok x1","Korok x2")&amp;CHAR(34)&amp;", type: "&amp;CHAR(34)&amp;C132&amp;CHAR(34)&amp;", region: "&amp;D132&amp;", level: "&amp;CHAR(34)&amp;E132&amp;CHAR(34)&amp;", x: "&amp;F132&amp;", y: "&amp;G132&amp;", z: "&amp;H132&amp;", details: "&amp;CHAR(34)&amp;I132&amp;CHAR(34)&amp;" },"</f>
        <v>{ name: "Rutile Lake Korok #02", landmark: "Korok x1", type: "Lift the Rock", region: 2, level: "Surface", x: -2601, y: -669, z: 214, details: "" },</v>
      </c>
    </row>
    <row r="133" spans="1:10" x14ac:dyDescent="0.2">
      <c r="A133" s="2">
        <v>140</v>
      </c>
      <c r="B133" s="34" t="s">
        <v>3815</v>
      </c>
      <c r="C133" t="s">
        <v>2824</v>
      </c>
      <c r="D133" s="2">
        <v>2</v>
      </c>
      <c r="E133" s="2" t="s">
        <v>785</v>
      </c>
      <c r="F133" s="2">
        <v>-1557</v>
      </c>
      <c r="G133" s="2">
        <v>-824</v>
      </c>
      <c r="H133" s="2">
        <v>61</v>
      </c>
      <c r="J133" t="str">
        <f>"{ name: "&amp;CHAR(34)&amp;B133&amp;CHAR(34)&amp;", landmark: "&amp;CHAR(34)&amp;IF(LEN(C133)=LEN(SUBSTITUTE(C133,"Transport","")),"Korok x1","Korok x2")&amp;CHAR(34)&amp;", type: "&amp;CHAR(34)&amp;C133&amp;CHAR(34)&amp;", region: "&amp;D133&amp;", level: "&amp;CHAR(34)&amp;E133&amp;CHAR(34)&amp;", x: "&amp;F133&amp;", y: "&amp;G133&amp;", z: "&amp;H133&amp;", details: "&amp;CHAR(34)&amp;I133&amp;CHAR(34)&amp;" },"</f>
        <v>{ name: "Safula Hill Korok #01", landmark: "Korok x1", type: "Catch the Moving Sparkle", region: 2, level: "Surface", x: -1557, y: -824, z: 61, details: "" },</v>
      </c>
    </row>
    <row r="134" spans="1:10" x14ac:dyDescent="0.2">
      <c r="A134" s="2">
        <v>142</v>
      </c>
      <c r="B134" s="34" t="s">
        <v>3816</v>
      </c>
      <c r="C134" t="s">
        <v>2814</v>
      </c>
      <c r="D134" s="2">
        <v>2</v>
      </c>
      <c r="E134" s="2" t="s">
        <v>785</v>
      </c>
      <c r="F134" s="2">
        <v>-1816</v>
      </c>
      <c r="G134" s="2">
        <v>-972</v>
      </c>
      <c r="H134" s="2">
        <v>144</v>
      </c>
      <c r="J134" t="str">
        <f>"{ name: "&amp;CHAR(34)&amp;B134&amp;CHAR(34)&amp;", landmark: "&amp;CHAR(34)&amp;IF(LEN(C134)=LEN(SUBSTITUTE(C134,"Transport","")),"Korok x1","Korok x2")&amp;CHAR(34)&amp;", type: "&amp;CHAR(34)&amp;C134&amp;CHAR(34)&amp;", region: "&amp;D134&amp;", level: "&amp;CHAR(34)&amp;E134&amp;CHAR(34)&amp;", x: "&amp;F134&amp;", y: "&amp;G134&amp;", z: "&amp;H134&amp;", details: "&amp;CHAR(34)&amp;I134&amp;CHAR(34)&amp;" },"</f>
        <v>{ name: "Safula Hill Korok #02", landmark: "Korok x1", type: "Make Offering to Statue", region: 2, level: "Surface", x: -1816, y: -972, z: 144, details: "" },</v>
      </c>
    </row>
    <row r="135" spans="1:10" x14ac:dyDescent="0.2">
      <c r="A135" s="2">
        <v>136</v>
      </c>
      <c r="B135" s="34" t="s">
        <v>3826</v>
      </c>
      <c r="C135" t="s">
        <v>2825</v>
      </c>
      <c r="D135" s="2">
        <v>2</v>
      </c>
      <c r="E135" s="2" t="s">
        <v>785</v>
      </c>
      <c r="F135" s="2">
        <v>-1651</v>
      </c>
      <c r="G135" s="2">
        <v>-688</v>
      </c>
      <c r="H135" s="2">
        <v>142</v>
      </c>
      <c r="J135" t="str">
        <f>"{ name: "&amp;CHAR(34)&amp;B135&amp;CHAR(34)&amp;", landmark: "&amp;CHAR(34)&amp;IF(LEN(C135)=LEN(SUBSTITUTE(C135,"Transport","")),"Korok x1","Korok x2")&amp;CHAR(34)&amp;", type: "&amp;CHAR(34)&amp;C135&amp;CHAR(34)&amp;", region: "&amp;D135&amp;", level: "&amp;CHAR(34)&amp;E135&amp;CHAR(34)&amp;", x: "&amp;F135&amp;", y: "&amp;G135&amp;", z: "&amp;H135&amp;", details: "&amp;CHAR(34)&amp;I135&amp;CHAR(34)&amp;" },"</f>
        <v>{ name: "Sanidin Park Ruins Korok", landmark: "Korok x1", type: "Climb and Examine the Fairy Lights", region: 2, level: "Surface", x: -1651, y: -688, z: 142, details: "" },</v>
      </c>
    </row>
    <row r="136" spans="1:10" x14ac:dyDescent="0.2">
      <c r="A136" s="2">
        <v>122</v>
      </c>
      <c r="B136" s="34" t="s">
        <v>3835</v>
      </c>
      <c r="C136" t="s">
        <v>2802</v>
      </c>
      <c r="D136" s="2">
        <v>2</v>
      </c>
      <c r="E136" s="2" t="s">
        <v>785</v>
      </c>
      <c r="F136" s="2">
        <v>-1849</v>
      </c>
      <c r="G136" s="2">
        <v>-329</v>
      </c>
      <c r="H136" s="2">
        <v>163</v>
      </c>
      <c r="I136" t="s">
        <v>2637</v>
      </c>
      <c r="J136" t="str">
        <f>"{ name: "&amp;CHAR(34)&amp;B136&amp;CHAR(34)&amp;", landmark: "&amp;CHAR(34)&amp;IF(LEN(C136)=LEN(SUBSTITUTE(C136,"Transport","")),"Korok x1","Korok x2")&amp;CHAR(34)&amp;", type: "&amp;CHAR(34)&amp;C136&amp;CHAR(34)&amp;", region: "&amp;D136&amp;", level: "&amp;CHAR(34)&amp;E136&amp;CHAR(34)&amp;", x: "&amp;F136&amp;", y: "&amp;G136&amp;", z: "&amp;H136&amp;", details: "&amp;CHAR(34)&amp;I136&amp;CHAR(34)&amp;" },"</f>
        <v>{ name: "Satori Mountain Korok #01", landmark: "Korok x2", type: "Transport to Friend", region: 2, level: "Surface", x: -1849, y: -329, z: 163, details: "Starts at (-1799, -321, 120)" },</v>
      </c>
    </row>
    <row r="137" spans="1:10" x14ac:dyDescent="0.2">
      <c r="A137" s="2">
        <v>123</v>
      </c>
      <c r="B137" s="34" t="s">
        <v>3836</v>
      </c>
      <c r="C137" t="s">
        <v>2812</v>
      </c>
      <c r="D137" s="2">
        <v>2</v>
      </c>
      <c r="E137" s="2" t="s">
        <v>785</v>
      </c>
      <c r="F137" s="2">
        <v>-2280</v>
      </c>
      <c r="G137" s="2">
        <v>-402</v>
      </c>
      <c r="H137" s="2">
        <v>399</v>
      </c>
      <c r="J137" t="str">
        <f>"{ name: "&amp;CHAR(34)&amp;B137&amp;CHAR(34)&amp;", landmark: "&amp;CHAR(34)&amp;IF(LEN(C137)=LEN(SUBSTITUTE(C137,"Transport","")),"Korok x1","Korok x2")&amp;CHAR(34)&amp;", type: "&amp;CHAR(34)&amp;C137&amp;CHAR(34)&amp;", region: "&amp;D137&amp;", level: "&amp;CHAR(34)&amp;E137&amp;CHAR(34)&amp;", x: "&amp;F137&amp;", y: "&amp;G137&amp;", z: "&amp;H137&amp;", details: "&amp;CHAR(34)&amp;I137&amp;CHAR(34)&amp;" },"</f>
        <v>{ name: "Satori Mountain Korok #02", landmark: "Korok x1", type: "Lift the Rock", region: 2, level: "Surface", x: -2280, y: -402, z: 399, details: "" },</v>
      </c>
    </row>
    <row r="138" spans="1:10" x14ac:dyDescent="0.2">
      <c r="A138" s="2">
        <v>124</v>
      </c>
      <c r="B138" s="34" t="s">
        <v>3837</v>
      </c>
      <c r="C138" t="s">
        <v>2801</v>
      </c>
      <c r="D138" s="2">
        <v>2</v>
      </c>
      <c r="E138" s="2" t="s">
        <v>785</v>
      </c>
      <c r="F138" s="2">
        <v>-1956</v>
      </c>
      <c r="G138" s="2">
        <v>-410</v>
      </c>
      <c r="H138" s="2">
        <v>208</v>
      </c>
      <c r="J138" t="str">
        <f>"{ name: "&amp;CHAR(34)&amp;B138&amp;CHAR(34)&amp;", landmark: "&amp;CHAR(34)&amp;IF(LEN(C138)=LEN(SUBSTITUTE(C138,"Transport","")),"Korok x1","Korok x2")&amp;CHAR(34)&amp;", type: "&amp;CHAR(34)&amp;C138&amp;CHAR(34)&amp;", region: "&amp;D138&amp;", level: "&amp;CHAR(34)&amp;E138&amp;CHAR(34)&amp;", x: "&amp;F138&amp;", y: "&amp;G138&amp;", z: "&amp;H138&amp;", details: "&amp;CHAR(34)&amp;I138&amp;CHAR(34)&amp;" },"</f>
        <v>{ name: "Satori Mountain Korok #03", landmark: "Korok x1", type: "Break the Acorn Pot", region: 2, level: "Surface", x: -1956, y: -410, z: 208, details: "" },</v>
      </c>
    </row>
    <row r="139" spans="1:10" x14ac:dyDescent="0.2">
      <c r="A139" s="2">
        <v>126</v>
      </c>
      <c r="B139" s="34" t="s">
        <v>3838</v>
      </c>
      <c r="C139" t="s">
        <v>2808</v>
      </c>
      <c r="D139" s="2">
        <v>2</v>
      </c>
      <c r="E139" s="2" t="s">
        <v>785</v>
      </c>
      <c r="F139" s="2">
        <v>-2715</v>
      </c>
      <c r="G139" s="2">
        <v>-497</v>
      </c>
      <c r="H139" s="2">
        <v>87</v>
      </c>
      <c r="J139" t="str">
        <f>"{ name: "&amp;CHAR(34)&amp;B139&amp;CHAR(34)&amp;", landmark: "&amp;CHAR(34)&amp;IF(LEN(C139)=LEN(SUBSTITUTE(C139,"Transport","")),"Korok x1","Korok x2")&amp;CHAR(34)&amp;", type: "&amp;CHAR(34)&amp;C139&amp;CHAR(34)&amp;", region: "&amp;D139&amp;", level: "&amp;CHAR(34)&amp;E139&amp;CHAR(34)&amp;", x: "&amp;F139&amp;", y: "&amp;G139&amp;", z: "&amp;H139&amp;", details: "&amp;CHAR(34)&amp;I139&amp;CHAR(34)&amp;" },"</f>
        <v>{ name: "Satori Mountain Korok #04", landmark: "Korok x1", type: "Complete the Rock Pattern", region: 2, level: "Surface", x: -2715, y: -497, z: 87, details: "" },</v>
      </c>
    </row>
    <row r="140" spans="1:10" x14ac:dyDescent="0.2">
      <c r="A140" s="2">
        <v>129</v>
      </c>
      <c r="B140" s="34" t="s">
        <v>3839</v>
      </c>
      <c r="C140" t="s">
        <v>2827</v>
      </c>
      <c r="D140" s="2">
        <v>2</v>
      </c>
      <c r="E140" s="2" t="s">
        <v>785</v>
      </c>
      <c r="F140" s="2">
        <v>-2437</v>
      </c>
      <c r="G140" s="2">
        <v>-554</v>
      </c>
      <c r="H140" s="2">
        <v>206</v>
      </c>
      <c r="I140" t="s">
        <v>2761</v>
      </c>
      <c r="J140" t="str">
        <f>"{ name: "&amp;CHAR(34)&amp;B140&amp;CHAR(34)&amp;", landmark: "&amp;CHAR(34)&amp;IF(LEN(C140)=LEN(SUBSTITUTE(C140,"Transport","")),"Korok x1","Korok x2")&amp;CHAR(34)&amp;", type: "&amp;CHAR(34)&amp;C140&amp;CHAR(34)&amp;", region: "&amp;D140&amp;", level: "&amp;CHAR(34)&amp;E140&amp;CHAR(34)&amp;", x: "&amp;F140&amp;", y: "&amp;G140&amp;", z: "&amp;H140&amp;", details: "&amp;CHAR(34)&amp;I140&amp;CHAR(34)&amp;" },"</f>
        <v>{ name: "Satori Mountain Korok #05", landmark: "Korok x1", type: "Paraglide to the Goal", region: 2, level: "Surface", x: -2437, y: -554, z: 206, details: "Starts at (-2479, -509, 222)" },</v>
      </c>
    </row>
    <row r="141" spans="1:10" x14ac:dyDescent="0.2">
      <c r="A141" s="2">
        <v>130</v>
      </c>
      <c r="B141" s="34" t="s">
        <v>3840</v>
      </c>
      <c r="C141" t="s">
        <v>2812</v>
      </c>
      <c r="D141" s="2">
        <v>2</v>
      </c>
      <c r="E141" s="2" t="s">
        <v>785</v>
      </c>
      <c r="F141" s="2">
        <v>-1969</v>
      </c>
      <c r="G141" s="2">
        <v>-595</v>
      </c>
      <c r="H141" s="2">
        <v>149</v>
      </c>
      <c r="J141" t="str">
        <f>"{ name: "&amp;CHAR(34)&amp;B141&amp;CHAR(34)&amp;", landmark: "&amp;CHAR(34)&amp;IF(LEN(C141)=LEN(SUBSTITUTE(C141,"Transport","")),"Korok x1","Korok x2")&amp;CHAR(34)&amp;", type: "&amp;CHAR(34)&amp;C141&amp;CHAR(34)&amp;", region: "&amp;D141&amp;", level: "&amp;CHAR(34)&amp;E141&amp;CHAR(34)&amp;", x: "&amp;F141&amp;", y: "&amp;G141&amp;", z: "&amp;H141&amp;", details: "&amp;CHAR(34)&amp;I141&amp;CHAR(34)&amp;" },"</f>
        <v>{ name: "Satori Mountain Korok #06", landmark: "Korok x1", type: "Lift the Rock", region: 2, level: "Surface", x: -1969, y: -595, z: 149, details: "" },</v>
      </c>
    </row>
    <row r="142" spans="1:10" x14ac:dyDescent="0.2">
      <c r="A142" s="2">
        <v>134</v>
      </c>
      <c r="B142" s="34" t="s">
        <v>3841</v>
      </c>
      <c r="C142" t="s">
        <v>2815</v>
      </c>
      <c r="D142" s="2">
        <v>2</v>
      </c>
      <c r="E142" s="2" t="s">
        <v>785</v>
      </c>
      <c r="F142" s="2">
        <v>-2352</v>
      </c>
      <c r="G142" s="2">
        <v>-742</v>
      </c>
      <c r="H142" s="2">
        <v>212</v>
      </c>
      <c r="J142" t="str">
        <f>"{ name: "&amp;CHAR(34)&amp;B142&amp;CHAR(34)&amp;", landmark: "&amp;CHAR(34)&amp;IF(LEN(C142)=LEN(SUBSTITUTE(C142,"Transport","")),"Korok x1","Korok x2")&amp;CHAR(34)&amp;", type: "&amp;CHAR(34)&amp;C142&amp;CHAR(34)&amp;", region: "&amp;D142&amp;", level: "&amp;CHAR(34)&amp;E142&amp;CHAR(34)&amp;", x: "&amp;F142&amp;", y: "&amp;G142&amp;", z: "&amp;H142&amp;", details: "&amp;CHAR(34)&amp;I142&amp;CHAR(34)&amp;" },"</f>
        <v>{ name: "Satori Mountain Korok #07", landmark: "Korok x1", type: "Place the Boulder", region: 2, level: "Surface", x: -2352, y: -742, z: 212, details: "" },</v>
      </c>
    </row>
    <row r="143" spans="1:10" x14ac:dyDescent="0.2">
      <c r="A143" s="2">
        <v>135</v>
      </c>
      <c r="B143" s="34" t="s">
        <v>3842</v>
      </c>
      <c r="C143" t="s">
        <v>2826</v>
      </c>
      <c r="D143" s="2">
        <v>2</v>
      </c>
      <c r="E143" s="2" t="s">
        <v>785</v>
      </c>
      <c r="F143" s="2">
        <v>-2221</v>
      </c>
      <c r="G143" s="2">
        <v>-693</v>
      </c>
      <c r="H143" s="2">
        <v>244</v>
      </c>
      <c r="J143" t="str">
        <f>"{ name: "&amp;CHAR(34)&amp;B143&amp;CHAR(34)&amp;", landmark: "&amp;CHAR(34)&amp;IF(LEN(C143)=LEN(SUBSTITUTE(C143,"Transport","")),"Korok x1","Korok x2")&amp;CHAR(34)&amp;", type: "&amp;CHAR(34)&amp;C143&amp;CHAR(34)&amp;", region: "&amp;D143&amp;", level: "&amp;CHAR(34)&amp;E143&amp;CHAR(34)&amp;", x: "&amp;F143&amp;", y: "&amp;G143&amp;", z: "&amp;H143&amp;", details: "&amp;CHAR(34)&amp;I143&amp;CHAR(34)&amp;" },"</f>
        <v>{ name: "Satori Mountain Korok #08", landmark: "Korok x1", type: "Ascend Through the Marker", region: 2, level: "Surface", x: -2221, y: -693, z: 244, details: "" },</v>
      </c>
    </row>
    <row r="144" spans="1:10" x14ac:dyDescent="0.2">
      <c r="A144" s="2">
        <v>139</v>
      </c>
      <c r="B144" s="34" t="s">
        <v>3843</v>
      </c>
      <c r="C144" t="s">
        <v>2812</v>
      </c>
      <c r="D144" s="2">
        <v>2</v>
      </c>
      <c r="E144" s="2" t="s">
        <v>785</v>
      </c>
      <c r="F144" s="2">
        <v>-2200</v>
      </c>
      <c r="G144" s="2">
        <v>-799</v>
      </c>
      <c r="H144" s="2">
        <v>171</v>
      </c>
      <c r="J144" t="str">
        <f>"{ name: "&amp;CHAR(34)&amp;B144&amp;CHAR(34)&amp;", landmark: "&amp;CHAR(34)&amp;IF(LEN(C144)=LEN(SUBSTITUTE(C144,"Transport","")),"Korok x1","Korok x2")&amp;CHAR(34)&amp;", type: "&amp;CHAR(34)&amp;C144&amp;CHAR(34)&amp;", region: "&amp;D144&amp;", level: "&amp;CHAR(34)&amp;E144&amp;CHAR(34)&amp;", x: "&amp;F144&amp;", y: "&amp;G144&amp;", z: "&amp;H144&amp;", details: "&amp;CHAR(34)&amp;I144&amp;CHAR(34)&amp;" },"</f>
        <v>{ name: "Satori Mountain Korok #09", landmark: "Korok x1", type: "Lift the Rock", region: 2, level: "Surface", x: -2200, y: -799, z: 171, details: "" },</v>
      </c>
    </row>
    <row r="145" spans="1:10" x14ac:dyDescent="0.2">
      <c r="A145" s="2">
        <v>176</v>
      </c>
      <c r="B145" s="34" t="s">
        <v>3844</v>
      </c>
      <c r="C145" t="s">
        <v>2815</v>
      </c>
      <c r="D145" s="2">
        <v>2</v>
      </c>
      <c r="E145" s="2" t="s">
        <v>785</v>
      </c>
      <c r="F145" s="2">
        <v>63</v>
      </c>
      <c r="G145" s="2">
        <v>-1753</v>
      </c>
      <c r="H145" s="2">
        <v>48</v>
      </c>
      <c r="J145" t="str">
        <f>"{ name: "&amp;CHAR(34)&amp;B145&amp;CHAR(34)&amp;", landmark: "&amp;CHAR(34)&amp;IF(LEN(C145)=LEN(SUBSTITUTE(C145,"Transport","")),"Korok x1","Korok x2")&amp;CHAR(34)&amp;", type: "&amp;CHAR(34)&amp;C145&amp;CHAR(34)&amp;", region: "&amp;D145&amp;", level: "&amp;CHAR(34)&amp;E145&amp;CHAR(34)&amp;", x: "&amp;F145&amp;", y: "&amp;G145&amp;", z: "&amp;H145&amp;", details: "&amp;CHAR(34)&amp;I145&amp;CHAR(34)&amp;" },"</f>
        <v>{ name: "Scout's Hill Korok #01", landmark: "Korok x1", type: "Place the Boulder", region: 2, level: "Surface", x: 63, y: -1753, z: 48, details: "" },</v>
      </c>
    </row>
    <row r="146" spans="1:10" x14ac:dyDescent="0.2">
      <c r="A146" s="2">
        <v>186</v>
      </c>
      <c r="B146" s="34" t="s">
        <v>3845</v>
      </c>
      <c r="C146" t="s">
        <v>2811</v>
      </c>
      <c r="D146" s="2">
        <v>2</v>
      </c>
      <c r="E146" s="2" t="s">
        <v>785</v>
      </c>
      <c r="F146" s="2">
        <v>-1</v>
      </c>
      <c r="G146" s="2">
        <v>-1900</v>
      </c>
      <c r="H146" s="2">
        <v>109</v>
      </c>
      <c r="I146" t="s">
        <v>2757</v>
      </c>
      <c r="J146" t="str">
        <f>"{ name: "&amp;CHAR(34)&amp;B146&amp;CHAR(34)&amp;", landmark: "&amp;CHAR(34)&amp;IF(LEN(C146)=LEN(SUBSTITUTE(C146,"Transport","")),"Korok x1","Korok x2")&amp;CHAR(34)&amp;", type: "&amp;CHAR(34)&amp;C146&amp;CHAR(34)&amp;", region: "&amp;D146&amp;", level: "&amp;CHAR(34)&amp;E146&amp;CHAR(34)&amp;", x: "&amp;F146&amp;", y: "&amp;G146&amp;", z: "&amp;H146&amp;", details: "&amp;CHAR(34)&amp;I146&amp;CHAR(34)&amp;" },"</f>
        <v>{ name: "Scout's Hill Korok #02", landmark: "Korok x1", type: "Follow the Yellow Flowers", region: 2, level: "Surface", x: -1, y: -1900, z: 109, details: "Starts at (4, -1891, 102)" },</v>
      </c>
    </row>
    <row r="147" spans="1:10" x14ac:dyDescent="0.2">
      <c r="A147" s="2">
        <v>18</v>
      </c>
      <c r="B147" s="34" t="s">
        <v>3865</v>
      </c>
      <c r="C147" t="s">
        <v>2828</v>
      </c>
      <c r="D147" s="2">
        <v>2</v>
      </c>
      <c r="E147" s="2" t="s">
        <v>783</v>
      </c>
      <c r="F147" s="2">
        <v>-1403</v>
      </c>
      <c r="G147" s="2">
        <v>-1523</v>
      </c>
      <c r="H147" s="2">
        <v>1033</v>
      </c>
      <c r="J147" t="str">
        <f>"{ name: "&amp;CHAR(34)&amp;B147&amp;CHAR(34)&amp;", landmark: "&amp;CHAR(34)&amp;IF(LEN(C147)=LEN(SUBSTITUTE(C147,"Transport","")),"Korok x1","Korok x2")&amp;CHAR(34)&amp;", type: "&amp;CHAR(34)&amp;C147&amp;CHAR(34)&amp;", region: "&amp;D147&amp;", level: "&amp;CHAR(34)&amp;E147&amp;CHAR(34)&amp;", x: "&amp;F147&amp;", y: "&amp;G147&amp;", z: "&amp;H147&amp;", details: "&amp;CHAR(34)&amp;I147&amp;CHAR(34)&amp;" },"</f>
        <v>{ name: "South Hyrule Sky Archipelago Korok #01", landmark: "Korok x1", type: "Touch the Wallside Marker", region: 2, level: "Sky", x: -1403, y: -1523, z: 1033, details: "" },</v>
      </c>
    </row>
    <row r="148" spans="1:10" x14ac:dyDescent="0.2">
      <c r="A148" s="2">
        <v>19</v>
      </c>
      <c r="B148" s="34" t="s">
        <v>3866</v>
      </c>
      <c r="C148" t="s">
        <v>2804</v>
      </c>
      <c r="D148" s="2">
        <v>2</v>
      </c>
      <c r="E148" s="2" t="s">
        <v>783</v>
      </c>
      <c r="F148" s="2">
        <v>-794</v>
      </c>
      <c r="G148" s="2">
        <v>-1602</v>
      </c>
      <c r="H148" s="2">
        <v>937</v>
      </c>
      <c r="J148" t="str">
        <f>"{ name: "&amp;CHAR(34)&amp;B148&amp;CHAR(34)&amp;", landmark: "&amp;CHAR(34)&amp;IF(LEN(C148)=LEN(SUBSTITUTE(C148,"Transport","")),"Korok x1","Korok x2")&amp;CHAR(34)&amp;", type: "&amp;CHAR(34)&amp;C148&amp;CHAR(34)&amp;", region: "&amp;D148&amp;", level: "&amp;CHAR(34)&amp;E148&amp;CHAR(34)&amp;", x: "&amp;F148&amp;", y: "&amp;G148&amp;", z: "&amp;H148&amp;", details: "&amp;CHAR(34)&amp;I148&amp;CHAR(34)&amp;" },"</f>
        <v>{ name: "South Hyrule Sky Archipelago Korok #02", landmark: "Korok x1", type: "Burn the Leaves", region: 2, level: "Sky", x: -794, y: -1602, z: 937, details: "" },</v>
      </c>
    </row>
    <row r="149" spans="1:10" x14ac:dyDescent="0.2">
      <c r="A149" s="2">
        <v>175</v>
      </c>
      <c r="B149" s="34" t="s">
        <v>3937</v>
      </c>
      <c r="C149" t="s">
        <v>2827</v>
      </c>
      <c r="D149" s="2">
        <v>2</v>
      </c>
      <c r="E149" s="2" t="s">
        <v>785</v>
      </c>
      <c r="F149" s="2">
        <v>-668</v>
      </c>
      <c r="G149" s="2">
        <v>-1780</v>
      </c>
      <c r="H149" s="2">
        <v>79</v>
      </c>
      <c r="I149" t="s">
        <v>2756</v>
      </c>
      <c r="J149" t="str">
        <f>"{ name: "&amp;CHAR(34)&amp;B149&amp;CHAR(34)&amp;", landmark: "&amp;CHAR(34)&amp;IF(LEN(C149)=LEN(SUBSTITUTE(C149,"Transport","")),"Korok x1","Korok x2")&amp;CHAR(34)&amp;", type: "&amp;CHAR(34)&amp;C149&amp;CHAR(34)&amp;", region: "&amp;D149&amp;", level: "&amp;CHAR(34)&amp;E149&amp;CHAR(34)&amp;", x: "&amp;F149&amp;", y: "&amp;G149&amp;", z: "&amp;H149&amp;", details: "&amp;CHAR(34)&amp;I149&amp;CHAR(34)&amp;" },"</f>
        <v>{ name: "Temple of Time Ruins Korok #01", landmark: "Korok x1", type: "Paraglide to the Goal", region: 2, level: "Surface", x: -668, y: -1780, z: 79, details: "Starts at (-683, -1843, 95)" },</v>
      </c>
    </row>
    <row r="150" spans="1:10" x14ac:dyDescent="0.2">
      <c r="A150" s="2">
        <v>182</v>
      </c>
      <c r="B150" s="34" t="s">
        <v>3938</v>
      </c>
      <c r="C150" t="s">
        <v>2812</v>
      </c>
      <c r="D150" s="2">
        <v>2</v>
      </c>
      <c r="E150" s="2" t="s">
        <v>785</v>
      </c>
      <c r="F150" s="2">
        <v>-889</v>
      </c>
      <c r="G150" s="2">
        <v>-1908</v>
      </c>
      <c r="H150" s="2">
        <v>107</v>
      </c>
      <c r="J150" t="str">
        <f>"{ name: "&amp;CHAR(34)&amp;B150&amp;CHAR(34)&amp;", landmark: "&amp;CHAR(34)&amp;IF(LEN(C150)=LEN(SUBSTITUTE(C150,"Transport","")),"Korok x1","Korok x2")&amp;CHAR(34)&amp;", type: "&amp;CHAR(34)&amp;C150&amp;CHAR(34)&amp;", region: "&amp;D150&amp;", level: "&amp;CHAR(34)&amp;E150&amp;CHAR(34)&amp;", x: "&amp;F150&amp;", y: "&amp;G150&amp;", z: "&amp;H150&amp;", details: "&amp;CHAR(34)&amp;I150&amp;CHAR(34)&amp;" },"</f>
        <v>{ name: "Temple of Time Ruins Korok #02", landmark: "Korok x1", type: "Lift the Rock", region: 2, level: "Surface", x: -889, y: -1908, z: 107, details: "" },</v>
      </c>
    </row>
    <row r="151" spans="1:10" x14ac:dyDescent="0.2">
      <c r="A151" s="2">
        <v>183</v>
      </c>
      <c r="B151" s="34" t="s">
        <v>3939</v>
      </c>
      <c r="C151" t="s">
        <v>2822</v>
      </c>
      <c r="D151" s="2">
        <v>2</v>
      </c>
      <c r="E151" s="2" t="s">
        <v>785</v>
      </c>
      <c r="F151" s="2">
        <v>-830</v>
      </c>
      <c r="G151" s="2">
        <v>-1964</v>
      </c>
      <c r="H151" s="2">
        <v>143</v>
      </c>
      <c r="J151" t="str">
        <f>"{ name: "&amp;CHAR(34)&amp;B151&amp;CHAR(34)&amp;", landmark: "&amp;CHAR(34)&amp;IF(LEN(C151)=LEN(SUBSTITUTE(C151,"Transport","")),"Korok x1","Korok x2")&amp;CHAR(34)&amp;", type: "&amp;CHAR(34)&amp;C151&amp;CHAR(34)&amp;", region: "&amp;D151&amp;", level: "&amp;CHAR(34)&amp;E151&amp;CHAR(34)&amp;", x: "&amp;F151&amp;", y: "&amp;G151&amp;", z: "&amp;H151&amp;", details: "&amp;CHAR(34)&amp;I151&amp;CHAR(34)&amp;" },"</f>
        <v>{ name: "Temple of Time Ruins Korok #03", landmark: "Korok x1", type: "Shoot the Hidden Balloon", region: 2, level: "Surface", x: -830, y: -1964, z: 143, details: "" },</v>
      </c>
    </row>
    <row r="152" spans="1:10" x14ac:dyDescent="0.2">
      <c r="A152" s="2">
        <v>184</v>
      </c>
      <c r="B152" s="34" t="s">
        <v>3940</v>
      </c>
      <c r="C152" t="s">
        <v>2825</v>
      </c>
      <c r="D152" s="2">
        <v>2</v>
      </c>
      <c r="E152" s="2" t="s">
        <v>785</v>
      </c>
      <c r="F152" s="2">
        <v>-812</v>
      </c>
      <c r="G152" s="2">
        <v>-1964</v>
      </c>
      <c r="H152" s="2">
        <v>193</v>
      </c>
      <c r="J152" t="str">
        <f>"{ name: "&amp;CHAR(34)&amp;B152&amp;CHAR(34)&amp;", landmark: "&amp;CHAR(34)&amp;IF(LEN(C152)=LEN(SUBSTITUTE(C152,"Transport","")),"Korok x1","Korok x2")&amp;CHAR(34)&amp;", type: "&amp;CHAR(34)&amp;C152&amp;CHAR(34)&amp;", region: "&amp;D152&amp;", level: "&amp;CHAR(34)&amp;E152&amp;CHAR(34)&amp;", x: "&amp;F152&amp;", y: "&amp;G152&amp;", z: "&amp;H152&amp;", details: "&amp;CHAR(34)&amp;I152&amp;CHAR(34)&amp;" },"</f>
        <v>{ name: "Temple of Time Ruins Korok #04", landmark: "Korok x1", type: "Climb and Examine the Fairy Lights", region: 2, level: "Surface", x: -812, y: -1964, z: 193, details: "" },</v>
      </c>
    </row>
    <row r="153" spans="1:10" x14ac:dyDescent="0.2">
      <c r="A153" s="2">
        <v>185</v>
      </c>
      <c r="B153" s="34" t="s">
        <v>4023</v>
      </c>
      <c r="C153" t="s">
        <v>2824</v>
      </c>
      <c r="D153" s="2">
        <v>2</v>
      </c>
      <c r="E153" s="2" t="s">
        <v>785</v>
      </c>
      <c r="F153" s="2">
        <v>-238</v>
      </c>
      <c r="G153" s="2">
        <v>-1919</v>
      </c>
      <c r="H153" s="2">
        <v>42</v>
      </c>
      <c r="J153" t="str">
        <f>"{ name: "&amp;CHAR(34)&amp;B153&amp;CHAR(34)&amp;", landmark: "&amp;CHAR(34)&amp;IF(LEN(C153)=LEN(SUBSTITUTE(C153,"Transport","")),"Korok x1","Korok x2")&amp;CHAR(34)&amp;", type: "&amp;CHAR(34)&amp;C153&amp;CHAR(34)&amp;", region: "&amp;D153&amp;", level: "&amp;CHAR(34)&amp;E153&amp;CHAR(34)&amp;", x: "&amp;F153&amp;", y: "&amp;G153&amp;", z: "&amp;H153&amp;", details: "&amp;CHAR(34)&amp;I153&amp;CHAR(34)&amp;" },"</f>
        <v>{ name: "West of Scout's Hill Korok", landmark: "Korok x1", type: "Catch the Moving Sparkle", region: 2, level: "Surface", x: -238, y: -1919, z: 42, details: "" },</v>
      </c>
    </row>
    <row r="154" spans="1:10" x14ac:dyDescent="0.2">
      <c r="A154" s="2">
        <v>147</v>
      </c>
      <c r="B154" s="34" t="s">
        <v>4027</v>
      </c>
      <c r="C154" t="s">
        <v>2824</v>
      </c>
      <c r="D154" s="2">
        <v>2</v>
      </c>
      <c r="E154" s="2" t="s">
        <v>785</v>
      </c>
      <c r="F154" s="2">
        <v>211</v>
      </c>
      <c r="G154" s="2">
        <v>-886</v>
      </c>
      <c r="H154" s="2">
        <v>67</v>
      </c>
      <c r="J154" t="str">
        <f>"{ name: "&amp;CHAR(34)&amp;B154&amp;CHAR(34)&amp;", landmark: "&amp;CHAR(34)&amp;IF(LEN(C154)=LEN(SUBSTITUTE(C154,"Transport","")),"Korok x1","Korok x2")&amp;CHAR(34)&amp;", type: "&amp;CHAR(34)&amp;C154&amp;CHAR(34)&amp;", region: "&amp;D154&amp;", level: "&amp;CHAR(34)&amp;E154&amp;CHAR(34)&amp;", x: "&amp;F154&amp;", y: "&amp;G154&amp;", z: "&amp;H154&amp;", details: "&amp;CHAR(34)&amp;I154&amp;CHAR(34)&amp;" },"</f>
        <v>{ name: "Whistling Hill Korok #01", landmark: "Korok x1", type: "Catch the Moving Sparkle", region: 2, level: "Surface", x: 211, y: -886, z: 67, details: "" },</v>
      </c>
    </row>
    <row r="155" spans="1:10" x14ac:dyDescent="0.2">
      <c r="A155" s="2">
        <v>167</v>
      </c>
      <c r="B155" s="34" t="s">
        <v>4028</v>
      </c>
      <c r="C155" t="s">
        <v>2802</v>
      </c>
      <c r="D155" s="2">
        <v>2</v>
      </c>
      <c r="E155" s="2" t="s">
        <v>785</v>
      </c>
      <c r="F155" s="2">
        <v>-153</v>
      </c>
      <c r="G155" s="2">
        <v>-1531</v>
      </c>
      <c r="H155" s="2">
        <v>21</v>
      </c>
      <c r="I155" t="s">
        <v>2629</v>
      </c>
      <c r="J155" t="str">
        <f>"{ name: "&amp;CHAR(34)&amp;B155&amp;CHAR(34)&amp;", landmark: "&amp;CHAR(34)&amp;IF(LEN(C155)=LEN(SUBSTITUTE(C155,"Transport","")),"Korok x1","Korok x2")&amp;CHAR(34)&amp;", type: "&amp;CHAR(34)&amp;C155&amp;CHAR(34)&amp;", region: "&amp;D155&amp;", level: "&amp;CHAR(34)&amp;E155&amp;CHAR(34)&amp;", x: "&amp;F155&amp;", y: "&amp;G155&amp;", z: "&amp;H155&amp;", details: "&amp;CHAR(34)&amp;I155&amp;CHAR(34)&amp;" },"</f>
        <v>{ name: "Whistling Hill Korok #02", landmark: "Korok x2", type: "Transport to Friend", region: 2, level: "Surface", x: -153, y: -1531, z: 21, details: "Starts at (-42, -1112, 23)" },</v>
      </c>
    </row>
    <row r="156" spans="1:10" x14ac:dyDescent="0.2">
      <c r="A156" s="2">
        <v>132</v>
      </c>
      <c r="B156" s="34" t="s">
        <v>4030</v>
      </c>
      <c r="C156" t="s">
        <v>2801</v>
      </c>
      <c r="D156" s="2">
        <v>2</v>
      </c>
      <c r="E156" s="2" t="s">
        <v>785</v>
      </c>
      <c r="F156" s="2">
        <v>-311</v>
      </c>
      <c r="G156" s="2">
        <v>-550</v>
      </c>
      <c r="H156" s="2">
        <v>26</v>
      </c>
      <c r="J156" t="str">
        <f>"{ name: "&amp;CHAR(34)&amp;B156&amp;CHAR(34)&amp;", landmark: "&amp;CHAR(34)&amp;IF(LEN(C156)=LEN(SUBSTITUTE(C156,"Transport","")),"Korok x1","Korok x2")&amp;CHAR(34)&amp;", type: "&amp;CHAR(34)&amp;C156&amp;CHAR(34)&amp;", region: "&amp;D156&amp;", level: "&amp;CHAR(34)&amp;E156&amp;CHAR(34)&amp;", x: "&amp;F156&amp;", y: "&amp;G156&amp;", z: "&amp;H156&amp;", details: "&amp;CHAR(34)&amp;I156&amp;CHAR(34)&amp;" },"</f>
        <v>{ name: "Windvane Meadow Korok #02", landmark: "Korok x1", type: "Break the Acorn Pot", region: 2, level: "Surface", x: -311, y: -550, z: 26, details: "" },</v>
      </c>
    </row>
    <row r="157" spans="1:10" x14ac:dyDescent="0.2">
      <c r="A157" s="2">
        <v>138</v>
      </c>
      <c r="B157" s="34" t="s">
        <v>4031</v>
      </c>
      <c r="C157" t="s">
        <v>2812</v>
      </c>
      <c r="D157" s="2">
        <v>2</v>
      </c>
      <c r="E157" s="2" t="s">
        <v>785</v>
      </c>
      <c r="F157" s="2">
        <v>-765</v>
      </c>
      <c r="G157" s="2">
        <v>-674</v>
      </c>
      <c r="H157" s="2">
        <v>30</v>
      </c>
      <c r="J157" t="str">
        <f>"{ name: "&amp;CHAR(34)&amp;B157&amp;CHAR(34)&amp;", landmark: "&amp;CHAR(34)&amp;IF(LEN(C157)=LEN(SUBSTITUTE(C157,"Transport","")),"Korok x1","Korok x2")&amp;CHAR(34)&amp;", type: "&amp;CHAR(34)&amp;C157&amp;CHAR(34)&amp;", region: "&amp;D157&amp;", level: "&amp;CHAR(34)&amp;E157&amp;CHAR(34)&amp;", x: "&amp;F157&amp;", y: "&amp;G157&amp;", z: "&amp;H157&amp;", details: "&amp;CHAR(34)&amp;I157&amp;CHAR(34)&amp;" },"</f>
        <v>{ name: "Windvane Meadow Korok #03", landmark: "Korok x1", type: "Lift the Rock", region: 2, level: "Surface", x: -765, y: -674, z: 30, details: "" },</v>
      </c>
    </row>
    <row r="158" spans="1:10" x14ac:dyDescent="0.2">
      <c r="A158" s="2">
        <v>146</v>
      </c>
      <c r="B158" s="34" t="s">
        <v>4032</v>
      </c>
      <c r="C158" t="s">
        <v>2595</v>
      </c>
      <c r="D158" s="2">
        <v>2</v>
      </c>
      <c r="E158" s="2" t="s">
        <v>785</v>
      </c>
      <c r="F158" s="2">
        <v>-125</v>
      </c>
      <c r="G158" s="2">
        <v>-938</v>
      </c>
      <c r="H158" s="2">
        <v>46</v>
      </c>
      <c r="J158" t="str">
        <f>"{ name: "&amp;CHAR(34)&amp;B158&amp;CHAR(34)&amp;", landmark: "&amp;CHAR(34)&amp;IF(LEN(C158)=LEN(SUBSTITUTE(C158,"Transport","")),"Korok x1","Korok x2")&amp;CHAR(34)&amp;", type: "&amp;CHAR(34)&amp;C158&amp;CHAR(34)&amp;", region: "&amp;D158&amp;", level: "&amp;CHAR(34)&amp;E158&amp;CHAR(34)&amp;", x: "&amp;F158&amp;", y: "&amp;G158&amp;", z: "&amp;H158&amp;", details: "&amp;CHAR(34)&amp;I158&amp;CHAR(34)&amp;" },"</f>
        <v>{ name: "Windvane Meadow Korok #04", landmark: "Korok x1", type: "Attack and catch the dandelion", region: 2, level: "Surface", x: -125, y: -938, z: 46, details: "" },</v>
      </c>
    </row>
    <row r="159" spans="1:10" x14ac:dyDescent="0.2">
      <c r="A159" s="2">
        <v>236</v>
      </c>
      <c r="B159" s="34" t="s">
        <v>3174</v>
      </c>
      <c r="C159" t="s">
        <v>2807</v>
      </c>
      <c r="D159" s="2">
        <v>3</v>
      </c>
      <c r="E159" s="2" t="s">
        <v>785</v>
      </c>
      <c r="F159" s="2">
        <v>-3532</v>
      </c>
      <c r="G159" s="2">
        <v>488</v>
      </c>
      <c r="H159" s="2">
        <v>243</v>
      </c>
      <c r="J159" t="str">
        <f>"{ name: "&amp;CHAR(34)&amp;B159&amp;CHAR(34)&amp;", landmark: "&amp;CHAR(34)&amp;IF(LEN(C159)=LEN(SUBSTITUTE(C159,"Transport","")),"Korok x1","Korok x2")&amp;CHAR(34)&amp;", type: "&amp;CHAR(34)&amp;C159&amp;CHAR(34)&amp;", region: "&amp;D159&amp;", level: "&amp;CHAR(34)&amp;E159&amp;CHAR(34)&amp;", x: "&amp;F159&amp;", y: "&amp;G159&amp;", z: "&amp;H159&amp;", details: "&amp;CHAR(34)&amp;I159&amp;CHAR(34)&amp;" },"</f>
        <v>{ name: "Ancient Columns Korok #01", landmark: "Korok x1", type: "Complete the Cube Puzzle", region: 3, level: "Surface", x: -3532, y: 488, z: 243, details: "" },</v>
      </c>
    </row>
    <row r="160" spans="1:10" x14ac:dyDescent="0.2">
      <c r="A160" s="2">
        <v>243</v>
      </c>
      <c r="B160" s="34" t="s">
        <v>3175</v>
      </c>
      <c r="C160" t="s">
        <v>2811</v>
      </c>
      <c r="D160" s="2">
        <v>3</v>
      </c>
      <c r="E160" s="2" t="s">
        <v>785</v>
      </c>
      <c r="F160" s="2">
        <v>-3609</v>
      </c>
      <c r="G160" s="2">
        <v>358</v>
      </c>
      <c r="H160" s="2">
        <v>298</v>
      </c>
      <c r="I160" t="s">
        <v>2783</v>
      </c>
      <c r="J160" t="str">
        <f>"{ name: "&amp;CHAR(34)&amp;B160&amp;CHAR(34)&amp;", landmark: "&amp;CHAR(34)&amp;IF(LEN(C160)=LEN(SUBSTITUTE(C160,"Transport","")),"Korok x1","Korok x2")&amp;CHAR(34)&amp;", type: "&amp;CHAR(34)&amp;C160&amp;CHAR(34)&amp;", region: "&amp;D160&amp;", level: "&amp;CHAR(34)&amp;E160&amp;CHAR(34)&amp;", x: "&amp;F160&amp;", y: "&amp;G160&amp;", z: "&amp;H160&amp;", details: "&amp;CHAR(34)&amp;I160&amp;CHAR(34)&amp;" },"</f>
        <v>{ name: "Ancient Columns Korok #02", landmark: "Korok x1", type: "Follow the Yellow Flowers", region: 3, level: "Surface", x: -3609, y: 358, z: 298, details: "Starts at (-3650, 511, 287)" },</v>
      </c>
    </row>
    <row r="161" spans="1:10" x14ac:dyDescent="0.2">
      <c r="A161" s="2">
        <v>242</v>
      </c>
      <c r="B161" s="34" t="s">
        <v>3209</v>
      </c>
      <c r="C161" t="s">
        <v>2801</v>
      </c>
      <c r="D161" s="2">
        <v>3</v>
      </c>
      <c r="E161" s="2" t="s">
        <v>785</v>
      </c>
      <c r="F161" s="2">
        <v>-1347</v>
      </c>
      <c r="G161" s="2">
        <v>531</v>
      </c>
      <c r="H161" s="2">
        <v>96</v>
      </c>
      <c r="J161" t="str">
        <f>"{ name: "&amp;CHAR(34)&amp;B161&amp;CHAR(34)&amp;", landmark: "&amp;CHAR(34)&amp;IF(LEN(C161)=LEN(SUBSTITUTE(C161,"Transport","")),"Korok x1","Korok x2")&amp;CHAR(34)&amp;", type: "&amp;CHAR(34)&amp;C161&amp;CHAR(34)&amp;", region: "&amp;D161&amp;", level: "&amp;CHAR(34)&amp;E161&amp;CHAR(34)&amp;", x: "&amp;F161&amp;", y: "&amp;G161&amp;", z: "&amp;H161&amp;", details: "&amp;CHAR(34)&amp;I161&amp;CHAR(34)&amp;" },"</f>
        <v>{ name: "Breach of Demise Korok", landmark: "Korok x1", type: "Break the Acorn Pot", region: 3, level: "Surface", x: -1347, y: 531, z: 96, details: "" },</v>
      </c>
    </row>
    <row r="162" spans="1:10" x14ac:dyDescent="0.2">
      <c r="A162" s="2">
        <v>23</v>
      </c>
      <c r="B162" s="34" t="s">
        <v>3242</v>
      </c>
      <c r="C162" t="s">
        <v>2806</v>
      </c>
      <c r="D162" s="2">
        <v>3</v>
      </c>
      <c r="E162" s="2" t="s">
        <v>783</v>
      </c>
      <c r="F162" s="2">
        <v>-2367</v>
      </c>
      <c r="G162" s="2">
        <v>865</v>
      </c>
      <c r="H162" s="2">
        <v>570</v>
      </c>
      <c r="J162" t="str">
        <f>"{ name: "&amp;CHAR(34)&amp;B162&amp;CHAR(34)&amp;", landmark: "&amp;CHAR(34)&amp;IF(LEN(C162)=LEN(SUBSTITUTE(C162,"Transport","")),"Korok x1","Korok x2")&amp;CHAR(34)&amp;", type: "&amp;CHAR(34)&amp;C162&amp;CHAR(34)&amp;", region: "&amp;D162&amp;", level: "&amp;CHAR(34)&amp;E162&amp;CHAR(34)&amp;", x: "&amp;F162&amp;", y: "&amp;G162&amp;", z: "&amp;H162&amp;", details: "&amp;CHAR(34)&amp;I162&amp;CHAR(34)&amp;" },"</f>
        <v>{ name: "Courage Island Korok", landmark: "Korok x1", type: "Catch the Dandelion", region: 3, level: "Sky", x: -2367, y: 865, z: 570, details: "" },</v>
      </c>
    </row>
    <row r="163" spans="1:10" x14ac:dyDescent="0.2">
      <c r="A163" s="2">
        <v>208</v>
      </c>
      <c r="B163" s="34" t="s">
        <v>3251</v>
      </c>
      <c r="C163" t="s">
        <v>2827</v>
      </c>
      <c r="D163" s="2">
        <v>3</v>
      </c>
      <c r="E163" s="2" t="s">
        <v>785</v>
      </c>
      <c r="F163" s="2">
        <v>-3848</v>
      </c>
      <c r="G163" s="2">
        <v>1327</v>
      </c>
      <c r="H163" s="2">
        <v>273</v>
      </c>
      <c r="I163" t="s">
        <v>2780</v>
      </c>
      <c r="J163" t="str">
        <f>"{ name: "&amp;CHAR(34)&amp;B163&amp;CHAR(34)&amp;", landmark: "&amp;CHAR(34)&amp;IF(LEN(C163)=LEN(SUBSTITUTE(C163,"Transport","")),"Korok x1","Korok x2")&amp;CHAR(34)&amp;", type: "&amp;CHAR(34)&amp;C163&amp;CHAR(34)&amp;", region: "&amp;D163&amp;", level: "&amp;CHAR(34)&amp;E163&amp;CHAR(34)&amp;", x: "&amp;F163&amp;", y: "&amp;G163&amp;", z: "&amp;H163&amp;", details: "&amp;CHAR(34)&amp;I163&amp;CHAR(34)&amp;" },"</f>
        <v>{ name: "Cuho Mountain Korok", landmark: "Korok x1", type: "Paraglide to the Goal", region: 3, level: "Surface", x: -3848, y: 1327, z: 273, details: "Starts at (-3821, 1319, 287)" },</v>
      </c>
    </row>
    <row r="164" spans="1:10" x14ac:dyDescent="0.2">
      <c r="A164" s="2">
        <v>197</v>
      </c>
      <c r="B164" s="34" t="s">
        <v>3348</v>
      </c>
      <c r="C164" t="s">
        <v>2812</v>
      </c>
      <c r="D164" s="2">
        <v>3</v>
      </c>
      <c r="E164" s="2" t="s">
        <v>785</v>
      </c>
      <c r="F164" s="2">
        <v>-1147</v>
      </c>
      <c r="G164" s="2">
        <v>2535</v>
      </c>
      <c r="H164" s="2">
        <v>-33</v>
      </c>
      <c r="J164" t="str">
        <f>"{ name: "&amp;CHAR(34)&amp;B164&amp;CHAR(34)&amp;", landmark: "&amp;CHAR(34)&amp;IF(LEN(C164)=LEN(SUBSTITUTE(C164,"Transport","")),"Korok x1","Korok x2")&amp;CHAR(34)&amp;", type: "&amp;CHAR(34)&amp;C164&amp;CHAR(34)&amp;", region: "&amp;D164&amp;", level: "&amp;CHAR(34)&amp;E164&amp;CHAR(34)&amp;", x: "&amp;F164&amp;", y: "&amp;G164&amp;", z: "&amp;H164&amp;", details: "&amp;CHAR(34)&amp;I164&amp;CHAR(34)&amp;" },"</f>
        <v>{ name: "Forgotten Temple Korok #01", landmark: "Korok x1", type: "Lift the Rock", region: 3, level: "Surface", x: -1147, y: 2535, z: -33, details: "" },</v>
      </c>
    </row>
    <row r="165" spans="1:10" x14ac:dyDescent="0.2">
      <c r="A165" s="2">
        <v>198</v>
      </c>
      <c r="B165" s="34" t="s">
        <v>3349</v>
      </c>
      <c r="C165" t="s">
        <v>2812</v>
      </c>
      <c r="D165" s="2">
        <v>3</v>
      </c>
      <c r="E165" s="2" t="s">
        <v>785</v>
      </c>
      <c r="F165" s="2">
        <v>-1186</v>
      </c>
      <c r="G165" s="2">
        <v>2482</v>
      </c>
      <c r="H165" s="2">
        <v>-100</v>
      </c>
      <c r="J165" t="str">
        <f>"{ name: "&amp;CHAR(34)&amp;B165&amp;CHAR(34)&amp;", landmark: "&amp;CHAR(34)&amp;IF(LEN(C165)=LEN(SUBSTITUTE(C165,"Transport","")),"Korok x1","Korok x2")&amp;CHAR(34)&amp;", type: "&amp;CHAR(34)&amp;C165&amp;CHAR(34)&amp;", region: "&amp;D165&amp;", level: "&amp;CHAR(34)&amp;E165&amp;CHAR(34)&amp;", x: "&amp;F165&amp;", y: "&amp;G165&amp;", z: "&amp;H165&amp;", details: "&amp;CHAR(34)&amp;I165&amp;CHAR(34)&amp;" },"</f>
        <v>{ name: "Forgotten Temple Korok #02", landmark: "Korok x1", type: "Lift the Rock", region: 3, level: "Surface", x: -1186, y: 2482, z: -100, details: "" },</v>
      </c>
    </row>
    <row r="166" spans="1:10" x14ac:dyDescent="0.2">
      <c r="A166" s="2">
        <v>220</v>
      </c>
      <c r="B166" s="34" t="s">
        <v>3377</v>
      </c>
      <c r="C166" t="s">
        <v>2823</v>
      </c>
      <c r="D166" s="2">
        <v>3</v>
      </c>
      <c r="E166" s="2" t="s">
        <v>785</v>
      </c>
      <c r="F166" s="2">
        <v>-3982</v>
      </c>
      <c r="G166" s="2">
        <v>931</v>
      </c>
      <c r="H166" s="2">
        <v>115</v>
      </c>
      <c r="J166" t="str">
        <f>"{ name: "&amp;CHAR(34)&amp;B166&amp;CHAR(34)&amp;", landmark: "&amp;CHAR(34)&amp;IF(LEN(C166)=LEN(SUBSTITUTE(C166,"Transport","")),"Korok x1","Korok x2")&amp;CHAR(34)&amp;", type: "&amp;CHAR(34)&amp;C166&amp;CHAR(34)&amp;", region: "&amp;D166&amp;", level: "&amp;CHAR(34)&amp;E166&amp;CHAR(34)&amp;", x: "&amp;F166&amp;", y: "&amp;G166&amp;", z: "&amp;H166&amp;", details: "&amp;CHAR(34)&amp;I166&amp;CHAR(34)&amp;" },"</f>
        <v>{ name: "Gisa Crater Korok #01", landmark: "Korok x1", type: "Examine Fairy Lights", region: 3, level: "Surface", x: -3982, y: 931, z: 115, details: "" },</v>
      </c>
    </row>
    <row r="167" spans="1:10" x14ac:dyDescent="0.2">
      <c r="A167" s="2">
        <v>221</v>
      </c>
      <c r="B167" s="34" t="s">
        <v>3378</v>
      </c>
      <c r="C167" t="s">
        <v>2815</v>
      </c>
      <c r="D167" s="2">
        <v>3</v>
      </c>
      <c r="E167" s="2" t="s">
        <v>785</v>
      </c>
      <c r="F167" s="2">
        <v>-3818</v>
      </c>
      <c r="G167" s="2">
        <v>834</v>
      </c>
      <c r="H167" s="2">
        <v>132</v>
      </c>
      <c r="J167" t="str">
        <f>"{ name: "&amp;CHAR(34)&amp;B167&amp;CHAR(34)&amp;", landmark: "&amp;CHAR(34)&amp;IF(LEN(C167)=LEN(SUBSTITUTE(C167,"Transport","")),"Korok x1","Korok x2")&amp;CHAR(34)&amp;", type: "&amp;CHAR(34)&amp;C167&amp;CHAR(34)&amp;", region: "&amp;D167&amp;", level: "&amp;CHAR(34)&amp;E167&amp;CHAR(34)&amp;", x: "&amp;F167&amp;", y: "&amp;G167&amp;", z: "&amp;H167&amp;", details: "&amp;CHAR(34)&amp;I167&amp;CHAR(34)&amp;" },"</f>
        <v>{ name: "Gisa Crater Korok #02", landmark: "Korok x1", type: "Place the Boulder", region: 3, level: "Surface", x: -3818, y: 834, z: 132, details: "" },</v>
      </c>
    </row>
    <row r="168" spans="1:10" x14ac:dyDescent="0.2">
      <c r="A168" s="2">
        <v>251</v>
      </c>
      <c r="B168" s="34" t="s">
        <v>3506</v>
      </c>
      <c r="C168" t="s">
        <v>2802</v>
      </c>
      <c r="D168" s="2">
        <v>3</v>
      </c>
      <c r="E168" s="2" t="s">
        <v>785</v>
      </c>
      <c r="F168" s="2">
        <v>-3018</v>
      </c>
      <c r="G168" s="2">
        <v>105</v>
      </c>
      <c r="H168" s="2">
        <v>206</v>
      </c>
      <c r="I168" t="s">
        <v>2690</v>
      </c>
      <c r="J168" t="str">
        <f>"{ name: "&amp;CHAR(34)&amp;B168&amp;CHAR(34)&amp;", landmark: "&amp;CHAR(34)&amp;IF(LEN(C168)=LEN(SUBSTITUTE(C168,"Transport","")),"Korok x1","Korok x2")&amp;CHAR(34)&amp;", type: "&amp;CHAR(34)&amp;C168&amp;CHAR(34)&amp;", region: "&amp;D168&amp;", level: "&amp;CHAR(34)&amp;E168&amp;CHAR(34)&amp;", x: "&amp;F168&amp;", y: "&amp;G168&amp;", z: "&amp;H168&amp;", details: "&amp;CHAR(34)&amp;I168&amp;CHAR(34)&amp;" },"</f>
        <v>{ name: "Illumeni Plateau Korok #01", landmark: "Korok x2", type: "Transport to Friend", region: 3, level: "Surface", x: -3018, y: 105, z: 206, details: "Starts at (-2962, 88, 144)" },</v>
      </c>
    </row>
    <row r="169" spans="1:10" x14ac:dyDescent="0.2">
      <c r="A169" s="2">
        <v>253</v>
      </c>
      <c r="B169" s="34" t="s">
        <v>3507</v>
      </c>
      <c r="C169" t="s">
        <v>2812</v>
      </c>
      <c r="D169" s="2">
        <v>3</v>
      </c>
      <c r="E169" s="2" t="s">
        <v>785</v>
      </c>
      <c r="F169" s="2">
        <v>-3133</v>
      </c>
      <c r="G169" s="2">
        <v>-113</v>
      </c>
      <c r="H169" s="2">
        <v>210</v>
      </c>
      <c r="J169" t="str">
        <f>"{ name: "&amp;CHAR(34)&amp;B169&amp;CHAR(34)&amp;", landmark: "&amp;CHAR(34)&amp;IF(LEN(C169)=LEN(SUBSTITUTE(C169,"Transport","")),"Korok x1","Korok x2")&amp;CHAR(34)&amp;", type: "&amp;CHAR(34)&amp;C169&amp;CHAR(34)&amp;", region: "&amp;D169&amp;", level: "&amp;CHAR(34)&amp;E169&amp;CHAR(34)&amp;", x: "&amp;F169&amp;", y: "&amp;G169&amp;", z: "&amp;H169&amp;", details: "&amp;CHAR(34)&amp;I169&amp;CHAR(34)&amp;" },"</f>
        <v>{ name: "Illumeni Plateau Korok #02", landmark: "Korok x1", type: "Lift the Rock", region: 3, level: "Surface", x: -3133, y: -113, z: 210, details: "" },</v>
      </c>
    </row>
    <row r="170" spans="1:10" x14ac:dyDescent="0.2">
      <c r="A170" s="2">
        <v>214</v>
      </c>
      <c r="B170" s="34" t="s">
        <v>3509</v>
      </c>
      <c r="C170" t="s">
        <v>2814</v>
      </c>
      <c r="D170" s="2">
        <v>3</v>
      </c>
      <c r="E170" s="2" t="s">
        <v>785</v>
      </c>
      <c r="F170" s="2">
        <v>-1075</v>
      </c>
      <c r="G170" s="2">
        <v>1277</v>
      </c>
      <c r="H170" s="2">
        <v>123</v>
      </c>
      <c r="J170" t="str">
        <f>"{ name: "&amp;CHAR(34)&amp;B170&amp;CHAR(34)&amp;", landmark: "&amp;CHAR(34)&amp;IF(LEN(C170)=LEN(SUBSTITUTE(C170,"Transport","")),"Korok x1","Korok x2")&amp;CHAR(34)&amp;", type: "&amp;CHAR(34)&amp;C170&amp;CHAR(34)&amp;", region: "&amp;D170&amp;", level: "&amp;CHAR(34)&amp;E170&amp;CHAR(34)&amp;", x: "&amp;F170&amp;", y: "&amp;G170&amp;", z: "&amp;H170&amp;", details: "&amp;CHAR(34)&amp;I170&amp;CHAR(34)&amp;" },"</f>
        <v>{ name: "Irch Plain Korok #01", landmark: "Korok x1", type: "Make Offering to Statue", region: 3, level: "Surface", x: -1075, y: 1277, z: 123, details: "" },</v>
      </c>
    </row>
    <row r="171" spans="1:10" x14ac:dyDescent="0.2">
      <c r="A171" s="2">
        <v>255</v>
      </c>
      <c r="B171" s="34" t="s">
        <v>3514</v>
      </c>
      <c r="C171" t="s">
        <v>2812</v>
      </c>
      <c r="D171" s="2">
        <v>3</v>
      </c>
      <c r="E171" s="2" t="s">
        <v>785</v>
      </c>
      <c r="F171" s="2">
        <v>-1702</v>
      </c>
      <c r="G171" s="2">
        <v>-84</v>
      </c>
      <c r="H171" s="2">
        <v>93</v>
      </c>
      <c r="J171" t="str">
        <f>"{ name: "&amp;CHAR(34)&amp;B171&amp;CHAR(34)&amp;", landmark: "&amp;CHAR(34)&amp;IF(LEN(C171)=LEN(SUBSTITUTE(C171,"Transport","")),"Korok x1","Korok x2")&amp;CHAR(34)&amp;", type: "&amp;CHAR(34)&amp;C171&amp;CHAR(34)&amp;", region: "&amp;D171&amp;", level: "&amp;CHAR(34)&amp;E171&amp;CHAR(34)&amp;", x: "&amp;F171&amp;", y: "&amp;G171&amp;", z: "&amp;H171&amp;", details: "&amp;CHAR(34)&amp;I171&amp;CHAR(34)&amp;" },"</f>
        <v>{ name: "Jeddo Bridge Korok", landmark: "Korok x1", type: "Lift the Rock", region: 3, level: "Surface", x: -1702, y: -84, z: 93, details: "" },</v>
      </c>
    </row>
    <row r="172" spans="1:10" x14ac:dyDescent="0.2">
      <c r="A172" s="2">
        <v>211</v>
      </c>
      <c r="B172" s="34" t="s">
        <v>3536</v>
      </c>
      <c r="C172" t="s">
        <v>2801</v>
      </c>
      <c r="D172" s="2">
        <v>3</v>
      </c>
      <c r="E172" s="2" t="s">
        <v>785</v>
      </c>
      <c r="F172" s="2">
        <v>-3103</v>
      </c>
      <c r="G172" s="2">
        <v>1316</v>
      </c>
      <c r="H172" s="2">
        <v>211</v>
      </c>
      <c r="J172" t="str">
        <f>"{ name: "&amp;CHAR(34)&amp;B172&amp;CHAR(34)&amp;", landmark: "&amp;CHAR(34)&amp;IF(LEN(C172)=LEN(SUBSTITUTE(C172,"Transport","")),"Korok x1","Korok x2")&amp;CHAR(34)&amp;", type: "&amp;CHAR(34)&amp;C172&amp;CHAR(34)&amp;", region: "&amp;D172&amp;", level: "&amp;CHAR(34)&amp;E172&amp;CHAR(34)&amp;", x: "&amp;F172&amp;", y: "&amp;G172&amp;", z: "&amp;H172&amp;", details: "&amp;CHAR(34)&amp;I172&amp;CHAR(34)&amp;" },"</f>
        <v>{ name: "Kolami Bridge Korok", landmark: "Korok x1", type: "Break the Acorn Pot", region: 3, level: "Surface", x: -3103, y: 1316, z: 211, details: "" },</v>
      </c>
    </row>
    <row r="173" spans="1:10" x14ac:dyDescent="0.2">
      <c r="A173" s="2">
        <v>202</v>
      </c>
      <c r="B173" s="34" t="s">
        <v>3568</v>
      </c>
      <c r="C173" t="s">
        <v>2811</v>
      </c>
      <c r="D173" s="2">
        <v>3</v>
      </c>
      <c r="E173" s="2" t="s">
        <v>785</v>
      </c>
      <c r="F173" s="2">
        <v>-3599</v>
      </c>
      <c r="G173" s="2">
        <v>1538</v>
      </c>
      <c r="H173" s="2">
        <v>144</v>
      </c>
      <c r="I173" t="s">
        <v>2781</v>
      </c>
      <c r="J173" t="str">
        <f>"{ name: "&amp;CHAR(34)&amp;B173&amp;CHAR(34)&amp;", landmark: "&amp;CHAR(34)&amp;IF(LEN(C173)=LEN(SUBSTITUTE(C173,"Transport","")),"Korok x1","Korok x2")&amp;CHAR(34)&amp;", type: "&amp;CHAR(34)&amp;C173&amp;CHAR(34)&amp;", region: "&amp;D173&amp;", level: "&amp;CHAR(34)&amp;E173&amp;CHAR(34)&amp;", x: "&amp;F173&amp;", y: "&amp;G173&amp;", z: "&amp;H173&amp;", details: "&amp;CHAR(34)&amp;I173&amp;CHAR(34)&amp;" },"</f>
        <v>{ name: "Lake Totori Korok #01", landmark: "Korok x1", type: "Follow the Yellow Flowers", region: 3, level: "Surface", x: -3599, y: 1538, z: 144, details: "Starts at (-3621, 1522, 145)" },</v>
      </c>
    </row>
    <row r="174" spans="1:10" x14ac:dyDescent="0.2">
      <c r="A174" s="2">
        <v>20</v>
      </c>
      <c r="B174" s="34" t="s">
        <v>3593</v>
      </c>
      <c r="C174" t="s">
        <v>2827</v>
      </c>
      <c r="D174" s="2">
        <v>3</v>
      </c>
      <c r="E174" s="2" t="s">
        <v>783</v>
      </c>
      <c r="F174" s="2">
        <v>-3645</v>
      </c>
      <c r="G174" s="2">
        <v>1048</v>
      </c>
      <c r="H174" s="2">
        <v>1796</v>
      </c>
      <c r="I174" t="s">
        <v>2736</v>
      </c>
      <c r="J174" t="str">
        <f>"{ name: "&amp;CHAR(34)&amp;B174&amp;CHAR(34)&amp;", landmark: "&amp;CHAR(34)&amp;IF(LEN(C174)=LEN(SUBSTITUTE(C174,"Transport","")),"Korok x1","Korok x2")&amp;CHAR(34)&amp;", type: "&amp;CHAR(34)&amp;C174&amp;CHAR(34)&amp;", region: "&amp;D174&amp;", level: "&amp;CHAR(34)&amp;E174&amp;CHAR(34)&amp;", x: "&amp;F174&amp;", y: "&amp;G174&amp;", z: "&amp;H174&amp;", details: "&amp;CHAR(34)&amp;I174&amp;CHAR(34)&amp;" },"</f>
        <v>{ name: "Lightcast Island Korok #01", landmark: "Korok x1", type: "Paraglide to the Goal", region: 3, level: "Sky", x: -3645, y: 1048, z: 1796, details: "Starts at (-3612, 1030, 1815)" },</v>
      </c>
    </row>
    <row r="175" spans="1:10" x14ac:dyDescent="0.2">
      <c r="A175" s="2">
        <v>21</v>
      </c>
      <c r="B175" s="34" t="s">
        <v>3594</v>
      </c>
      <c r="C175" t="s">
        <v>2806</v>
      </c>
      <c r="D175" s="2">
        <v>3</v>
      </c>
      <c r="E175" s="2" t="s">
        <v>783</v>
      </c>
      <c r="F175" s="2">
        <v>-3621</v>
      </c>
      <c r="G175" s="2">
        <v>997</v>
      </c>
      <c r="H175" s="2">
        <v>1614</v>
      </c>
      <c r="J175" t="str">
        <f>"{ name: "&amp;CHAR(34)&amp;B175&amp;CHAR(34)&amp;", landmark: "&amp;CHAR(34)&amp;IF(LEN(C175)=LEN(SUBSTITUTE(C175,"Transport","")),"Korok x1","Korok x2")&amp;CHAR(34)&amp;", type: "&amp;CHAR(34)&amp;C175&amp;CHAR(34)&amp;", region: "&amp;D175&amp;", level: "&amp;CHAR(34)&amp;E175&amp;CHAR(34)&amp;", x: "&amp;F175&amp;", y: "&amp;G175&amp;", z: "&amp;H175&amp;", details: "&amp;CHAR(34)&amp;I175&amp;CHAR(34)&amp;" },"</f>
        <v>{ name: "Lightcast Island Korok #02", landmark: "Korok x1", type: "Catch the Dandelion", region: 3, level: "Sky", x: -3621, y: 997, z: 1614, details: "" },</v>
      </c>
    </row>
    <row r="176" spans="1:10" x14ac:dyDescent="0.2">
      <c r="A176" s="2">
        <v>22</v>
      </c>
      <c r="B176" s="34" t="s">
        <v>3595</v>
      </c>
      <c r="C176" t="s">
        <v>2801</v>
      </c>
      <c r="D176" s="2">
        <v>3</v>
      </c>
      <c r="E176" s="2" t="s">
        <v>783</v>
      </c>
      <c r="F176" s="2">
        <v>-3599</v>
      </c>
      <c r="G176" s="2">
        <v>979</v>
      </c>
      <c r="H176" s="2">
        <v>1823</v>
      </c>
      <c r="J176" t="str">
        <f>"{ name: "&amp;CHAR(34)&amp;B176&amp;CHAR(34)&amp;", landmark: "&amp;CHAR(34)&amp;IF(LEN(C176)=LEN(SUBSTITUTE(C176,"Transport","")),"Korok x1","Korok x2")&amp;CHAR(34)&amp;", type: "&amp;CHAR(34)&amp;C176&amp;CHAR(34)&amp;", region: "&amp;D176&amp;", level: "&amp;CHAR(34)&amp;E176&amp;CHAR(34)&amp;", x: "&amp;F176&amp;", y: "&amp;G176&amp;", z: "&amp;H176&amp;", details: "&amp;CHAR(34)&amp;I176&amp;CHAR(34)&amp;" },"</f>
        <v>{ name: "Lightcast Island Korok #03", landmark: "Korok x1", type: "Break the Acorn Pot", region: 3, level: "Sky", x: -3599, y: 979, z: 1823, details: "" },</v>
      </c>
    </row>
    <row r="177" spans="1:10" x14ac:dyDescent="0.2">
      <c r="A177" s="2">
        <v>213</v>
      </c>
      <c r="B177" s="34" t="s">
        <v>3596</v>
      </c>
      <c r="C177" t="s">
        <v>2825</v>
      </c>
      <c r="D177" s="2">
        <v>3</v>
      </c>
      <c r="E177" s="2" t="s">
        <v>785</v>
      </c>
      <c r="F177" s="2">
        <v>-2025</v>
      </c>
      <c r="G177" s="2">
        <v>1304</v>
      </c>
      <c r="H177" s="2">
        <v>285</v>
      </c>
      <c r="J177" t="str">
        <f>"{ name: "&amp;CHAR(34)&amp;B177&amp;CHAR(34)&amp;", landmark: "&amp;CHAR(34)&amp;IF(LEN(C177)=LEN(SUBSTITUTE(C177,"Transport","")),"Korok x1","Korok x2")&amp;CHAR(34)&amp;", type: "&amp;CHAR(34)&amp;C177&amp;CHAR(34)&amp;", region: "&amp;D177&amp;", level: "&amp;CHAR(34)&amp;E177&amp;CHAR(34)&amp;", x: "&amp;F177&amp;", y: "&amp;G177&amp;", z: "&amp;H177&amp;", details: "&amp;CHAR(34)&amp;I177&amp;CHAR(34)&amp;" },"</f>
        <v>{ name: "Lindor's Brow Korok #01", landmark: "Korok x1", type: "Climb and Examine the Fairy Lights", region: 3, level: "Surface", x: -2025, y: 1304, z: 285, details: "" },</v>
      </c>
    </row>
    <row r="178" spans="1:10" x14ac:dyDescent="0.2">
      <c r="A178" s="2">
        <v>219</v>
      </c>
      <c r="B178" s="34" t="s">
        <v>3597</v>
      </c>
      <c r="C178" t="s">
        <v>2826</v>
      </c>
      <c r="D178" s="2">
        <v>3</v>
      </c>
      <c r="E178" s="2" t="s">
        <v>785</v>
      </c>
      <c r="F178" s="2">
        <v>-1730</v>
      </c>
      <c r="G178" s="2">
        <v>1162</v>
      </c>
      <c r="H178" s="2">
        <v>255</v>
      </c>
      <c r="J178" t="str">
        <f>"{ name: "&amp;CHAR(34)&amp;B178&amp;CHAR(34)&amp;", landmark: "&amp;CHAR(34)&amp;IF(LEN(C178)=LEN(SUBSTITUTE(C178,"Transport","")),"Korok x1","Korok x2")&amp;CHAR(34)&amp;", type: "&amp;CHAR(34)&amp;C178&amp;CHAR(34)&amp;", region: "&amp;D178&amp;", level: "&amp;CHAR(34)&amp;E178&amp;CHAR(34)&amp;", x: "&amp;F178&amp;", y: "&amp;G178&amp;", z: "&amp;H178&amp;", details: "&amp;CHAR(34)&amp;I178&amp;CHAR(34)&amp;" },"</f>
        <v>{ name: "Lindor's Brow Korok #02", landmark: "Korok x1", type: "Ascend Through the Marker", region: 3, level: "Surface", x: -1730, y: 1162, z: 255, details: "" },</v>
      </c>
    </row>
    <row r="179" spans="1:10" x14ac:dyDescent="0.2">
      <c r="A179" s="2">
        <v>218</v>
      </c>
      <c r="B179" s="34" t="s">
        <v>3608</v>
      </c>
      <c r="C179" t="s">
        <v>2825</v>
      </c>
      <c r="D179" s="2">
        <v>3</v>
      </c>
      <c r="E179" s="2" t="s">
        <v>785</v>
      </c>
      <c r="F179" s="2">
        <v>-2234</v>
      </c>
      <c r="G179" s="2">
        <v>1070</v>
      </c>
      <c r="H179" s="2">
        <v>111</v>
      </c>
      <c r="J179" t="str">
        <f>"{ name: "&amp;CHAR(34)&amp;B179&amp;CHAR(34)&amp;", landmark: "&amp;CHAR(34)&amp;IF(LEN(C179)=LEN(SUBSTITUTE(C179,"Transport","")),"Korok x1","Korok x2")&amp;CHAR(34)&amp;", type: "&amp;CHAR(34)&amp;C179&amp;CHAR(34)&amp;", region: "&amp;D179&amp;", level: "&amp;CHAR(34)&amp;E179&amp;CHAR(34)&amp;", x: "&amp;F179&amp;", y: "&amp;G179&amp;", z: "&amp;H179&amp;", details: "&amp;CHAR(34)&amp;I179&amp;CHAR(34)&amp;" },"</f>
        <v>{ name: "Ludfo's Bog Korok #01", landmark: "Korok x1", type: "Climb and Examine the Fairy Lights", region: 3, level: "Surface", x: -2234, y: 1070, z: 111, details: "" },</v>
      </c>
    </row>
    <row r="180" spans="1:10" x14ac:dyDescent="0.2">
      <c r="A180" s="2">
        <v>232</v>
      </c>
      <c r="B180" s="34" t="s">
        <v>3609</v>
      </c>
      <c r="C180" t="s">
        <v>2824</v>
      </c>
      <c r="D180" s="2">
        <v>3</v>
      </c>
      <c r="E180" s="2" t="s">
        <v>785</v>
      </c>
      <c r="F180" s="2">
        <v>-2061</v>
      </c>
      <c r="G180" s="2">
        <v>769</v>
      </c>
      <c r="H180" s="2">
        <v>101</v>
      </c>
      <c r="J180" t="str">
        <f>"{ name: "&amp;CHAR(34)&amp;B180&amp;CHAR(34)&amp;", landmark: "&amp;CHAR(34)&amp;IF(LEN(C180)=LEN(SUBSTITUTE(C180,"Transport","")),"Korok x1","Korok x2")&amp;CHAR(34)&amp;", type: "&amp;CHAR(34)&amp;C180&amp;CHAR(34)&amp;", region: "&amp;D180&amp;", level: "&amp;CHAR(34)&amp;E180&amp;CHAR(34)&amp;", x: "&amp;F180&amp;", y: "&amp;G180&amp;", z: "&amp;H180&amp;", details: "&amp;CHAR(34)&amp;I180&amp;CHAR(34)&amp;" },"</f>
        <v>{ name: "Ludfo's Bog Korok #02", landmark: "Korok x1", type: "Catch the Moving Sparkle", region: 3, level: "Surface", x: -2061, y: 769, z: 101, details: "" },</v>
      </c>
    </row>
    <row r="181" spans="1:10" x14ac:dyDescent="0.2">
      <c r="A181" s="2">
        <v>241</v>
      </c>
      <c r="B181" s="34" t="s">
        <v>3610</v>
      </c>
      <c r="C181" t="s">
        <v>2802</v>
      </c>
      <c r="D181" s="2">
        <v>3</v>
      </c>
      <c r="E181" s="2" t="s">
        <v>785</v>
      </c>
      <c r="F181" s="2">
        <v>-2056</v>
      </c>
      <c r="G181" s="2">
        <v>513</v>
      </c>
      <c r="H181" s="2">
        <v>139</v>
      </c>
      <c r="I181" t="s">
        <v>2636</v>
      </c>
      <c r="J181" t="str">
        <f>"{ name: "&amp;CHAR(34)&amp;B181&amp;CHAR(34)&amp;", landmark: "&amp;CHAR(34)&amp;IF(LEN(C181)=LEN(SUBSTITUTE(C181,"Transport","")),"Korok x1","Korok x2")&amp;CHAR(34)&amp;", type: "&amp;CHAR(34)&amp;C181&amp;CHAR(34)&amp;", region: "&amp;D181&amp;", level: "&amp;CHAR(34)&amp;E181&amp;CHAR(34)&amp;", x: "&amp;F181&amp;", y: "&amp;G181&amp;", z: "&amp;H181&amp;", details: "&amp;CHAR(34)&amp;I181&amp;CHAR(34)&amp;" },"</f>
        <v>{ name: "Ludfo's Bog Korok #03", landmark: "Korok x2", type: "Transport to Friend", region: 3, level: "Surface", x: -2056, y: 513, z: 139, details: "Starts at (-2083, 480, 105)" },</v>
      </c>
    </row>
    <row r="182" spans="1:10" x14ac:dyDescent="0.2">
      <c r="A182" s="2">
        <v>199</v>
      </c>
      <c r="B182" s="34" t="s">
        <v>3643</v>
      </c>
      <c r="C182" t="s">
        <v>2802</v>
      </c>
      <c r="D182" s="2">
        <v>3</v>
      </c>
      <c r="E182" s="2" t="s">
        <v>785</v>
      </c>
      <c r="F182" s="2">
        <v>-981</v>
      </c>
      <c r="G182" s="2">
        <v>2240</v>
      </c>
      <c r="H182" s="2">
        <v>121</v>
      </c>
      <c r="I182" t="s">
        <v>2612</v>
      </c>
      <c r="J182" t="str">
        <f>"{ name: "&amp;CHAR(34)&amp;B182&amp;CHAR(34)&amp;", landmark: "&amp;CHAR(34)&amp;IF(LEN(C182)=LEN(SUBSTITUTE(C182,"Transport","")),"Korok x1","Korok x2")&amp;CHAR(34)&amp;", type: "&amp;CHAR(34)&amp;C182&amp;CHAR(34)&amp;", region: "&amp;D182&amp;", level: "&amp;CHAR(34)&amp;E182&amp;CHAR(34)&amp;", x: "&amp;F182&amp;", y: "&amp;G182&amp;", z: "&amp;H182&amp;", details: "&amp;CHAR(34)&amp;I182&amp;CHAR(34)&amp;" },"</f>
        <v>{ name: "Mount Drena Korok #01", landmark: "Korok x2", type: "Transport to Friend", region: 3, level: "Surface", x: -981, y: 2240, z: 121, details: "Starts at (-546, 2226, 268)" },</v>
      </c>
    </row>
    <row r="183" spans="1:10" x14ac:dyDescent="0.2">
      <c r="A183" s="2">
        <v>222</v>
      </c>
      <c r="B183" s="34" t="s">
        <v>3661</v>
      </c>
      <c r="C183" t="s">
        <v>2809</v>
      </c>
      <c r="D183" s="2">
        <v>3</v>
      </c>
      <c r="E183" s="2" t="s">
        <v>785</v>
      </c>
      <c r="F183" s="2">
        <v>-2677</v>
      </c>
      <c r="G183" s="2">
        <v>888</v>
      </c>
      <c r="H183" s="2">
        <v>231</v>
      </c>
      <c r="J183" t="str">
        <f>"{ name: "&amp;CHAR(34)&amp;B183&amp;CHAR(34)&amp;", landmark: "&amp;CHAR(34)&amp;IF(LEN(C183)=LEN(SUBSTITUTE(C183,"Transport","")),"Korok x1","Korok x2")&amp;CHAR(34)&amp;", type: "&amp;CHAR(34)&amp;C183&amp;CHAR(34)&amp;", region: "&amp;D183&amp;", level: "&amp;CHAR(34)&amp;E183&amp;CHAR(34)&amp;", x: "&amp;F183&amp;", y: "&amp;G183&amp;", z: "&amp;H183&amp;", details: "&amp;CHAR(34)&amp;I183&amp;CHAR(34)&amp;" },"</f>
        <v>{ name: "Mount Rhoam Korok #01", landmark: "Korok x1", type: "Dive into the Lily Ring", region: 3, level: "Surface", x: -2677, y: 888, z: 231, details: "" },</v>
      </c>
    </row>
    <row r="184" spans="1:10" x14ac:dyDescent="0.2">
      <c r="A184" s="2">
        <v>231</v>
      </c>
      <c r="B184" s="34" t="s">
        <v>3662</v>
      </c>
      <c r="C184" t="s">
        <v>2808</v>
      </c>
      <c r="D184" s="2">
        <v>3</v>
      </c>
      <c r="E184" s="2" t="s">
        <v>785</v>
      </c>
      <c r="F184" s="2">
        <v>-2825</v>
      </c>
      <c r="G184" s="2">
        <v>704</v>
      </c>
      <c r="H184" s="2">
        <v>245</v>
      </c>
      <c r="J184" t="str">
        <f>"{ name: "&amp;CHAR(34)&amp;B184&amp;CHAR(34)&amp;", landmark: "&amp;CHAR(34)&amp;IF(LEN(C184)=LEN(SUBSTITUTE(C184,"Transport","")),"Korok x1","Korok x2")&amp;CHAR(34)&amp;", type: "&amp;CHAR(34)&amp;C184&amp;CHAR(34)&amp;", region: "&amp;D184&amp;", level: "&amp;CHAR(34)&amp;E184&amp;CHAR(34)&amp;", x: "&amp;F184&amp;", y: "&amp;G184&amp;", z: "&amp;H184&amp;", details: "&amp;CHAR(34)&amp;I184&amp;CHAR(34)&amp;" },"</f>
        <v>{ name: "Mount Rhoam Korok #02", landmark: "Korok x1", type: "Complete the Rock Pattern", region: 3, level: "Surface", x: -2825, y: 704, z: 245, details: "" },</v>
      </c>
    </row>
    <row r="185" spans="1:10" x14ac:dyDescent="0.2">
      <c r="A185" s="2">
        <v>215</v>
      </c>
      <c r="B185" s="34" t="s">
        <v>3675</v>
      </c>
      <c r="C185" t="s">
        <v>2826</v>
      </c>
      <c r="D185" s="2">
        <v>3</v>
      </c>
      <c r="E185" s="2" t="s">
        <v>785</v>
      </c>
      <c r="F185" s="2">
        <v>-3716</v>
      </c>
      <c r="G185" s="2">
        <v>1039</v>
      </c>
      <c r="H185" s="2">
        <v>248</v>
      </c>
      <c r="J185" t="str">
        <f>"{ name: "&amp;CHAR(34)&amp;B185&amp;CHAR(34)&amp;", landmark: "&amp;CHAR(34)&amp;IF(LEN(C185)=LEN(SUBSTITUTE(C185,"Transport","")),"Korok x1","Korok x2")&amp;CHAR(34)&amp;", type: "&amp;CHAR(34)&amp;C185&amp;CHAR(34)&amp;", region: "&amp;D185&amp;", level: "&amp;CHAR(34)&amp;E185&amp;CHAR(34)&amp;", x: "&amp;F185&amp;", y: "&amp;G185&amp;", z: "&amp;H185&amp;", details: "&amp;CHAR(34)&amp;I185&amp;CHAR(34)&amp;" },"</f>
        <v>{ name: "Nero Hill Korok #01", landmark: "Korok x1", type: "Ascend Through the Marker", region: 3, level: "Surface", x: -3716, y: 1039, z: 248, details: "" },</v>
      </c>
    </row>
    <row r="186" spans="1:10" x14ac:dyDescent="0.2">
      <c r="A186" s="2">
        <v>227</v>
      </c>
      <c r="B186" s="34" t="s">
        <v>3676</v>
      </c>
      <c r="C186" t="s">
        <v>2802</v>
      </c>
      <c r="D186" s="2">
        <v>3</v>
      </c>
      <c r="E186" s="2" t="s">
        <v>785</v>
      </c>
      <c r="F186" s="2">
        <v>-3557</v>
      </c>
      <c r="G186" s="2">
        <v>768</v>
      </c>
      <c r="H186" s="2">
        <v>188</v>
      </c>
      <c r="I186" t="s">
        <v>2687</v>
      </c>
      <c r="J186" t="str">
        <f>"{ name: "&amp;CHAR(34)&amp;B186&amp;CHAR(34)&amp;", landmark: "&amp;CHAR(34)&amp;IF(LEN(C186)=LEN(SUBSTITUTE(C186,"Transport","")),"Korok x1","Korok x2")&amp;CHAR(34)&amp;", type: "&amp;CHAR(34)&amp;C186&amp;CHAR(34)&amp;", region: "&amp;D186&amp;", level: "&amp;CHAR(34)&amp;E186&amp;CHAR(34)&amp;", x: "&amp;F186&amp;", y: "&amp;G186&amp;", z: "&amp;H186&amp;", details: "&amp;CHAR(34)&amp;I186&amp;CHAR(34)&amp;" },"</f>
        <v>{ name: "Nero Hill Korok #02", landmark: "Korok x2", type: "Transport to Friend", region: 3, level: "Surface", x: -3557, y: 768, z: 188, details: "Starts at (-3613, 985, 290)" },</v>
      </c>
    </row>
    <row r="187" spans="1:10" x14ac:dyDescent="0.2">
      <c r="A187" s="2">
        <v>224</v>
      </c>
      <c r="B187" s="34" t="s">
        <v>3690</v>
      </c>
      <c r="C187" t="s">
        <v>2812</v>
      </c>
      <c r="D187" s="2">
        <v>3</v>
      </c>
      <c r="E187" s="2" t="s">
        <v>785</v>
      </c>
      <c r="F187" s="2">
        <v>-1288</v>
      </c>
      <c r="G187" s="2">
        <v>897</v>
      </c>
      <c r="H187" s="2">
        <v>100</v>
      </c>
      <c r="J187" t="str">
        <f>"{ name: "&amp;CHAR(34)&amp;B187&amp;CHAR(34)&amp;", landmark: "&amp;CHAR(34)&amp;IF(LEN(C187)=LEN(SUBSTITUTE(C187,"Transport","")),"Korok x1","Korok x2")&amp;CHAR(34)&amp;", type: "&amp;CHAR(34)&amp;C187&amp;CHAR(34)&amp;", region: "&amp;D187&amp;", level: "&amp;CHAR(34)&amp;E187&amp;CHAR(34)&amp;", x: "&amp;F187&amp;", y: "&amp;G187&amp;", z: "&amp;H187&amp;", details: "&amp;CHAR(34)&amp;I187&amp;CHAR(34)&amp;" },"</f>
        <v>{ name: "North Hyrule Plain Korok #02", landmark: "Korok x1", type: "Lift the Rock", region: 3, level: "Surface", x: -1288, y: 897, z: 100, details: "" },</v>
      </c>
    </row>
    <row r="188" spans="1:10" x14ac:dyDescent="0.2">
      <c r="A188" s="2">
        <v>233</v>
      </c>
      <c r="B188" s="34" t="s">
        <v>3691</v>
      </c>
      <c r="C188" t="s">
        <v>2815</v>
      </c>
      <c r="D188" s="2">
        <v>3</v>
      </c>
      <c r="E188" s="2" t="s">
        <v>785</v>
      </c>
      <c r="F188" s="2">
        <v>-1164</v>
      </c>
      <c r="G188" s="2">
        <v>666</v>
      </c>
      <c r="H188" s="2">
        <v>70</v>
      </c>
      <c r="J188" t="str">
        <f>"{ name: "&amp;CHAR(34)&amp;B188&amp;CHAR(34)&amp;", landmark: "&amp;CHAR(34)&amp;IF(LEN(C188)=LEN(SUBSTITUTE(C188,"Transport","")),"Korok x1","Korok x2")&amp;CHAR(34)&amp;", type: "&amp;CHAR(34)&amp;C188&amp;CHAR(34)&amp;", region: "&amp;D188&amp;", level: "&amp;CHAR(34)&amp;E188&amp;CHAR(34)&amp;", x: "&amp;F188&amp;", y: "&amp;G188&amp;", z: "&amp;H188&amp;", details: "&amp;CHAR(34)&amp;I188&amp;CHAR(34)&amp;" },"</f>
        <v>{ name: "North Hyrule Plain Korok #03", landmark: "Korok x1", type: "Place the Boulder", region: 3, level: "Surface", x: -1164, y: 666, z: 70, details: "" },</v>
      </c>
    </row>
    <row r="189" spans="1:10" x14ac:dyDescent="0.2">
      <c r="A189" s="2">
        <v>246</v>
      </c>
      <c r="B189" s="34" t="s">
        <v>3700</v>
      </c>
      <c r="C189" t="s">
        <v>2811</v>
      </c>
      <c r="D189" s="2">
        <v>3</v>
      </c>
      <c r="E189" s="2" t="s">
        <v>785</v>
      </c>
      <c r="F189" s="2">
        <v>-3118</v>
      </c>
      <c r="G189" s="2">
        <v>235</v>
      </c>
      <c r="H189" s="2">
        <v>112</v>
      </c>
      <c r="I189" t="s">
        <v>2784</v>
      </c>
      <c r="J189" t="str">
        <f>"{ name: "&amp;CHAR(34)&amp;B189&amp;CHAR(34)&amp;", landmark: "&amp;CHAR(34)&amp;IF(LEN(C189)=LEN(SUBSTITUTE(C189,"Transport","")),"Korok x1","Korok x2")&amp;CHAR(34)&amp;", type: "&amp;CHAR(34)&amp;C189&amp;CHAR(34)&amp;", region: "&amp;D189&amp;", level: "&amp;CHAR(34)&amp;E189&amp;CHAR(34)&amp;", x: "&amp;F189&amp;", y: "&amp;G189&amp;", z: "&amp;H189&amp;", details: "&amp;CHAR(34)&amp;I189&amp;CHAR(34)&amp;" },"</f>
        <v>{ name: "North of Illumeni Plateau Korok", landmark: "Korok x1", type: "Follow the Yellow Flowers", region: 3, level: "Surface", x: -3118, y: 235, z: 112, details: "Starts at (-3109, 242, 112)" },</v>
      </c>
    </row>
    <row r="190" spans="1:10" x14ac:dyDescent="0.2">
      <c r="A190" s="2">
        <v>247</v>
      </c>
      <c r="B190" s="34" t="s">
        <v>3704</v>
      </c>
      <c r="C190" t="s">
        <v>2817</v>
      </c>
      <c r="D190" s="2">
        <v>3</v>
      </c>
      <c r="E190" s="2" t="s">
        <v>785</v>
      </c>
      <c r="F190" s="2">
        <v>-2914</v>
      </c>
      <c r="G190" s="2">
        <v>240</v>
      </c>
      <c r="H190" s="2">
        <v>205</v>
      </c>
      <c r="I190" t="s">
        <v>2616</v>
      </c>
      <c r="J190" t="str">
        <f>"{ name: "&amp;CHAR(34)&amp;B190&amp;CHAR(34)&amp;", landmark: "&amp;CHAR(34)&amp;IF(LEN(C190)=LEN(SUBSTITUTE(C190,"Transport","")),"Korok x1","Korok x2")&amp;CHAR(34)&amp;", type: "&amp;CHAR(34)&amp;C190&amp;CHAR(34)&amp;", region: "&amp;D190&amp;", level: "&amp;CHAR(34)&amp;E190&amp;CHAR(34)&amp;", x: "&amp;F190&amp;", y: "&amp;G190&amp;", z: "&amp;H190&amp;", details: "&amp;CHAR(34)&amp;I190&amp;CHAR(34)&amp;" },"</f>
        <v>{ name: "North of Washa's Bluff Korok", landmark: "Korok x1", type: "Reach the Target Ring", region: 3, level: "Surface", x: -2914, y: 240, z: 205, details: "Starts at (-2919, 285, 207)" },</v>
      </c>
    </row>
    <row r="191" spans="1:10" x14ac:dyDescent="0.2">
      <c r="A191" s="2">
        <v>228</v>
      </c>
      <c r="B191" s="34" t="s">
        <v>3748</v>
      </c>
      <c r="C191" t="s">
        <v>2824</v>
      </c>
      <c r="D191" s="2">
        <v>3</v>
      </c>
      <c r="E191" s="2" t="s">
        <v>785</v>
      </c>
      <c r="F191" s="2">
        <v>-3542</v>
      </c>
      <c r="G191" s="2">
        <v>752</v>
      </c>
      <c r="H191" s="2">
        <v>188</v>
      </c>
      <c r="J191" t="str">
        <f>"{ name: "&amp;CHAR(34)&amp;B191&amp;CHAR(34)&amp;", landmark: "&amp;CHAR(34)&amp;IF(LEN(C191)=LEN(SUBSTITUTE(C191,"Transport","")),"Korok x1","Korok x2")&amp;CHAR(34)&amp;", type: "&amp;CHAR(34)&amp;C191&amp;CHAR(34)&amp;", region: "&amp;D191&amp;", level: "&amp;CHAR(34)&amp;E191&amp;CHAR(34)&amp;", x: "&amp;F191&amp;", y: "&amp;G191&amp;", z: "&amp;H191&amp;", details: "&amp;CHAR(34)&amp;I191&amp;CHAR(34)&amp;" },"</f>
        <v>{ name: "Piper Ridge Korok #01", landmark: "Korok x1", type: "Catch the Moving Sparkle", region: 3, level: "Surface", x: -3542, y: 752, z: 188, details: "" },</v>
      </c>
    </row>
    <row r="192" spans="1:10" x14ac:dyDescent="0.2">
      <c r="A192" s="2">
        <v>229</v>
      </c>
      <c r="B192" s="34" t="s">
        <v>3749</v>
      </c>
      <c r="C192" t="s">
        <v>2826</v>
      </c>
      <c r="D192" s="2">
        <v>3</v>
      </c>
      <c r="E192" s="2" t="s">
        <v>785</v>
      </c>
      <c r="F192" s="2">
        <v>-3435</v>
      </c>
      <c r="G192" s="2">
        <v>708</v>
      </c>
      <c r="H192" s="2">
        <v>216</v>
      </c>
      <c r="J192" t="str">
        <f>"{ name: "&amp;CHAR(34)&amp;B192&amp;CHAR(34)&amp;", landmark: "&amp;CHAR(34)&amp;IF(LEN(C192)=LEN(SUBSTITUTE(C192,"Transport","")),"Korok x1","Korok x2")&amp;CHAR(34)&amp;", type: "&amp;CHAR(34)&amp;C192&amp;CHAR(34)&amp;", region: "&amp;D192&amp;", level: "&amp;CHAR(34)&amp;E192&amp;CHAR(34)&amp;", x: "&amp;F192&amp;", y: "&amp;G192&amp;", z: "&amp;H192&amp;", details: "&amp;CHAR(34)&amp;I192&amp;CHAR(34)&amp;" },"</f>
        <v>{ name: "Piper Ridge Korok #02", landmark: "Korok x1", type: "Ascend Through the Marker", region: 3, level: "Surface", x: -3435, y: 708, z: 216, details: "" },</v>
      </c>
    </row>
    <row r="193" spans="1:10" x14ac:dyDescent="0.2">
      <c r="A193" s="2">
        <v>230</v>
      </c>
      <c r="B193" s="34" t="s">
        <v>3750</v>
      </c>
      <c r="C193" t="s">
        <v>2595</v>
      </c>
      <c r="D193" s="2">
        <v>3</v>
      </c>
      <c r="E193" s="2" t="s">
        <v>785</v>
      </c>
      <c r="F193" s="2">
        <v>-3444</v>
      </c>
      <c r="G193" s="2">
        <v>662</v>
      </c>
      <c r="H193" s="2">
        <v>253</v>
      </c>
      <c r="J193" t="str">
        <f>"{ name: "&amp;CHAR(34)&amp;B193&amp;CHAR(34)&amp;", landmark: "&amp;CHAR(34)&amp;IF(LEN(C193)=LEN(SUBSTITUTE(C193,"Transport","")),"Korok x1","Korok x2")&amp;CHAR(34)&amp;", type: "&amp;CHAR(34)&amp;C193&amp;CHAR(34)&amp;", region: "&amp;D193&amp;", level: "&amp;CHAR(34)&amp;E193&amp;CHAR(34)&amp;", x: "&amp;F193&amp;", y: "&amp;G193&amp;", z: "&amp;H193&amp;", details: "&amp;CHAR(34)&amp;I193&amp;CHAR(34)&amp;" },"</f>
        <v>{ name: "Piper Ridge Korok #03", landmark: "Korok x1", type: "Attack and catch the dandelion", region: 3, level: "Surface", x: -3444, y: 662, z: 253, details: "" },</v>
      </c>
    </row>
    <row r="194" spans="1:10" x14ac:dyDescent="0.2">
      <c r="A194" s="2">
        <v>234</v>
      </c>
      <c r="B194" s="34" t="s">
        <v>3751</v>
      </c>
      <c r="C194" t="s">
        <v>2804</v>
      </c>
      <c r="D194" s="2">
        <v>3</v>
      </c>
      <c r="E194" s="2" t="s">
        <v>785</v>
      </c>
      <c r="F194" s="2">
        <v>-3552</v>
      </c>
      <c r="G194" s="2">
        <v>595</v>
      </c>
      <c r="H194" s="2">
        <v>212</v>
      </c>
      <c r="J194" t="str">
        <f>"{ name: "&amp;CHAR(34)&amp;B194&amp;CHAR(34)&amp;", landmark: "&amp;CHAR(34)&amp;IF(LEN(C194)=LEN(SUBSTITUTE(C194,"Transport","")),"Korok x1","Korok x2")&amp;CHAR(34)&amp;", type: "&amp;CHAR(34)&amp;C194&amp;CHAR(34)&amp;", region: "&amp;D194&amp;", level: "&amp;CHAR(34)&amp;E194&amp;CHAR(34)&amp;", x: "&amp;F194&amp;", y: "&amp;G194&amp;", z: "&amp;H194&amp;", details: "&amp;CHAR(34)&amp;I194&amp;CHAR(34)&amp;" },"</f>
        <v>{ name: "Piper Ridge Korok #04", landmark: "Korok x1", type: "Burn the Leaves", region: 3, level: "Surface", x: -3552, y: 595, z: 212, details: "" },</v>
      </c>
    </row>
    <row r="195" spans="1:10" x14ac:dyDescent="0.2">
      <c r="A195" s="2">
        <v>235</v>
      </c>
      <c r="B195" s="34" t="s">
        <v>3752</v>
      </c>
      <c r="C195" t="s">
        <v>2822</v>
      </c>
      <c r="D195" s="2">
        <v>3</v>
      </c>
      <c r="E195" s="2" t="s">
        <v>785</v>
      </c>
      <c r="F195" s="2">
        <v>-3547</v>
      </c>
      <c r="G195" s="2">
        <v>578</v>
      </c>
      <c r="H195" s="2">
        <v>195</v>
      </c>
      <c r="J195" t="str">
        <f>"{ name: "&amp;CHAR(34)&amp;B195&amp;CHAR(34)&amp;", landmark: "&amp;CHAR(34)&amp;IF(LEN(C195)=LEN(SUBSTITUTE(C195,"Transport","")),"Korok x1","Korok x2")&amp;CHAR(34)&amp;", type: "&amp;CHAR(34)&amp;C195&amp;CHAR(34)&amp;", region: "&amp;D195&amp;", level: "&amp;CHAR(34)&amp;E195&amp;CHAR(34)&amp;", x: "&amp;F195&amp;", y: "&amp;G195&amp;", z: "&amp;H195&amp;", details: "&amp;CHAR(34)&amp;I195&amp;CHAR(34)&amp;" },"</f>
        <v>{ name: "Piper Ridge Korok #05", landmark: "Korok x1", type: "Shoot the Hidden Balloon", region: 3, level: "Surface", x: -3547, y: 578, z: 195, details: "" },</v>
      </c>
    </row>
    <row r="196" spans="1:10" x14ac:dyDescent="0.2">
      <c r="A196" s="2">
        <v>225</v>
      </c>
      <c r="B196" s="34" t="s">
        <v>3772</v>
      </c>
      <c r="C196" t="s">
        <v>2814</v>
      </c>
      <c r="D196" s="2">
        <v>3</v>
      </c>
      <c r="E196" s="2" t="s">
        <v>785</v>
      </c>
      <c r="F196" s="2">
        <v>-4059</v>
      </c>
      <c r="G196" s="2">
        <v>774</v>
      </c>
      <c r="H196" s="2">
        <v>107</v>
      </c>
      <c r="J196" t="str">
        <f>"{ name: "&amp;CHAR(34)&amp;B196&amp;CHAR(34)&amp;", landmark: "&amp;CHAR(34)&amp;IF(LEN(C196)=LEN(SUBSTITUTE(C196,"Transport","")),"Korok x1","Korok x2")&amp;CHAR(34)&amp;", type: "&amp;CHAR(34)&amp;C196&amp;CHAR(34)&amp;", region: "&amp;D196&amp;", level: "&amp;CHAR(34)&amp;E196&amp;CHAR(34)&amp;", x: "&amp;F196&amp;", y: "&amp;G196&amp;", z: "&amp;H196&amp;", details: "&amp;CHAR(34)&amp;I196&amp;CHAR(34)&amp;" },"</f>
        <v>{ name: "Rayne Highlands Korok #01", landmark: "Korok x1", type: "Make Offering to Statue", region: 3, level: "Surface", x: -4059, y: 774, z: 107, details: "" },</v>
      </c>
    </row>
    <row r="197" spans="1:10" x14ac:dyDescent="0.2">
      <c r="A197" s="2">
        <v>226</v>
      </c>
      <c r="B197" s="34" t="s">
        <v>3773</v>
      </c>
      <c r="C197" t="s">
        <v>2827</v>
      </c>
      <c r="D197" s="2">
        <v>3</v>
      </c>
      <c r="E197" s="2" t="s">
        <v>785</v>
      </c>
      <c r="F197" s="2">
        <v>-3976</v>
      </c>
      <c r="G197" s="2">
        <v>732</v>
      </c>
      <c r="H197" s="2">
        <v>127</v>
      </c>
      <c r="I197" t="s">
        <v>2782</v>
      </c>
      <c r="J197" t="str">
        <f>"{ name: "&amp;CHAR(34)&amp;B197&amp;CHAR(34)&amp;", landmark: "&amp;CHAR(34)&amp;IF(LEN(C197)=LEN(SUBSTITUTE(C197,"Transport","")),"Korok x1","Korok x2")&amp;CHAR(34)&amp;", type: "&amp;CHAR(34)&amp;C197&amp;CHAR(34)&amp;", region: "&amp;D197&amp;", level: "&amp;CHAR(34)&amp;E197&amp;CHAR(34)&amp;", x: "&amp;F197&amp;", y: "&amp;G197&amp;", z: "&amp;H197&amp;", details: "&amp;CHAR(34)&amp;I197&amp;CHAR(34)&amp;" },"</f>
        <v>{ name: "Rayne Highlands Korok #02", landmark: "Korok x1", type: "Paraglide to the Goal", region: 3, level: "Surface", x: -3976, y: 732, z: 127, details: "Starts at (-3966, 625, 189)" },</v>
      </c>
    </row>
    <row r="198" spans="1:10" x14ac:dyDescent="0.2">
      <c r="A198" s="2">
        <v>250</v>
      </c>
      <c r="B198" s="34" t="s">
        <v>3781</v>
      </c>
      <c r="C198" t="s">
        <v>2801</v>
      </c>
      <c r="D198" s="2">
        <v>3</v>
      </c>
      <c r="E198" s="2" t="s">
        <v>785</v>
      </c>
      <c r="F198" s="2">
        <v>-1149</v>
      </c>
      <c r="G198" s="2">
        <v>222</v>
      </c>
      <c r="H198" s="2">
        <v>40</v>
      </c>
      <c r="J198" t="str">
        <f>"{ name: "&amp;CHAR(34)&amp;B198&amp;CHAR(34)&amp;", landmark: "&amp;CHAR(34)&amp;IF(LEN(C198)=LEN(SUBSTITUTE(C198,"Transport","")),"Korok x1","Korok x2")&amp;CHAR(34)&amp;", type: "&amp;CHAR(34)&amp;C198&amp;CHAR(34)&amp;", region: "&amp;D198&amp;", level: "&amp;CHAR(34)&amp;E198&amp;CHAR(34)&amp;", x: "&amp;F198&amp;", y: "&amp;G198&amp;", z: "&amp;H198&amp;", details: "&amp;CHAR(34)&amp;I198&amp;CHAR(34)&amp;" },"</f>
        <v>{ name: "Regencia River Korok #06", landmark: "Korok x1", type: "Break the Acorn Pot", region: 3, level: "Surface", x: -1149, y: 222, z: 40, details: "" },</v>
      </c>
    </row>
    <row r="199" spans="1:10" x14ac:dyDescent="0.2">
      <c r="A199" s="2">
        <v>207</v>
      </c>
      <c r="B199" s="34" t="s">
        <v>3822</v>
      </c>
      <c r="C199" t="s">
        <v>2823</v>
      </c>
      <c r="D199" s="2">
        <v>3</v>
      </c>
      <c r="E199" s="2" t="s">
        <v>785</v>
      </c>
      <c r="F199" s="2">
        <v>-1227</v>
      </c>
      <c r="G199" s="2">
        <v>1578</v>
      </c>
      <c r="H199" s="2">
        <v>153</v>
      </c>
      <c r="J199" t="str">
        <f>"{ name: "&amp;CHAR(34)&amp;B199&amp;CHAR(34)&amp;", landmark: "&amp;CHAR(34)&amp;IF(LEN(C199)=LEN(SUBSTITUTE(C199,"Transport","")),"Korok x1","Korok x2")&amp;CHAR(34)&amp;", type: "&amp;CHAR(34)&amp;C199&amp;CHAR(34)&amp;", region: "&amp;D199&amp;", level: "&amp;CHAR(34)&amp;E199&amp;CHAR(34)&amp;", x: "&amp;F199&amp;", y: "&amp;G199&amp;", z: "&amp;H199&amp;", details: "&amp;CHAR(34)&amp;I199&amp;CHAR(34)&amp;" },"</f>
        <v>{ name: "Salari Hill Korok #01", landmark: "Korok x1", type: "Examine Fairy Lights", region: 3, level: "Surface", x: -1227, y: 1578, z: 153, details: "" },</v>
      </c>
    </row>
    <row r="200" spans="1:10" x14ac:dyDescent="0.2">
      <c r="A200" s="2">
        <v>240</v>
      </c>
      <c r="B200" s="34" t="s">
        <v>3848</v>
      </c>
      <c r="C200" t="s">
        <v>2804</v>
      </c>
      <c r="D200" s="2">
        <v>3</v>
      </c>
      <c r="E200" s="2" t="s">
        <v>785</v>
      </c>
      <c r="F200" s="2">
        <v>-2436</v>
      </c>
      <c r="G200" s="2">
        <v>512</v>
      </c>
      <c r="H200" s="2">
        <v>226</v>
      </c>
      <c r="J200" t="str">
        <f>"{ name: "&amp;CHAR(34)&amp;B200&amp;CHAR(34)&amp;", landmark: "&amp;CHAR(34)&amp;IF(LEN(C200)=LEN(SUBSTITUTE(C200,"Transport","")),"Korok x1","Korok x2")&amp;CHAR(34)&amp;", type: "&amp;CHAR(34)&amp;C200&amp;CHAR(34)&amp;", region: "&amp;D200&amp;", level: "&amp;CHAR(34)&amp;E200&amp;CHAR(34)&amp;", x: "&amp;F200&amp;", y: "&amp;G200&amp;", z: "&amp;H200&amp;", details: "&amp;CHAR(34)&amp;I200&amp;CHAR(34)&amp;" },"</f>
        <v>{ name: "Seres Scablands Korok #01", landmark: "Korok x1", type: "Burn the Leaves", region: 3, level: "Surface", x: -2436, y: 512, z: 226, details: "" },</v>
      </c>
    </row>
    <row r="201" spans="1:10" x14ac:dyDescent="0.2">
      <c r="A201" s="2">
        <v>245</v>
      </c>
      <c r="B201" s="34" t="s">
        <v>3849</v>
      </c>
      <c r="C201" t="s">
        <v>2823</v>
      </c>
      <c r="D201" s="2">
        <v>3</v>
      </c>
      <c r="E201" s="2" t="s">
        <v>785</v>
      </c>
      <c r="F201" s="2">
        <v>-2202</v>
      </c>
      <c r="G201" s="2">
        <v>356</v>
      </c>
      <c r="H201" s="2">
        <v>151</v>
      </c>
      <c r="J201" t="str">
        <f>"{ name: "&amp;CHAR(34)&amp;B201&amp;CHAR(34)&amp;", landmark: "&amp;CHAR(34)&amp;IF(LEN(C201)=LEN(SUBSTITUTE(C201,"Transport","")),"Korok x1","Korok x2")&amp;CHAR(34)&amp;", type: "&amp;CHAR(34)&amp;C201&amp;CHAR(34)&amp;", region: "&amp;D201&amp;", level: "&amp;CHAR(34)&amp;E201&amp;CHAR(34)&amp;", x: "&amp;F201&amp;", y: "&amp;G201&amp;", z: "&amp;H201&amp;", details: "&amp;CHAR(34)&amp;I201&amp;CHAR(34)&amp;" },"</f>
        <v>{ name: "Seres Scablands Korok #02", landmark: "Korok x1", type: "Examine Fairy Lights", region: 3, level: "Surface", x: -2202, y: 356, z: 151, details: "" },</v>
      </c>
    </row>
    <row r="202" spans="1:10" x14ac:dyDescent="0.2">
      <c r="A202" s="2">
        <v>203</v>
      </c>
      <c r="B202" s="34" t="s">
        <v>3896</v>
      </c>
      <c r="C202" t="s">
        <v>2816</v>
      </c>
      <c r="D202" s="2">
        <v>3</v>
      </c>
      <c r="E202" s="2" t="s">
        <v>785</v>
      </c>
      <c r="F202" s="2">
        <v>-3137</v>
      </c>
      <c r="G202" s="2">
        <v>1553</v>
      </c>
      <c r="H202" s="2">
        <v>125</v>
      </c>
      <c r="J202" t="str">
        <f>"{ name: "&amp;CHAR(34)&amp;B202&amp;CHAR(34)&amp;", landmark: "&amp;CHAR(34)&amp;IF(LEN(C202)=LEN(SUBSTITUTE(C202,"Transport","")),"Korok x1","Korok x2")&amp;CHAR(34)&amp;", type: "&amp;CHAR(34)&amp;C202&amp;CHAR(34)&amp;", region: "&amp;D202&amp;", level: "&amp;CHAR(34)&amp;E202&amp;CHAR(34)&amp;", x: "&amp;F202&amp;", y: "&amp;G202&amp;", z: "&amp;H202&amp;", details: "&amp;CHAR(34)&amp;I202&amp;CHAR(34)&amp;" },"</f>
        <v>{ name: "Strock Lake Korok #01", landmark: "Korok x1", type: "Pull the Plug", region: 3, level: "Surface", x: -3137, y: 1553, z: 125, details: "" },</v>
      </c>
    </row>
    <row r="203" spans="1:10" x14ac:dyDescent="0.2">
      <c r="A203" s="2">
        <v>209</v>
      </c>
      <c r="B203" s="34" t="s">
        <v>3897</v>
      </c>
      <c r="C203" t="s">
        <v>2807</v>
      </c>
      <c r="D203" s="2">
        <v>3</v>
      </c>
      <c r="E203" s="2" t="s">
        <v>785</v>
      </c>
      <c r="F203" s="2">
        <v>-3442</v>
      </c>
      <c r="G203" s="2">
        <v>1313</v>
      </c>
      <c r="H203" s="2">
        <v>128</v>
      </c>
      <c r="J203" t="str">
        <f>"{ name: "&amp;CHAR(34)&amp;B203&amp;CHAR(34)&amp;", landmark: "&amp;CHAR(34)&amp;IF(LEN(C203)=LEN(SUBSTITUTE(C203,"Transport","")),"Korok x1","Korok x2")&amp;CHAR(34)&amp;", type: "&amp;CHAR(34)&amp;C203&amp;CHAR(34)&amp;", region: "&amp;D203&amp;", level: "&amp;CHAR(34)&amp;E203&amp;CHAR(34)&amp;", x: "&amp;F203&amp;", y: "&amp;G203&amp;", z: "&amp;H203&amp;", details: "&amp;CHAR(34)&amp;I203&amp;CHAR(34)&amp;" },"</f>
        <v>{ name: "Strock Lake Korok #02", landmark: "Korok x1", type: "Complete the Cube Puzzle", region: 3, level: "Surface", x: -3442, y: 1313, z: 128, details: "" },</v>
      </c>
    </row>
    <row r="204" spans="1:10" x14ac:dyDescent="0.2">
      <c r="A204" s="2">
        <v>210</v>
      </c>
      <c r="B204" s="34" t="s">
        <v>3898</v>
      </c>
      <c r="C204" t="s">
        <v>2812</v>
      </c>
      <c r="D204" s="2">
        <v>3</v>
      </c>
      <c r="E204" s="2" t="s">
        <v>785</v>
      </c>
      <c r="F204" s="2">
        <v>-3285</v>
      </c>
      <c r="G204" s="2">
        <v>1341</v>
      </c>
      <c r="H204" s="2">
        <v>189</v>
      </c>
      <c r="J204" t="str">
        <f>"{ name: "&amp;CHAR(34)&amp;B204&amp;CHAR(34)&amp;", landmark: "&amp;CHAR(34)&amp;IF(LEN(C204)=LEN(SUBSTITUTE(C204,"Transport","")),"Korok x1","Korok x2")&amp;CHAR(34)&amp;", type: "&amp;CHAR(34)&amp;C204&amp;CHAR(34)&amp;", region: "&amp;D204&amp;", level: "&amp;CHAR(34)&amp;E204&amp;CHAR(34)&amp;", x: "&amp;F204&amp;", y: "&amp;G204&amp;", z: "&amp;H204&amp;", details: "&amp;CHAR(34)&amp;I204&amp;CHAR(34)&amp;" },"</f>
        <v>{ name: "Strock Lake Korok #03", landmark: "Korok x1", type: "Lift the Rock", region: 3, level: "Surface", x: -3285, y: 1341, z: 189, details: "" },</v>
      </c>
    </row>
    <row r="205" spans="1:10" x14ac:dyDescent="0.2">
      <c r="A205" s="2">
        <v>239</v>
      </c>
      <c r="B205" s="34" t="s">
        <v>3903</v>
      </c>
      <c r="C205" t="s">
        <v>2811</v>
      </c>
      <c r="D205" s="2">
        <v>3</v>
      </c>
      <c r="E205" s="2" t="s">
        <v>785</v>
      </c>
      <c r="F205" s="2">
        <v>-2920</v>
      </c>
      <c r="G205" s="2">
        <v>546</v>
      </c>
      <c r="H205" s="2">
        <v>197</v>
      </c>
      <c r="I205" t="s">
        <v>2758</v>
      </c>
      <c r="J205" t="str">
        <f>"{ name: "&amp;CHAR(34)&amp;B205&amp;CHAR(34)&amp;", landmark: "&amp;CHAR(34)&amp;IF(LEN(C205)=LEN(SUBSTITUTE(C205,"Transport","")),"Korok x1","Korok x2")&amp;CHAR(34)&amp;", type: "&amp;CHAR(34)&amp;C205&amp;CHAR(34)&amp;", region: "&amp;D205&amp;", level: "&amp;CHAR(34)&amp;E205&amp;CHAR(34)&amp;", x: "&amp;F205&amp;", y: "&amp;G205&amp;", z: "&amp;H205&amp;", details: "&amp;CHAR(34)&amp;I205&amp;CHAR(34)&amp;" },"</f>
        <v>{ name: "Tabantha Bridge Stable Korok #01", landmark: "Korok x1", type: "Follow the Yellow Flowers", region: 3, level: "Surface", x: -2920, y: 546, z: 197, details: "Starts at (-2897, 558, 209)" },</v>
      </c>
    </row>
    <row r="206" spans="1:10" x14ac:dyDescent="0.2">
      <c r="A206" s="2">
        <v>248</v>
      </c>
      <c r="B206" s="34" t="s">
        <v>3904</v>
      </c>
      <c r="C206" t="s">
        <v>2802</v>
      </c>
      <c r="D206" s="2">
        <v>3</v>
      </c>
      <c r="E206" s="2" t="s">
        <v>785</v>
      </c>
      <c r="F206" s="2">
        <v>-2600</v>
      </c>
      <c r="G206" s="2">
        <v>189</v>
      </c>
      <c r="H206" s="2">
        <v>148</v>
      </c>
      <c r="I206" t="s">
        <v>2635</v>
      </c>
      <c r="J206" t="str">
        <f>"{ name: "&amp;CHAR(34)&amp;B206&amp;CHAR(34)&amp;", landmark: "&amp;CHAR(34)&amp;IF(LEN(C206)=LEN(SUBSTITUTE(C206,"Transport","")),"Korok x1","Korok x2")&amp;CHAR(34)&amp;", type: "&amp;CHAR(34)&amp;C206&amp;CHAR(34)&amp;", region: "&amp;D206&amp;", level: "&amp;CHAR(34)&amp;E206&amp;CHAR(34)&amp;", x: "&amp;F206&amp;", y: "&amp;G206&amp;", z: "&amp;H206&amp;", details: "&amp;CHAR(34)&amp;I206&amp;CHAR(34)&amp;" },"</f>
        <v>{ name: "Tabantha Bridge Stable Korok #02", landmark: "Korok x2", type: "Transport to Friend", region: 3, level: "Surface", x: -2600, y: 189, z: 148, details: "Starts at (-2873, 497, 180)" },</v>
      </c>
    </row>
    <row r="207" spans="1:10" x14ac:dyDescent="0.2">
      <c r="A207" s="2">
        <v>237</v>
      </c>
      <c r="B207" s="34" t="s">
        <v>3905</v>
      </c>
      <c r="C207" t="s">
        <v>2822</v>
      </c>
      <c r="D207" s="2">
        <v>3</v>
      </c>
      <c r="E207" s="2" t="s">
        <v>785</v>
      </c>
      <c r="F207" s="2">
        <v>-3226</v>
      </c>
      <c r="G207" s="2">
        <v>579</v>
      </c>
      <c r="H207" s="2">
        <v>164</v>
      </c>
      <c r="J207" t="str">
        <f>"{ name: "&amp;CHAR(34)&amp;B207&amp;CHAR(34)&amp;", landmark: "&amp;CHAR(34)&amp;IF(LEN(C207)=LEN(SUBSTITUTE(C207,"Transport","")),"Korok x1","Korok x2")&amp;CHAR(34)&amp;", type: "&amp;CHAR(34)&amp;C207&amp;CHAR(34)&amp;", region: "&amp;D207&amp;", level: "&amp;CHAR(34)&amp;E207&amp;CHAR(34)&amp;", x: "&amp;F207&amp;", y: "&amp;G207&amp;", z: "&amp;H207&amp;", details: "&amp;CHAR(34)&amp;I207&amp;CHAR(34)&amp;" },"</f>
        <v>{ name: "Tabantha Great Bridge Korok #01", landmark: "Korok x1", type: "Shoot the Hidden Balloon", region: 3, level: "Surface", x: -3226, y: 579, z: 164, details: "" },</v>
      </c>
    </row>
    <row r="208" spans="1:10" x14ac:dyDescent="0.2">
      <c r="A208" s="2">
        <v>238</v>
      </c>
      <c r="B208" s="34" t="s">
        <v>3906</v>
      </c>
      <c r="C208" t="s">
        <v>2812</v>
      </c>
      <c r="D208" s="2">
        <v>3</v>
      </c>
      <c r="E208" s="2" t="s">
        <v>785</v>
      </c>
      <c r="F208" s="2">
        <v>-3012</v>
      </c>
      <c r="G208" s="2">
        <v>584</v>
      </c>
      <c r="H208" s="2">
        <v>133</v>
      </c>
      <c r="J208" t="str">
        <f>"{ name: "&amp;CHAR(34)&amp;B208&amp;CHAR(34)&amp;", landmark: "&amp;CHAR(34)&amp;IF(LEN(C208)=LEN(SUBSTITUTE(C208,"Transport","")),"Korok x1","Korok x2")&amp;CHAR(34)&amp;", type: "&amp;CHAR(34)&amp;C208&amp;CHAR(34)&amp;", region: "&amp;D208&amp;", level: "&amp;CHAR(34)&amp;E208&amp;CHAR(34)&amp;", x: "&amp;F208&amp;", y: "&amp;G208&amp;", z: "&amp;H208&amp;", details: "&amp;CHAR(34)&amp;I208&amp;CHAR(34)&amp;" },"</f>
        <v>{ name: "Tabantha Great Bridge Korok #02", landmark: "Korok x1", type: "Lift the Rock", region: 3, level: "Surface", x: -3012, y: 584, z: 133, details: "" },</v>
      </c>
    </row>
    <row r="209" spans="1:10" x14ac:dyDescent="0.2">
      <c r="A209" s="2">
        <v>200</v>
      </c>
      <c r="B209" s="34" t="s">
        <v>3907</v>
      </c>
      <c r="C209" t="s">
        <v>2801</v>
      </c>
      <c r="D209" s="2">
        <v>3</v>
      </c>
      <c r="E209" s="2" t="s">
        <v>785</v>
      </c>
      <c r="F209" s="2">
        <v>-2531</v>
      </c>
      <c r="G209" s="2">
        <v>1855</v>
      </c>
      <c r="H209" s="2">
        <v>304</v>
      </c>
      <c r="J209" t="str">
        <f>"{ name: "&amp;CHAR(34)&amp;B209&amp;CHAR(34)&amp;", landmark: "&amp;CHAR(34)&amp;IF(LEN(C209)=LEN(SUBSTITUTE(C209,"Transport","")),"Korok x1","Korok x2")&amp;CHAR(34)&amp;", type: "&amp;CHAR(34)&amp;C209&amp;CHAR(34)&amp;", region: "&amp;D209&amp;", level: "&amp;CHAR(34)&amp;E209&amp;CHAR(34)&amp;", x: "&amp;F209&amp;", y: "&amp;G209&amp;", z: "&amp;H209&amp;", details: "&amp;CHAR(34)&amp;I209&amp;CHAR(34)&amp;" },"</f>
        <v>{ name: "Tabantha Hills Korok #01", landmark: "Korok x1", type: "Break the Acorn Pot", region: 3, level: "Surface", x: -2531, y: 1855, z: 304, details: "" },</v>
      </c>
    </row>
    <row r="210" spans="1:10" x14ac:dyDescent="0.2">
      <c r="A210" s="2">
        <v>205</v>
      </c>
      <c r="B210" s="34" t="s">
        <v>3908</v>
      </c>
      <c r="C210" t="s">
        <v>2825</v>
      </c>
      <c r="D210" s="2">
        <v>3</v>
      </c>
      <c r="E210" s="2" t="s">
        <v>785</v>
      </c>
      <c r="F210" s="2">
        <v>-2688</v>
      </c>
      <c r="G210" s="2">
        <v>1662</v>
      </c>
      <c r="H210" s="2">
        <v>270</v>
      </c>
      <c r="J210" t="str">
        <f>"{ name: "&amp;CHAR(34)&amp;B210&amp;CHAR(34)&amp;", landmark: "&amp;CHAR(34)&amp;IF(LEN(C210)=LEN(SUBSTITUTE(C210,"Transport","")),"Korok x1","Korok x2")&amp;CHAR(34)&amp;", type: "&amp;CHAR(34)&amp;C210&amp;CHAR(34)&amp;", region: "&amp;D210&amp;", level: "&amp;CHAR(34)&amp;E210&amp;CHAR(34)&amp;", x: "&amp;F210&amp;", y: "&amp;G210&amp;", z: "&amp;H210&amp;", details: "&amp;CHAR(34)&amp;I210&amp;CHAR(34)&amp;" },"</f>
        <v>{ name: "Tabantha Hills Korok #02", landmark: "Korok x1", type: "Climb and Examine the Fairy Lights", region: 3, level: "Surface", x: -2688, y: 1662, z: 270, details: "" },</v>
      </c>
    </row>
    <row r="211" spans="1:10" x14ac:dyDescent="0.2">
      <c r="A211" s="2">
        <v>24</v>
      </c>
      <c r="B211" s="34" t="s">
        <v>3912</v>
      </c>
      <c r="C211" t="s">
        <v>2827</v>
      </c>
      <c r="D211" s="2">
        <v>3</v>
      </c>
      <c r="E211" s="2" t="s">
        <v>783</v>
      </c>
      <c r="F211" s="2">
        <v>-3960</v>
      </c>
      <c r="G211" s="2">
        <v>692</v>
      </c>
      <c r="H211" s="2">
        <v>1504</v>
      </c>
      <c r="I211" t="s">
        <v>2735</v>
      </c>
      <c r="J211" t="str">
        <f>"{ name: "&amp;CHAR(34)&amp;B211&amp;CHAR(34)&amp;", landmark: "&amp;CHAR(34)&amp;IF(LEN(C211)=LEN(SUBSTITUTE(C211,"Transport","")),"Korok x1","Korok x2")&amp;CHAR(34)&amp;", type: "&amp;CHAR(34)&amp;C211&amp;CHAR(34)&amp;", region: "&amp;D211&amp;", level: "&amp;CHAR(34)&amp;E211&amp;CHAR(34)&amp;", x: "&amp;F211&amp;", y: "&amp;G211&amp;", z: "&amp;H211&amp;", details: "&amp;CHAR(34)&amp;I211&amp;CHAR(34)&amp;" },"</f>
        <v>{ name: "Tabantha Sky Archipelago Korok", landmark: "Korok x1", type: "Paraglide to the Goal", region: 3, level: "Sky", x: -3960, y: 692, z: 1504, details: "Starts at (-3960, 650, 1506)" },</v>
      </c>
    </row>
    <row r="212" spans="1:10" x14ac:dyDescent="0.2">
      <c r="A212" s="2">
        <v>201</v>
      </c>
      <c r="B212" s="34" t="s">
        <v>3913</v>
      </c>
      <c r="C212" t="s">
        <v>2801</v>
      </c>
      <c r="D212" s="2">
        <v>3</v>
      </c>
      <c r="E212" s="2" t="s">
        <v>785</v>
      </c>
      <c r="F212" s="2">
        <v>-2298</v>
      </c>
      <c r="G212" s="2">
        <v>1908</v>
      </c>
      <c r="H212" s="2">
        <v>298</v>
      </c>
      <c r="J212" t="str">
        <f>"{ name: "&amp;CHAR(34)&amp;B212&amp;CHAR(34)&amp;", landmark: "&amp;CHAR(34)&amp;IF(LEN(C212)=LEN(SUBSTITUTE(C212,"Transport","")),"Korok x1","Korok x2")&amp;CHAR(34)&amp;", type: "&amp;CHAR(34)&amp;C212&amp;CHAR(34)&amp;", region: "&amp;D212&amp;", level: "&amp;CHAR(34)&amp;E212&amp;CHAR(34)&amp;", x: "&amp;F212&amp;", y: "&amp;G212&amp;", z: "&amp;H212&amp;", details: "&amp;CHAR(34)&amp;I212&amp;CHAR(34)&amp;" },"</f>
        <v>{ name: "Tabantha Village Ruins Korok", landmark: "Korok x1", type: "Break the Acorn Pot", region: 3, level: "Surface", x: -2298, y: 1908, z: 298, details: "" },</v>
      </c>
    </row>
    <row r="213" spans="1:10" x14ac:dyDescent="0.2">
      <c r="A213" s="2">
        <v>204</v>
      </c>
      <c r="B213" s="34" t="s">
        <v>3922</v>
      </c>
      <c r="C213" t="s">
        <v>2807</v>
      </c>
      <c r="D213" s="2">
        <v>3</v>
      </c>
      <c r="E213" s="2" t="s">
        <v>785</v>
      </c>
      <c r="F213" s="2">
        <v>-2818</v>
      </c>
      <c r="G213" s="2">
        <v>1599</v>
      </c>
      <c r="H213" s="2">
        <v>-13</v>
      </c>
      <c r="J213" t="str">
        <f>"{ name: "&amp;CHAR(34)&amp;B213&amp;CHAR(34)&amp;", landmark: "&amp;CHAR(34)&amp;IF(LEN(C213)=LEN(SUBSTITUTE(C213,"Transport","")),"Korok x1","Korok x2")&amp;CHAR(34)&amp;", type: "&amp;CHAR(34)&amp;C213&amp;CHAR(34)&amp;", region: "&amp;D213&amp;", level: "&amp;CHAR(34)&amp;E213&amp;CHAR(34)&amp;", x: "&amp;F213&amp;", y: "&amp;G213&amp;", z: "&amp;H213&amp;", details: "&amp;CHAR(34)&amp;I213&amp;CHAR(34)&amp;" },"</f>
        <v>{ name: "Tanagar Canyon Korok #01", landmark: "Korok x1", type: "Complete the Cube Puzzle", region: 3, level: "Surface", x: -2818, y: 1599, z: -13, details: "" },</v>
      </c>
    </row>
    <row r="214" spans="1:10" x14ac:dyDescent="0.2">
      <c r="A214" s="2">
        <v>206</v>
      </c>
      <c r="B214" s="34" t="s">
        <v>3923</v>
      </c>
      <c r="C214" t="s">
        <v>2812</v>
      </c>
      <c r="D214" s="2">
        <v>3</v>
      </c>
      <c r="E214" s="2" t="s">
        <v>785</v>
      </c>
      <c r="F214" s="2">
        <v>-2221</v>
      </c>
      <c r="G214" s="2">
        <v>1580</v>
      </c>
      <c r="H214" s="2">
        <v>171</v>
      </c>
      <c r="J214" t="str">
        <f>"{ name: "&amp;CHAR(34)&amp;B214&amp;CHAR(34)&amp;", landmark: "&amp;CHAR(34)&amp;IF(LEN(C214)=LEN(SUBSTITUTE(C214,"Transport","")),"Korok x1","Korok x2")&amp;CHAR(34)&amp;", type: "&amp;CHAR(34)&amp;C214&amp;CHAR(34)&amp;", region: "&amp;D214&amp;", level: "&amp;CHAR(34)&amp;E214&amp;CHAR(34)&amp;", x: "&amp;F214&amp;", y: "&amp;G214&amp;", z: "&amp;H214&amp;", details: "&amp;CHAR(34)&amp;I214&amp;CHAR(34)&amp;" },"</f>
        <v>{ name: "Tanagar Canyon Korok #02", landmark: "Korok x1", type: "Lift the Rock", region: 3, level: "Surface", x: -2221, y: 1580, z: 171, details: "" },</v>
      </c>
    </row>
    <row r="215" spans="1:10" x14ac:dyDescent="0.2">
      <c r="A215" s="2">
        <v>216</v>
      </c>
      <c r="B215" s="34" t="s">
        <v>3924</v>
      </c>
      <c r="C215" t="s">
        <v>2812</v>
      </c>
      <c r="D215" s="2">
        <v>3</v>
      </c>
      <c r="E215" s="2" t="s">
        <v>785</v>
      </c>
      <c r="F215" s="2">
        <v>-3148</v>
      </c>
      <c r="G215" s="2">
        <v>1107</v>
      </c>
      <c r="H215" s="2">
        <v>157</v>
      </c>
      <c r="J215" t="str">
        <f>"{ name: "&amp;CHAR(34)&amp;B215&amp;CHAR(34)&amp;", landmark: "&amp;CHAR(34)&amp;IF(LEN(C215)=LEN(SUBSTITUTE(C215,"Transport","")),"Korok x1","Korok x2")&amp;CHAR(34)&amp;", type: "&amp;CHAR(34)&amp;C215&amp;CHAR(34)&amp;", region: "&amp;D215&amp;", level: "&amp;CHAR(34)&amp;E215&amp;CHAR(34)&amp;", x: "&amp;F215&amp;", y: "&amp;G215&amp;", z: "&amp;H215&amp;", details: "&amp;CHAR(34)&amp;I215&amp;CHAR(34)&amp;" },"</f>
        <v>{ name: "Tanagar Canyon Korok #03", landmark: "Korok x1", type: "Lift the Rock", region: 3, level: "Surface", x: -3148, y: 1107, z: 157, details: "" },</v>
      </c>
    </row>
    <row r="216" spans="1:10" x14ac:dyDescent="0.2">
      <c r="A216" s="2">
        <v>244</v>
      </c>
      <c r="B216" s="34" t="s">
        <v>3925</v>
      </c>
      <c r="C216" t="s">
        <v>2817</v>
      </c>
      <c r="D216" s="2">
        <v>3</v>
      </c>
      <c r="E216" s="2" t="s">
        <v>785</v>
      </c>
      <c r="F216" s="2">
        <v>-3201</v>
      </c>
      <c r="G216" s="2">
        <v>343</v>
      </c>
      <c r="H216" s="2">
        <v>-68</v>
      </c>
      <c r="I216" t="s">
        <v>2689</v>
      </c>
      <c r="J216" t="str">
        <f>"{ name: "&amp;CHAR(34)&amp;B216&amp;CHAR(34)&amp;", landmark: "&amp;CHAR(34)&amp;IF(LEN(C216)=LEN(SUBSTITUTE(C216,"Transport","")),"Korok x1","Korok x2")&amp;CHAR(34)&amp;", type: "&amp;CHAR(34)&amp;C216&amp;CHAR(34)&amp;", region: "&amp;D216&amp;", level: "&amp;CHAR(34)&amp;E216&amp;CHAR(34)&amp;", x: "&amp;F216&amp;", y: "&amp;G216&amp;", z: "&amp;H216&amp;", details: "&amp;CHAR(34)&amp;I216&amp;CHAR(34)&amp;" },"</f>
        <v>{ name: "Tanagar Canyon Korok #04", landmark: "Korok x1", type: "Reach the Target Ring", region: 3, level: "Surface", x: -3201, y: 343, z: -68, details: "Starts at (-3207, 334, -99)" },</v>
      </c>
    </row>
    <row r="217" spans="1:10" x14ac:dyDescent="0.2">
      <c r="A217" s="2">
        <v>223</v>
      </c>
      <c r="B217" s="34" t="s">
        <v>3948</v>
      </c>
      <c r="C217" t="s">
        <v>2804</v>
      </c>
      <c r="D217" s="2">
        <v>3</v>
      </c>
      <c r="E217" s="2" t="s">
        <v>785</v>
      </c>
      <c r="F217" s="2">
        <v>-2342</v>
      </c>
      <c r="G217" s="2">
        <v>939</v>
      </c>
      <c r="H217" s="2">
        <v>106</v>
      </c>
      <c r="J217" t="str">
        <f>"{ name: "&amp;CHAR(34)&amp;B217&amp;CHAR(34)&amp;", landmark: "&amp;CHAR(34)&amp;IF(LEN(C217)=LEN(SUBSTITUTE(C217,"Transport","")),"Korok x1","Korok x2")&amp;CHAR(34)&amp;", type: "&amp;CHAR(34)&amp;C217&amp;CHAR(34)&amp;", region: "&amp;D217&amp;", level: "&amp;CHAR(34)&amp;E217&amp;CHAR(34)&amp;", x: "&amp;F217&amp;", y: "&amp;G217&amp;", z: "&amp;H217&amp;", details: "&amp;CHAR(34)&amp;I217&amp;CHAR(34)&amp;" },"</f>
        <v>{ name: "Thundra Plateau Korok", landmark: "Korok x1", type: "Burn the Leaves", region: 3, level: "Surface", x: -2342, y: 939, z: 106, details: "" },</v>
      </c>
    </row>
    <row r="218" spans="1:10" x14ac:dyDescent="0.2">
      <c r="A218" s="2">
        <v>212</v>
      </c>
      <c r="B218" s="34" t="s">
        <v>3980</v>
      </c>
      <c r="C218" t="s">
        <v>2817</v>
      </c>
      <c r="D218" s="2">
        <v>3</v>
      </c>
      <c r="E218" s="2" t="s">
        <v>785</v>
      </c>
      <c r="F218" s="2">
        <v>-2654</v>
      </c>
      <c r="G218" s="2">
        <v>1283</v>
      </c>
      <c r="H218" s="2">
        <v>207</v>
      </c>
      <c r="I218" t="s">
        <v>2634</v>
      </c>
      <c r="J218" t="str">
        <f>"{ name: "&amp;CHAR(34)&amp;B218&amp;CHAR(34)&amp;", landmark: "&amp;CHAR(34)&amp;IF(LEN(C218)=LEN(SUBSTITUTE(C218,"Transport","")),"Korok x1","Korok x2")&amp;CHAR(34)&amp;", type: "&amp;CHAR(34)&amp;C218&amp;CHAR(34)&amp;", region: "&amp;D218&amp;", level: "&amp;CHAR(34)&amp;E218&amp;CHAR(34)&amp;", x: "&amp;F218&amp;", y: "&amp;G218&amp;", z: "&amp;H218&amp;", details: "&amp;CHAR(34)&amp;I218&amp;CHAR(34)&amp;" },"</f>
        <v>{ name: "Upland Lindor Korok #01", landmark: "Korok x1", type: "Reach the Target Ring", region: 3, level: "Surface", x: -2654, y: 1283, z: 207, details: "Starts at (-2580, 1249, 216)" },</v>
      </c>
    </row>
    <row r="219" spans="1:10" x14ac:dyDescent="0.2">
      <c r="A219" s="2">
        <v>217</v>
      </c>
      <c r="B219" s="34" t="s">
        <v>3981</v>
      </c>
      <c r="C219" t="s">
        <v>2807</v>
      </c>
      <c r="D219" s="2">
        <v>3</v>
      </c>
      <c r="E219" s="2" t="s">
        <v>785</v>
      </c>
      <c r="F219" s="2">
        <v>-2436</v>
      </c>
      <c r="G219" s="2">
        <v>1139</v>
      </c>
      <c r="H219" s="2">
        <v>167</v>
      </c>
      <c r="J219" t="str">
        <f>"{ name: "&amp;CHAR(34)&amp;B219&amp;CHAR(34)&amp;", landmark: "&amp;CHAR(34)&amp;IF(LEN(C219)=LEN(SUBSTITUTE(C219,"Transport","")),"Korok x1","Korok x2")&amp;CHAR(34)&amp;", type: "&amp;CHAR(34)&amp;C219&amp;CHAR(34)&amp;", region: "&amp;D219&amp;", level: "&amp;CHAR(34)&amp;E219&amp;CHAR(34)&amp;", x: "&amp;F219&amp;", y: "&amp;G219&amp;", z: "&amp;H219&amp;", details: "&amp;CHAR(34)&amp;I219&amp;CHAR(34)&amp;" },"</f>
        <v>{ name: "Upland Lindor Korok #02", landmark: "Korok x1", type: "Complete the Cube Puzzle", region: 3, level: "Surface", x: -2436, y: 1139, z: 167, details: "" },</v>
      </c>
    </row>
    <row r="220" spans="1:10" x14ac:dyDescent="0.2">
      <c r="A220" s="2">
        <v>257</v>
      </c>
      <c r="B220" s="34" t="s">
        <v>3997</v>
      </c>
      <c r="C220" t="s">
        <v>2807</v>
      </c>
      <c r="D220" s="2">
        <v>3</v>
      </c>
      <c r="E220" s="2" t="s">
        <v>785</v>
      </c>
      <c r="F220" s="2">
        <v>-2640</v>
      </c>
      <c r="G220" s="2">
        <v>-323</v>
      </c>
      <c r="H220" s="2">
        <v>134</v>
      </c>
      <c r="J220" t="str">
        <f>"{ name: "&amp;CHAR(34)&amp;B220&amp;CHAR(34)&amp;", landmark: "&amp;CHAR(34)&amp;IF(LEN(C220)=LEN(SUBSTITUTE(C220,"Transport","")),"Korok x1","Korok x2")&amp;CHAR(34)&amp;", type: "&amp;CHAR(34)&amp;C220&amp;CHAR(34)&amp;", region: "&amp;D220&amp;", level: "&amp;CHAR(34)&amp;E220&amp;CHAR(34)&amp;", x: "&amp;F220&amp;", y: "&amp;G220&amp;", z: "&amp;H220&amp;", details: "&amp;CHAR(34)&amp;I220&amp;CHAR(34)&amp;" },"</f>
        <v>{ name: "Washa's Bluff Korok", landmark: "Korok x1", type: "Complete the Cube Puzzle", region: 3, level: "Surface", x: -2640, y: -323, z: 134, details: "" },</v>
      </c>
    </row>
    <row r="221" spans="1:10" x14ac:dyDescent="0.2">
      <c r="A221" s="2">
        <v>249</v>
      </c>
      <c r="B221" s="34" t="s">
        <v>4008</v>
      </c>
      <c r="C221" t="s">
        <v>2825</v>
      </c>
      <c r="D221" s="2">
        <v>3</v>
      </c>
      <c r="E221" s="2" t="s">
        <v>785</v>
      </c>
      <c r="F221" s="2">
        <v>-1589</v>
      </c>
      <c r="G221" s="2">
        <v>229</v>
      </c>
      <c r="H221" s="2">
        <v>111</v>
      </c>
      <c r="J221" t="str">
        <f>"{ name: "&amp;CHAR(34)&amp;B221&amp;CHAR(34)&amp;", landmark: "&amp;CHAR(34)&amp;IF(LEN(C221)=LEN(SUBSTITUTE(C221,"Transport","")),"Korok x1","Korok x2")&amp;CHAR(34)&amp;", type: "&amp;CHAR(34)&amp;C221&amp;CHAR(34)&amp;", region: "&amp;D221&amp;", level: "&amp;CHAR(34)&amp;E221&amp;CHAR(34)&amp;", x: "&amp;F221&amp;", y: "&amp;G221&amp;", z: "&amp;H221&amp;", details: "&amp;CHAR(34)&amp;I221&amp;CHAR(34)&amp;" },"</f>
        <v>{ name: "West Hyrule Plains Korok #01", landmark: "Korok x1", type: "Climb and Examine the Fairy Lights", region: 3, level: "Surface", x: -1589, y: 229, z: 111, details: "" },</v>
      </c>
    </row>
    <row r="222" spans="1:10" x14ac:dyDescent="0.2">
      <c r="A222" s="2">
        <v>252</v>
      </c>
      <c r="B222" s="34" t="s">
        <v>4009</v>
      </c>
      <c r="C222" t="s">
        <v>2824</v>
      </c>
      <c r="D222" s="2">
        <v>3</v>
      </c>
      <c r="E222" s="2" t="s">
        <v>785</v>
      </c>
      <c r="F222" s="2">
        <v>-2031</v>
      </c>
      <c r="G222" s="2">
        <v>88</v>
      </c>
      <c r="H222" s="2">
        <v>158</v>
      </c>
      <c r="J222" t="str">
        <f>"{ name: "&amp;CHAR(34)&amp;B222&amp;CHAR(34)&amp;", landmark: "&amp;CHAR(34)&amp;IF(LEN(C222)=LEN(SUBSTITUTE(C222,"Transport","")),"Korok x1","Korok x2")&amp;CHAR(34)&amp;", type: "&amp;CHAR(34)&amp;C222&amp;CHAR(34)&amp;", region: "&amp;D222&amp;", level: "&amp;CHAR(34)&amp;E222&amp;CHAR(34)&amp;", x: "&amp;F222&amp;", y: "&amp;G222&amp;", z: "&amp;H222&amp;", details: "&amp;CHAR(34)&amp;I222&amp;CHAR(34)&amp;" },"</f>
        <v>{ name: "West Hyrule Plains Korok #02", landmark: "Korok x1", type: "Catch the Moving Sparkle", region: 3, level: "Surface", x: -2031, y: 88, z: 158, details: "" },</v>
      </c>
    </row>
    <row r="223" spans="1:10" x14ac:dyDescent="0.2">
      <c r="A223" s="2">
        <v>254</v>
      </c>
      <c r="B223" s="34" t="s">
        <v>4010</v>
      </c>
      <c r="C223" t="s">
        <v>2823</v>
      </c>
      <c r="D223" s="2">
        <v>3</v>
      </c>
      <c r="E223" s="2" t="s">
        <v>785</v>
      </c>
      <c r="F223" s="2">
        <v>-1863</v>
      </c>
      <c r="G223" s="2">
        <v>-94</v>
      </c>
      <c r="H223" s="2">
        <v>119</v>
      </c>
      <c r="J223" t="str">
        <f>"{ name: "&amp;CHAR(34)&amp;B223&amp;CHAR(34)&amp;", landmark: "&amp;CHAR(34)&amp;IF(LEN(C223)=LEN(SUBSTITUTE(C223,"Transport","")),"Korok x1","Korok x2")&amp;CHAR(34)&amp;", type: "&amp;CHAR(34)&amp;C223&amp;CHAR(34)&amp;", region: "&amp;D223&amp;", level: "&amp;CHAR(34)&amp;E223&amp;CHAR(34)&amp;", x: "&amp;F223&amp;", y: "&amp;G223&amp;", z: "&amp;H223&amp;", details: "&amp;CHAR(34)&amp;I223&amp;CHAR(34)&amp;" },"</f>
        <v>{ name: "West Hyrule Plains Korok #03", landmark: "Korok x1", type: "Examine Fairy Lights", region: 3, level: "Surface", x: -1863, y: -94, z: 119, details: "" },</v>
      </c>
    </row>
    <row r="224" spans="1:10" x14ac:dyDescent="0.2">
      <c r="A224" s="2">
        <v>256</v>
      </c>
      <c r="B224" s="34" t="s">
        <v>4011</v>
      </c>
      <c r="C224" t="s">
        <v>2821</v>
      </c>
      <c r="D224" s="2">
        <v>3</v>
      </c>
      <c r="E224" s="2" t="s">
        <v>785</v>
      </c>
      <c r="F224" s="2">
        <v>-1646</v>
      </c>
      <c r="G224" s="2">
        <v>-13</v>
      </c>
      <c r="H224" s="2">
        <v>129</v>
      </c>
      <c r="J224" t="str">
        <f>"{ name: "&amp;CHAR(34)&amp;B224&amp;CHAR(34)&amp;", landmark: "&amp;CHAR(34)&amp;IF(LEN(C224)=LEN(SUBSTITUTE(C224,"Transport","")),"Korok x1","Korok x2")&amp;CHAR(34)&amp;", type: "&amp;CHAR(34)&amp;C224&amp;CHAR(34)&amp;", region: "&amp;D224&amp;", level: "&amp;CHAR(34)&amp;E224&amp;CHAR(34)&amp;", x: "&amp;F224&amp;", y: "&amp;G224&amp;", z: "&amp;H224&amp;", details: "&amp;CHAR(34)&amp;I224&amp;CHAR(34)&amp;" },"</f>
        <v>{ name: "West Hyrule Plains Korok #04", landmark: "Korok x1", type: "Shoot the Balloons", region: 3, level: "Surface", x: -1646, y: -13, z: 129, details: "" },</v>
      </c>
    </row>
    <row r="225" spans="1:10" x14ac:dyDescent="0.2">
      <c r="A225" s="2">
        <v>270</v>
      </c>
      <c r="B225" s="34" t="s">
        <v>3193</v>
      </c>
      <c r="C225" t="s">
        <v>2803</v>
      </c>
      <c r="D225" s="2">
        <v>4</v>
      </c>
      <c r="E225" s="2" t="s">
        <v>785</v>
      </c>
      <c r="F225" s="2">
        <v>-4191</v>
      </c>
      <c r="G225" s="2">
        <v>3374</v>
      </c>
      <c r="H225" s="2">
        <v>243</v>
      </c>
      <c r="J225" t="str">
        <f>"{ name: "&amp;CHAR(34)&amp;B225&amp;CHAR(34)&amp;", landmark: "&amp;CHAR(34)&amp;IF(LEN(C225)=LEN(SUBSTITUTE(C225,"Transport","")),"Korok x1","Korok x2")&amp;CHAR(34)&amp;", type: "&amp;CHAR(34)&amp;C225&amp;CHAR(34)&amp;", region: "&amp;D225&amp;", level: "&amp;CHAR(34)&amp;E225&amp;CHAR(34)&amp;", x: "&amp;F225&amp;", y: "&amp;G225&amp;", z: "&amp;H225&amp;", details: "&amp;CHAR(34)&amp;I225&amp;CHAR(34)&amp;" },"</f>
        <v>{ name: "Biron Snowshelf Korok #01", landmark: "Korok x1", type: "Build a Roof", region: 4, level: "Surface", x: -4191, y: 3374, z: 243, details: "" },</v>
      </c>
    </row>
    <row r="226" spans="1:10" x14ac:dyDescent="0.2">
      <c r="A226" s="2">
        <v>272</v>
      </c>
      <c r="B226" s="34" t="s">
        <v>3194</v>
      </c>
      <c r="C226" t="s">
        <v>2812</v>
      </c>
      <c r="D226" s="2">
        <v>4</v>
      </c>
      <c r="E226" s="2" t="s">
        <v>785</v>
      </c>
      <c r="F226" s="2">
        <v>-4038</v>
      </c>
      <c r="G226" s="2">
        <v>3365</v>
      </c>
      <c r="H226" s="2">
        <v>266</v>
      </c>
      <c r="J226" t="str">
        <f>"{ name: "&amp;CHAR(34)&amp;B226&amp;CHAR(34)&amp;", landmark: "&amp;CHAR(34)&amp;IF(LEN(C226)=LEN(SUBSTITUTE(C226,"Transport","")),"Korok x1","Korok x2")&amp;CHAR(34)&amp;", type: "&amp;CHAR(34)&amp;C226&amp;CHAR(34)&amp;", region: "&amp;D226&amp;", level: "&amp;CHAR(34)&amp;E226&amp;CHAR(34)&amp;", x: "&amp;F226&amp;", y: "&amp;G226&amp;", z: "&amp;H226&amp;", details: "&amp;CHAR(34)&amp;I226&amp;CHAR(34)&amp;" },"</f>
        <v>{ name: "Biron Snowshelf Korok #02", landmark: "Korok x1", type: "Lift the Rock", region: 4, level: "Surface", x: -4038, y: 3365, z: 266, details: "" },</v>
      </c>
    </row>
    <row r="227" spans="1:10" x14ac:dyDescent="0.2">
      <c r="A227" s="2">
        <v>273</v>
      </c>
      <c r="B227" s="34" t="s">
        <v>3195</v>
      </c>
      <c r="C227" t="s">
        <v>2826</v>
      </c>
      <c r="D227" s="2">
        <v>4</v>
      </c>
      <c r="E227" s="2" t="s">
        <v>785</v>
      </c>
      <c r="F227" s="2">
        <v>-3840</v>
      </c>
      <c r="G227" s="2">
        <v>3417</v>
      </c>
      <c r="H227" s="2">
        <v>296</v>
      </c>
      <c r="J227" t="str">
        <f>"{ name: "&amp;CHAR(34)&amp;B227&amp;CHAR(34)&amp;", landmark: "&amp;CHAR(34)&amp;IF(LEN(C227)=LEN(SUBSTITUTE(C227,"Transport","")),"Korok x1","Korok x2")&amp;CHAR(34)&amp;", type: "&amp;CHAR(34)&amp;C227&amp;CHAR(34)&amp;", region: "&amp;D227&amp;", level: "&amp;CHAR(34)&amp;E227&amp;CHAR(34)&amp;", x: "&amp;F227&amp;", y: "&amp;G227&amp;", z: "&amp;H227&amp;", details: "&amp;CHAR(34)&amp;I227&amp;CHAR(34)&amp;" },"</f>
        <v>{ name: "Biron Snowshelf Korok #03", landmark: "Korok x1", type: "Ascend Through the Marker", region: 4, level: "Surface", x: -3840, y: 3417, z: 296, details: "" },</v>
      </c>
    </row>
    <row r="228" spans="1:10" x14ac:dyDescent="0.2">
      <c r="A228" s="2">
        <v>274</v>
      </c>
      <c r="B228" s="34" t="s">
        <v>3196</v>
      </c>
      <c r="C228" t="s">
        <v>2811</v>
      </c>
      <c r="D228" s="2">
        <v>4</v>
      </c>
      <c r="E228" s="2" t="s">
        <v>785</v>
      </c>
      <c r="F228" s="2">
        <v>-3772</v>
      </c>
      <c r="G228" s="2">
        <v>3344</v>
      </c>
      <c r="H228" s="2">
        <v>343</v>
      </c>
      <c r="I228" t="s">
        <v>2776</v>
      </c>
      <c r="J228" t="str">
        <f>"{ name: "&amp;CHAR(34)&amp;B228&amp;CHAR(34)&amp;", landmark: "&amp;CHAR(34)&amp;IF(LEN(C228)=LEN(SUBSTITUTE(C228,"Transport","")),"Korok x1","Korok x2")&amp;CHAR(34)&amp;", type: "&amp;CHAR(34)&amp;C228&amp;CHAR(34)&amp;", region: "&amp;D228&amp;", level: "&amp;CHAR(34)&amp;E228&amp;CHAR(34)&amp;", x: "&amp;F228&amp;", y: "&amp;G228&amp;", z: "&amp;H228&amp;", details: "&amp;CHAR(34)&amp;I228&amp;CHAR(34)&amp;" },"</f>
        <v>{ name: "Biron Snowshelf Korok #04", landmark: "Korok x1", type: "Follow the Yellow Flowers", region: 4, level: "Surface", x: -3772, y: 3344, z: 343, details: "Starts at (-3842, 3347, 312)" },</v>
      </c>
    </row>
    <row r="229" spans="1:10" x14ac:dyDescent="0.2">
      <c r="A229" s="2">
        <v>279</v>
      </c>
      <c r="B229" s="34" t="s">
        <v>3197</v>
      </c>
      <c r="C229" t="s">
        <v>2825</v>
      </c>
      <c r="D229" s="2">
        <v>4</v>
      </c>
      <c r="E229" s="2" t="s">
        <v>785</v>
      </c>
      <c r="F229" s="2">
        <v>-4247</v>
      </c>
      <c r="G229" s="2">
        <v>3125</v>
      </c>
      <c r="H229" s="2">
        <v>196</v>
      </c>
      <c r="J229" t="str">
        <f>"{ name: "&amp;CHAR(34)&amp;B229&amp;CHAR(34)&amp;", landmark: "&amp;CHAR(34)&amp;IF(LEN(C229)=LEN(SUBSTITUTE(C229,"Transport","")),"Korok x1","Korok x2")&amp;CHAR(34)&amp;", type: "&amp;CHAR(34)&amp;C229&amp;CHAR(34)&amp;", region: "&amp;D229&amp;", level: "&amp;CHAR(34)&amp;E229&amp;CHAR(34)&amp;", x: "&amp;F229&amp;", y: "&amp;G229&amp;", z: "&amp;H229&amp;", details: "&amp;CHAR(34)&amp;I229&amp;CHAR(34)&amp;" },"</f>
        <v>{ name: "Biron Snowshelf Korok #05", landmark: "Korok x1", type: "Climb and Examine the Fairy Lights", region: 4, level: "Surface", x: -4247, y: 3125, z: 196, details: "" },</v>
      </c>
    </row>
    <row r="230" spans="1:10" x14ac:dyDescent="0.2">
      <c r="A230" s="2">
        <v>280</v>
      </c>
      <c r="B230" s="34" t="s">
        <v>3198</v>
      </c>
      <c r="C230" t="s">
        <v>2807</v>
      </c>
      <c r="D230" s="2">
        <v>4</v>
      </c>
      <c r="E230" s="2" t="s">
        <v>785</v>
      </c>
      <c r="F230" s="2">
        <v>-3941</v>
      </c>
      <c r="G230" s="2">
        <v>3162</v>
      </c>
      <c r="H230" s="2">
        <v>328</v>
      </c>
      <c r="J230" t="str">
        <f>"{ name: "&amp;CHAR(34)&amp;B230&amp;CHAR(34)&amp;", landmark: "&amp;CHAR(34)&amp;IF(LEN(C230)=LEN(SUBSTITUTE(C230,"Transport","")),"Korok x1","Korok x2")&amp;CHAR(34)&amp;", type: "&amp;CHAR(34)&amp;C230&amp;CHAR(34)&amp;", region: "&amp;D230&amp;", level: "&amp;CHAR(34)&amp;E230&amp;CHAR(34)&amp;", x: "&amp;F230&amp;", y: "&amp;G230&amp;", z: "&amp;H230&amp;", details: "&amp;CHAR(34)&amp;I230&amp;CHAR(34)&amp;" },"</f>
        <v>{ name: "Biron Snowshelf Korok #06", landmark: "Korok x1", type: "Complete the Cube Puzzle", region: 4, level: "Surface", x: -3941, y: 3162, z: 328, details: "" },</v>
      </c>
    </row>
    <row r="231" spans="1:10" x14ac:dyDescent="0.2">
      <c r="A231" s="2">
        <v>281</v>
      </c>
      <c r="B231" s="34" t="s">
        <v>3199</v>
      </c>
      <c r="C231" t="s">
        <v>2803</v>
      </c>
      <c r="D231" s="2">
        <v>4</v>
      </c>
      <c r="E231" s="2" t="s">
        <v>785</v>
      </c>
      <c r="F231" s="2">
        <v>-3794</v>
      </c>
      <c r="G231" s="2">
        <v>3027</v>
      </c>
      <c r="H231" s="2">
        <v>247</v>
      </c>
      <c r="J231" t="str">
        <f>"{ name: "&amp;CHAR(34)&amp;B231&amp;CHAR(34)&amp;", landmark: "&amp;CHAR(34)&amp;IF(LEN(C231)=LEN(SUBSTITUTE(C231,"Transport","")),"Korok x1","Korok x2")&amp;CHAR(34)&amp;", type: "&amp;CHAR(34)&amp;C231&amp;CHAR(34)&amp;", region: "&amp;D231&amp;", level: "&amp;CHAR(34)&amp;E231&amp;CHAR(34)&amp;", x: "&amp;F231&amp;", y: "&amp;G231&amp;", z: "&amp;H231&amp;", details: "&amp;CHAR(34)&amp;I231&amp;CHAR(34)&amp;" },"</f>
        <v>{ name: "Biron Snowshelf Korok #07", landmark: "Korok x1", type: "Build a Roof", region: 4, level: "Surface", x: -3794, y: 3027, z: 247, details: "" },</v>
      </c>
    </row>
    <row r="232" spans="1:10" x14ac:dyDescent="0.2">
      <c r="A232" s="2">
        <v>283</v>
      </c>
      <c r="B232" s="34" t="s">
        <v>3237</v>
      </c>
      <c r="C232" t="s">
        <v>2808</v>
      </c>
      <c r="D232" s="2">
        <v>4</v>
      </c>
      <c r="E232" s="2" t="s">
        <v>785</v>
      </c>
      <c r="F232" s="2">
        <v>-3064</v>
      </c>
      <c r="G232" s="2">
        <v>2856</v>
      </c>
      <c r="H232" s="2">
        <v>430</v>
      </c>
      <c r="J232" t="str">
        <f>"{ name: "&amp;CHAR(34)&amp;B232&amp;CHAR(34)&amp;", landmark: "&amp;CHAR(34)&amp;IF(LEN(C232)=LEN(SUBSTITUTE(C232,"Transport","")),"Korok x1","Korok x2")&amp;CHAR(34)&amp;", type: "&amp;CHAR(34)&amp;C232&amp;CHAR(34)&amp;", region: "&amp;D232&amp;", level: "&amp;CHAR(34)&amp;E232&amp;CHAR(34)&amp;", x: "&amp;F232&amp;", y: "&amp;G232&amp;", z: "&amp;H232&amp;", details: "&amp;CHAR(34)&amp;I232&amp;CHAR(34)&amp;" },"</f>
        <v>{ name: "Coldsnap Hollow Korok", landmark: "Korok x1", type: "Complete the Rock Pattern", region: 4, level: "Surface", x: -3064, y: 2856, z: 430, details: "" },</v>
      </c>
    </row>
    <row r="233" spans="1:10" x14ac:dyDescent="0.2">
      <c r="A233" s="2">
        <v>293</v>
      </c>
      <c r="B233" s="34" t="s">
        <v>3241</v>
      </c>
      <c r="C233" t="s">
        <v>2817</v>
      </c>
      <c r="D233" s="2">
        <v>4</v>
      </c>
      <c r="E233" s="2" t="s">
        <v>785</v>
      </c>
      <c r="F233" s="2">
        <v>-3293</v>
      </c>
      <c r="G233" s="2">
        <v>2442</v>
      </c>
      <c r="H233" s="2">
        <v>407</v>
      </c>
      <c r="I233" t="s">
        <v>2683</v>
      </c>
      <c r="J233" t="str">
        <f>"{ name: "&amp;CHAR(34)&amp;B233&amp;CHAR(34)&amp;", landmark: "&amp;CHAR(34)&amp;IF(LEN(C233)=LEN(SUBSTITUTE(C233,"Transport","")),"Korok x1","Korok x2")&amp;CHAR(34)&amp;", type: "&amp;CHAR(34)&amp;C233&amp;CHAR(34)&amp;", region: "&amp;D233&amp;", level: "&amp;CHAR(34)&amp;E233&amp;CHAR(34)&amp;", x: "&amp;F233&amp;", y: "&amp;G233&amp;", z: "&amp;H233&amp;", details: "&amp;CHAR(34)&amp;I233&amp;CHAR(34)&amp;" },"</f>
        <v>{ name: "Corvash Peak Korok", landmark: "Korok x1", type: "Reach the Target Ring", region: 4, level: "Surface", x: -3293, y: 2442, z: 407, details: "Starts at (-3329, 2302, 403)" },</v>
      </c>
    </row>
    <row r="234" spans="1:10" x14ac:dyDescent="0.2">
      <c r="A234" s="2">
        <v>314</v>
      </c>
      <c r="B234" s="34" t="s">
        <v>3273</v>
      </c>
      <c r="C234" t="s">
        <v>2811</v>
      </c>
      <c r="D234" s="2">
        <v>4</v>
      </c>
      <c r="E234" s="2" t="s">
        <v>785</v>
      </c>
      <c r="F234" s="2">
        <v>-4225</v>
      </c>
      <c r="G234" s="2">
        <v>1737</v>
      </c>
      <c r="H234" s="2">
        <v>127</v>
      </c>
      <c r="I234" t="s">
        <v>2779</v>
      </c>
      <c r="J234" t="str">
        <f>"{ name: "&amp;CHAR(34)&amp;B234&amp;CHAR(34)&amp;", landmark: "&amp;CHAR(34)&amp;IF(LEN(C234)=LEN(SUBSTITUTE(C234,"Transport","")),"Korok x1","Korok x2")&amp;CHAR(34)&amp;", type: "&amp;CHAR(34)&amp;C234&amp;CHAR(34)&amp;", region: "&amp;D234&amp;", level: "&amp;CHAR(34)&amp;E234&amp;CHAR(34)&amp;", x: "&amp;F234&amp;", y: "&amp;G234&amp;", z: "&amp;H234&amp;", details: "&amp;CHAR(34)&amp;I234&amp;CHAR(34)&amp;" },"</f>
        <v>{ name: "Dragon Bone Mire Korok #01", landmark: "Korok x1", type: "Follow the Yellow Flowers", region: 4, level: "Surface", x: -4225, y: 1737, z: 127, details: "Starts at (-4227, 1748, 112)" },</v>
      </c>
    </row>
    <row r="235" spans="1:10" x14ac:dyDescent="0.2">
      <c r="A235" s="2">
        <v>315</v>
      </c>
      <c r="B235" s="34" t="s">
        <v>3274</v>
      </c>
      <c r="C235" t="s">
        <v>2812</v>
      </c>
      <c r="D235" s="2">
        <v>4</v>
      </c>
      <c r="E235" s="2" t="s">
        <v>785</v>
      </c>
      <c r="F235" s="2">
        <v>-4170</v>
      </c>
      <c r="G235" s="2">
        <v>1696</v>
      </c>
      <c r="H235" s="2">
        <v>111</v>
      </c>
      <c r="J235" t="str">
        <f>"{ name: "&amp;CHAR(34)&amp;B235&amp;CHAR(34)&amp;", landmark: "&amp;CHAR(34)&amp;IF(LEN(C235)=LEN(SUBSTITUTE(C235,"Transport","")),"Korok x1","Korok x2")&amp;CHAR(34)&amp;", type: "&amp;CHAR(34)&amp;C235&amp;CHAR(34)&amp;", region: "&amp;D235&amp;", level: "&amp;CHAR(34)&amp;E235&amp;CHAR(34)&amp;", x: "&amp;F235&amp;", y: "&amp;G235&amp;", z: "&amp;H235&amp;", details: "&amp;CHAR(34)&amp;I235&amp;CHAR(34)&amp;" },"</f>
        <v>{ name: "Dragon Bone Mire Korok #02", landmark: "Korok x1", type: "Lift the Rock", region: 4, level: "Surface", x: -4170, y: 1696, z: 111, details: "" },</v>
      </c>
    </row>
    <row r="236" spans="1:10" x14ac:dyDescent="0.2">
      <c r="A236" s="2">
        <v>264</v>
      </c>
      <c r="B236" s="34" t="s">
        <v>3310</v>
      </c>
      <c r="C236" t="s">
        <v>2802</v>
      </c>
      <c r="D236" s="2">
        <v>4</v>
      </c>
      <c r="E236" s="2" t="s">
        <v>785</v>
      </c>
      <c r="F236" s="2">
        <v>-3238</v>
      </c>
      <c r="G236" s="2">
        <v>3689</v>
      </c>
      <c r="H236" s="2">
        <v>244</v>
      </c>
      <c r="I236" t="s">
        <v>2679</v>
      </c>
      <c r="J236" t="str">
        <f>"{ name: "&amp;CHAR(34)&amp;B236&amp;CHAR(34)&amp;", landmark: "&amp;CHAR(34)&amp;IF(LEN(C236)=LEN(SUBSTITUTE(C236,"Transport","")),"Korok x1","Korok x2")&amp;CHAR(34)&amp;", type: "&amp;CHAR(34)&amp;C236&amp;CHAR(34)&amp;", region: "&amp;D236&amp;", level: "&amp;CHAR(34)&amp;E236&amp;CHAR(34)&amp;", x: "&amp;F236&amp;", y: "&amp;G236&amp;", z: "&amp;H236&amp;", details: "&amp;CHAR(34)&amp;I236&amp;CHAR(34)&amp;" },"</f>
        <v>{ name: "East of Hebra's North Crest Korok", landmark: "Korok x2", type: "Transport to Friend", region: 4, level: "Surface", x: -3238, y: 3689, z: 244, details: "Starts at (-2892, 3494, 248)" },</v>
      </c>
    </row>
    <row r="237" spans="1:10" x14ac:dyDescent="0.2">
      <c r="A237" s="2">
        <v>297</v>
      </c>
      <c r="B237" s="34" t="s">
        <v>3338</v>
      </c>
      <c r="C237" t="s">
        <v>2811</v>
      </c>
      <c r="D237" s="2">
        <v>4</v>
      </c>
      <c r="E237" s="2" t="s">
        <v>785</v>
      </c>
      <c r="F237" s="2">
        <v>-3793</v>
      </c>
      <c r="G237" s="2">
        <v>2319</v>
      </c>
      <c r="H237" s="2">
        <v>181</v>
      </c>
      <c r="I237" t="s">
        <v>2777</v>
      </c>
      <c r="J237" t="str">
        <f>"{ name: "&amp;CHAR(34)&amp;B237&amp;CHAR(34)&amp;", landmark: "&amp;CHAR(34)&amp;IF(LEN(C237)=LEN(SUBSTITUTE(C237,"Transport","")),"Korok x1","Korok x2")&amp;CHAR(34)&amp;", type: "&amp;CHAR(34)&amp;C237&amp;CHAR(34)&amp;", region: "&amp;D237&amp;", level: "&amp;CHAR(34)&amp;E237&amp;CHAR(34)&amp;", x: "&amp;F237&amp;", y: "&amp;G237&amp;", z: "&amp;H237&amp;", details: "&amp;CHAR(34)&amp;I237&amp;CHAR(34)&amp;" },"</f>
        <v>{ name: "Flight Range Korok", landmark: "Korok x1", type: "Follow the Yellow Flowers", region: 4, level: "Surface", x: -3793, y: 2319, z: 181, details: "Starts at (-3797, 2323, 171)" },</v>
      </c>
    </row>
    <row r="238" spans="1:10" x14ac:dyDescent="0.2">
      <c r="A238" s="2">
        <v>268</v>
      </c>
      <c r="B238" s="34" t="s">
        <v>3379</v>
      </c>
      <c r="C238" t="s">
        <v>2821</v>
      </c>
      <c r="D238" s="2">
        <v>4</v>
      </c>
      <c r="E238" s="2" t="s">
        <v>785</v>
      </c>
      <c r="F238" s="2">
        <v>-3466</v>
      </c>
      <c r="G238" s="2">
        <v>3476</v>
      </c>
      <c r="H238" s="2">
        <v>483</v>
      </c>
      <c r="J238" t="str">
        <f>"{ name: "&amp;CHAR(34)&amp;B238&amp;CHAR(34)&amp;", landmark: "&amp;CHAR(34)&amp;IF(LEN(C238)=LEN(SUBSTITUTE(C238,"Transport","")),"Korok x1","Korok x2")&amp;CHAR(34)&amp;", type: "&amp;CHAR(34)&amp;C238&amp;CHAR(34)&amp;", region: "&amp;D238&amp;", level: "&amp;CHAR(34)&amp;E238&amp;CHAR(34)&amp;", x: "&amp;F238&amp;", y: "&amp;G238&amp;", z: "&amp;H238&amp;", details: "&amp;CHAR(34)&amp;I238&amp;CHAR(34)&amp;" },"</f>
        <v>{ name: "Goflam's Secret Hot Spring Korok #01", landmark: "Korok x1", type: "Shoot the Balloons", region: 4, level: "Surface", x: -3466, y: 3476, z: 483, details: "" },</v>
      </c>
    </row>
    <row r="239" spans="1:10" x14ac:dyDescent="0.2">
      <c r="A239" s="2">
        <v>269</v>
      </c>
      <c r="B239" s="34" t="s">
        <v>3380</v>
      </c>
      <c r="C239" t="s">
        <v>2825</v>
      </c>
      <c r="D239" s="2">
        <v>4</v>
      </c>
      <c r="E239" s="2" t="s">
        <v>785</v>
      </c>
      <c r="F239" s="2">
        <v>-3413</v>
      </c>
      <c r="G239" s="2">
        <v>3506</v>
      </c>
      <c r="H239" s="2">
        <v>437</v>
      </c>
      <c r="J239" t="str">
        <f>"{ name: "&amp;CHAR(34)&amp;B239&amp;CHAR(34)&amp;", landmark: "&amp;CHAR(34)&amp;IF(LEN(C239)=LEN(SUBSTITUTE(C239,"Transport","")),"Korok x1","Korok x2")&amp;CHAR(34)&amp;", type: "&amp;CHAR(34)&amp;C239&amp;CHAR(34)&amp;", region: "&amp;D239&amp;", level: "&amp;CHAR(34)&amp;E239&amp;CHAR(34)&amp;", x: "&amp;F239&amp;", y: "&amp;G239&amp;", z: "&amp;H239&amp;", details: "&amp;CHAR(34)&amp;I239&amp;CHAR(34)&amp;" },"</f>
        <v>{ name: "Goflam's Secret Hot Spring Korok #02", landmark: "Korok x1", type: "Climb and Examine the Fairy Lights", region: 4, level: "Surface", x: -3413, y: 3506, z: 437, details: "" },</v>
      </c>
    </row>
    <row r="240" spans="1:10" x14ac:dyDescent="0.2">
      <c r="A240" s="2">
        <v>284</v>
      </c>
      <c r="B240" s="34" t="s">
        <v>3436</v>
      </c>
      <c r="C240" t="s">
        <v>2802</v>
      </c>
      <c r="D240" s="2">
        <v>4</v>
      </c>
      <c r="E240" s="2" t="s">
        <v>785</v>
      </c>
      <c r="F240" s="2">
        <v>-2796</v>
      </c>
      <c r="G240" s="2">
        <v>2878</v>
      </c>
      <c r="H240" s="2">
        <v>602</v>
      </c>
      <c r="I240" t="s">
        <v>2684</v>
      </c>
      <c r="J240" t="str">
        <f>"{ name: "&amp;CHAR(34)&amp;B240&amp;CHAR(34)&amp;", landmark: "&amp;CHAR(34)&amp;IF(LEN(C240)=LEN(SUBSTITUTE(C240,"Transport","")),"Korok x1","Korok x2")&amp;CHAR(34)&amp;", type: "&amp;CHAR(34)&amp;C240&amp;CHAR(34)&amp;", region: "&amp;D240&amp;", level: "&amp;CHAR(34)&amp;E240&amp;CHAR(34)&amp;", x: "&amp;F240&amp;", y: "&amp;G240&amp;", z: "&amp;H240&amp;", details: "&amp;CHAR(34)&amp;I240&amp;CHAR(34)&amp;" },"</f>
        <v>{ name: "Hebra East Summit Korok #01", landmark: "Korok x2", type: "Transport to Friend", region: 4, level: "Surface", x: -2796, y: 2878, z: 602, details: "Starts at (-2833, 2840, 582)" },</v>
      </c>
    </row>
    <row r="241" spans="1:10" x14ac:dyDescent="0.2">
      <c r="A241" s="2">
        <v>285</v>
      </c>
      <c r="B241" s="34" t="s">
        <v>3437</v>
      </c>
      <c r="C241" t="s">
        <v>2807</v>
      </c>
      <c r="D241" s="2">
        <v>4</v>
      </c>
      <c r="E241" s="2" t="s">
        <v>785</v>
      </c>
      <c r="F241" s="2">
        <v>-2477</v>
      </c>
      <c r="G241" s="2">
        <v>2748</v>
      </c>
      <c r="H241" s="2">
        <v>516</v>
      </c>
      <c r="J241" t="str">
        <f>"{ name: "&amp;CHAR(34)&amp;B241&amp;CHAR(34)&amp;", landmark: "&amp;CHAR(34)&amp;IF(LEN(C241)=LEN(SUBSTITUTE(C241,"Transport","")),"Korok x1","Korok x2")&amp;CHAR(34)&amp;", type: "&amp;CHAR(34)&amp;C241&amp;CHAR(34)&amp;", region: "&amp;D241&amp;", level: "&amp;CHAR(34)&amp;E241&amp;CHAR(34)&amp;", x: "&amp;F241&amp;", y: "&amp;G241&amp;", z: "&amp;H241&amp;", details: "&amp;CHAR(34)&amp;I241&amp;CHAR(34)&amp;" },"</f>
        <v>{ name: "Hebra East Summit Korok #02", landmark: "Korok x1", type: "Complete the Cube Puzzle", region: 4, level: "Surface", x: -2477, y: 2748, z: 516, details: "" },</v>
      </c>
    </row>
    <row r="242" spans="1:10" x14ac:dyDescent="0.2">
      <c r="A242" s="2">
        <v>262</v>
      </c>
      <c r="B242" s="34" t="s">
        <v>3441</v>
      </c>
      <c r="C242" t="s">
        <v>2822</v>
      </c>
      <c r="D242" s="2">
        <v>4</v>
      </c>
      <c r="E242" s="2" t="s">
        <v>785</v>
      </c>
      <c r="F242" s="2">
        <v>-3974</v>
      </c>
      <c r="G242" s="2">
        <v>3734</v>
      </c>
      <c r="H242" s="2">
        <v>228</v>
      </c>
      <c r="J242" t="str">
        <f>"{ name: "&amp;CHAR(34)&amp;B242&amp;CHAR(34)&amp;", landmark: "&amp;CHAR(34)&amp;IF(LEN(C242)=LEN(SUBSTITUTE(C242,"Transport","")),"Korok x1","Korok x2")&amp;CHAR(34)&amp;", type: "&amp;CHAR(34)&amp;C242&amp;CHAR(34)&amp;", region: "&amp;D242&amp;", level: "&amp;CHAR(34)&amp;E242&amp;CHAR(34)&amp;", x: "&amp;F242&amp;", y: "&amp;G242&amp;", z: "&amp;H242&amp;", details: "&amp;CHAR(34)&amp;I242&amp;CHAR(34)&amp;" },"</f>
        <v>{ name: "Hebra Great Skeleton Korok #01", landmark: "Korok x1", type: "Shoot the Hidden Balloon", region: 4, level: "Surface", x: -3974, y: 3734, z: 228, details: "" },</v>
      </c>
    </row>
    <row r="243" spans="1:10" x14ac:dyDescent="0.2">
      <c r="A243" s="2">
        <v>263</v>
      </c>
      <c r="B243" s="34" t="s">
        <v>3442</v>
      </c>
      <c r="C243" t="s">
        <v>2822</v>
      </c>
      <c r="D243" s="2">
        <v>4</v>
      </c>
      <c r="E243" s="2" t="s">
        <v>785</v>
      </c>
      <c r="F243" s="2">
        <v>-3975</v>
      </c>
      <c r="G243" s="2">
        <v>3714</v>
      </c>
      <c r="H243" s="2">
        <v>238</v>
      </c>
      <c r="J243" t="str">
        <f>"{ name: "&amp;CHAR(34)&amp;B243&amp;CHAR(34)&amp;", landmark: "&amp;CHAR(34)&amp;IF(LEN(C243)=LEN(SUBSTITUTE(C243,"Transport","")),"Korok x1","Korok x2")&amp;CHAR(34)&amp;", type: "&amp;CHAR(34)&amp;C243&amp;CHAR(34)&amp;", region: "&amp;D243&amp;", level: "&amp;CHAR(34)&amp;E243&amp;CHAR(34)&amp;", x: "&amp;F243&amp;", y: "&amp;G243&amp;", z: "&amp;H243&amp;", details: "&amp;CHAR(34)&amp;I243&amp;CHAR(34)&amp;" },"</f>
        <v>{ name: "Hebra Great Skeleton Korok #02", landmark: "Korok x1", type: "Shoot the Hidden Balloon", region: 4, level: "Surface", x: -3975, y: 3714, z: 238, details: "" },</v>
      </c>
    </row>
    <row r="244" spans="1:10" x14ac:dyDescent="0.2">
      <c r="A244" s="2">
        <v>259</v>
      </c>
      <c r="B244" s="34" t="s">
        <v>3443</v>
      </c>
      <c r="C244" t="s">
        <v>2824</v>
      </c>
      <c r="D244" s="2">
        <v>4</v>
      </c>
      <c r="E244" s="2" t="s">
        <v>785</v>
      </c>
      <c r="F244" s="2">
        <v>-3765</v>
      </c>
      <c r="G244" s="2">
        <v>3845</v>
      </c>
      <c r="H244" s="2">
        <v>270</v>
      </c>
      <c r="J244" t="str">
        <f>"{ name: "&amp;CHAR(34)&amp;B244&amp;CHAR(34)&amp;", landmark: "&amp;CHAR(34)&amp;IF(LEN(C244)=LEN(SUBSTITUTE(C244,"Transport","")),"Korok x1","Korok x2")&amp;CHAR(34)&amp;", type: "&amp;CHAR(34)&amp;C244&amp;CHAR(34)&amp;", region: "&amp;D244&amp;", level: "&amp;CHAR(34)&amp;E244&amp;CHAR(34)&amp;", x: "&amp;F244&amp;", y: "&amp;G244&amp;", z: "&amp;H244&amp;", details: "&amp;CHAR(34)&amp;I244&amp;CHAR(34)&amp;" },"</f>
        <v>{ name: "Hebra North Crest Korok #01", landmark: "Korok x1", type: "Catch the Moving Sparkle", region: 4, level: "Surface", x: -3765, y: 3845, z: 270, details: "" },</v>
      </c>
    </row>
    <row r="245" spans="1:10" x14ac:dyDescent="0.2">
      <c r="A245" s="2">
        <v>260</v>
      </c>
      <c r="B245" s="34" t="s">
        <v>3444</v>
      </c>
      <c r="C245" t="s">
        <v>2817</v>
      </c>
      <c r="D245" s="2">
        <v>4</v>
      </c>
      <c r="E245" s="2" t="s">
        <v>785</v>
      </c>
      <c r="F245" s="2">
        <v>-3508</v>
      </c>
      <c r="G245" s="2">
        <v>3836</v>
      </c>
      <c r="H245" s="2">
        <v>240</v>
      </c>
      <c r="I245" t="s">
        <v>2678</v>
      </c>
      <c r="J245" t="str">
        <f>"{ name: "&amp;CHAR(34)&amp;B245&amp;CHAR(34)&amp;", landmark: "&amp;CHAR(34)&amp;IF(LEN(C245)=LEN(SUBSTITUTE(C245,"Transport","")),"Korok x1","Korok x2")&amp;CHAR(34)&amp;", type: "&amp;CHAR(34)&amp;C245&amp;CHAR(34)&amp;", region: "&amp;D245&amp;", level: "&amp;CHAR(34)&amp;E245&amp;CHAR(34)&amp;", x: "&amp;F245&amp;", y: "&amp;G245&amp;", z: "&amp;H245&amp;", details: "&amp;CHAR(34)&amp;I245&amp;CHAR(34)&amp;" },"</f>
        <v>{ name: "Hebra North Crest Korok #02", landmark: "Korok x1", type: "Reach the Target Ring", region: 4, level: "Surface", x: -3508, y: 3836, z: 240, details: "Starts at (-3428, 3800, 245)" },</v>
      </c>
    </row>
    <row r="246" spans="1:10" x14ac:dyDescent="0.2">
      <c r="A246" s="2">
        <v>265</v>
      </c>
      <c r="B246" s="34" t="s">
        <v>3445</v>
      </c>
      <c r="C246" t="s">
        <v>2813</v>
      </c>
      <c r="D246" s="2">
        <v>4</v>
      </c>
      <c r="E246" s="2" t="s">
        <v>785</v>
      </c>
      <c r="F246" s="2">
        <v>-4005</v>
      </c>
      <c r="G246" s="2">
        <v>3623</v>
      </c>
      <c r="H246" s="2">
        <v>525</v>
      </c>
      <c r="J246" t="str">
        <f>"{ name: "&amp;CHAR(34)&amp;B246&amp;CHAR(34)&amp;", landmark: "&amp;CHAR(34)&amp;IF(LEN(C246)=LEN(SUBSTITUTE(C246,"Transport","")),"Korok x1","Korok x2")&amp;CHAR(34)&amp;", type: "&amp;CHAR(34)&amp;C246&amp;CHAR(34)&amp;", region: "&amp;D246&amp;", level: "&amp;CHAR(34)&amp;E246&amp;CHAR(34)&amp;", x: "&amp;F246&amp;", y: "&amp;G246&amp;", z: "&amp;H246&amp;", details: "&amp;CHAR(34)&amp;I246&amp;CHAR(34)&amp;" },"</f>
        <v>{ name: "Hebra North Summit Korok", landmark: "Korok x1", type: "Melt the Ice", region: 4, level: "Surface", x: -4005, y: 3623, z: 525, details: "" },</v>
      </c>
    </row>
    <row r="247" spans="1:10" x14ac:dyDescent="0.2">
      <c r="A247" s="2">
        <v>295</v>
      </c>
      <c r="B247" s="34" t="s">
        <v>3446</v>
      </c>
      <c r="C247" t="s">
        <v>2807</v>
      </c>
      <c r="D247" s="2">
        <v>4</v>
      </c>
      <c r="E247" s="2" t="s">
        <v>785</v>
      </c>
      <c r="F247" s="2">
        <v>-3049</v>
      </c>
      <c r="G247" s="2">
        <v>2360</v>
      </c>
      <c r="H247" s="2">
        <v>118</v>
      </c>
      <c r="J247" t="str">
        <f>"{ name: "&amp;CHAR(34)&amp;B247&amp;CHAR(34)&amp;", landmark: "&amp;CHAR(34)&amp;IF(LEN(C247)=LEN(SUBSTITUTE(C247,"Transport","")),"Korok x1","Korok x2")&amp;CHAR(34)&amp;", type: "&amp;CHAR(34)&amp;C247&amp;CHAR(34)&amp;", region: "&amp;D247&amp;", level: "&amp;CHAR(34)&amp;E247&amp;CHAR(34)&amp;", x: "&amp;F247&amp;", y: "&amp;G247&amp;", z: "&amp;H247&amp;", details: "&amp;CHAR(34)&amp;I247&amp;CHAR(34)&amp;" },"</f>
        <v>{ name: "Hebra Plunge Korok #01", landmark: "Korok x1", type: "Complete the Cube Puzzle", region: 4, level: "Surface", x: -3049, y: 2360, z: 118, details: "" },</v>
      </c>
    </row>
    <row r="248" spans="1:10" x14ac:dyDescent="0.2">
      <c r="A248" s="2">
        <v>303</v>
      </c>
      <c r="B248" s="34" t="s">
        <v>3447</v>
      </c>
      <c r="C248" t="s">
        <v>2812</v>
      </c>
      <c r="D248" s="2">
        <v>4</v>
      </c>
      <c r="E248" s="2" t="s">
        <v>785</v>
      </c>
      <c r="F248" s="2">
        <v>-3087</v>
      </c>
      <c r="G248" s="2">
        <v>2120</v>
      </c>
      <c r="H248" s="2">
        <v>122</v>
      </c>
      <c r="J248" t="str">
        <f>"{ name: "&amp;CHAR(34)&amp;B248&amp;CHAR(34)&amp;", landmark: "&amp;CHAR(34)&amp;IF(LEN(C248)=LEN(SUBSTITUTE(C248,"Transport","")),"Korok x1","Korok x2")&amp;CHAR(34)&amp;", type: "&amp;CHAR(34)&amp;C248&amp;CHAR(34)&amp;", region: "&amp;D248&amp;", level: "&amp;CHAR(34)&amp;E248&amp;CHAR(34)&amp;", x: "&amp;F248&amp;", y: "&amp;G248&amp;", z: "&amp;H248&amp;", details: "&amp;CHAR(34)&amp;I248&amp;CHAR(34)&amp;" },"</f>
        <v>{ name: "Hebra Plunge Korok #02", landmark: "Korok x1", type: "Lift the Rock", region: 4, level: "Surface", x: -3087, y: 2120, z: 122, details: "" },</v>
      </c>
    </row>
    <row r="249" spans="1:10" x14ac:dyDescent="0.2">
      <c r="A249" s="2">
        <v>307</v>
      </c>
      <c r="B249" s="34" t="s">
        <v>3448</v>
      </c>
      <c r="C249" t="s">
        <v>2808</v>
      </c>
      <c r="D249" s="2">
        <v>4</v>
      </c>
      <c r="E249" s="2" t="s">
        <v>785</v>
      </c>
      <c r="F249" s="2">
        <v>-2801</v>
      </c>
      <c r="G249" s="2">
        <v>1948</v>
      </c>
      <c r="H249" s="2">
        <v>273</v>
      </c>
      <c r="J249" t="str">
        <f>"{ name: "&amp;CHAR(34)&amp;B249&amp;CHAR(34)&amp;", landmark: "&amp;CHAR(34)&amp;IF(LEN(C249)=LEN(SUBSTITUTE(C249,"Transport","")),"Korok x1","Korok x2")&amp;CHAR(34)&amp;", type: "&amp;CHAR(34)&amp;C249&amp;CHAR(34)&amp;", region: "&amp;D249&amp;", level: "&amp;CHAR(34)&amp;E249&amp;CHAR(34)&amp;", x: "&amp;F249&amp;", y: "&amp;G249&amp;", z: "&amp;H249&amp;", details: "&amp;CHAR(34)&amp;I249&amp;CHAR(34)&amp;" },"</f>
        <v>{ name: "Hebra Plunge Korok #03", landmark: "Korok x1", type: "Complete the Rock Pattern", region: 4, level: "Surface", x: -2801, y: 1948, z: 273, details: "" },</v>
      </c>
    </row>
    <row r="250" spans="1:10" x14ac:dyDescent="0.2">
      <c r="A250" s="2">
        <v>298</v>
      </c>
      <c r="B250" s="34" t="s">
        <v>3449</v>
      </c>
      <c r="C250" t="s">
        <v>2825</v>
      </c>
      <c r="D250" s="2">
        <v>4</v>
      </c>
      <c r="E250" s="2" t="s">
        <v>785</v>
      </c>
      <c r="F250" s="2">
        <v>-3565</v>
      </c>
      <c r="G250" s="2">
        <v>2257</v>
      </c>
      <c r="H250" s="2">
        <v>153</v>
      </c>
      <c r="J250" t="str">
        <f>"{ name: "&amp;CHAR(34)&amp;B250&amp;CHAR(34)&amp;", landmark: "&amp;CHAR(34)&amp;IF(LEN(C250)=LEN(SUBSTITUTE(C250,"Transport","")),"Korok x1","Korok x2")&amp;CHAR(34)&amp;", type: "&amp;CHAR(34)&amp;C250&amp;CHAR(34)&amp;", region: "&amp;D250&amp;", level: "&amp;CHAR(34)&amp;E250&amp;CHAR(34)&amp;", x: "&amp;F250&amp;", y: "&amp;G250&amp;", z: "&amp;H250&amp;", details: "&amp;CHAR(34)&amp;I250&amp;CHAR(34)&amp;" },"</f>
        <v>{ name: "Hebra Trailhead Lodge Korok", landmark: "Korok x1", type: "Climb and Examine the Fairy Lights", region: 4, level: "Surface", x: -3565, y: 2257, z: 153, details: "" },</v>
      </c>
    </row>
    <row r="251" spans="1:10" x14ac:dyDescent="0.2">
      <c r="A251" s="2">
        <v>271</v>
      </c>
      <c r="B251" s="34" t="s">
        <v>3450</v>
      </c>
      <c r="C251" t="s">
        <v>2802</v>
      </c>
      <c r="D251" s="2">
        <v>4</v>
      </c>
      <c r="E251" s="2" t="s">
        <v>785</v>
      </c>
      <c r="F251" s="2">
        <v>-4125</v>
      </c>
      <c r="G251" s="2">
        <v>3431</v>
      </c>
      <c r="H251" s="2">
        <v>223</v>
      </c>
      <c r="I251" t="s">
        <v>2677</v>
      </c>
      <c r="J251" t="str">
        <f>"{ name: "&amp;CHAR(34)&amp;B251&amp;CHAR(34)&amp;", landmark: "&amp;CHAR(34)&amp;IF(LEN(C251)=LEN(SUBSTITUTE(C251,"Transport","")),"Korok x1","Korok x2")&amp;CHAR(34)&amp;", type: "&amp;CHAR(34)&amp;C251&amp;CHAR(34)&amp;", region: "&amp;D251&amp;", level: "&amp;CHAR(34)&amp;E251&amp;CHAR(34)&amp;", x: "&amp;F251&amp;", y: "&amp;G251&amp;", z: "&amp;H251&amp;", details: "&amp;CHAR(34)&amp;I251&amp;CHAR(34)&amp;" },"</f>
        <v>{ name: "Hebra Tundra Korok #01", landmark: "Korok x2", type: "Transport to Friend", region: 4, level: "Surface", x: -4125, y: 3431, z: 223, details: "Starts at (-3671, 3386, 324)" },</v>
      </c>
    </row>
    <row r="252" spans="1:10" x14ac:dyDescent="0.2">
      <c r="A252" s="2">
        <v>275</v>
      </c>
      <c r="B252" s="34" t="s">
        <v>3451</v>
      </c>
      <c r="C252" t="s">
        <v>2813</v>
      </c>
      <c r="D252" s="2">
        <v>4</v>
      </c>
      <c r="E252" s="2" t="s">
        <v>785</v>
      </c>
      <c r="F252" s="2">
        <v>-3576</v>
      </c>
      <c r="G252" s="2">
        <v>3267</v>
      </c>
      <c r="H252" s="2">
        <v>389</v>
      </c>
      <c r="J252" t="str">
        <f>"{ name: "&amp;CHAR(34)&amp;B252&amp;CHAR(34)&amp;", landmark: "&amp;CHAR(34)&amp;IF(LEN(C252)=LEN(SUBSTITUTE(C252,"Transport","")),"Korok x1","Korok x2")&amp;CHAR(34)&amp;", type: "&amp;CHAR(34)&amp;C252&amp;CHAR(34)&amp;", region: "&amp;D252&amp;", level: "&amp;CHAR(34)&amp;E252&amp;CHAR(34)&amp;", x: "&amp;F252&amp;", y: "&amp;G252&amp;", z: "&amp;H252&amp;", details: "&amp;CHAR(34)&amp;I252&amp;CHAR(34)&amp;" },"</f>
        <v>{ name: "Hebra Tundra Korok #02", landmark: "Korok x1", type: "Melt the Ice", region: 4, level: "Surface", x: -3576, y: 3267, z: 389, details: "" },</v>
      </c>
    </row>
    <row r="253" spans="1:10" x14ac:dyDescent="0.2">
      <c r="A253" s="2">
        <v>282</v>
      </c>
      <c r="B253" s="34" t="s">
        <v>3452</v>
      </c>
      <c r="C253" t="s">
        <v>2812</v>
      </c>
      <c r="D253" s="2">
        <v>4</v>
      </c>
      <c r="E253" s="2" t="s">
        <v>785</v>
      </c>
      <c r="F253" s="2">
        <v>-3351</v>
      </c>
      <c r="G253" s="2">
        <v>2993</v>
      </c>
      <c r="H253" s="2">
        <v>516</v>
      </c>
      <c r="J253" t="str">
        <f>"{ name: "&amp;CHAR(34)&amp;B253&amp;CHAR(34)&amp;", landmark: "&amp;CHAR(34)&amp;IF(LEN(C253)=LEN(SUBSTITUTE(C253,"Transport","")),"Korok x1","Korok x2")&amp;CHAR(34)&amp;", type: "&amp;CHAR(34)&amp;C253&amp;CHAR(34)&amp;", region: "&amp;D253&amp;", level: "&amp;CHAR(34)&amp;E253&amp;CHAR(34)&amp;", x: "&amp;F253&amp;", y: "&amp;G253&amp;", z: "&amp;H253&amp;", details: "&amp;CHAR(34)&amp;I253&amp;CHAR(34)&amp;" },"</f>
        <v>{ name: "Hebra Tundra Korok #03", landmark: "Korok x1", type: "Lift the Rock", region: 4, level: "Surface", x: -3351, y: 2993, z: 516, details: "" },</v>
      </c>
    </row>
    <row r="254" spans="1:10" x14ac:dyDescent="0.2">
      <c r="A254" s="2">
        <v>278</v>
      </c>
      <c r="B254" s="34" t="s">
        <v>3453</v>
      </c>
      <c r="C254" t="s">
        <v>2817</v>
      </c>
      <c r="D254" s="2">
        <v>4</v>
      </c>
      <c r="E254" s="2" t="s">
        <v>785</v>
      </c>
      <c r="F254" s="2">
        <v>-4419</v>
      </c>
      <c r="G254" s="2">
        <v>3181</v>
      </c>
      <c r="H254" s="2">
        <v>372</v>
      </c>
      <c r="I254" t="s">
        <v>2676</v>
      </c>
      <c r="J254" t="str">
        <f>"{ name: "&amp;CHAR(34)&amp;B254&amp;CHAR(34)&amp;", landmark: "&amp;CHAR(34)&amp;IF(LEN(C254)=LEN(SUBSTITUTE(C254,"Transport","")),"Korok x1","Korok x2")&amp;CHAR(34)&amp;", type: "&amp;CHAR(34)&amp;C254&amp;CHAR(34)&amp;", region: "&amp;D254&amp;", level: "&amp;CHAR(34)&amp;E254&amp;CHAR(34)&amp;", x: "&amp;F254&amp;", y: "&amp;G254&amp;", z: "&amp;H254&amp;", details: "&amp;CHAR(34)&amp;I254&amp;CHAR(34)&amp;" },"</f>
        <v>{ name: "Hebra West Summit Korok #01", landmark: "Korok x1", type: "Reach the Target Ring", region: 4, level: "Surface", x: -4419, y: 3181, z: 372, details: "Starts at (-4423, 3216, 392)" },</v>
      </c>
    </row>
    <row r="255" spans="1:10" x14ac:dyDescent="0.2">
      <c r="A255" s="2">
        <v>286</v>
      </c>
      <c r="B255" s="34" t="s">
        <v>3454</v>
      </c>
      <c r="C255" t="s">
        <v>2821</v>
      </c>
      <c r="D255" s="2">
        <v>4</v>
      </c>
      <c r="E255" s="2" t="s">
        <v>785</v>
      </c>
      <c r="F255" s="2">
        <v>-4635</v>
      </c>
      <c r="G255" s="2">
        <v>2819</v>
      </c>
      <c r="H255" s="2">
        <v>244</v>
      </c>
      <c r="J255" t="str">
        <f>"{ name: "&amp;CHAR(34)&amp;B255&amp;CHAR(34)&amp;", landmark: "&amp;CHAR(34)&amp;IF(LEN(C255)=LEN(SUBSTITUTE(C255,"Transport","")),"Korok x1","Korok x2")&amp;CHAR(34)&amp;", type: "&amp;CHAR(34)&amp;C255&amp;CHAR(34)&amp;", region: "&amp;D255&amp;", level: "&amp;CHAR(34)&amp;E255&amp;CHAR(34)&amp;", x: "&amp;F255&amp;", y: "&amp;G255&amp;", z: "&amp;H255&amp;", details: "&amp;CHAR(34)&amp;I255&amp;CHAR(34)&amp;" },"</f>
        <v>{ name: "Hebra West Summit Korok #02", landmark: "Korok x1", type: "Shoot the Balloons", region: 4, level: "Surface", x: -4635, y: 2819, z: 244, details: "" },</v>
      </c>
    </row>
    <row r="256" spans="1:10" x14ac:dyDescent="0.2">
      <c r="A256" s="2">
        <v>290</v>
      </c>
      <c r="B256" s="34" t="s">
        <v>3455</v>
      </c>
      <c r="C256" t="s">
        <v>2816</v>
      </c>
      <c r="D256" s="2">
        <v>4</v>
      </c>
      <c r="E256" s="2" t="s">
        <v>785</v>
      </c>
      <c r="F256" s="2">
        <v>-4332</v>
      </c>
      <c r="G256" s="2">
        <v>2602</v>
      </c>
      <c r="H256" s="2">
        <v>338</v>
      </c>
      <c r="J256" t="str">
        <f>"{ name: "&amp;CHAR(34)&amp;B256&amp;CHAR(34)&amp;", landmark: "&amp;CHAR(34)&amp;IF(LEN(C256)=LEN(SUBSTITUTE(C256,"Transport","")),"Korok x1","Korok x2")&amp;CHAR(34)&amp;", type: "&amp;CHAR(34)&amp;C256&amp;CHAR(34)&amp;", region: "&amp;D256&amp;", level: "&amp;CHAR(34)&amp;E256&amp;CHAR(34)&amp;", x: "&amp;F256&amp;", y: "&amp;G256&amp;", z: "&amp;H256&amp;", details: "&amp;CHAR(34)&amp;I256&amp;CHAR(34)&amp;" },"</f>
        <v>{ name: "Hebra West Summit Korok #03", landmark: "Korok x1", type: "Pull the Plug", region: 4, level: "Surface", x: -4332, y: 2602, z: 338, details: "" },</v>
      </c>
    </row>
    <row r="257" spans="1:10" x14ac:dyDescent="0.2">
      <c r="A257" s="2">
        <v>258</v>
      </c>
      <c r="B257" s="34" t="s">
        <v>3504</v>
      </c>
      <c r="C257" t="s">
        <v>2827</v>
      </c>
      <c r="D257" s="2">
        <v>4</v>
      </c>
      <c r="E257" s="2" t="s">
        <v>785</v>
      </c>
      <c r="F257" s="2">
        <v>-4176</v>
      </c>
      <c r="G257" s="2">
        <v>3816</v>
      </c>
      <c r="H257" s="2">
        <v>221</v>
      </c>
      <c r="I257" t="s">
        <v>2775</v>
      </c>
      <c r="J257" t="str">
        <f>"{ name: "&amp;CHAR(34)&amp;B257&amp;CHAR(34)&amp;", landmark: "&amp;CHAR(34)&amp;IF(LEN(C257)=LEN(SUBSTITUTE(C257,"Transport","")),"Korok x1","Korok x2")&amp;CHAR(34)&amp;", type: "&amp;CHAR(34)&amp;C257&amp;CHAR(34)&amp;", region: "&amp;D257&amp;", level: "&amp;CHAR(34)&amp;E257&amp;CHAR(34)&amp;", x: "&amp;F257&amp;", y: "&amp;G257&amp;", z: "&amp;H257&amp;", details: "&amp;CHAR(34)&amp;I257&amp;CHAR(34)&amp;" },"</f>
        <v>{ name: "Icefall Foothills Korok #01", landmark: "Korok x1", type: "Paraglide to the Goal", region: 4, level: "Surface", x: -4176, y: 3816, z: 221, details: "Starts at (-3993, 3836, 220)" },</v>
      </c>
    </row>
    <row r="258" spans="1:10" x14ac:dyDescent="0.2">
      <c r="A258" s="2">
        <v>261</v>
      </c>
      <c r="B258" s="34" t="s">
        <v>3505</v>
      </c>
      <c r="C258" t="s">
        <v>2813</v>
      </c>
      <c r="D258" s="2">
        <v>4</v>
      </c>
      <c r="E258" s="2" t="s">
        <v>785</v>
      </c>
      <c r="F258" s="2">
        <v>-4431</v>
      </c>
      <c r="G258" s="2">
        <v>3683</v>
      </c>
      <c r="H258" s="2">
        <v>308</v>
      </c>
      <c r="J258" t="str">
        <f>"{ name: "&amp;CHAR(34)&amp;B258&amp;CHAR(34)&amp;", landmark: "&amp;CHAR(34)&amp;IF(LEN(C258)=LEN(SUBSTITUTE(C258,"Transport","")),"Korok x1","Korok x2")&amp;CHAR(34)&amp;", type: "&amp;CHAR(34)&amp;C258&amp;CHAR(34)&amp;", region: "&amp;D258&amp;", level: "&amp;CHAR(34)&amp;E258&amp;CHAR(34)&amp;", x: "&amp;F258&amp;", y: "&amp;G258&amp;", z: "&amp;H258&amp;", details: "&amp;CHAR(34)&amp;I258&amp;CHAR(34)&amp;" },"</f>
        <v>{ name: "Icefall Foothills Korok #02", landmark: "Korok x1", type: "Melt the Ice", region: 4, level: "Surface", x: -4431, y: 3683, z: 308, details: "" },</v>
      </c>
    </row>
    <row r="259" spans="1:10" x14ac:dyDescent="0.2">
      <c r="A259" s="2">
        <v>287</v>
      </c>
      <c r="B259" s="34" t="s">
        <v>3553</v>
      </c>
      <c r="C259" t="s">
        <v>2813</v>
      </c>
      <c r="D259" s="2">
        <v>4</v>
      </c>
      <c r="E259" s="2" t="s">
        <v>785</v>
      </c>
      <c r="F259" s="2">
        <v>-3850</v>
      </c>
      <c r="G259" s="2">
        <v>2738</v>
      </c>
      <c r="H259" s="2">
        <v>30</v>
      </c>
      <c r="J259" t="str">
        <f>"{ name: "&amp;CHAR(34)&amp;B259&amp;CHAR(34)&amp;", landmark: "&amp;CHAR(34)&amp;IF(LEN(C259)=LEN(SUBSTITUTE(C259,"Transport","")),"Korok x1","Korok x2")&amp;CHAR(34)&amp;", type: "&amp;CHAR(34)&amp;C259&amp;CHAR(34)&amp;", region: "&amp;D259&amp;", level: "&amp;CHAR(34)&amp;E259&amp;CHAR(34)&amp;", x: "&amp;F259&amp;", y: "&amp;G259&amp;", z: "&amp;H259&amp;", details: "&amp;CHAR(34)&amp;I259&amp;CHAR(34)&amp;" },"</f>
        <v>{ name: "Lake Kilsie Korok #01", landmark: "Korok x1", type: "Melt the Ice", region: 4, level: "Surface", x: -3850, y: 2738, z: 30, details: "" },</v>
      </c>
    </row>
    <row r="260" spans="1:10" x14ac:dyDescent="0.2">
      <c r="A260" s="2">
        <v>288</v>
      </c>
      <c r="B260" s="34" t="s">
        <v>3554</v>
      </c>
      <c r="C260" t="s">
        <v>2812</v>
      </c>
      <c r="D260" s="2">
        <v>4</v>
      </c>
      <c r="E260" s="2" t="s">
        <v>785</v>
      </c>
      <c r="F260" s="2">
        <v>-3753</v>
      </c>
      <c r="G260" s="2">
        <v>2798</v>
      </c>
      <c r="H260" s="2">
        <v>138</v>
      </c>
      <c r="J260" t="str">
        <f>"{ name: "&amp;CHAR(34)&amp;B260&amp;CHAR(34)&amp;", landmark: "&amp;CHAR(34)&amp;IF(LEN(C260)=LEN(SUBSTITUTE(C260,"Transport","")),"Korok x1","Korok x2")&amp;CHAR(34)&amp;", type: "&amp;CHAR(34)&amp;C260&amp;CHAR(34)&amp;", region: "&amp;D260&amp;", level: "&amp;CHAR(34)&amp;E260&amp;CHAR(34)&amp;", x: "&amp;F260&amp;", y: "&amp;G260&amp;", z: "&amp;H260&amp;", details: "&amp;CHAR(34)&amp;I260&amp;CHAR(34)&amp;" },"</f>
        <v>{ name: "Lake Kilsie Korok #02", landmark: "Korok x1", type: "Lift the Rock", region: 4, level: "Surface", x: -3753, y: 2798, z: 138, details: "" },</v>
      </c>
    </row>
    <row r="261" spans="1:10" x14ac:dyDescent="0.2">
      <c r="A261" s="2">
        <v>291</v>
      </c>
      <c r="B261" s="34" t="s">
        <v>3555</v>
      </c>
      <c r="C261" t="s">
        <v>2808</v>
      </c>
      <c r="D261" s="2">
        <v>4</v>
      </c>
      <c r="E261" s="2" t="s">
        <v>785</v>
      </c>
      <c r="F261" s="2">
        <v>-4067</v>
      </c>
      <c r="G261" s="2">
        <v>2505</v>
      </c>
      <c r="H261" s="2">
        <v>20</v>
      </c>
      <c r="J261" t="str">
        <f>"{ name: "&amp;CHAR(34)&amp;B261&amp;CHAR(34)&amp;", landmark: "&amp;CHAR(34)&amp;IF(LEN(C261)=LEN(SUBSTITUTE(C261,"Transport","")),"Korok x1","Korok x2")&amp;CHAR(34)&amp;", type: "&amp;CHAR(34)&amp;C261&amp;CHAR(34)&amp;", region: "&amp;D261&amp;", level: "&amp;CHAR(34)&amp;E261&amp;CHAR(34)&amp;", x: "&amp;F261&amp;", y: "&amp;G261&amp;", z: "&amp;H261&amp;", details: "&amp;CHAR(34)&amp;I261&amp;CHAR(34)&amp;" },"</f>
        <v>{ name: "Lake Kilsie Korok #03", landmark: "Korok x1", type: "Complete the Rock Pattern", region: 4, level: "Surface", x: -4067, y: 2505, z: 20, details: "" },</v>
      </c>
    </row>
    <row r="262" spans="1:10" x14ac:dyDescent="0.2">
      <c r="A262" s="2">
        <v>296</v>
      </c>
      <c r="B262" s="34" t="s">
        <v>3556</v>
      </c>
      <c r="C262" t="s">
        <v>2802</v>
      </c>
      <c r="D262" s="2">
        <v>4</v>
      </c>
      <c r="E262" s="2" t="s">
        <v>785</v>
      </c>
      <c r="F262" s="2">
        <v>-4116</v>
      </c>
      <c r="G262" s="2">
        <v>2416</v>
      </c>
      <c r="H262" s="2">
        <v>-13</v>
      </c>
      <c r="I262" t="s">
        <v>2682</v>
      </c>
      <c r="J262" t="str">
        <f>"{ name: "&amp;CHAR(34)&amp;B262&amp;CHAR(34)&amp;", landmark: "&amp;CHAR(34)&amp;IF(LEN(C262)=LEN(SUBSTITUTE(C262,"Transport","")),"Korok x1","Korok x2")&amp;CHAR(34)&amp;", type: "&amp;CHAR(34)&amp;C262&amp;CHAR(34)&amp;", region: "&amp;D262&amp;", level: "&amp;CHAR(34)&amp;E262&amp;CHAR(34)&amp;", x: "&amp;F262&amp;", y: "&amp;G262&amp;", z: "&amp;H262&amp;", details: "&amp;CHAR(34)&amp;I262&amp;CHAR(34)&amp;" },"</f>
        <v>{ name: "Lake Kilsie Korok #04", landmark: "Korok x2", type: "Transport to Friend", region: 4, level: "Surface", x: -4116, y: 2416, z: -13, details: "Starts at (-4261, 2175, -10)" },</v>
      </c>
    </row>
    <row r="263" spans="1:10" x14ac:dyDescent="0.2">
      <c r="A263" s="2">
        <v>299</v>
      </c>
      <c r="B263" s="34" t="s">
        <v>3557</v>
      </c>
      <c r="C263" t="s">
        <v>2803</v>
      </c>
      <c r="D263" s="2">
        <v>4</v>
      </c>
      <c r="E263" s="2" t="s">
        <v>785</v>
      </c>
      <c r="F263" s="2">
        <v>-4254</v>
      </c>
      <c r="G263" s="2">
        <v>2146</v>
      </c>
      <c r="H263" s="2">
        <v>19</v>
      </c>
      <c r="J263" t="str">
        <f>"{ name: "&amp;CHAR(34)&amp;B263&amp;CHAR(34)&amp;", landmark: "&amp;CHAR(34)&amp;IF(LEN(C263)=LEN(SUBSTITUTE(C263,"Transport","")),"Korok x1","Korok x2")&amp;CHAR(34)&amp;", type: "&amp;CHAR(34)&amp;C263&amp;CHAR(34)&amp;", region: "&amp;D263&amp;", level: "&amp;CHAR(34)&amp;E263&amp;CHAR(34)&amp;", x: "&amp;F263&amp;", y: "&amp;G263&amp;", z: "&amp;H263&amp;", details: "&amp;CHAR(34)&amp;I263&amp;CHAR(34)&amp;" },"</f>
        <v>{ name: "Lake Kilsie Korok #05", landmark: "Korok x1", type: "Build a Roof", region: 4, level: "Surface", x: -4254, y: 2146, z: 19, details: "" },</v>
      </c>
    </row>
    <row r="264" spans="1:10" x14ac:dyDescent="0.2">
      <c r="A264" s="2">
        <v>302</v>
      </c>
      <c r="B264" s="34" t="s">
        <v>3569</v>
      </c>
      <c r="C264" t="s">
        <v>2826</v>
      </c>
      <c r="D264" s="2">
        <v>4</v>
      </c>
      <c r="E264" s="2" t="s">
        <v>785</v>
      </c>
      <c r="F264" s="2">
        <v>-3424</v>
      </c>
      <c r="G264" s="2">
        <v>2067</v>
      </c>
      <c r="H264" s="2">
        <v>181</v>
      </c>
      <c r="J264" t="str">
        <f>"{ name: "&amp;CHAR(34)&amp;B264&amp;CHAR(34)&amp;", landmark: "&amp;CHAR(34)&amp;IF(LEN(C264)=LEN(SUBSTITUTE(C264,"Transport","")),"Korok x1","Korok x2")&amp;CHAR(34)&amp;", type: "&amp;CHAR(34)&amp;C264&amp;CHAR(34)&amp;", region: "&amp;D264&amp;", level: "&amp;CHAR(34)&amp;E264&amp;CHAR(34)&amp;", x: "&amp;F264&amp;", y: "&amp;G264&amp;", z: "&amp;H264&amp;", details: "&amp;CHAR(34)&amp;I264&amp;CHAR(34)&amp;" },"</f>
        <v>{ name: "Lake Totori Korok #02", landmark: "Korok x1", type: "Ascend Through the Marker", region: 4, level: "Surface", x: -3424, y: 2067, z: 181, details: "" },</v>
      </c>
    </row>
    <row r="265" spans="1:10" x14ac:dyDescent="0.2">
      <c r="A265" s="2">
        <v>311</v>
      </c>
      <c r="B265" s="34" t="s">
        <v>3570</v>
      </c>
      <c r="C265" t="s">
        <v>2807</v>
      </c>
      <c r="D265" s="2">
        <v>4</v>
      </c>
      <c r="E265" s="2" t="s">
        <v>785</v>
      </c>
      <c r="F265" s="2">
        <v>-3877</v>
      </c>
      <c r="G265" s="2">
        <v>1763</v>
      </c>
      <c r="H265" s="2">
        <v>112</v>
      </c>
      <c r="J265" t="str">
        <f>"{ name: "&amp;CHAR(34)&amp;B265&amp;CHAR(34)&amp;", landmark: "&amp;CHAR(34)&amp;IF(LEN(C265)=LEN(SUBSTITUTE(C265,"Transport","")),"Korok x1","Korok x2")&amp;CHAR(34)&amp;", type: "&amp;CHAR(34)&amp;C265&amp;CHAR(34)&amp;", region: "&amp;D265&amp;", level: "&amp;CHAR(34)&amp;E265&amp;CHAR(34)&amp;", x: "&amp;F265&amp;", y: "&amp;G265&amp;", z: "&amp;H265&amp;", details: "&amp;CHAR(34)&amp;I265&amp;CHAR(34)&amp;" },"</f>
        <v>{ name: "Lake Totori Korok #03", landmark: "Korok x1", type: "Complete the Cube Puzzle", region: 4, level: "Surface", x: -3877, y: 1763, z: 112, details: "" },</v>
      </c>
    </row>
    <row r="266" spans="1:10" x14ac:dyDescent="0.2">
      <c r="A266" s="2">
        <v>317</v>
      </c>
      <c r="B266" s="34" t="s">
        <v>3571</v>
      </c>
      <c r="C266" t="s">
        <v>2812</v>
      </c>
      <c r="D266" s="2">
        <v>4</v>
      </c>
      <c r="E266" s="2" t="s">
        <v>785</v>
      </c>
      <c r="F266" s="2">
        <v>-3696</v>
      </c>
      <c r="G266" s="2">
        <v>1685</v>
      </c>
      <c r="H266" s="2">
        <v>104</v>
      </c>
      <c r="J266" t="str">
        <f>"{ name: "&amp;CHAR(34)&amp;B266&amp;CHAR(34)&amp;", landmark: "&amp;CHAR(34)&amp;IF(LEN(C266)=LEN(SUBSTITUTE(C266,"Transport","")),"Korok x1","Korok x2")&amp;CHAR(34)&amp;", type: "&amp;CHAR(34)&amp;C266&amp;CHAR(34)&amp;", region: "&amp;D266&amp;", level: "&amp;CHAR(34)&amp;E266&amp;CHAR(34)&amp;", x: "&amp;F266&amp;", y: "&amp;G266&amp;", z: "&amp;H266&amp;", details: "&amp;CHAR(34)&amp;I266&amp;CHAR(34)&amp;" },"</f>
        <v>{ name: "Lake Totori Korok #04", landmark: "Korok x1", type: "Lift the Rock", region: 4, level: "Surface", x: -3696, y: 1685, z: 104, details: "" },</v>
      </c>
    </row>
    <row r="267" spans="1:10" x14ac:dyDescent="0.2">
      <c r="A267" s="2">
        <v>300</v>
      </c>
      <c r="B267" s="34" t="s">
        <v>3572</v>
      </c>
      <c r="C267" t="s">
        <v>2807</v>
      </c>
      <c r="D267" s="2">
        <v>4</v>
      </c>
      <c r="E267" s="2" t="s">
        <v>785</v>
      </c>
      <c r="F267" s="2">
        <v>-4106</v>
      </c>
      <c r="G267" s="2">
        <v>2048</v>
      </c>
      <c r="H267" s="2">
        <v>191</v>
      </c>
      <c r="J267" t="str">
        <f>"{ name: "&amp;CHAR(34)&amp;B267&amp;CHAR(34)&amp;", landmark: "&amp;CHAR(34)&amp;IF(LEN(C267)=LEN(SUBSTITUTE(C267,"Transport","")),"Korok x1","Korok x2")&amp;CHAR(34)&amp;", type: "&amp;CHAR(34)&amp;C267&amp;CHAR(34)&amp;", region: "&amp;D267&amp;", level: "&amp;CHAR(34)&amp;E267&amp;CHAR(34)&amp;", x: "&amp;F267&amp;", y: "&amp;G267&amp;", z: "&amp;H267&amp;", details: "&amp;CHAR(34)&amp;I267&amp;CHAR(34)&amp;" },"</f>
        <v>{ name: "Lake Totori West Korok #01", landmark: "Korok x1", type: "Complete the Cube Puzzle", region: 4, level: "Surface", x: -4106, y: 2048, z: 191, details: "" },</v>
      </c>
    </row>
    <row r="268" spans="1:10" x14ac:dyDescent="0.2">
      <c r="A268" s="2">
        <v>301</v>
      </c>
      <c r="B268" s="34" t="s">
        <v>3573</v>
      </c>
      <c r="C268" t="s">
        <v>2812</v>
      </c>
      <c r="D268" s="2">
        <v>4</v>
      </c>
      <c r="E268" s="2" t="s">
        <v>785</v>
      </c>
      <c r="F268" s="2">
        <v>-3958</v>
      </c>
      <c r="G268" s="2">
        <v>2036</v>
      </c>
      <c r="H268" s="2">
        <v>209</v>
      </c>
      <c r="J268" t="str">
        <f>"{ name: "&amp;CHAR(34)&amp;B268&amp;CHAR(34)&amp;", landmark: "&amp;CHAR(34)&amp;IF(LEN(C268)=LEN(SUBSTITUTE(C268,"Transport","")),"Korok x1","Korok x2")&amp;CHAR(34)&amp;", type: "&amp;CHAR(34)&amp;C268&amp;CHAR(34)&amp;", region: "&amp;D268&amp;", level: "&amp;CHAR(34)&amp;E268&amp;CHAR(34)&amp;", x: "&amp;F268&amp;", y: "&amp;G268&amp;", z: "&amp;H268&amp;", details: "&amp;CHAR(34)&amp;I268&amp;CHAR(34)&amp;" },"</f>
        <v>{ name: "Lake Totori West Korok #02", landmark: "Korok x1", type: "Lift the Rock", region: 4, level: "Surface", x: -3958, y: 2036, z: 209, details: "" },</v>
      </c>
    </row>
    <row r="269" spans="1:10" x14ac:dyDescent="0.2">
      <c r="A269" s="2">
        <v>305</v>
      </c>
      <c r="B269" s="34" t="s">
        <v>3574</v>
      </c>
      <c r="C269" t="s">
        <v>2811</v>
      </c>
      <c r="D269" s="2">
        <v>4</v>
      </c>
      <c r="E269" s="2" t="s">
        <v>785</v>
      </c>
      <c r="F269" s="2">
        <v>-4124</v>
      </c>
      <c r="G269" s="2">
        <v>1935</v>
      </c>
      <c r="H269" s="2">
        <v>199</v>
      </c>
      <c r="J269" t="str">
        <f>"{ name: "&amp;CHAR(34)&amp;B269&amp;CHAR(34)&amp;", landmark: "&amp;CHAR(34)&amp;IF(LEN(C269)=LEN(SUBSTITUTE(C269,"Transport","")),"Korok x1","Korok x2")&amp;CHAR(34)&amp;", type: "&amp;CHAR(34)&amp;C269&amp;CHAR(34)&amp;", region: "&amp;D269&amp;", level: "&amp;CHAR(34)&amp;E269&amp;CHAR(34)&amp;", x: "&amp;F269&amp;", y: "&amp;G269&amp;", z: "&amp;H269&amp;", details: "&amp;CHAR(34)&amp;I269&amp;CHAR(34)&amp;" },"</f>
        <v>{ name: "Lake Totori West Korok #03", landmark: "Korok x1", type: "Follow the Yellow Flowers", region: 4, level: "Surface", x: -4124, y: 1935, z: 199, details: "" },</v>
      </c>
    </row>
    <row r="270" spans="1:10" x14ac:dyDescent="0.2">
      <c r="A270" s="2">
        <v>306</v>
      </c>
      <c r="B270" s="34" t="s">
        <v>3575</v>
      </c>
      <c r="C270" t="s">
        <v>2812</v>
      </c>
      <c r="D270" s="2">
        <v>4</v>
      </c>
      <c r="E270" s="2" t="s">
        <v>785</v>
      </c>
      <c r="F270" s="2">
        <v>-3945</v>
      </c>
      <c r="G270" s="2">
        <v>1969</v>
      </c>
      <c r="H270" s="2">
        <v>210</v>
      </c>
      <c r="J270" t="str">
        <f>"{ name: "&amp;CHAR(34)&amp;B270&amp;CHAR(34)&amp;", landmark: "&amp;CHAR(34)&amp;IF(LEN(C270)=LEN(SUBSTITUTE(C270,"Transport","")),"Korok x1","Korok x2")&amp;CHAR(34)&amp;", type: "&amp;CHAR(34)&amp;C270&amp;CHAR(34)&amp;", region: "&amp;D270&amp;", level: "&amp;CHAR(34)&amp;E270&amp;CHAR(34)&amp;", x: "&amp;F270&amp;", y: "&amp;G270&amp;", z: "&amp;H270&amp;", details: "&amp;CHAR(34)&amp;I270&amp;CHAR(34)&amp;" },"</f>
        <v>{ name: "Lake Totori West Korok #04", landmark: "Korok x1", type: "Lift the Rock", region: 4, level: "Surface", x: -3945, y: 1969, z: 210, details: "" },</v>
      </c>
    </row>
    <row r="271" spans="1:10" x14ac:dyDescent="0.2">
      <c r="A271" s="2">
        <v>277</v>
      </c>
      <c r="B271" s="34" t="s">
        <v>3699</v>
      </c>
      <c r="C271" t="s">
        <v>2808</v>
      </c>
      <c r="D271" s="2">
        <v>4</v>
      </c>
      <c r="E271" s="2" t="s">
        <v>785</v>
      </c>
      <c r="F271" s="2">
        <v>-2604</v>
      </c>
      <c r="G271" s="2">
        <v>3236</v>
      </c>
      <c r="H271" s="2">
        <v>389</v>
      </c>
      <c r="J271" t="str">
        <f>"{ name: "&amp;CHAR(34)&amp;B271&amp;CHAR(34)&amp;", landmark: "&amp;CHAR(34)&amp;IF(LEN(C271)=LEN(SUBSTITUTE(C271,"Transport","")),"Korok x1","Korok x2")&amp;CHAR(34)&amp;", type: "&amp;CHAR(34)&amp;C271&amp;CHAR(34)&amp;", region: "&amp;D271&amp;", level: "&amp;CHAR(34)&amp;E271&amp;CHAR(34)&amp;", x: "&amp;F271&amp;", y: "&amp;G271&amp;", z: "&amp;H271&amp;", details: "&amp;CHAR(34)&amp;I271&amp;CHAR(34)&amp;" },"</f>
        <v>{ name: "North of Hebra's East Summit Korok", landmark: "Korok x1", type: "Complete the Rock Pattern", region: 4, level: "Surface", x: -2604, y: 3236, z: 389, details: "" },</v>
      </c>
    </row>
    <row r="272" spans="1:10" x14ac:dyDescent="0.2">
      <c r="A272" s="2">
        <v>318</v>
      </c>
      <c r="B272" s="34" t="s">
        <v>3739</v>
      </c>
      <c r="C272" t="s">
        <v>2808</v>
      </c>
      <c r="D272" s="2">
        <v>4</v>
      </c>
      <c r="E272" s="2" t="s">
        <v>785</v>
      </c>
      <c r="F272" s="2">
        <v>-4013</v>
      </c>
      <c r="G272" s="2">
        <v>1637</v>
      </c>
      <c r="H272" s="2">
        <v>165</v>
      </c>
      <c r="J272" t="str">
        <f>"{ name: "&amp;CHAR(34)&amp;B272&amp;CHAR(34)&amp;", landmark: "&amp;CHAR(34)&amp;IF(LEN(C272)=LEN(SUBSTITUTE(C272,"Transport","")),"Korok x1","Korok x2")&amp;CHAR(34)&amp;", type: "&amp;CHAR(34)&amp;C272&amp;CHAR(34)&amp;", region: "&amp;D272&amp;", level: "&amp;CHAR(34)&amp;E272&amp;CHAR(34)&amp;", x: "&amp;F272&amp;", y: "&amp;G272&amp;", z: "&amp;H272&amp;", details: "&amp;CHAR(34)&amp;I272&amp;CHAR(34)&amp;" },"</f>
        <v>{ name: "Passer Hill Korok", landmark: "Korok x1", type: "Complete the Rock Pattern", region: 4, level: "Surface", x: -4013, y: 1637, z: 165, details: "" },</v>
      </c>
    </row>
    <row r="273" spans="1:10" x14ac:dyDescent="0.2">
      <c r="A273" s="2">
        <v>25</v>
      </c>
      <c r="B273" s="34" t="s">
        <v>3785</v>
      </c>
      <c r="C273" t="s">
        <v>2812</v>
      </c>
      <c r="D273" s="2">
        <v>4</v>
      </c>
      <c r="E273" s="2" t="s">
        <v>783</v>
      </c>
      <c r="F273" s="2">
        <v>-3218</v>
      </c>
      <c r="G273" s="2">
        <v>3377</v>
      </c>
      <c r="H273" s="2">
        <v>1373</v>
      </c>
      <c r="J273" t="str">
        <f>"{ name: "&amp;CHAR(34)&amp;B273&amp;CHAR(34)&amp;", landmark: "&amp;CHAR(34)&amp;IF(LEN(C273)=LEN(SUBSTITUTE(C273,"Transport","")),"Korok x1","Korok x2")&amp;CHAR(34)&amp;", type: "&amp;CHAR(34)&amp;C273&amp;CHAR(34)&amp;", region: "&amp;D273&amp;", level: "&amp;CHAR(34)&amp;E273&amp;CHAR(34)&amp;", x: "&amp;F273&amp;", y: "&amp;G273&amp;", z: "&amp;H273&amp;", details: "&amp;CHAR(34)&amp;I273&amp;CHAR(34)&amp;" },"</f>
        <v>{ name: "Rising Island Chain Korok #01", landmark: "Korok x1", type: "Lift the Rock", region: 4, level: "Sky", x: -3218, y: 3377, z: 1373, details: "" },</v>
      </c>
    </row>
    <row r="274" spans="1:10" x14ac:dyDescent="0.2">
      <c r="A274" s="2">
        <v>26</v>
      </c>
      <c r="B274" s="34" t="s">
        <v>3786</v>
      </c>
      <c r="C274" t="s">
        <v>2817</v>
      </c>
      <c r="D274" s="2">
        <v>4</v>
      </c>
      <c r="E274" s="2" t="s">
        <v>783</v>
      </c>
      <c r="F274" s="2">
        <v>-2990</v>
      </c>
      <c r="G274" s="2">
        <v>3142</v>
      </c>
      <c r="H274" s="2">
        <v>845</v>
      </c>
      <c r="I274" t="s">
        <v>2598</v>
      </c>
      <c r="J274" t="str">
        <f>"{ name: "&amp;CHAR(34)&amp;B274&amp;CHAR(34)&amp;", landmark: "&amp;CHAR(34)&amp;IF(LEN(C274)=LEN(SUBSTITUTE(C274,"Transport","")),"Korok x1","Korok x2")&amp;CHAR(34)&amp;", type: "&amp;CHAR(34)&amp;C274&amp;CHAR(34)&amp;", region: "&amp;D274&amp;", level: "&amp;CHAR(34)&amp;E274&amp;CHAR(34)&amp;", x: "&amp;F274&amp;", y: "&amp;G274&amp;", z: "&amp;H274&amp;", details: "&amp;CHAR(34)&amp;I274&amp;CHAR(34)&amp;" },"</f>
        <v>{ name: "Rising Island Chain Korok #02", landmark: "Korok x1", type: "Reach the Target Ring", region: 4, level: "Sky", x: -2990, y: 3142, z: 845, details: "Starts at (-3104, 3260, 866)" },</v>
      </c>
    </row>
    <row r="275" spans="1:10" x14ac:dyDescent="0.2">
      <c r="A275" s="2">
        <v>309</v>
      </c>
      <c r="B275" s="34" t="s">
        <v>3793</v>
      </c>
      <c r="C275" t="s">
        <v>2812</v>
      </c>
      <c r="D275" s="2">
        <v>4</v>
      </c>
      <c r="E275" s="2" t="s">
        <v>785</v>
      </c>
      <c r="F275" s="2">
        <v>-3614</v>
      </c>
      <c r="G275" s="2">
        <v>1880</v>
      </c>
      <c r="H275" s="2">
        <v>403</v>
      </c>
      <c r="J275" t="str">
        <f>"{ name: "&amp;CHAR(34)&amp;B275&amp;CHAR(34)&amp;", landmark: "&amp;CHAR(34)&amp;IF(LEN(C275)=LEN(SUBSTITUTE(C275,"Transport","")),"Korok x1","Korok x2")&amp;CHAR(34)&amp;", type: "&amp;CHAR(34)&amp;C275&amp;CHAR(34)&amp;", region: "&amp;D275&amp;", level: "&amp;CHAR(34)&amp;E275&amp;CHAR(34)&amp;", x: "&amp;F275&amp;", y: "&amp;G275&amp;", z: "&amp;H275&amp;", details: "&amp;CHAR(34)&amp;I275&amp;CHAR(34)&amp;" },"</f>
        <v>{ name: "Rito Village Korok #01", landmark: "Korok x1", type: "Lift the Rock", region: 4, level: "Surface", x: -3614, y: 1880, z: 403, details: "" },</v>
      </c>
    </row>
    <row r="276" spans="1:10" x14ac:dyDescent="0.2">
      <c r="A276" s="2">
        <v>312</v>
      </c>
      <c r="B276" s="34" t="s">
        <v>3794</v>
      </c>
      <c r="C276" t="s">
        <v>2812</v>
      </c>
      <c r="D276" s="2">
        <v>4</v>
      </c>
      <c r="E276" s="2" t="s">
        <v>785</v>
      </c>
      <c r="F276" s="2">
        <v>-3634</v>
      </c>
      <c r="G276" s="2">
        <v>1809</v>
      </c>
      <c r="H276" s="2">
        <v>168</v>
      </c>
      <c r="J276" t="str">
        <f>"{ name: "&amp;CHAR(34)&amp;B276&amp;CHAR(34)&amp;", landmark: "&amp;CHAR(34)&amp;IF(LEN(C276)=LEN(SUBSTITUTE(C276,"Transport","")),"Korok x1","Korok x2")&amp;CHAR(34)&amp;", type: "&amp;CHAR(34)&amp;C276&amp;CHAR(34)&amp;", region: "&amp;D276&amp;", level: "&amp;CHAR(34)&amp;E276&amp;CHAR(34)&amp;", x: "&amp;F276&amp;", y: "&amp;G276&amp;", z: "&amp;H276&amp;", details: "&amp;CHAR(34)&amp;I276&amp;CHAR(34)&amp;" },"</f>
        <v>{ name: "Rito Village Korok #02", landmark: "Korok x1", type: "Lift the Rock", region: 4, level: "Surface", x: -3634, y: 1809, z: 168, details: "" },</v>
      </c>
    </row>
    <row r="277" spans="1:10" x14ac:dyDescent="0.2">
      <c r="A277" s="2">
        <v>313</v>
      </c>
      <c r="B277" s="34" t="s">
        <v>3795</v>
      </c>
      <c r="C277" t="s">
        <v>2821</v>
      </c>
      <c r="D277" s="2">
        <v>4</v>
      </c>
      <c r="E277" s="2" t="s">
        <v>785</v>
      </c>
      <c r="F277" s="2">
        <v>-3549</v>
      </c>
      <c r="G277" s="2">
        <v>1752</v>
      </c>
      <c r="H277" s="2">
        <v>186</v>
      </c>
      <c r="J277" t="str">
        <f>"{ name: "&amp;CHAR(34)&amp;B277&amp;CHAR(34)&amp;", landmark: "&amp;CHAR(34)&amp;IF(LEN(C277)=LEN(SUBSTITUTE(C277,"Transport","")),"Korok x1","Korok x2")&amp;CHAR(34)&amp;", type: "&amp;CHAR(34)&amp;C277&amp;CHAR(34)&amp;", region: "&amp;D277&amp;", level: "&amp;CHAR(34)&amp;E277&amp;CHAR(34)&amp;", x: "&amp;F277&amp;", y: "&amp;G277&amp;", z: "&amp;H277&amp;", details: "&amp;CHAR(34)&amp;I277&amp;CHAR(34)&amp;" },"</f>
        <v>{ name: "Rito Village Korok #03", landmark: "Korok x1", type: "Shoot the Balloons", region: 4, level: "Surface", x: -3549, y: 1752, z: 186, details: "" },</v>
      </c>
    </row>
    <row r="278" spans="1:10" x14ac:dyDescent="0.2">
      <c r="A278" s="2">
        <v>292</v>
      </c>
      <c r="B278" s="34" t="s">
        <v>3805</v>
      </c>
      <c r="C278" t="s">
        <v>2805</v>
      </c>
      <c r="D278" s="2">
        <v>4</v>
      </c>
      <c r="E278" s="2" t="s">
        <v>785</v>
      </c>
      <c r="F278" s="2">
        <v>-3677</v>
      </c>
      <c r="G278" s="2">
        <v>2467</v>
      </c>
      <c r="H278" s="2">
        <v>321</v>
      </c>
      <c r="J278" t="str">
        <f>"{ name: "&amp;CHAR(34)&amp;B278&amp;CHAR(34)&amp;", landmark: "&amp;CHAR(34)&amp;IF(LEN(C278)=LEN(SUBSTITUTE(C278,"Transport","")),"Korok x1","Korok x2")&amp;CHAR(34)&amp;", type: "&amp;CHAR(34)&amp;C278&amp;CHAR(34)&amp;", region: "&amp;D278&amp;", level: "&amp;CHAR(34)&amp;E278&amp;CHAR(34)&amp;", x: "&amp;F278&amp;", y: "&amp;G278&amp;", z: "&amp;H278&amp;", details: "&amp;CHAR(34)&amp;I278&amp;CHAR(34)&amp;" },"</f>
        <v>{ name: "Rospro Pass Korok", landmark: "Korok x1", type: "Burn the Thorns", region: 4, level: "Surface", x: -3677, y: 2467, z: 321, details: "" },</v>
      </c>
    </row>
    <row r="279" spans="1:10" x14ac:dyDescent="0.2">
      <c r="A279" s="2">
        <v>276</v>
      </c>
      <c r="B279" s="34" t="s">
        <v>3847</v>
      </c>
      <c r="C279" t="s">
        <v>2826</v>
      </c>
      <c r="D279" s="2">
        <v>4</v>
      </c>
      <c r="E279" s="2" t="s">
        <v>785</v>
      </c>
      <c r="F279" s="2">
        <v>-3002</v>
      </c>
      <c r="G279" s="2">
        <v>3220</v>
      </c>
      <c r="H279" s="2">
        <v>582</v>
      </c>
      <c r="J279" t="str">
        <f>"{ name: "&amp;CHAR(34)&amp;B279&amp;CHAR(34)&amp;", landmark: "&amp;CHAR(34)&amp;IF(LEN(C279)=LEN(SUBSTITUTE(C279,"Transport","")),"Korok x1","Korok x2")&amp;CHAR(34)&amp;", type: "&amp;CHAR(34)&amp;C279&amp;CHAR(34)&amp;", region: "&amp;D279&amp;", level: "&amp;CHAR(34)&amp;E279&amp;CHAR(34)&amp;", x: "&amp;F279&amp;", y: "&amp;G279&amp;", z: "&amp;H279&amp;", details: "&amp;CHAR(34)&amp;I279&amp;CHAR(34)&amp;" },"</f>
        <v>{ name: "Selmie's Spot Korok", landmark: "Korok x1", type: "Ascend Through the Marker", region: 4, level: "Surface", x: -3002, y: 3220, z: 582, details: "" },</v>
      </c>
    </row>
    <row r="280" spans="1:10" x14ac:dyDescent="0.2">
      <c r="A280" s="2">
        <v>267</v>
      </c>
      <c r="B280" s="34" t="s">
        <v>3853</v>
      </c>
      <c r="C280" t="s">
        <v>2595</v>
      </c>
      <c r="D280" s="2">
        <v>4</v>
      </c>
      <c r="E280" s="2" t="s">
        <v>785</v>
      </c>
      <c r="F280" s="2">
        <v>-4273</v>
      </c>
      <c r="G280" s="2">
        <v>3499</v>
      </c>
      <c r="H280" s="2">
        <v>394</v>
      </c>
      <c r="J280" t="str">
        <f>"{ name: "&amp;CHAR(34)&amp;B280&amp;CHAR(34)&amp;", landmark: "&amp;CHAR(34)&amp;IF(LEN(C280)=LEN(SUBSTITUTE(C280,"Transport","")),"Korok x1","Korok x2")&amp;CHAR(34)&amp;", type: "&amp;CHAR(34)&amp;C280&amp;CHAR(34)&amp;", region: "&amp;D280&amp;", level: "&amp;CHAR(34)&amp;E280&amp;CHAR(34)&amp;", x: "&amp;F280&amp;", y: "&amp;G280&amp;", z: "&amp;H280&amp;", details: "&amp;CHAR(34)&amp;I280&amp;CHAR(34)&amp;" },"</f>
        <v>{ name: "Sherfin's Secret Hot Spring Korok", landmark: "Korok x1", type: "Attack and catch the dandelion", region: 4, level: "Surface", x: -4273, y: 3499, z: 394, details: "" },</v>
      </c>
    </row>
    <row r="281" spans="1:10" x14ac:dyDescent="0.2">
      <c r="A281" s="2">
        <v>28</v>
      </c>
      <c r="B281" s="34" t="s">
        <v>3864</v>
      </c>
      <c r="C281" t="s">
        <v>2827</v>
      </c>
      <c r="D281" s="2">
        <v>4</v>
      </c>
      <c r="E281" s="2" t="s">
        <v>783</v>
      </c>
      <c r="F281" s="2">
        <v>-3102</v>
      </c>
      <c r="G281" s="2">
        <v>2142</v>
      </c>
      <c r="H281" s="2">
        <v>650</v>
      </c>
      <c r="I281" t="s">
        <v>2734</v>
      </c>
      <c r="J281" t="str">
        <f>"{ name: "&amp;CHAR(34)&amp;B281&amp;CHAR(34)&amp;", landmark: "&amp;CHAR(34)&amp;IF(LEN(C281)=LEN(SUBSTITUTE(C281,"Transport","")),"Korok x1","Korok x2")&amp;CHAR(34)&amp;", type: "&amp;CHAR(34)&amp;C281&amp;CHAR(34)&amp;", region: "&amp;D281&amp;", level: "&amp;CHAR(34)&amp;E281&amp;CHAR(34)&amp;", x: "&amp;F281&amp;", y: "&amp;G281&amp;", z: "&amp;H281&amp;", details: "&amp;CHAR(34)&amp;I281&amp;CHAR(34)&amp;" },"</f>
        <v>{ name: "South Hebra Sky Archipelago Korok", landmark: "Korok x1", type: "Paraglide to the Goal", region: 4, level: "Sky", x: -3102, y: 2142, z: 650, details: "Starts at (-3064, 2137, 693)" },</v>
      </c>
    </row>
    <row r="282" spans="1:10" x14ac:dyDescent="0.2">
      <c r="A282" s="2">
        <v>308</v>
      </c>
      <c r="B282" s="34" t="s">
        <v>3899</v>
      </c>
      <c r="C282" t="s">
        <v>2819</v>
      </c>
      <c r="D282" s="2">
        <v>4</v>
      </c>
      <c r="E282" s="2" t="s">
        <v>785</v>
      </c>
      <c r="F282" s="2">
        <v>-3779</v>
      </c>
      <c r="G282" s="2">
        <v>1866</v>
      </c>
      <c r="H282" s="2">
        <v>263</v>
      </c>
      <c r="J282" t="str">
        <f>"{ name: "&amp;CHAR(34)&amp;B282&amp;CHAR(34)&amp;", landmark: "&amp;CHAR(34)&amp;IF(LEN(C282)=LEN(SUBSTITUTE(C282,"Transport","")),"Korok x1","Korok x2")&amp;CHAR(34)&amp;", type: "&amp;CHAR(34)&amp;C282&amp;CHAR(34)&amp;", region: "&amp;D282&amp;", level: "&amp;CHAR(34)&amp;E282&amp;CHAR(34)&amp;", x: "&amp;F282&amp;", y: "&amp;G282&amp;", z: "&amp;H282&amp;", details: "&amp;CHAR(34)&amp;I282&amp;CHAR(34)&amp;" },"</f>
        <v>{ name: "Strock Lake Korok #04", landmark: "Korok x1", type: "Repair the Roof", region: 4, level: "Surface", x: -3779, y: 1866, z: 263, details: "" },</v>
      </c>
    </row>
    <row r="283" spans="1:10" x14ac:dyDescent="0.2">
      <c r="A283" s="2">
        <v>289</v>
      </c>
      <c r="B283" s="34" t="s">
        <v>3917</v>
      </c>
      <c r="C283" t="s">
        <v>2825</v>
      </c>
      <c r="D283" s="2">
        <v>4</v>
      </c>
      <c r="E283" s="2" t="s">
        <v>785</v>
      </c>
      <c r="F283" s="2">
        <v>-3158</v>
      </c>
      <c r="G283" s="2">
        <v>2689</v>
      </c>
      <c r="H283" s="2">
        <v>596</v>
      </c>
      <c r="J283" t="str">
        <f>"{ name: "&amp;CHAR(34)&amp;B283&amp;CHAR(34)&amp;", landmark: "&amp;CHAR(34)&amp;IF(LEN(C283)=LEN(SUBSTITUTE(C283,"Transport","")),"Korok x1","Korok x2")&amp;CHAR(34)&amp;", type: "&amp;CHAR(34)&amp;C283&amp;CHAR(34)&amp;", region: "&amp;D283&amp;", level: "&amp;CHAR(34)&amp;E283&amp;CHAR(34)&amp;", x: "&amp;F283&amp;", y: "&amp;G283&amp;", z: "&amp;H283&amp;", details: "&amp;CHAR(34)&amp;I283&amp;CHAR(34)&amp;" },"</f>
        <v>{ name: "Talonto Peak Korok #01", landmark: "Korok x1", type: "Climb and Examine the Fairy Lights", region: 4, level: "Surface", x: -3158, y: 2689, z: 596, details: "" },</v>
      </c>
    </row>
    <row r="284" spans="1:10" x14ac:dyDescent="0.2">
      <c r="A284" s="2">
        <v>294</v>
      </c>
      <c r="B284" s="34" t="s">
        <v>3918</v>
      </c>
      <c r="C284" t="s">
        <v>2808</v>
      </c>
      <c r="D284" s="2">
        <v>4</v>
      </c>
      <c r="E284" s="2" t="s">
        <v>785</v>
      </c>
      <c r="F284" s="2">
        <v>-3162</v>
      </c>
      <c r="G284" s="2">
        <v>2466</v>
      </c>
      <c r="H284" s="2">
        <v>375</v>
      </c>
      <c r="J284" t="str">
        <f>"{ name: "&amp;CHAR(34)&amp;B284&amp;CHAR(34)&amp;", landmark: "&amp;CHAR(34)&amp;IF(LEN(C284)=LEN(SUBSTITUTE(C284,"Transport","")),"Korok x1","Korok x2")&amp;CHAR(34)&amp;", type: "&amp;CHAR(34)&amp;C284&amp;CHAR(34)&amp;", region: "&amp;D284&amp;", level: "&amp;CHAR(34)&amp;E284&amp;CHAR(34)&amp;", x: "&amp;F284&amp;", y: "&amp;G284&amp;", z: "&amp;H284&amp;", details: "&amp;CHAR(34)&amp;I284&amp;CHAR(34)&amp;" },"</f>
        <v>{ name: "Talonto Peak Korok #02", landmark: "Korok x1", type: "Complete the Rock Pattern", region: 4, level: "Surface", x: -3162, y: 2466, z: 375, details: "" },</v>
      </c>
    </row>
    <row r="285" spans="1:10" x14ac:dyDescent="0.2">
      <c r="A285" s="2">
        <v>310</v>
      </c>
      <c r="B285" s="34" t="s">
        <v>3995</v>
      </c>
      <c r="C285" t="s">
        <v>2826</v>
      </c>
      <c r="D285" s="2">
        <v>4</v>
      </c>
      <c r="E285" s="2" t="s">
        <v>785</v>
      </c>
      <c r="F285" s="2">
        <v>-4062</v>
      </c>
      <c r="G285" s="2">
        <v>1794</v>
      </c>
      <c r="H285" s="2">
        <v>189</v>
      </c>
      <c r="J285" t="str">
        <f>"{ name: "&amp;CHAR(34)&amp;B285&amp;CHAR(34)&amp;", landmark: "&amp;CHAR(34)&amp;IF(LEN(C285)=LEN(SUBSTITUTE(C285,"Transport","")),"Korok x1","Korok x2")&amp;CHAR(34)&amp;", type: "&amp;CHAR(34)&amp;C285&amp;CHAR(34)&amp;", region: "&amp;D285&amp;", level: "&amp;CHAR(34)&amp;E285&amp;CHAR(34)&amp;", x: "&amp;F285&amp;", y: "&amp;G285&amp;", z: "&amp;H285&amp;", details: "&amp;CHAR(34)&amp;I285&amp;CHAR(34)&amp;" },"</f>
        <v>{ name: "Warbler's Nest Korok #01", landmark: "Korok x1", type: "Ascend Through the Marker", region: 4, level: "Surface", x: -4062, y: 1794, z: 189, details: "" },</v>
      </c>
    </row>
    <row r="286" spans="1:10" x14ac:dyDescent="0.2">
      <c r="A286" s="2">
        <v>316</v>
      </c>
      <c r="B286" s="34" t="s">
        <v>3996</v>
      </c>
      <c r="C286" t="s">
        <v>2812</v>
      </c>
      <c r="D286" s="2">
        <v>4</v>
      </c>
      <c r="E286" s="2" t="s">
        <v>785</v>
      </c>
      <c r="F286" s="2">
        <v>-3986</v>
      </c>
      <c r="G286" s="2">
        <v>1709</v>
      </c>
      <c r="H286" s="2">
        <v>180</v>
      </c>
      <c r="J286" t="str">
        <f>"{ name: "&amp;CHAR(34)&amp;B286&amp;CHAR(34)&amp;", landmark: "&amp;CHAR(34)&amp;IF(LEN(C286)=LEN(SUBSTITUTE(C286,"Transport","")),"Korok x1","Korok x2")&amp;CHAR(34)&amp;", type: "&amp;CHAR(34)&amp;C286&amp;CHAR(34)&amp;", region: "&amp;D286&amp;", level: "&amp;CHAR(34)&amp;E286&amp;CHAR(34)&amp;", x: "&amp;F286&amp;", y: "&amp;G286&amp;", z: "&amp;H286&amp;", details: "&amp;CHAR(34)&amp;I286&amp;CHAR(34)&amp;" },"</f>
        <v>{ name: "Warbler's Nest Korok #02", landmark: "Korok x1", type: "Lift the Rock", region: 4, level: "Surface", x: -3986, y: 1709, z: 180, details: "" },</v>
      </c>
    </row>
    <row r="287" spans="1:10" x14ac:dyDescent="0.2">
      <c r="A287" s="2">
        <v>27</v>
      </c>
      <c r="B287" s="34" t="s">
        <v>4007</v>
      </c>
      <c r="C287" t="s">
        <v>2828</v>
      </c>
      <c r="D287" s="2">
        <v>4</v>
      </c>
      <c r="E287" s="2" t="s">
        <v>783</v>
      </c>
      <c r="F287" s="2">
        <v>-3917</v>
      </c>
      <c r="G287" s="2">
        <v>2880</v>
      </c>
      <c r="H287" s="2">
        <v>735</v>
      </c>
      <c r="J287" t="str">
        <f>"{ name: "&amp;CHAR(34)&amp;B287&amp;CHAR(34)&amp;", landmark: "&amp;CHAR(34)&amp;IF(LEN(C287)=LEN(SUBSTITUTE(C287,"Transport","")),"Korok x1","Korok x2")&amp;CHAR(34)&amp;", type: "&amp;CHAR(34)&amp;C287&amp;CHAR(34)&amp;", region: "&amp;D287&amp;", level: "&amp;CHAR(34)&amp;E287&amp;CHAR(34)&amp;", x: "&amp;F287&amp;", y: "&amp;G287&amp;", z: "&amp;H287&amp;", details: "&amp;CHAR(34)&amp;I287&amp;CHAR(34)&amp;" },"</f>
        <v>{ name: "West Hebra Sky Archipelago Korok", landmark: "Korok x1", type: "Touch the Wallside Marker", region: 4, level: "Sky", x: -3917, y: 2880, z: 735, details: "" },</v>
      </c>
    </row>
    <row r="288" spans="1:10" x14ac:dyDescent="0.2">
      <c r="A288" s="2">
        <v>304</v>
      </c>
      <c r="B288" s="34" t="s">
        <v>4020</v>
      </c>
      <c r="C288" t="s">
        <v>2823</v>
      </c>
      <c r="D288" s="2">
        <v>4</v>
      </c>
      <c r="E288" s="2" t="s">
        <v>785</v>
      </c>
      <c r="F288" s="2">
        <v>-4481</v>
      </c>
      <c r="G288" s="2">
        <v>1945</v>
      </c>
      <c r="H288" s="2">
        <v>166</v>
      </c>
      <c r="J288" t="str">
        <f>"{ name: "&amp;CHAR(34)&amp;B288&amp;CHAR(34)&amp;", landmark: "&amp;CHAR(34)&amp;IF(LEN(C288)=LEN(SUBSTITUTE(C288,"Transport","")),"Korok x1","Korok x2")&amp;CHAR(34)&amp;", type: "&amp;CHAR(34)&amp;C288&amp;CHAR(34)&amp;", region: "&amp;D288&amp;", level: "&amp;CHAR(34)&amp;E288&amp;CHAR(34)&amp;", x: "&amp;F288&amp;", y: "&amp;G288&amp;", z: "&amp;H288&amp;", details: "&amp;CHAR(34)&amp;I288&amp;CHAR(34)&amp;" },"</f>
        <v>{ name: "West of Lake Totori Korok", landmark: "Korok x1", type: "Examine Fairy Lights", region: 4, level: "Surface", x: -4481, y: 1945, z: 166, details: "" },</v>
      </c>
    </row>
    <row r="289" spans="1:10" x14ac:dyDescent="0.2">
      <c r="A289" s="2">
        <v>266</v>
      </c>
      <c r="B289" s="34" t="s">
        <v>4047</v>
      </c>
      <c r="C289" t="s">
        <v>2807</v>
      </c>
      <c r="D289" s="2">
        <v>4</v>
      </c>
      <c r="E289" s="2" t="s">
        <v>785</v>
      </c>
      <c r="F289" s="2">
        <v>-4509</v>
      </c>
      <c r="G289" s="2">
        <v>3461</v>
      </c>
      <c r="H289" s="2">
        <v>266</v>
      </c>
      <c r="J289" t="str">
        <f>"{ name: "&amp;CHAR(34)&amp;B289&amp;CHAR(34)&amp;", landmark: "&amp;CHAR(34)&amp;IF(LEN(C289)=LEN(SUBSTITUTE(C289,"Transport","")),"Korok x1","Korok x2")&amp;CHAR(34)&amp;", type: "&amp;CHAR(34)&amp;C289&amp;CHAR(34)&amp;", region: "&amp;D289&amp;", level: "&amp;CHAR(34)&amp;E289&amp;CHAR(34)&amp;", x: "&amp;F289&amp;", y: "&amp;G289&amp;", z: "&amp;H289&amp;", details: "&amp;CHAR(34)&amp;I289&amp;CHAR(34)&amp;" },"</f>
        <v>{ name: "Zora River Korok #01", landmark: "Korok x1", type: "Complete the Cube Puzzle", region: 4, level: "Surface", x: -4509, y: 3461, z: 266, details: "" },</v>
      </c>
    </row>
    <row r="290" spans="1:10" x14ac:dyDescent="0.2">
      <c r="A290" s="2">
        <v>29</v>
      </c>
      <c r="B290" s="34" t="s">
        <v>3304</v>
      </c>
      <c r="C290" t="s">
        <v>2811</v>
      </c>
      <c r="D290" s="2">
        <v>5</v>
      </c>
      <c r="E290" s="2" t="s">
        <v>783</v>
      </c>
      <c r="F290" s="2">
        <v>-1684</v>
      </c>
      <c r="G290" s="2">
        <v>3573</v>
      </c>
      <c r="H290" s="2">
        <v>987</v>
      </c>
      <c r="I290" t="s">
        <v>2733</v>
      </c>
      <c r="J290" t="str">
        <f>"{ name: "&amp;CHAR(34)&amp;B290&amp;CHAR(34)&amp;", landmark: "&amp;CHAR(34)&amp;IF(LEN(C290)=LEN(SUBSTITUTE(C290,"Transport","")),"Korok x1","Korok x2")&amp;CHAR(34)&amp;", type: "&amp;CHAR(34)&amp;C290&amp;CHAR(34)&amp;", region: "&amp;D290&amp;", level: "&amp;CHAR(34)&amp;E290&amp;CHAR(34)&amp;", x: "&amp;F290&amp;", y: "&amp;G290&amp;", z: "&amp;H290&amp;", details: "&amp;CHAR(34)&amp;I290&amp;CHAR(34)&amp;" },"</f>
        <v>{ name: "East Hebra Sky Archipelago Korok #01", landmark: "Korok x1", type: "Follow the Yellow Flowers", region: 5, level: "Sky", x: -1684, y: 3573, z: 987, details: "Starts at (-1717, 3561, 988)" },</v>
      </c>
    </row>
    <row r="291" spans="1:10" x14ac:dyDescent="0.2">
      <c r="A291" s="2">
        <v>31</v>
      </c>
      <c r="B291" s="34" t="s">
        <v>3305</v>
      </c>
      <c r="C291" t="s">
        <v>2828</v>
      </c>
      <c r="D291" s="2">
        <v>5</v>
      </c>
      <c r="E291" s="2" t="s">
        <v>783</v>
      </c>
      <c r="F291" s="2">
        <v>-1663</v>
      </c>
      <c r="G291" s="2">
        <v>3285</v>
      </c>
      <c r="H291" s="2">
        <v>977</v>
      </c>
      <c r="J291" t="str">
        <f>"{ name: "&amp;CHAR(34)&amp;B291&amp;CHAR(34)&amp;", landmark: "&amp;CHAR(34)&amp;IF(LEN(C291)=LEN(SUBSTITUTE(C291,"Transport","")),"Korok x1","Korok x2")&amp;CHAR(34)&amp;", type: "&amp;CHAR(34)&amp;C291&amp;CHAR(34)&amp;", region: "&amp;D291&amp;", level: "&amp;CHAR(34)&amp;E291&amp;CHAR(34)&amp;", x: "&amp;F291&amp;", y: "&amp;G291&amp;", z: "&amp;H291&amp;", details: "&amp;CHAR(34)&amp;I291&amp;CHAR(34)&amp;" },"</f>
        <v>{ name: "East Hebra Sky Archipelago Korok #02", landmark: "Korok x1", type: "Touch the Wallside Marker", region: 5, level: "Sky", x: -1663, y: 3285, z: 977, details: "" },</v>
      </c>
    </row>
    <row r="292" spans="1:10" x14ac:dyDescent="0.2">
      <c r="A292" s="2">
        <v>338</v>
      </c>
      <c r="B292" s="34" t="s">
        <v>3438</v>
      </c>
      <c r="C292" t="s">
        <v>2802</v>
      </c>
      <c r="D292" s="2">
        <v>5</v>
      </c>
      <c r="E292" s="2" t="s">
        <v>785</v>
      </c>
      <c r="F292" s="2">
        <v>-2838</v>
      </c>
      <c r="G292" s="2">
        <v>2317</v>
      </c>
      <c r="H292" s="2">
        <v>392</v>
      </c>
      <c r="I292" t="s">
        <v>2686</v>
      </c>
      <c r="J292" t="str">
        <f>"{ name: "&amp;CHAR(34)&amp;B292&amp;CHAR(34)&amp;", landmark: "&amp;CHAR(34)&amp;IF(LEN(C292)=LEN(SUBSTITUTE(C292,"Transport","")),"Korok x1","Korok x2")&amp;CHAR(34)&amp;", type: "&amp;CHAR(34)&amp;C292&amp;CHAR(34)&amp;", region: "&amp;D292&amp;", level: "&amp;CHAR(34)&amp;E292&amp;CHAR(34)&amp;", x: "&amp;F292&amp;", y: "&amp;G292&amp;", z: "&amp;H292&amp;", details: "&amp;CHAR(34)&amp;I292&amp;CHAR(34)&amp;" },"</f>
        <v>{ name: "Hebra Falls Korok #01", landmark: "Korok x2", type: "Transport to Friend", region: 5, level: "Surface", x: -2838, y: 2317, z: 392, details: "Starts at (-2794, 2308, 355)" },</v>
      </c>
    </row>
    <row r="293" spans="1:10" x14ac:dyDescent="0.2">
      <c r="A293" s="2">
        <v>339</v>
      </c>
      <c r="B293" s="34" t="s">
        <v>3439</v>
      </c>
      <c r="C293" t="s">
        <v>2801</v>
      </c>
      <c r="D293" s="2">
        <v>5</v>
      </c>
      <c r="E293" s="2" t="s">
        <v>785</v>
      </c>
      <c r="F293" s="2">
        <v>-2739</v>
      </c>
      <c r="G293" s="2">
        <v>2268</v>
      </c>
      <c r="H293" s="2">
        <v>345</v>
      </c>
      <c r="J293" t="str">
        <f>"{ name: "&amp;CHAR(34)&amp;B293&amp;CHAR(34)&amp;", landmark: "&amp;CHAR(34)&amp;IF(LEN(C293)=LEN(SUBSTITUTE(C293,"Transport","")),"Korok x1","Korok x2")&amp;CHAR(34)&amp;", type: "&amp;CHAR(34)&amp;C293&amp;CHAR(34)&amp;", region: "&amp;D293&amp;", level: "&amp;CHAR(34)&amp;E293&amp;CHAR(34)&amp;", x: "&amp;F293&amp;", y: "&amp;G293&amp;", z: "&amp;H293&amp;", details: "&amp;CHAR(34)&amp;I293&amp;CHAR(34)&amp;" },"</f>
        <v>{ name: "Hebra Falls Korok #02", landmark: "Korok x1", type: "Break the Acorn Pot", region: 5, level: "Surface", x: -2739, y: 2268, z: 345, details: "" },</v>
      </c>
    </row>
    <row r="294" spans="1:10" x14ac:dyDescent="0.2">
      <c r="A294" s="2">
        <v>342</v>
      </c>
      <c r="B294" s="34" t="s">
        <v>3440</v>
      </c>
      <c r="C294" t="s">
        <v>2807</v>
      </c>
      <c r="D294" s="2">
        <v>5</v>
      </c>
      <c r="E294" s="2" t="s">
        <v>785</v>
      </c>
      <c r="F294" s="2">
        <v>-2635</v>
      </c>
      <c r="G294" s="2">
        <v>2056</v>
      </c>
      <c r="H294" s="2">
        <v>345</v>
      </c>
      <c r="J294" t="str">
        <f>"{ name: "&amp;CHAR(34)&amp;B294&amp;CHAR(34)&amp;", landmark: "&amp;CHAR(34)&amp;IF(LEN(C294)=LEN(SUBSTITUTE(C294,"Transport","")),"Korok x1","Korok x2")&amp;CHAR(34)&amp;", type: "&amp;CHAR(34)&amp;C294&amp;CHAR(34)&amp;", region: "&amp;D294&amp;", level: "&amp;CHAR(34)&amp;E294&amp;CHAR(34)&amp;", x: "&amp;F294&amp;", y: "&amp;G294&amp;", z: "&amp;H294&amp;", details: "&amp;CHAR(34)&amp;I294&amp;CHAR(34)&amp;" },"</f>
        <v>{ name: "Hebra Falls Korok #03", landmark: "Korok x1", type: "Complete the Cube Puzzle", region: 5, level: "Surface", x: -2635, y: 2056, z: 345, details: "" },</v>
      </c>
    </row>
    <row r="295" spans="1:10" x14ac:dyDescent="0.2">
      <c r="A295" s="2">
        <v>326</v>
      </c>
      <c r="B295" s="34" t="s">
        <v>3644</v>
      </c>
      <c r="C295" t="s">
        <v>2808</v>
      </c>
      <c r="D295" s="2">
        <v>5</v>
      </c>
      <c r="E295" s="2" t="s">
        <v>785</v>
      </c>
      <c r="F295" s="2">
        <v>-1093</v>
      </c>
      <c r="G295" s="2">
        <v>3402</v>
      </c>
      <c r="H295" s="2">
        <v>308</v>
      </c>
      <c r="J295" t="str">
        <f>"{ name: "&amp;CHAR(34)&amp;B295&amp;CHAR(34)&amp;", landmark: "&amp;CHAR(34)&amp;IF(LEN(C295)=LEN(SUBSTITUTE(C295,"Transport","")),"Korok x1","Korok x2")&amp;CHAR(34)&amp;", type: "&amp;CHAR(34)&amp;C295&amp;CHAR(34)&amp;", region: "&amp;D295&amp;", level: "&amp;CHAR(34)&amp;E295&amp;CHAR(34)&amp;", x: "&amp;F295&amp;", y: "&amp;G295&amp;", z: "&amp;H295&amp;", details: "&amp;CHAR(34)&amp;I295&amp;CHAR(34)&amp;" },"</f>
        <v>{ name: "Mount Drena Korok #02", landmark: "Korok x1", type: "Complete the Rock Pattern", region: 5, level: "Surface", x: -1093, y: 3402, z: 308, details: "" },</v>
      </c>
    </row>
    <row r="296" spans="1:10" x14ac:dyDescent="0.2">
      <c r="A296" s="2">
        <v>330</v>
      </c>
      <c r="B296" s="34" t="s">
        <v>3645</v>
      </c>
      <c r="C296" t="s">
        <v>2815</v>
      </c>
      <c r="D296" s="2">
        <v>5</v>
      </c>
      <c r="E296" s="2" t="s">
        <v>785</v>
      </c>
      <c r="F296" s="2">
        <v>-1146</v>
      </c>
      <c r="G296" s="2">
        <v>3086</v>
      </c>
      <c r="H296" s="2">
        <v>352</v>
      </c>
      <c r="J296" t="str">
        <f>"{ name: "&amp;CHAR(34)&amp;B296&amp;CHAR(34)&amp;", landmark: "&amp;CHAR(34)&amp;IF(LEN(C296)=LEN(SUBSTITUTE(C296,"Transport","")),"Korok x1","Korok x2")&amp;CHAR(34)&amp;", type: "&amp;CHAR(34)&amp;C296&amp;CHAR(34)&amp;", region: "&amp;D296&amp;", level: "&amp;CHAR(34)&amp;E296&amp;CHAR(34)&amp;", x: "&amp;F296&amp;", y: "&amp;G296&amp;", z: "&amp;H296&amp;", details: "&amp;CHAR(34)&amp;I296&amp;CHAR(34)&amp;" },"</f>
        <v>{ name: "Mount Drena Korok #03", landmark: "Korok x1", type: "Place the Boulder", region: 5, level: "Surface", x: -1146, y: 3086, z: 352, details: "" },</v>
      </c>
    </row>
    <row r="297" spans="1:10" x14ac:dyDescent="0.2">
      <c r="A297" s="2">
        <v>331</v>
      </c>
      <c r="B297" s="34" t="s">
        <v>3646</v>
      </c>
      <c r="C297" t="s">
        <v>2826</v>
      </c>
      <c r="D297" s="2">
        <v>5</v>
      </c>
      <c r="E297" s="2" t="s">
        <v>785</v>
      </c>
      <c r="F297" s="2">
        <v>-997</v>
      </c>
      <c r="G297" s="2">
        <v>3084</v>
      </c>
      <c r="H297" s="2">
        <v>238</v>
      </c>
      <c r="J297" t="str">
        <f>"{ name: "&amp;CHAR(34)&amp;B297&amp;CHAR(34)&amp;", landmark: "&amp;CHAR(34)&amp;IF(LEN(C297)=LEN(SUBSTITUTE(C297,"Transport","")),"Korok x1","Korok x2")&amp;CHAR(34)&amp;", type: "&amp;CHAR(34)&amp;C297&amp;CHAR(34)&amp;", region: "&amp;D297&amp;", level: "&amp;CHAR(34)&amp;E297&amp;CHAR(34)&amp;", x: "&amp;F297&amp;", y: "&amp;G297&amp;", z: "&amp;H297&amp;", details: "&amp;CHAR(34)&amp;I297&amp;CHAR(34)&amp;" },"</f>
        <v>{ name: "Mount Drena Korok #04", landmark: "Korok x1", type: "Ascend Through the Marker", region: 5, level: "Surface", x: -997, y: 3084, z: 238, details: "" },</v>
      </c>
    </row>
    <row r="298" spans="1:10" x14ac:dyDescent="0.2">
      <c r="A298" s="2">
        <v>30</v>
      </c>
      <c r="B298" s="34" t="s">
        <v>3693</v>
      </c>
      <c r="C298" t="s">
        <v>2806</v>
      </c>
      <c r="D298" s="2">
        <v>5</v>
      </c>
      <c r="E298" s="2" t="s">
        <v>783</v>
      </c>
      <c r="F298" s="2">
        <v>-682</v>
      </c>
      <c r="G298" s="2">
        <v>3535</v>
      </c>
      <c r="H298" s="2">
        <v>1137</v>
      </c>
      <c r="J298" t="str">
        <f>"{ name: "&amp;CHAR(34)&amp;B298&amp;CHAR(34)&amp;", landmark: "&amp;CHAR(34)&amp;IF(LEN(C298)=LEN(SUBSTITUTE(C298,"Transport","")),"Korok x1","Korok x2")&amp;CHAR(34)&amp;", type: "&amp;CHAR(34)&amp;C298&amp;CHAR(34)&amp;", region: "&amp;D298&amp;", level: "&amp;CHAR(34)&amp;E298&amp;CHAR(34)&amp;", x: "&amp;F298&amp;", y: "&amp;G298&amp;", z: "&amp;H298&amp;", details: "&amp;CHAR(34)&amp;I298&amp;CHAR(34)&amp;" },"</f>
        <v>{ name: "North Lomei Castle Top Floor Korok", landmark: "Korok x1", type: "Catch the Dandelion", region: 5, level: "Sky", x: -682, y: 3535, z: 1137, details: "" },</v>
      </c>
    </row>
    <row r="299" spans="1:10" x14ac:dyDescent="0.2">
      <c r="A299" s="2">
        <v>323</v>
      </c>
      <c r="B299" s="34" t="s">
        <v>3694</v>
      </c>
      <c r="C299" t="s">
        <v>2807</v>
      </c>
      <c r="D299" s="2">
        <v>5</v>
      </c>
      <c r="E299" s="2" t="s">
        <v>785</v>
      </c>
      <c r="F299" s="2">
        <v>-1210</v>
      </c>
      <c r="G299" s="2">
        <v>3601</v>
      </c>
      <c r="H299" s="2">
        <v>196</v>
      </c>
      <c r="J299" t="str">
        <f>"{ name: "&amp;CHAR(34)&amp;B299&amp;CHAR(34)&amp;", landmark: "&amp;CHAR(34)&amp;IF(LEN(C299)=LEN(SUBSTITUTE(C299,"Transport","")),"Korok x1","Korok x2")&amp;CHAR(34)&amp;", type: "&amp;CHAR(34)&amp;C299&amp;CHAR(34)&amp;", region: "&amp;D299&amp;", level: "&amp;CHAR(34)&amp;E299&amp;CHAR(34)&amp;", x: "&amp;F299&amp;", y: "&amp;G299&amp;", z: "&amp;H299&amp;", details: "&amp;CHAR(34)&amp;I299&amp;CHAR(34)&amp;" },"</f>
        <v>{ name: "North Lomei Labyrinth Korok #01", landmark: "Korok x1", type: "Complete the Cube Puzzle", region: 5, level: "Surface", x: -1210, y: 3601, z: 196, details: "" },</v>
      </c>
    </row>
    <row r="300" spans="1:10" x14ac:dyDescent="0.2">
      <c r="A300" s="2">
        <v>325</v>
      </c>
      <c r="B300" s="34" t="s">
        <v>3695</v>
      </c>
      <c r="C300" t="s">
        <v>2821</v>
      </c>
      <c r="D300" s="2">
        <v>5</v>
      </c>
      <c r="E300" s="2" t="s">
        <v>785</v>
      </c>
      <c r="F300" s="2">
        <v>-681</v>
      </c>
      <c r="G300" s="2">
        <v>3535</v>
      </c>
      <c r="H300" s="2">
        <v>288</v>
      </c>
      <c r="J300" t="str">
        <f>"{ name: "&amp;CHAR(34)&amp;B300&amp;CHAR(34)&amp;", landmark: "&amp;CHAR(34)&amp;IF(LEN(C300)=LEN(SUBSTITUTE(C300,"Transport","")),"Korok x1","Korok x2")&amp;CHAR(34)&amp;", type: "&amp;CHAR(34)&amp;C300&amp;CHAR(34)&amp;", region: "&amp;D300&amp;", level: "&amp;CHAR(34)&amp;E300&amp;CHAR(34)&amp;", x: "&amp;F300&amp;", y: "&amp;G300&amp;", z: "&amp;H300&amp;", details: "&amp;CHAR(34)&amp;I300&amp;CHAR(34)&amp;" },"</f>
        <v>{ name: "North Lomei Labyrinth Korok #02", landmark: "Korok x1", type: "Shoot the Balloons", region: 5, level: "Surface", x: -681, y: 3535, z: 288, details: "" },</v>
      </c>
    </row>
    <row r="301" spans="1:10" x14ac:dyDescent="0.2">
      <c r="A301" s="2">
        <v>327</v>
      </c>
      <c r="B301" s="34" t="s">
        <v>3696</v>
      </c>
      <c r="C301" t="s">
        <v>2801</v>
      </c>
      <c r="D301" s="2">
        <v>5</v>
      </c>
      <c r="E301" s="2" t="s">
        <v>785</v>
      </c>
      <c r="F301" s="2">
        <v>-874</v>
      </c>
      <c r="G301" s="2">
        <v>3313</v>
      </c>
      <c r="H301" s="2">
        <v>228</v>
      </c>
      <c r="J301" t="str">
        <f>"{ name: "&amp;CHAR(34)&amp;B301&amp;CHAR(34)&amp;", landmark: "&amp;CHAR(34)&amp;IF(LEN(C301)=LEN(SUBSTITUTE(C301,"Transport","")),"Korok x1","Korok x2")&amp;CHAR(34)&amp;", type: "&amp;CHAR(34)&amp;C301&amp;CHAR(34)&amp;", region: "&amp;D301&amp;", level: "&amp;CHAR(34)&amp;E301&amp;CHAR(34)&amp;", x: "&amp;F301&amp;", y: "&amp;G301&amp;", z: "&amp;H301&amp;", details: "&amp;CHAR(34)&amp;I301&amp;CHAR(34)&amp;" },"</f>
        <v>{ name: "North Lomei Labyrinth Korok #03", landmark: "Korok x1", type: "Break the Acorn Pot", region: 5, level: "Surface", x: -874, y: 3313, z: 228, details: "" },</v>
      </c>
    </row>
    <row r="302" spans="1:10" x14ac:dyDescent="0.2">
      <c r="A302" s="2">
        <v>319</v>
      </c>
      <c r="B302" s="34" t="s">
        <v>3703</v>
      </c>
      <c r="C302" t="s">
        <v>2821</v>
      </c>
      <c r="D302" s="2">
        <v>5</v>
      </c>
      <c r="E302" s="2" t="s">
        <v>785</v>
      </c>
      <c r="F302" s="2">
        <v>-2359</v>
      </c>
      <c r="G302" s="2">
        <v>3678</v>
      </c>
      <c r="H302" s="2">
        <v>277</v>
      </c>
      <c r="J302" t="str">
        <f>"{ name: "&amp;CHAR(34)&amp;B302&amp;CHAR(34)&amp;", landmark: "&amp;CHAR(34)&amp;IF(LEN(C302)=LEN(SUBSTITUTE(C302,"Transport","")),"Korok x1","Korok x2")&amp;CHAR(34)&amp;", type: "&amp;CHAR(34)&amp;C302&amp;CHAR(34)&amp;", region: "&amp;D302&amp;", level: "&amp;CHAR(34)&amp;E302&amp;CHAR(34)&amp;", x: "&amp;F302&amp;", y: "&amp;G302&amp;", z: "&amp;H302&amp;", details: "&amp;CHAR(34)&amp;I302&amp;CHAR(34)&amp;" },"</f>
        <v>{ name: "North of Pikida Stonegrove Korok", landmark: "Korok x1", type: "Shoot the Balloons", region: 5, level: "Surface", x: -2359, y: 3678, z: 277, details: "" },</v>
      </c>
    </row>
    <row r="303" spans="1:10" x14ac:dyDescent="0.2">
      <c r="A303" s="2">
        <v>320</v>
      </c>
      <c r="B303" s="34" t="s">
        <v>3706</v>
      </c>
      <c r="C303" t="s">
        <v>2812</v>
      </c>
      <c r="D303" s="2">
        <v>5</v>
      </c>
      <c r="E303" s="2" t="s">
        <v>785</v>
      </c>
      <c r="F303" s="2">
        <v>-1972</v>
      </c>
      <c r="G303" s="2">
        <v>3796</v>
      </c>
      <c r="H303" s="2">
        <v>314</v>
      </c>
      <c r="J303" t="str">
        <f>"{ name: "&amp;CHAR(34)&amp;B303&amp;CHAR(34)&amp;", landmark: "&amp;CHAR(34)&amp;IF(LEN(C303)=LEN(SUBSTITUTE(C303,"Transport","")),"Korok x1","Korok x2")&amp;CHAR(34)&amp;", type: "&amp;CHAR(34)&amp;C303&amp;CHAR(34)&amp;", region: "&amp;D303&amp;", level: "&amp;CHAR(34)&amp;E303&amp;CHAR(34)&amp;", x: "&amp;F303&amp;", y: "&amp;G303&amp;", z: "&amp;H303&amp;", details: "&amp;CHAR(34)&amp;I303&amp;CHAR(34)&amp;" },"</f>
        <v>{ name: "North Tabantha Snowfield Korok #01", landmark: "Korok x1", type: "Lift the Rock", region: 5, level: "Surface", x: -1972, y: 3796, z: 314, details: "" },</v>
      </c>
    </row>
    <row r="304" spans="1:10" x14ac:dyDescent="0.2">
      <c r="A304" s="2">
        <v>321</v>
      </c>
      <c r="B304" s="34" t="s">
        <v>3707</v>
      </c>
      <c r="C304" t="s">
        <v>2824</v>
      </c>
      <c r="D304" s="2">
        <v>5</v>
      </c>
      <c r="E304" s="2" t="s">
        <v>785</v>
      </c>
      <c r="F304" s="2">
        <v>-1671</v>
      </c>
      <c r="G304" s="2">
        <v>3759</v>
      </c>
      <c r="H304" s="2">
        <v>240</v>
      </c>
      <c r="J304" t="str">
        <f>"{ name: "&amp;CHAR(34)&amp;B304&amp;CHAR(34)&amp;", landmark: "&amp;CHAR(34)&amp;IF(LEN(C304)=LEN(SUBSTITUTE(C304,"Transport","")),"Korok x1","Korok x2")&amp;CHAR(34)&amp;", type: "&amp;CHAR(34)&amp;C304&amp;CHAR(34)&amp;", region: "&amp;D304&amp;", level: "&amp;CHAR(34)&amp;E304&amp;CHAR(34)&amp;", x: "&amp;F304&amp;", y: "&amp;G304&amp;", z: "&amp;H304&amp;", details: "&amp;CHAR(34)&amp;I304&amp;CHAR(34)&amp;" },"</f>
        <v>{ name: "North Tabantha Snowfield Korok #02", landmark: "Korok x1", type: "Catch the Moving Sparkle", region: 5, level: "Surface", x: -1671, y: 3759, z: 240, details: "" },</v>
      </c>
    </row>
    <row r="305" spans="1:10" x14ac:dyDescent="0.2">
      <c r="A305" s="2">
        <v>322</v>
      </c>
      <c r="B305" s="34" t="s">
        <v>3708</v>
      </c>
      <c r="C305" t="s">
        <v>2812</v>
      </c>
      <c r="D305" s="2">
        <v>5</v>
      </c>
      <c r="E305" s="2" t="s">
        <v>785</v>
      </c>
      <c r="F305" s="2">
        <v>-1763</v>
      </c>
      <c r="G305" s="2">
        <v>3554</v>
      </c>
      <c r="H305" s="2">
        <v>235</v>
      </c>
      <c r="J305" t="str">
        <f>"{ name: "&amp;CHAR(34)&amp;B305&amp;CHAR(34)&amp;", landmark: "&amp;CHAR(34)&amp;IF(LEN(C305)=LEN(SUBSTITUTE(C305,"Transport","")),"Korok x1","Korok x2")&amp;CHAR(34)&amp;", type: "&amp;CHAR(34)&amp;C305&amp;CHAR(34)&amp;", region: "&amp;D305&amp;", level: "&amp;CHAR(34)&amp;E305&amp;CHAR(34)&amp;", x: "&amp;F305&amp;", y: "&amp;G305&amp;", z: "&amp;H305&amp;", details: "&amp;CHAR(34)&amp;I305&amp;CHAR(34)&amp;" },"</f>
        <v>{ name: "North Tabantha Snowfield Korok #03", landmark: "Korok x1", type: "Lift the Rock", region: 5, level: "Surface", x: -1763, y: 3554, z: 235, details: "" },</v>
      </c>
    </row>
    <row r="306" spans="1:10" x14ac:dyDescent="0.2">
      <c r="A306" s="2">
        <v>324</v>
      </c>
      <c r="B306" s="34" t="s">
        <v>3709</v>
      </c>
      <c r="C306" t="s">
        <v>2802</v>
      </c>
      <c r="D306" s="2">
        <v>5</v>
      </c>
      <c r="E306" s="2" t="s">
        <v>785</v>
      </c>
      <c r="F306" s="2">
        <v>-1033</v>
      </c>
      <c r="G306" s="2">
        <v>3518</v>
      </c>
      <c r="H306" s="2">
        <v>231</v>
      </c>
      <c r="I306" t="s">
        <v>2681</v>
      </c>
      <c r="J306" t="str">
        <f>"{ name: "&amp;CHAR(34)&amp;B306&amp;CHAR(34)&amp;", landmark: "&amp;CHAR(34)&amp;IF(LEN(C306)=LEN(SUBSTITUTE(C306,"Transport","")),"Korok x1","Korok x2")&amp;CHAR(34)&amp;", type: "&amp;CHAR(34)&amp;C306&amp;CHAR(34)&amp;", region: "&amp;D306&amp;", level: "&amp;CHAR(34)&amp;E306&amp;CHAR(34)&amp;", x: "&amp;F306&amp;", y: "&amp;G306&amp;", z: "&amp;H306&amp;", details: "&amp;CHAR(34)&amp;I306&amp;CHAR(34)&amp;" },"</f>
        <v>{ name: "North Tabantha Snowfield Korok #04", landmark: "Korok x2", type: "Transport to Friend", region: 5, level: "Surface", x: -1033, y: 3518, z: 231, details: "Starts at (-1384, 3630, 257)" },</v>
      </c>
    </row>
    <row r="307" spans="1:10" x14ac:dyDescent="0.2">
      <c r="A307" s="2">
        <v>328</v>
      </c>
      <c r="B307" s="34" t="s">
        <v>3746</v>
      </c>
      <c r="C307" t="s">
        <v>2802</v>
      </c>
      <c r="D307" s="2">
        <v>5</v>
      </c>
      <c r="E307" s="2" t="s">
        <v>785</v>
      </c>
      <c r="F307" s="2">
        <v>-2373</v>
      </c>
      <c r="G307" s="2">
        <v>3018</v>
      </c>
      <c r="H307" s="2">
        <v>442</v>
      </c>
      <c r="I307" t="s">
        <v>2680</v>
      </c>
      <c r="J307" t="str">
        <f>"{ name: "&amp;CHAR(34)&amp;B307&amp;CHAR(34)&amp;", landmark: "&amp;CHAR(34)&amp;IF(LEN(C307)=LEN(SUBSTITUTE(C307,"Transport","")),"Korok x1","Korok x2")&amp;CHAR(34)&amp;", type: "&amp;CHAR(34)&amp;C307&amp;CHAR(34)&amp;", region: "&amp;D307&amp;", level: "&amp;CHAR(34)&amp;E307&amp;CHAR(34)&amp;", x: "&amp;F307&amp;", y: "&amp;G307&amp;", z: "&amp;H307&amp;", details: "&amp;CHAR(34)&amp;I307&amp;CHAR(34)&amp;" },"</f>
        <v>{ name: "Pikida Stonegrove Korok #01", landmark: "Korok x2", type: "Transport to Friend", region: 5, level: "Surface", x: -2373, y: 3018, z: 442, details: "Starts at (-2337, 2957, 405)" },</v>
      </c>
    </row>
    <row r="308" spans="1:10" x14ac:dyDescent="0.2">
      <c r="A308" s="2">
        <v>329</v>
      </c>
      <c r="B308" s="34" t="s">
        <v>3747</v>
      </c>
      <c r="C308" t="s">
        <v>2827</v>
      </c>
      <c r="D308" s="2">
        <v>5</v>
      </c>
      <c r="E308" s="2" t="s">
        <v>785</v>
      </c>
      <c r="F308" s="2">
        <v>-1969</v>
      </c>
      <c r="G308" s="2">
        <v>3113</v>
      </c>
      <c r="H308" s="2">
        <v>354</v>
      </c>
      <c r="I308" t="s">
        <v>2778</v>
      </c>
      <c r="J308" t="str">
        <f>"{ name: "&amp;CHAR(34)&amp;B308&amp;CHAR(34)&amp;", landmark: "&amp;CHAR(34)&amp;IF(LEN(C308)=LEN(SUBSTITUTE(C308,"Transport","")),"Korok x1","Korok x2")&amp;CHAR(34)&amp;", type: "&amp;CHAR(34)&amp;C308&amp;CHAR(34)&amp;", region: "&amp;D308&amp;", level: "&amp;CHAR(34)&amp;E308&amp;CHAR(34)&amp;", x: "&amp;F308&amp;", y: "&amp;G308&amp;", z: "&amp;H308&amp;", details: "&amp;CHAR(34)&amp;I308&amp;CHAR(34)&amp;" },"</f>
        <v>{ name: "Pikida Stonegrove Korok #02", landmark: "Korok x1", type: "Paraglide to the Goal", region: 5, level: "Surface", x: -1969, y: 3113, z: 354, details: "Starts at (-2002, 3147, 385)" },</v>
      </c>
    </row>
    <row r="309" spans="1:10" x14ac:dyDescent="0.2">
      <c r="A309" s="2">
        <v>334</v>
      </c>
      <c r="B309" s="34" t="s">
        <v>3857</v>
      </c>
      <c r="C309" t="s">
        <v>2826</v>
      </c>
      <c r="D309" s="2">
        <v>5</v>
      </c>
      <c r="E309" s="2" t="s">
        <v>785</v>
      </c>
      <c r="F309" s="2">
        <v>-1720</v>
      </c>
      <c r="G309" s="2">
        <v>2557</v>
      </c>
      <c r="H309" s="2">
        <v>252</v>
      </c>
      <c r="J309" t="str">
        <f>"{ name: "&amp;CHAR(34)&amp;B309&amp;CHAR(34)&amp;", landmark: "&amp;CHAR(34)&amp;IF(LEN(C309)=LEN(SUBSTITUTE(C309,"Transport","")),"Korok x1","Korok x2")&amp;CHAR(34)&amp;", type: "&amp;CHAR(34)&amp;C309&amp;CHAR(34)&amp;", region: "&amp;D309&amp;", level: "&amp;CHAR(34)&amp;E309&amp;CHAR(34)&amp;", x: "&amp;F309&amp;", y: "&amp;G309&amp;", z: "&amp;H309&amp;", details: "&amp;CHAR(34)&amp;I309&amp;CHAR(34)&amp;" },"</f>
        <v>{ name: "Snowfield Stable Korok", landmark: "Korok x1", type: "Ascend Through the Marker", region: 5, level: "Surface", x: -1720, y: 2557, z: 252, details: "" },</v>
      </c>
    </row>
    <row r="310" spans="1:10" x14ac:dyDescent="0.2">
      <c r="A310" s="2">
        <v>332</v>
      </c>
      <c r="B310" s="34" t="s">
        <v>3875</v>
      </c>
      <c r="C310" t="s">
        <v>2802</v>
      </c>
      <c r="D310" s="2">
        <v>5</v>
      </c>
      <c r="E310" s="2" t="s">
        <v>785</v>
      </c>
      <c r="F310" s="2">
        <v>-1347</v>
      </c>
      <c r="G310" s="2">
        <v>2792</v>
      </c>
      <c r="H310" s="2">
        <v>204</v>
      </c>
      <c r="I310" t="s">
        <v>2685</v>
      </c>
      <c r="J310" t="str">
        <f>"{ name: "&amp;CHAR(34)&amp;B310&amp;CHAR(34)&amp;", landmark: "&amp;CHAR(34)&amp;IF(LEN(C310)=LEN(SUBSTITUTE(C310,"Transport","")),"Korok x1","Korok x2")&amp;CHAR(34)&amp;", type: "&amp;CHAR(34)&amp;C310&amp;CHAR(34)&amp;", region: "&amp;D310&amp;", level: "&amp;CHAR(34)&amp;E310&amp;CHAR(34)&amp;", x: "&amp;F310&amp;", y: "&amp;G310&amp;", z: "&amp;H310&amp;", details: "&amp;CHAR(34)&amp;I310&amp;CHAR(34)&amp;" },"</f>
        <v>{ name: "South Tabantha Snowfield Korok #01", landmark: "Korok x2", type: "Transport to Friend", region: 5, level: "Surface", x: -1347, y: 2792, z: 204, details: "Starts at (-1540, 2554, 239)" },</v>
      </c>
    </row>
    <row r="311" spans="1:10" x14ac:dyDescent="0.2">
      <c r="A311" s="2">
        <v>333</v>
      </c>
      <c r="B311" s="34" t="s">
        <v>3876</v>
      </c>
      <c r="C311" t="s">
        <v>2808</v>
      </c>
      <c r="D311" s="2">
        <v>5</v>
      </c>
      <c r="E311" s="2" t="s">
        <v>785</v>
      </c>
      <c r="F311" s="2">
        <v>-2078</v>
      </c>
      <c r="G311" s="2">
        <v>2590</v>
      </c>
      <c r="H311" s="2">
        <v>302</v>
      </c>
      <c r="J311" t="str">
        <f>"{ name: "&amp;CHAR(34)&amp;B311&amp;CHAR(34)&amp;", landmark: "&amp;CHAR(34)&amp;IF(LEN(C311)=LEN(SUBSTITUTE(C311,"Transport","")),"Korok x1","Korok x2")&amp;CHAR(34)&amp;", type: "&amp;CHAR(34)&amp;C311&amp;CHAR(34)&amp;", region: "&amp;D311&amp;", level: "&amp;CHAR(34)&amp;E311&amp;CHAR(34)&amp;", x: "&amp;F311&amp;", y: "&amp;G311&amp;", z: "&amp;H311&amp;", details: "&amp;CHAR(34)&amp;I311&amp;CHAR(34)&amp;" },"</f>
        <v>{ name: "South Tabantha Snowfield Korok #02", landmark: "Korok x1", type: "Complete the Rock Pattern", region: 5, level: "Surface", x: -2078, y: 2590, z: 302, details: "" },</v>
      </c>
    </row>
    <row r="312" spans="1:10" x14ac:dyDescent="0.2">
      <c r="A312" s="2">
        <v>336</v>
      </c>
      <c r="B312" s="34" t="s">
        <v>3877</v>
      </c>
      <c r="C312" t="s">
        <v>2814</v>
      </c>
      <c r="D312" s="2">
        <v>5</v>
      </c>
      <c r="E312" s="2" t="s">
        <v>785</v>
      </c>
      <c r="F312" s="2">
        <v>-1653</v>
      </c>
      <c r="G312" s="2">
        <v>2437</v>
      </c>
      <c r="H312" s="2">
        <v>241</v>
      </c>
      <c r="J312" t="str">
        <f>"{ name: "&amp;CHAR(34)&amp;B312&amp;CHAR(34)&amp;", landmark: "&amp;CHAR(34)&amp;IF(LEN(C312)=LEN(SUBSTITUTE(C312,"Transport","")),"Korok x1","Korok x2")&amp;CHAR(34)&amp;", type: "&amp;CHAR(34)&amp;C312&amp;CHAR(34)&amp;", region: "&amp;D312&amp;", level: "&amp;CHAR(34)&amp;E312&amp;CHAR(34)&amp;", x: "&amp;F312&amp;", y: "&amp;G312&amp;", z: "&amp;H312&amp;", details: "&amp;CHAR(34)&amp;I312&amp;CHAR(34)&amp;" },"</f>
        <v>{ name: "South Tabantha Snowfield Korok #03", landmark: "Korok x1", type: "Make Offering to Statue", region: 5, level: "Surface", x: -1653, y: 2437, z: 241, details: "" },</v>
      </c>
    </row>
    <row r="313" spans="1:10" x14ac:dyDescent="0.2">
      <c r="A313" s="2">
        <v>341</v>
      </c>
      <c r="B313" s="34" t="s">
        <v>3878</v>
      </c>
      <c r="C313" t="s">
        <v>2812</v>
      </c>
      <c r="D313" s="2">
        <v>5</v>
      </c>
      <c r="E313" s="2" t="s">
        <v>785</v>
      </c>
      <c r="F313" s="2">
        <v>-1811</v>
      </c>
      <c r="G313" s="2">
        <v>2198</v>
      </c>
      <c r="H313" s="2">
        <v>274</v>
      </c>
      <c r="J313" t="str">
        <f>"{ name: "&amp;CHAR(34)&amp;B313&amp;CHAR(34)&amp;", landmark: "&amp;CHAR(34)&amp;IF(LEN(C313)=LEN(SUBSTITUTE(C313,"Transport","")),"Korok x1","Korok x2")&amp;CHAR(34)&amp;", type: "&amp;CHAR(34)&amp;C313&amp;CHAR(34)&amp;", region: "&amp;D313&amp;", level: "&amp;CHAR(34)&amp;E313&amp;CHAR(34)&amp;", x: "&amp;F313&amp;", y: "&amp;G313&amp;", z: "&amp;H313&amp;", details: "&amp;CHAR(34)&amp;I313&amp;CHAR(34)&amp;" },"</f>
        <v>{ name: "South Tabantha Snowfield Korok #04", landmark: "Korok x1", type: "Lift the Rock", region: 5, level: "Surface", x: -1811, y: 2198, z: 274, details: "" },</v>
      </c>
    </row>
    <row r="314" spans="1:10" x14ac:dyDescent="0.2">
      <c r="A314" s="2">
        <v>345</v>
      </c>
      <c r="B314" s="34" t="s">
        <v>3879</v>
      </c>
      <c r="C314" t="s">
        <v>2801</v>
      </c>
      <c r="D314" s="2">
        <v>5</v>
      </c>
      <c r="E314" s="2" t="s">
        <v>785</v>
      </c>
      <c r="F314" s="2">
        <v>-2075</v>
      </c>
      <c r="G314" s="2">
        <v>2078</v>
      </c>
      <c r="H314" s="2">
        <v>290</v>
      </c>
      <c r="J314" t="str">
        <f>"{ name: "&amp;CHAR(34)&amp;B314&amp;CHAR(34)&amp;", landmark: "&amp;CHAR(34)&amp;IF(LEN(C314)=LEN(SUBSTITUTE(C314,"Transport","")),"Korok x1","Korok x2")&amp;CHAR(34)&amp;", type: "&amp;CHAR(34)&amp;C314&amp;CHAR(34)&amp;", region: "&amp;D314&amp;", level: "&amp;CHAR(34)&amp;E314&amp;CHAR(34)&amp;", x: "&amp;F314&amp;", y: "&amp;G314&amp;", z: "&amp;H314&amp;", details: "&amp;CHAR(34)&amp;I314&amp;CHAR(34)&amp;" },"</f>
        <v>{ name: "South Tabantha Snowfield Korok #05", landmark: "Korok x1", type: "Break the Acorn Pot", region: 5, level: "Surface", x: -2075, y: 2078, z: 290, details: "" },</v>
      </c>
    </row>
    <row r="315" spans="1:10" x14ac:dyDescent="0.2">
      <c r="A315" s="2">
        <v>340</v>
      </c>
      <c r="B315" s="34" t="s">
        <v>3909</v>
      </c>
      <c r="C315" t="s">
        <v>2815</v>
      </c>
      <c r="D315" s="2">
        <v>5</v>
      </c>
      <c r="E315" s="2" t="s">
        <v>785</v>
      </c>
      <c r="F315" s="2">
        <v>-2268</v>
      </c>
      <c r="G315" s="2">
        <v>2284</v>
      </c>
      <c r="H315" s="2">
        <v>332</v>
      </c>
      <c r="J315" t="str">
        <f>"{ name: "&amp;CHAR(34)&amp;B315&amp;CHAR(34)&amp;", landmark: "&amp;CHAR(34)&amp;IF(LEN(C315)=LEN(SUBSTITUTE(C315,"Transport","")),"Korok x1","Korok x2")&amp;CHAR(34)&amp;", type: "&amp;CHAR(34)&amp;C315&amp;CHAR(34)&amp;", region: "&amp;D315&amp;", level: "&amp;CHAR(34)&amp;E315&amp;CHAR(34)&amp;", x: "&amp;F315&amp;", y: "&amp;G315&amp;", z: "&amp;H315&amp;", details: "&amp;CHAR(34)&amp;I315&amp;CHAR(34)&amp;" },"</f>
        <v>{ name: "Tabantha Hills Korok #03", landmark: "Korok x1", type: "Place the Boulder", region: 5, level: "Surface", x: -2268, y: 2284, z: 332, details: "" },</v>
      </c>
    </row>
    <row r="316" spans="1:10" x14ac:dyDescent="0.2">
      <c r="A316" s="2">
        <v>343</v>
      </c>
      <c r="B316" s="34" t="s">
        <v>3910</v>
      </c>
      <c r="C316" t="s">
        <v>2821</v>
      </c>
      <c r="D316" s="2">
        <v>5</v>
      </c>
      <c r="E316" s="2" t="s">
        <v>785</v>
      </c>
      <c r="F316" s="2">
        <v>-2385</v>
      </c>
      <c r="G316" s="2">
        <v>2137</v>
      </c>
      <c r="H316" s="2">
        <v>395</v>
      </c>
      <c r="J316" t="str">
        <f>"{ name: "&amp;CHAR(34)&amp;B316&amp;CHAR(34)&amp;", landmark: "&amp;CHAR(34)&amp;IF(LEN(C316)=LEN(SUBSTITUTE(C316,"Transport","")),"Korok x1","Korok x2")&amp;CHAR(34)&amp;", type: "&amp;CHAR(34)&amp;C316&amp;CHAR(34)&amp;", region: "&amp;D316&amp;", level: "&amp;CHAR(34)&amp;E316&amp;CHAR(34)&amp;", x: "&amp;F316&amp;", y: "&amp;G316&amp;", z: "&amp;H316&amp;", details: "&amp;CHAR(34)&amp;I316&amp;CHAR(34)&amp;" },"</f>
        <v>{ name: "Tabantha Hills Korok #04", landmark: "Korok x1", type: "Shoot the Balloons", region: 5, level: "Surface", x: -2385, y: 2137, z: 395, details: "" },</v>
      </c>
    </row>
    <row r="317" spans="1:10" x14ac:dyDescent="0.2">
      <c r="A317" s="2">
        <v>344</v>
      </c>
      <c r="B317" s="34" t="s">
        <v>3911</v>
      </c>
      <c r="C317" t="s">
        <v>2803</v>
      </c>
      <c r="D317" s="2">
        <v>5</v>
      </c>
      <c r="E317" s="2" t="s">
        <v>785</v>
      </c>
      <c r="F317" s="2">
        <v>-2207</v>
      </c>
      <c r="G317" s="2">
        <v>2091</v>
      </c>
      <c r="H317" s="2">
        <v>325</v>
      </c>
      <c r="J317" t="str">
        <f>"{ name: "&amp;CHAR(34)&amp;B317&amp;CHAR(34)&amp;", landmark: "&amp;CHAR(34)&amp;IF(LEN(C317)=LEN(SUBSTITUTE(C317,"Transport","")),"Korok x1","Korok x2")&amp;CHAR(34)&amp;", type: "&amp;CHAR(34)&amp;C317&amp;CHAR(34)&amp;", region: "&amp;D317&amp;", level: "&amp;CHAR(34)&amp;E317&amp;CHAR(34)&amp;", x: "&amp;F317&amp;", y: "&amp;G317&amp;", z: "&amp;H317&amp;", details: "&amp;CHAR(34)&amp;I317&amp;CHAR(34)&amp;" },"</f>
        <v>{ name: "Tabantha Hills Korok #05", landmark: "Korok x1", type: "Build a Roof", region: 5, level: "Surface", x: -2207, y: 2091, z: 325, details: "" },</v>
      </c>
    </row>
    <row r="318" spans="1:10" x14ac:dyDescent="0.2">
      <c r="A318" s="2">
        <v>335</v>
      </c>
      <c r="B318" s="34" t="s">
        <v>3926</v>
      </c>
      <c r="C318" t="s">
        <v>2807</v>
      </c>
      <c r="D318" s="2">
        <v>5</v>
      </c>
      <c r="E318" s="2" t="s">
        <v>785</v>
      </c>
      <c r="F318" s="2">
        <v>-1052</v>
      </c>
      <c r="G318" s="2">
        <v>2617</v>
      </c>
      <c r="H318" s="2">
        <v>36</v>
      </c>
      <c r="J318" t="str">
        <f>"{ name: "&amp;CHAR(34)&amp;B318&amp;CHAR(34)&amp;", landmark: "&amp;CHAR(34)&amp;IF(LEN(C318)=LEN(SUBSTITUTE(C318,"Transport","")),"Korok x1","Korok x2")&amp;CHAR(34)&amp;", type: "&amp;CHAR(34)&amp;C318&amp;CHAR(34)&amp;", region: "&amp;D318&amp;", level: "&amp;CHAR(34)&amp;E318&amp;CHAR(34)&amp;", x: "&amp;F318&amp;", y: "&amp;G318&amp;", z: "&amp;H318&amp;", details: "&amp;CHAR(34)&amp;I318&amp;CHAR(34)&amp;" },"</f>
        <v>{ name: "Tanagar Canyon Korok #05", landmark: "Korok x1", type: "Complete the Cube Puzzle", region: 5, level: "Surface", x: -1052, y: 2617, z: 36, details: "" },</v>
      </c>
    </row>
    <row r="319" spans="1:10" x14ac:dyDescent="0.2">
      <c r="A319" s="2">
        <v>337</v>
      </c>
      <c r="B319" s="34" t="s">
        <v>3927</v>
      </c>
      <c r="C319" t="s">
        <v>2815</v>
      </c>
      <c r="D319" s="2">
        <v>5</v>
      </c>
      <c r="E319" s="2" t="s">
        <v>785</v>
      </c>
      <c r="F319" s="2">
        <v>-1461</v>
      </c>
      <c r="G319" s="2">
        <v>2366</v>
      </c>
      <c r="H319" s="2">
        <v>146</v>
      </c>
      <c r="J319" t="str">
        <f>"{ name: "&amp;CHAR(34)&amp;B319&amp;CHAR(34)&amp;", landmark: "&amp;CHAR(34)&amp;IF(LEN(C319)=LEN(SUBSTITUTE(C319,"Transport","")),"Korok x1","Korok x2")&amp;CHAR(34)&amp;", type: "&amp;CHAR(34)&amp;C319&amp;CHAR(34)&amp;", region: "&amp;D319&amp;", level: "&amp;CHAR(34)&amp;E319&amp;CHAR(34)&amp;", x: "&amp;F319&amp;", y: "&amp;G319&amp;", z: "&amp;H319&amp;", details: "&amp;CHAR(34)&amp;I319&amp;CHAR(34)&amp;" },"</f>
        <v>{ name: "Tanagar Canyon Korok #06", landmark: "Korok x1", type: "Place the Boulder", region: 5, level: "Surface", x: -1461, y: 2366, z: 146, details: "" },</v>
      </c>
    </row>
    <row r="320" spans="1:10" x14ac:dyDescent="0.2">
      <c r="A320" s="2">
        <v>346</v>
      </c>
      <c r="B320" s="34" t="s">
        <v>3928</v>
      </c>
      <c r="C320" t="s">
        <v>2821</v>
      </c>
      <c r="D320" s="2">
        <v>5</v>
      </c>
      <c r="E320" s="2" t="s">
        <v>785</v>
      </c>
      <c r="F320" s="2">
        <v>-1580</v>
      </c>
      <c r="G320" s="2">
        <v>2133</v>
      </c>
      <c r="H320" s="2">
        <v>-35</v>
      </c>
      <c r="J320" t="str">
        <f>"{ name: "&amp;CHAR(34)&amp;B320&amp;CHAR(34)&amp;", landmark: "&amp;CHAR(34)&amp;IF(LEN(C320)=LEN(SUBSTITUTE(C320,"Transport","")),"Korok x1","Korok x2")&amp;CHAR(34)&amp;", type: "&amp;CHAR(34)&amp;C320&amp;CHAR(34)&amp;", region: "&amp;D320&amp;", level: "&amp;CHAR(34)&amp;E320&amp;CHAR(34)&amp;", x: "&amp;F320&amp;", y: "&amp;G320&amp;", z: "&amp;H320&amp;", details: "&amp;CHAR(34)&amp;I320&amp;CHAR(34)&amp;" },"</f>
        <v>{ name: "Tanagar Canyon Korok #07", landmark: "Korok x1", type: "Shoot the Balloons", region: 5, level: "Surface", x: -1580, y: 2133, z: -35, details: "" },</v>
      </c>
    </row>
    <row r="321" spans="1:10" x14ac:dyDescent="0.2">
      <c r="A321" s="2">
        <v>361</v>
      </c>
      <c r="B321" s="34" t="s">
        <v>3173</v>
      </c>
      <c r="C321" t="s">
        <v>2814</v>
      </c>
      <c r="D321" s="2">
        <v>6</v>
      </c>
      <c r="E321" s="2" t="s">
        <v>785</v>
      </c>
      <c r="F321" s="2">
        <v>-670</v>
      </c>
      <c r="G321" s="2">
        <v>1967</v>
      </c>
      <c r="H321" s="2">
        <v>134</v>
      </c>
      <c r="J321" t="str">
        <f>"{ name: "&amp;CHAR(34)&amp;B321&amp;CHAR(34)&amp;", landmark: "&amp;CHAR(34)&amp;IF(LEN(C321)=LEN(SUBSTITUTE(C321,"Transport","")),"Korok x1","Korok x2")&amp;CHAR(34)&amp;", type: "&amp;CHAR(34)&amp;C321&amp;CHAR(34)&amp;", region: "&amp;D321&amp;", level: "&amp;CHAR(34)&amp;E321&amp;CHAR(34)&amp;", x: "&amp;F321&amp;", y: "&amp;G321&amp;", z: "&amp;H321&amp;", details: "&amp;CHAR(34)&amp;I321&amp;CHAR(34)&amp;" },"</f>
        <v>{ name: "Aldor Foothills Korok", landmark: "Korok x1", type: "Make Offering to Statue", region: 6, level: "Surface", x: -670, y: 1967, z: 134, details: "" },</v>
      </c>
    </row>
    <row r="322" spans="1:10" x14ac:dyDescent="0.2">
      <c r="A322" s="2">
        <v>33</v>
      </c>
      <c r="B322" s="34" t="s">
        <v>3208</v>
      </c>
      <c r="C322" t="s">
        <v>2806</v>
      </c>
      <c r="D322" s="2">
        <v>6</v>
      </c>
      <c r="E322" s="2" t="s">
        <v>783</v>
      </c>
      <c r="F322" s="2">
        <v>285</v>
      </c>
      <c r="G322" s="2">
        <v>1960</v>
      </c>
      <c r="H322" s="2">
        <v>704</v>
      </c>
      <c r="J322" t="str">
        <f>"{ name: "&amp;CHAR(34)&amp;B322&amp;CHAR(34)&amp;", landmark: "&amp;CHAR(34)&amp;IF(LEN(C322)=LEN(SUBSTITUTE(C322,"Transport","")),"Korok x1","Korok x2")&amp;CHAR(34)&amp;", type: "&amp;CHAR(34)&amp;C322&amp;CHAR(34)&amp;", region: "&amp;D322&amp;", level: "&amp;CHAR(34)&amp;E322&amp;CHAR(34)&amp;", x: "&amp;F322&amp;", y: "&amp;G322&amp;", z: "&amp;H322&amp;", details: "&amp;CHAR(34)&amp;I322&amp;CHAR(34)&amp;" },"</f>
        <v>{ name: "Bravery Island Korok", landmark: "Korok x1", type: "Catch the Dandelion", region: 6, level: "Sky", x: 285, y: 1960, z: 704, details: "" },</v>
      </c>
    </row>
    <row r="323" spans="1:10" x14ac:dyDescent="0.2">
      <c r="A323" s="2">
        <v>359</v>
      </c>
      <c r="B323" s="34" t="s">
        <v>3256</v>
      </c>
      <c r="C323" t="s">
        <v>2802</v>
      </c>
      <c r="D323" s="2">
        <v>6</v>
      </c>
      <c r="E323" s="2" t="s">
        <v>785</v>
      </c>
      <c r="F323" s="2">
        <v>773</v>
      </c>
      <c r="G323" s="2">
        <v>2857</v>
      </c>
      <c r="H323" s="2">
        <v>216</v>
      </c>
      <c r="I323" t="s">
        <v>2639</v>
      </c>
      <c r="J323" t="str">
        <f>"{ name: "&amp;CHAR(34)&amp;B323&amp;CHAR(34)&amp;", landmark: "&amp;CHAR(34)&amp;IF(LEN(C323)=LEN(SUBSTITUTE(C323,"Transport","")),"Korok x1","Korok x2")&amp;CHAR(34)&amp;", type: "&amp;CHAR(34)&amp;C323&amp;CHAR(34)&amp;", region: "&amp;D323&amp;", level: "&amp;CHAR(34)&amp;E323&amp;CHAR(34)&amp;", x: "&amp;F323&amp;", y: "&amp;G323&amp;", z: "&amp;H323&amp;", details: "&amp;CHAR(34)&amp;I323&amp;CHAR(34)&amp;" },"</f>
        <v>{ name: "Darunia Lake Korok #01", landmark: "Korok x2", type: "Transport to Friend", region: 6, level: "Surface", x: 773, y: 2857, z: 216, details: "Starts at (1249, 3005, 422)" },</v>
      </c>
    </row>
    <row r="324" spans="1:10" x14ac:dyDescent="0.2">
      <c r="A324" s="2">
        <v>351</v>
      </c>
      <c r="B324" s="34" t="s">
        <v>3277</v>
      </c>
      <c r="C324" t="s">
        <v>2808</v>
      </c>
      <c r="D324" s="2">
        <v>6</v>
      </c>
      <c r="E324" s="2" t="s">
        <v>785</v>
      </c>
      <c r="F324" s="2">
        <v>-477</v>
      </c>
      <c r="G324" s="2">
        <v>3133</v>
      </c>
      <c r="H324" s="2">
        <v>120</v>
      </c>
      <c r="J324" t="str">
        <f>"{ name: "&amp;CHAR(34)&amp;B324&amp;CHAR(34)&amp;", landmark: "&amp;CHAR(34)&amp;IF(LEN(C324)=LEN(SUBSTITUTE(C324,"Transport","")),"Korok x1","Korok x2")&amp;CHAR(34)&amp;", type: "&amp;CHAR(34)&amp;C324&amp;CHAR(34)&amp;", region: "&amp;D324&amp;", level: "&amp;CHAR(34)&amp;E324&amp;CHAR(34)&amp;", x: "&amp;F324&amp;", y: "&amp;G324&amp;", z: "&amp;H324&amp;", details: "&amp;CHAR(34)&amp;I324&amp;CHAR(34)&amp;" },"</f>
        <v>{ name: "Drenan Highlands Korok #01", landmark: "Korok x1", type: "Complete the Rock Pattern", region: 6, level: "Surface", x: -477, y: 3133, z: 120, details: "" },</v>
      </c>
    </row>
    <row r="325" spans="1:10" x14ac:dyDescent="0.2">
      <c r="A325" s="2">
        <v>352</v>
      </c>
      <c r="B325" s="34" t="s">
        <v>3278</v>
      </c>
      <c r="C325" t="s">
        <v>2802</v>
      </c>
      <c r="D325" s="2">
        <v>6</v>
      </c>
      <c r="E325" s="2" t="s">
        <v>785</v>
      </c>
      <c r="F325" s="2">
        <v>19</v>
      </c>
      <c r="G325" s="2">
        <v>3099</v>
      </c>
      <c r="H325" s="2">
        <v>169</v>
      </c>
      <c r="I325" t="s">
        <v>2610</v>
      </c>
      <c r="J325" t="str">
        <f>"{ name: "&amp;CHAR(34)&amp;B325&amp;CHAR(34)&amp;", landmark: "&amp;CHAR(34)&amp;IF(LEN(C325)=LEN(SUBSTITUTE(C325,"Transport","")),"Korok x1","Korok x2")&amp;CHAR(34)&amp;", type: "&amp;CHAR(34)&amp;C325&amp;CHAR(34)&amp;", region: "&amp;D325&amp;", level: "&amp;CHAR(34)&amp;E325&amp;CHAR(34)&amp;", x: "&amp;F325&amp;", y: "&amp;G325&amp;", z: "&amp;H325&amp;", details: "&amp;CHAR(34)&amp;I325&amp;CHAR(34)&amp;" },"</f>
        <v>{ name: "Drenan Highlands Korok #02", landmark: "Korok x2", type: "Transport to Friend", region: 6, level: "Surface", x: 19, y: 3099, z: 169, details: "Starts at (-323, 3159, 101)" },</v>
      </c>
    </row>
    <row r="326" spans="1:10" x14ac:dyDescent="0.2">
      <c r="A326" s="2">
        <v>348</v>
      </c>
      <c r="B326" s="34" t="s">
        <v>3299</v>
      </c>
      <c r="C326" t="s">
        <v>2802</v>
      </c>
      <c r="D326" s="2">
        <v>6</v>
      </c>
      <c r="E326" s="2" t="s">
        <v>785</v>
      </c>
      <c r="F326" s="2">
        <v>550</v>
      </c>
      <c r="G326" s="2">
        <v>3690</v>
      </c>
      <c r="H326" s="2">
        <v>90</v>
      </c>
      <c r="I326" t="s">
        <v>2651</v>
      </c>
      <c r="J326" t="str">
        <f>"{ name: "&amp;CHAR(34)&amp;B326&amp;CHAR(34)&amp;", landmark: "&amp;CHAR(34)&amp;IF(LEN(C326)=LEN(SUBSTITUTE(C326,"Transport","")),"Korok x1","Korok x2")&amp;CHAR(34)&amp;", type: "&amp;CHAR(34)&amp;C326&amp;CHAR(34)&amp;", region: "&amp;D326&amp;", level: "&amp;CHAR(34)&amp;E326&amp;CHAR(34)&amp;", x: "&amp;F326&amp;", y: "&amp;G326&amp;", z: "&amp;H326&amp;", details: "&amp;CHAR(34)&amp;I326&amp;CHAR(34)&amp;" },"</f>
        <v>{ name: "East Deplian Badlands Korok", landmark: "Korok x2", type: "Transport to Friend", region: 6, level: "Surface", x: 550, y: 3690, z: 90, details: "Starts at (1025, 3674, 111)" },</v>
      </c>
    </row>
    <row r="327" spans="1:10" x14ac:dyDescent="0.2">
      <c r="A327" s="2">
        <v>349</v>
      </c>
      <c r="B327" s="34" t="s">
        <v>3323</v>
      </c>
      <c r="C327" t="s">
        <v>2825</v>
      </c>
      <c r="D327" s="2">
        <v>6</v>
      </c>
      <c r="E327" s="2" t="s">
        <v>785</v>
      </c>
      <c r="F327" s="2">
        <v>1400</v>
      </c>
      <c r="G327" s="2">
        <v>3782</v>
      </c>
      <c r="H327" s="2">
        <v>133</v>
      </c>
      <c r="J327" t="str">
        <f>"{ name: "&amp;CHAR(34)&amp;B327&amp;CHAR(34)&amp;", landmark: "&amp;CHAR(34)&amp;IF(LEN(C327)=LEN(SUBSTITUTE(C327,"Transport","")),"Korok x1","Korok x2")&amp;CHAR(34)&amp;", type: "&amp;CHAR(34)&amp;C327&amp;CHAR(34)&amp;", region: "&amp;D327&amp;", level: "&amp;CHAR(34)&amp;E327&amp;CHAR(34)&amp;", x: "&amp;F327&amp;", y: "&amp;G327&amp;", z: "&amp;H327&amp;", details: "&amp;CHAR(34)&amp;I327&amp;CHAR(34)&amp;" },"</f>
        <v>{ name: "Eldin Great Skeleton Korok", landmark: "Korok x1", type: "Climb and Examine the Fairy Lights", region: 6, level: "Surface", x: 1400, y: 3782, z: 133, details: "" },</v>
      </c>
    </row>
    <row r="328" spans="1:10" x14ac:dyDescent="0.2">
      <c r="A328" s="2">
        <v>362</v>
      </c>
      <c r="B328" s="34" t="s">
        <v>3325</v>
      </c>
      <c r="C328" t="s">
        <v>2825</v>
      </c>
      <c r="D328" s="2">
        <v>6</v>
      </c>
      <c r="E328" s="2" t="s">
        <v>785</v>
      </c>
      <c r="F328" s="2">
        <v>-333</v>
      </c>
      <c r="G328" s="2">
        <v>1747</v>
      </c>
      <c r="H328" s="2">
        <v>200</v>
      </c>
      <c r="J328" t="str">
        <f>"{ name: "&amp;CHAR(34)&amp;B328&amp;CHAR(34)&amp;", landmark: "&amp;CHAR(34)&amp;IF(LEN(C328)=LEN(SUBSTITUTE(C328,"Transport","")),"Korok x1","Korok x2")&amp;CHAR(34)&amp;", type: "&amp;CHAR(34)&amp;C328&amp;CHAR(34)&amp;", region: "&amp;D328&amp;", level: "&amp;CHAR(34)&amp;E328&amp;CHAR(34)&amp;", x: "&amp;F328&amp;", y: "&amp;G328&amp;", z: "&amp;H328&amp;", details: "&amp;CHAR(34)&amp;I328&amp;CHAR(34)&amp;" },"</f>
        <v>{ name: "Elma Knolls Korok", landmark: "Korok x1", type: "Climb and Examine the Fairy Lights", region: 6, level: "Surface", x: -333, y: 1747, z: 200, details: "" },</v>
      </c>
    </row>
    <row r="329" spans="1:10" x14ac:dyDescent="0.2">
      <c r="A329" s="2">
        <v>368</v>
      </c>
      <c r="B329" s="34" t="s">
        <v>3501</v>
      </c>
      <c r="C329" t="s">
        <v>2802</v>
      </c>
      <c r="D329" s="2">
        <v>6</v>
      </c>
      <c r="E329" s="2" t="s">
        <v>785</v>
      </c>
      <c r="F329" s="2">
        <v>632</v>
      </c>
      <c r="G329" s="2">
        <v>1167</v>
      </c>
      <c r="H329" s="2">
        <v>11</v>
      </c>
      <c r="I329" t="s">
        <v>2615</v>
      </c>
      <c r="J329" t="str">
        <f>"{ name: "&amp;CHAR(34)&amp;B329&amp;CHAR(34)&amp;", landmark: "&amp;CHAR(34)&amp;IF(LEN(C329)=LEN(SUBSTITUTE(C329,"Transport","")),"Korok x1","Korok x2")&amp;CHAR(34)&amp;", type: "&amp;CHAR(34)&amp;C329&amp;CHAR(34)&amp;", region: "&amp;D329&amp;", level: "&amp;CHAR(34)&amp;E329&amp;CHAR(34)&amp;", x: "&amp;F329&amp;", y: "&amp;G329&amp;", z: "&amp;H329&amp;", details: "&amp;CHAR(34)&amp;I329&amp;CHAR(34)&amp;" },"</f>
        <v>{ name: "Hyrule Forest Park Korok #02", landmark: "Korok x2", type: "Transport to Friend", region: 6, level: "Surface", x: 632, y: 1167, z: 11, details: "Starts at (535, 1108, 18)" },</v>
      </c>
    </row>
    <row r="330" spans="1:10" x14ac:dyDescent="0.2">
      <c r="A330" s="2">
        <v>366</v>
      </c>
      <c r="B330" s="34" t="s">
        <v>3510</v>
      </c>
      <c r="C330" t="s">
        <v>2801</v>
      </c>
      <c r="D330" s="2">
        <v>6</v>
      </c>
      <c r="E330" s="2" t="s">
        <v>785</v>
      </c>
      <c r="F330" s="2">
        <v>-666</v>
      </c>
      <c r="G330" s="2">
        <v>1191</v>
      </c>
      <c r="H330" s="2">
        <v>74</v>
      </c>
      <c r="J330" t="str">
        <f>"{ name: "&amp;CHAR(34)&amp;B330&amp;CHAR(34)&amp;", landmark: "&amp;CHAR(34)&amp;IF(LEN(C330)=LEN(SUBSTITUTE(C330,"Transport","")),"Korok x1","Korok x2")&amp;CHAR(34)&amp;", type: "&amp;CHAR(34)&amp;C330&amp;CHAR(34)&amp;", region: "&amp;D330&amp;", level: "&amp;CHAR(34)&amp;E330&amp;CHAR(34)&amp;", x: "&amp;F330&amp;", y: "&amp;G330&amp;", z: "&amp;H330&amp;", details: "&amp;CHAR(34)&amp;I330&amp;CHAR(34)&amp;" },"</f>
        <v>{ name: "Irch Plain Korok #02", landmark: "Korok x1", type: "Break the Acorn Pot", region: 6, level: "Surface", x: -666, y: 1191, z: 74, details: "" },</v>
      </c>
    </row>
    <row r="331" spans="1:10" x14ac:dyDescent="0.2">
      <c r="A331" s="2">
        <v>363</v>
      </c>
      <c r="B331" s="34" t="s">
        <v>3561</v>
      </c>
      <c r="C331" t="s">
        <v>2809</v>
      </c>
      <c r="D331" s="2">
        <v>6</v>
      </c>
      <c r="E331" s="2" t="s">
        <v>785</v>
      </c>
      <c r="F331" s="2">
        <v>-40</v>
      </c>
      <c r="G331" s="2">
        <v>1687</v>
      </c>
      <c r="H331" s="2">
        <v>122</v>
      </c>
      <c r="J331" t="str">
        <f>"{ name: "&amp;CHAR(34)&amp;B331&amp;CHAR(34)&amp;", landmark: "&amp;CHAR(34)&amp;IF(LEN(C331)=LEN(SUBSTITUTE(C331,"Transport","")),"Korok x1","Korok x2")&amp;CHAR(34)&amp;", type: "&amp;CHAR(34)&amp;C331&amp;CHAR(34)&amp;", region: "&amp;D331&amp;", level: "&amp;CHAR(34)&amp;E331&amp;CHAR(34)&amp;", x: "&amp;F331&amp;", y: "&amp;G331&amp;", z: "&amp;H331&amp;", details: "&amp;CHAR(34)&amp;I331&amp;CHAR(34)&amp;" },"</f>
        <v>{ name: "Lake Mekar Korok", landmark: "Korok x1", type: "Dive into the Lily Ring", region: 6, level: "Surface", x: -40, y: 1687, z: 122, details: "" },</v>
      </c>
    </row>
    <row r="332" spans="1:10" x14ac:dyDescent="0.2">
      <c r="A332" s="2">
        <v>360</v>
      </c>
      <c r="B332" s="34" t="s">
        <v>3647</v>
      </c>
      <c r="C332" t="s">
        <v>2816</v>
      </c>
      <c r="D332" s="2">
        <v>6</v>
      </c>
      <c r="E332" s="2" t="s">
        <v>785</v>
      </c>
      <c r="F332" s="2">
        <v>-579</v>
      </c>
      <c r="G332" s="2">
        <v>2603</v>
      </c>
      <c r="H332" s="2">
        <v>387</v>
      </c>
      <c r="J332" t="str">
        <f>"{ name: "&amp;CHAR(34)&amp;B332&amp;CHAR(34)&amp;", landmark: "&amp;CHAR(34)&amp;IF(LEN(C332)=LEN(SUBSTITUTE(C332,"Transport","")),"Korok x1","Korok x2")&amp;CHAR(34)&amp;", type: "&amp;CHAR(34)&amp;C332&amp;CHAR(34)&amp;", region: "&amp;D332&amp;", level: "&amp;CHAR(34)&amp;E332&amp;CHAR(34)&amp;", x: "&amp;F332&amp;", y: "&amp;G332&amp;", z: "&amp;H332&amp;", details: "&amp;CHAR(34)&amp;I332&amp;CHAR(34)&amp;" },"</f>
        <v>{ name: "Mount Drena Korok #05", landmark: "Korok x1", type: "Pull the Plug", region: 6, level: "Surface", x: -579, y: 2603, z: 387, details: "" },</v>
      </c>
    </row>
    <row r="333" spans="1:10" x14ac:dyDescent="0.2">
      <c r="A333" s="2">
        <v>32</v>
      </c>
      <c r="B333" s="34" t="s">
        <v>3692</v>
      </c>
      <c r="C333" t="s">
        <v>2828</v>
      </c>
      <c r="D333" s="2">
        <v>6</v>
      </c>
      <c r="E333" s="2" t="s">
        <v>783</v>
      </c>
      <c r="F333" s="2">
        <v>524</v>
      </c>
      <c r="G333" s="2">
        <v>2748</v>
      </c>
      <c r="H333" s="2">
        <v>1863</v>
      </c>
      <c r="J333" t="str">
        <f>"{ name: "&amp;CHAR(34)&amp;B333&amp;CHAR(34)&amp;", landmark: "&amp;CHAR(34)&amp;IF(LEN(C333)=LEN(SUBSTITUTE(C333,"Transport","")),"Korok x1","Korok x2")&amp;CHAR(34)&amp;", type: "&amp;CHAR(34)&amp;C333&amp;CHAR(34)&amp;", region: "&amp;D333&amp;", level: "&amp;CHAR(34)&amp;E333&amp;CHAR(34)&amp;", x: "&amp;F333&amp;", y: "&amp;G333&amp;", z: "&amp;H333&amp;", details: "&amp;CHAR(34)&amp;I333&amp;CHAR(34)&amp;" },"</f>
        <v>{ name: "North Hyrule Sky Archipelago Korok", landmark: "Korok x1", type: "Touch the Wallside Marker", region: 6, level: "Sky", x: 524, y: 2748, z: 1863, details: "" },</v>
      </c>
    </row>
    <row r="334" spans="1:10" x14ac:dyDescent="0.2">
      <c r="A334" s="2">
        <v>365</v>
      </c>
      <c r="B334" s="34" t="s">
        <v>3771</v>
      </c>
      <c r="C334" t="s">
        <v>2801</v>
      </c>
      <c r="D334" s="2">
        <v>6</v>
      </c>
      <c r="E334" s="2" t="s">
        <v>785</v>
      </c>
      <c r="F334" s="2">
        <v>657</v>
      </c>
      <c r="G334" s="2">
        <v>1371</v>
      </c>
      <c r="H334" s="2">
        <v>40</v>
      </c>
      <c r="J334" t="str">
        <f>"{ name: "&amp;CHAR(34)&amp;B334&amp;CHAR(34)&amp;", landmark: "&amp;CHAR(34)&amp;IF(LEN(C334)=LEN(SUBSTITUTE(C334,"Transport","")),"Korok x1","Korok x2")&amp;CHAR(34)&amp;", type: "&amp;CHAR(34)&amp;C334&amp;CHAR(34)&amp;", region: "&amp;D334&amp;", level: "&amp;CHAR(34)&amp;E334&amp;CHAR(34)&amp;", x: "&amp;F334&amp;", y: "&amp;G334&amp;", z: "&amp;H334&amp;", details: "&amp;CHAR(34)&amp;I334&amp;CHAR(34)&amp;" },"</f>
        <v>{ name: "Rauru Settlement Ruins Korok", landmark: "Korok x1", type: "Break the Acorn Pot", region: 6, level: "Surface", x: 657, y: 1371, z: 40, details: "" },</v>
      </c>
    </row>
    <row r="335" spans="1:10" x14ac:dyDescent="0.2">
      <c r="A335" s="2">
        <v>364</v>
      </c>
      <c r="B335" s="34" t="s">
        <v>3823</v>
      </c>
      <c r="C335" t="s">
        <v>2802</v>
      </c>
      <c r="D335" s="2">
        <v>6</v>
      </c>
      <c r="E335" s="2" t="s">
        <v>785</v>
      </c>
      <c r="F335" s="2">
        <v>-768</v>
      </c>
      <c r="G335" s="2">
        <v>1414</v>
      </c>
      <c r="H335" s="2">
        <v>137</v>
      </c>
      <c r="I335" t="s">
        <v>2614</v>
      </c>
      <c r="J335" t="str">
        <f>"{ name: "&amp;CHAR(34)&amp;B335&amp;CHAR(34)&amp;", landmark: "&amp;CHAR(34)&amp;IF(LEN(C335)=LEN(SUBSTITUTE(C335,"Transport","")),"Korok x1","Korok x2")&amp;CHAR(34)&amp;", type: "&amp;CHAR(34)&amp;C335&amp;CHAR(34)&amp;", region: "&amp;D335&amp;", level: "&amp;CHAR(34)&amp;E335&amp;CHAR(34)&amp;", x: "&amp;F335&amp;", y: "&amp;G335&amp;", z: "&amp;H335&amp;", details: "&amp;CHAR(34)&amp;I335&amp;CHAR(34)&amp;" },"</f>
        <v>{ name: "Salari Hill Korok #02", landmark: "Korok x2", type: "Transport to Friend", region: 6, level: "Surface", x: -768, y: 1414, z: 137, details: "Starts at (-1434, 1476, 194)" },</v>
      </c>
    </row>
    <row r="336" spans="1:10" x14ac:dyDescent="0.2">
      <c r="A336" s="2">
        <v>350</v>
      </c>
      <c r="B336" s="34" t="s">
        <v>3949</v>
      </c>
      <c r="C336" t="s">
        <v>2812</v>
      </c>
      <c r="D336" s="2">
        <v>6</v>
      </c>
      <c r="E336" s="2" t="s">
        <v>785</v>
      </c>
      <c r="F336" s="2">
        <v>859</v>
      </c>
      <c r="G336" s="2">
        <v>3356</v>
      </c>
      <c r="H336" s="2">
        <v>210</v>
      </c>
      <c r="J336" t="str">
        <f>"{ name: "&amp;CHAR(34)&amp;B336&amp;CHAR(34)&amp;", landmark: "&amp;CHAR(34)&amp;IF(LEN(C336)=LEN(SUBSTITUTE(C336,"Transport","")),"Korok x1","Korok x2")&amp;CHAR(34)&amp;", type: "&amp;CHAR(34)&amp;C336&amp;CHAR(34)&amp;", region: "&amp;D336&amp;", level: "&amp;CHAR(34)&amp;E336&amp;CHAR(34)&amp;", x: "&amp;F336&amp;", y: "&amp;G336&amp;", z: "&amp;H336&amp;", details: "&amp;CHAR(34)&amp;I336&amp;CHAR(34)&amp;" },"</f>
        <v>{ name: "Thyphlo Ruins Korok #01", landmark: "Korok x1", type: "Lift the Rock", region: 6, level: "Surface", x: 859, y: 3356, z: 210, details: "" },</v>
      </c>
    </row>
    <row r="337" spans="1:10" x14ac:dyDescent="0.2">
      <c r="A337" s="2">
        <v>353</v>
      </c>
      <c r="B337" s="34" t="s">
        <v>3950</v>
      </c>
      <c r="C337" t="s">
        <v>2827</v>
      </c>
      <c r="D337" s="2">
        <v>6</v>
      </c>
      <c r="E337" s="2" t="s">
        <v>785</v>
      </c>
      <c r="F337" s="2">
        <v>52</v>
      </c>
      <c r="G337" s="2">
        <v>3147</v>
      </c>
      <c r="H337" s="2">
        <v>177</v>
      </c>
      <c r="I337" t="s">
        <v>2746</v>
      </c>
      <c r="J337" t="str">
        <f>"{ name: "&amp;CHAR(34)&amp;B337&amp;CHAR(34)&amp;", landmark: "&amp;CHAR(34)&amp;IF(LEN(C337)=LEN(SUBSTITUTE(C337,"Transport","")),"Korok x1","Korok x2")&amp;CHAR(34)&amp;", type: "&amp;CHAR(34)&amp;C337&amp;CHAR(34)&amp;", region: "&amp;D337&amp;", level: "&amp;CHAR(34)&amp;E337&amp;CHAR(34)&amp;", x: "&amp;F337&amp;", y: "&amp;G337&amp;", z: "&amp;H337&amp;", details: "&amp;CHAR(34)&amp;I337&amp;CHAR(34)&amp;" },"</f>
        <v>{ name: "Thyphlo Ruins Korok #02", landmark: "Korok x1", type: "Paraglide to the Goal", region: 6, level: "Surface", x: 52, y: 3147, z: 177, details: "Starts at (61, 3114, 191)" },</v>
      </c>
    </row>
    <row r="338" spans="1:10" x14ac:dyDescent="0.2">
      <c r="A338" s="2">
        <v>354</v>
      </c>
      <c r="B338" s="34" t="s">
        <v>3951</v>
      </c>
      <c r="C338" t="s">
        <v>2812</v>
      </c>
      <c r="D338" s="2">
        <v>6</v>
      </c>
      <c r="E338" s="2" t="s">
        <v>785</v>
      </c>
      <c r="F338" s="2">
        <v>128</v>
      </c>
      <c r="G338" s="2">
        <v>3151</v>
      </c>
      <c r="H338" s="2">
        <v>182</v>
      </c>
      <c r="J338" t="str">
        <f>"{ name: "&amp;CHAR(34)&amp;B338&amp;CHAR(34)&amp;", landmark: "&amp;CHAR(34)&amp;IF(LEN(C338)=LEN(SUBSTITUTE(C338,"Transport","")),"Korok x1","Korok x2")&amp;CHAR(34)&amp;", type: "&amp;CHAR(34)&amp;C338&amp;CHAR(34)&amp;", region: "&amp;D338&amp;", level: "&amp;CHAR(34)&amp;E338&amp;CHAR(34)&amp;", x: "&amp;F338&amp;", y: "&amp;G338&amp;", z: "&amp;H338&amp;", details: "&amp;CHAR(34)&amp;I338&amp;CHAR(34)&amp;" },"</f>
        <v>{ name: "Thyphlo Ruins Korok #03", landmark: "Korok x1", type: "Lift the Rock", region: 6, level: "Surface", x: 128, y: 3151, z: 182, details: "" },</v>
      </c>
    </row>
    <row r="339" spans="1:10" x14ac:dyDescent="0.2">
      <c r="A339" s="2">
        <v>355</v>
      </c>
      <c r="B339" s="34" t="s">
        <v>3952</v>
      </c>
      <c r="C339" t="s">
        <v>2812</v>
      </c>
      <c r="D339" s="2">
        <v>6</v>
      </c>
      <c r="E339" s="2" t="s">
        <v>785</v>
      </c>
      <c r="F339" s="2">
        <v>172</v>
      </c>
      <c r="G339" s="2">
        <v>3037</v>
      </c>
      <c r="H339" s="2">
        <v>177</v>
      </c>
      <c r="J339" t="str">
        <f>"{ name: "&amp;CHAR(34)&amp;B339&amp;CHAR(34)&amp;", landmark: "&amp;CHAR(34)&amp;IF(LEN(C339)=LEN(SUBSTITUTE(C339,"Transport","")),"Korok x1","Korok x2")&amp;CHAR(34)&amp;", type: "&amp;CHAR(34)&amp;C339&amp;CHAR(34)&amp;", region: "&amp;D339&amp;", level: "&amp;CHAR(34)&amp;E339&amp;CHAR(34)&amp;", x: "&amp;F339&amp;", y: "&amp;G339&amp;", z: "&amp;H339&amp;", details: "&amp;CHAR(34)&amp;I339&amp;CHAR(34)&amp;" },"</f>
        <v>{ name: "Thyphlo Ruins Korok #04", landmark: "Korok x1", type: "Lift the Rock", region: 6, level: "Surface", x: 172, y: 3037, z: 177, details: "" },</v>
      </c>
    </row>
    <row r="340" spans="1:10" x14ac:dyDescent="0.2">
      <c r="A340" s="2">
        <v>356</v>
      </c>
      <c r="B340" s="34" t="s">
        <v>3953</v>
      </c>
      <c r="C340" t="s">
        <v>2807</v>
      </c>
      <c r="D340" s="2">
        <v>6</v>
      </c>
      <c r="E340" s="2" t="s">
        <v>785</v>
      </c>
      <c r="F340" s="2">
        <v>276</v>
      </c>
      <c r="G340" s="2">
        <v>3120</v>
      </c>
      <c r="H340" s="2">
        <v>183</v>
      </c>
      <c r="J340" t="str">
        <f>"{ name: "&amp;CHAR(34)&amp;B340&amp;CHAR(34)&amp;", landmark: "&amp;CHAR(34)&amp;IF(LEN(C340)=LEN(SUBSTITUTE(C340,"Transport","")),"Korok x1","Korok x2")&amp;CHAR(34)&amp;", type: "&amp;CHAR(34)&amp;C340&amp;CHAR(34)&amp;", region: "&amp;D340&amp;", level: "&amp;CHAR(34)&amp;E340&amp;CHAR(34)&amp;", x: "&amp;F340&amp;", y: "&amp;G340&amp;", z: "&amp;H340&amp;", details: "&amp;CHAR(34)&amp;I340&amp;CHAR(34)&amp;" },"</f>
        <v>{ name: "Thyphlo Ruins Korok #05", landmark: "Korok x1", type: "Complete the Cube Puzzle", region: 6, level: "Surface", x: 276, y: 3120, z: 183, details: "" },</v>
      </c>
    </row>
    <row r="341" spans="1:10" x14ac:dyDescent="0.2">
      <c r="A341" s="2">
        <v>357</v>
      </c>
      <c r="B341" s="34" t="s">
        <v>3954</v>
      </c>
      <c r="C341" t="s">
        <v>2802</v>
      </c>
      <c r="D341" s="2">
        <v>6</v>
      </c>
      <c r="E341" s="2" t="s">
        <v>785</v>
      </c>
      <c r="F341" s="2">
        <v>594</v>
      </c>
      <c r="G341" s="2">
        <v>3044</v>
      </c>
      <c r="H341" s="2">
        <v>189</v>
      </c>
      <c r="I341" t="s">
        <v>2611</v>
      </c>
      <c r="J341" t="str">
        <f>"{ name: "&amp;CHAR(34)&amp;B341&amp;CHAR(34)&amp;", landmark: "&amp;CHAR(34)&amp;IF(LEN(C341)=LEN(SUBSTITUTE(C341,"Transport","")),"Korok x1","Korok x2")&amp;CHAR(34)&amp;", type: "&amp;CHAR(34)&amp;C341&amp;CHAR(34)&amp;", region: "&amp;D341&amp;", level: "&amp;CHAR(34)&amp;E341&amp;CHAR(34)&amp;", x: "&amp;F341&amp;", y: "&amp;G341&amp;", z: "&amp;H341&amp;", details: "&amp;CHAR(34)&amp;I341&amp;CHAR(34)&amp;" },"</f>
        <v>{ name: "Thyphlo Ruins Korok #06", landmark: "Korok x2", type: "Transport to Friend", region: 6, level: "Surface", x: 594, y: 3044, z: 189, details: "Starts at (489, 3055, 176)" },</v>
      </c>
    </row>
    <row r="342" spans="1:10" x14ac:dyDescent="0.2">
      <c r="A342" s="2">
        <v>358</v>
      </c>
      <c r="B342" s="34" t="s">
        <v>3955</v>
      </c>
      <c r="C342" t="s">
        <v>2812</v>
      </c>
      <c r="D342" s="2">
        <v>6</v>
      </c>
      <c r="E342" s="2" t="s">
        <v>785</v>
      </c>
      <c r="F342" s="2">
        <v>786</v>
      </c>
      <c r="G342" s="2">
        <v>2953</v>
      </c>
      <c r="H342" s="2">
        <v>283</v>
      </c>
      <c r="J342" t="str">
        <f>"{ name: "&amp;CHAR(34)&amp;B342&amp;CHAR(34)&amp;", landmark: "&amp;CHAR(34)&amp;IF(LEN(C342)=LEN(SUBSTITUTE(C342,"Transport","")),"Korok x1","Korok x2")&amp;CHAR(34)&amp;", type: "&amp;CHAR(34)&amp;C342&amp;CHAR(34)&amp;", region: "&amp;D342&amp;", level: "&amp;CHAR(34)&amp;E342&amp;CHAR(34)&amp;", x: "&amp;F342&amp;", y: "&amp;G342&amp;", z: "&amp;H342&amp;", details: "&amp;CHAR(34)&amp;I342&amp;CHAR(34)&amp;" },"</f>
        <v>{ name: "Thyphlo Ruins Korok #07", landmark: "Korok x1", type: "Lift the Rock", region: 6, level: "Surface", x: 786, y: 2953, z: 283, details: "" },</v>
      </c>
    </row>
    <row r="343" spans="1:10" x14ac:dyDescent="0.2">
      <c r="A343" s="2">
        <v>347</v>
      </c>
      <c r="B343" s="34" t="s">
        <v>4002</v>
      </c>
      <c r="C343" t="s">
        <v>2802</v>
      </c>
      <c r="D343" s="2">
        <v>6</v>
      </c>
      <c r="E343" s="2" t="s">
        <v>785</v>
      </c>
      <c r="F343" s="2">
        <v>56</v>
      </c>
      <c r="G343" s="2">
        <v>3554</v>
      </c>
      <c r="H343" s="2">
        <v>75</v>
      </c>
      <c r="I343" t="s">
        <v>2650</v>
      </c>
      <c r="J343" t="str">
        <f>"{ name: "&amp;CHAR(34)&amp;B343&amp;CHAR(34)&amp;", landmark: "&amp;CHAR(34)&amp;IF(LEN(C343)=LEN(SUBSTITUTE(C343,"Transport","")),"Korok x1","Korok x2")&amp;CHAR(34)&amp;", type: "&amp;CHAR(34)&amp;C343&amp;CHAR(34)&amp;", region: "&amp;D343&amp;", level: "&amp;CHAR(34)&amp;E343&amp;CHAR(34)&amp;", x: "&amp;F343&amp;", y: "&amp;G343&amp;", z: "&amp;H343&amp;", details: "&amp;CHAR(34)&amp;I343&amp;CHAR(34)&amp;" },"</f>
        <v>{ name: "West Deplan Badlands Korok", landmark: "Korok x2", type: "Transport to Friend", region: 6, level: "Surface", x: 56, y: 3554, z: 75, details: "Starts at (523, 3399, 185)" },</v>
      </c>
    </row>
    <row r="344" spans="1:10" x14ac:dyDescent="0.2">
      <c r="A344" s="2">
        <v>423</v>
      </c>
      <c r="B344" s="34" t="s">
        <v>3166</v>
      </c>
      <c r="C344" t="s">
        <v>2816</v>
      </c>
      <c r="D344" s="2">
        <v>7</v>
      </c>
      <c r="E344" s="2" t="s">
        <v>785</v>
      </c>
      <c r="F344" s="2">
        <v>3012</v>
      </c>
      <c r="G344" s="2">
        <v>1203</v>
      </c>
      <c r="H344" s="2">
        <v>243</v>
      </c>
      <c r="J344" t="str">
        <f>"{ name: "&amp;CHAR(34)&amp;B344&amp;CHAR(34)&amp;", landmark: "&amp;CHAR(34)&amp;IF(LEN(C344)=LEN(SUBSTITUTE(C344,"Transport","")),"Korok x1","Korok x2")&amp;CHAR(34)&amp;", type: "&amp;CHAR(34)&amp;C344&amp;CHAR(34)&amp;", region: "&amp;D344&amp;", level: "&amp;CHAR(34)&amp;E344&amp;CHAR(34)&amp;", x: "&amp;F344&amp;", y: "&amp;G344&amp;", z: "&amp;H344&amp;", details: "&amp;CHAR(34)&amp;I344&amp;CHAR(34)&amp;" },"</f>
        <v>{ name: "Akkala Span Korok #01", landmark: "Korok x1", type: "Pull the Plug", region: 7, level: "Surface", x: 3012, y: 1203, z: 243, details: "" },</v>
      </c>
    </row>
    <row r="345" spans="1:10" x14ac:dyDescent="0.2">
      <c r="A345" s="2">
        <v>370</v>
      </c>
      <c r="B345" s="34" t="s">
        <v>3169</v>
      </c>
      <c r="C345" t="s">
        <v>2802</v>
      </c>
      <c r="D345" s="2">
        <v>7</v>
      </c>
      <c r="E345" s="2" t="s">
        <v>785</v>
      </c>
      <c r="F345" s="2">
        <v>2968</v>
      </c>
      <c r="G345" s="2">
        <v>3648</v>
      </c>
      <c r="H345" s="2">
        <v>225</v>
      </c>
      <c r="I345" t="s">
        <v>2605</v>
      </c>
      <c r="J345" t="str">
        <f>"{ name: "&amp;CHAR(34)&amp;B345&amp;CHAR(34)&amp;", landmark: "&amp;CHAR(34)&amp;IF(LEN(C345)=LEN(SUBSTITUTE(C345,"Transport","")),"Korok x1","Korok x2")&amp;CHAR(34)&amp;", type: "&amp;CHAR(34)&amp;C345&amp;CHAR(34)&amp;", region: "&amp;D345&amp;", level: "&amp;CHAR(34)&amp;E345&amp;CHAR(34)&amp;", x: "&amp;F345&amp;", y: "&amp;G345&amp;", z: "&amp;H345&amp;", details: "&amp;CHAR(34)&amp;I345&amp;CHAR(34)&amp;" },"</f>
        <v>{ name: "Akkala Wilds Korok #01", landmark: "Korok x2", type: "Transport to Friend", region: 7, level: "Surface", x: 2968, y: 3648, z: 225, details: "Starts at (3350, 3668, 222)" },</v>
      </c>
    </row>
    <row r="346" spans="1:10" x14ac:dyDescent="0.2">
      <c r="A346" s="2">
        <v>371</v>
      </c>
      <c r="B346" s="34" t="s">
        <v>3170</v>
      </c>
      <c r="C346" t="s">
        <v>2821</v>
      </c>
      <c r="D346" s="2">
        <v>7</v>
      </c>
      <c r="E346" s="2" t="s">
        <v>785</v>
      </c>
      <c r="F346" s="2">
        <v>3078</v>
      </c>
      <c r="G346" s="2">
        <v>3683</v>
      </c>
      <c r="H346" s="2">
        <v>215</v>
      </c>
      <c r="J346" t="str">
        <f>"{ name: "&amp;CHAR(34)&amp;B346&amp;CHAR(34)&amp;", landmark: "&amp;CHAR(34)&amp;IF(LEN(C346)=LEN(SUBSTITUTE(C346,"Transport","")),"Korok x1","Korok x2")&amp;CHAR(34)&amp;", type: "&amp;CHAR(34)&amp;C346&amp;CHAR(34)&amp;", region: "&amp;D346&amp;", level: "&amp;CHAR(34)&amp;E346&amp;CHAR(34)&amp;", x: "&amp;F346&amp;", y: "&amp;G346&amp;", z: "&amp;H346&amp;", details: "&amp;CHAR(34)&amp;I346&amp;CHAR(34)&amp;" },"</f>
        <v>{ name: "Akkala Wilds Korok #02", landmark: "Korok x1", type: "Shoot the Balloons", region: 7, level: "Surface", x: 3078, y: 3683, z: 215, details: "" },</v>
      </c>
    </row>
    <row r="347" spans="1:10" x14ac:dyDescent="0.2">
      <c r="A347" s="2">
        <v>413</v>
      </c>
      <c r="B347" s="34" t="s">
        <v>3189</v>
      </c>
      <c r="C347" t="s">
        <v>2825</v>
      </c>
      <c r="D347" s="2">
        <v>7</v>
      </c>
      <c r="E347" s="2" t="s">
        <v>785</v>
      </c>
      <c r="F347" s="2">
        <v>1767</v>
      </c>
      <c r="G347" s="2">
        <v>1537</v>
      </c>
      <c r="H347" s="2">
        <v>312</v>
      </c>
      <c r="J347" t="str">
        <f>"{ name: "&amp;CHAR(34)&amp;B347&amp;CHAR(34)&amp;", landmark: "&amp;CHAR(34)&amp;IF(LEN(C347)=LEN(SUBSTITUTE(C347,"Transport","")),"Korok x1","Korok x2")&amp;CHAR(34)&amp;", type: "&amp;CHAR(34)&amp;C347&amp;CHAR(34)&amp;", region: "&amp;D347&amp;", level: "&amp;CHAR(34)&amp;E347&amp;CHAR(34)&amp;", x: "&amp;F347&amp;", y: "&amp;G347&amp;", z: "&amp;H347&amp;", details: "&amp;CHAR(34)&amp;I347&amp;CHAR(34)&amp;" },"</f>
        <v>{ name: "Bedrock Bistro Korok", landmark: "Korok x1", type: "Climb and Examine the Fairy Lights", region: 7, level: "Surface", x: 1767, y: 1537, z: 312, details: "" },</v>
      </c>
    </row>
    <row r="348" spans="1:10" x14ac:dyDescent="0.2">
      <c r="A348" s="2">
        <v>899</v>
      </c>
      <c r="B348" s="34" t="s">
        <v>3212</v>
      </c>
      <c r="C348" t="s">
        <v>2811</v>
      </c>
      <c r="D348" s="2">
        <v>7</v>
      </c>
      <c r="E348" s="2" t="s">
        <v>785</v>
      </c>
      <c r="F348" s="2">
        <v>2239</v>
      </c>
      <c r="G348" s="2">
        <v>2363</v>
      </c>
      <c r="H348" s="2">
        <v>531</v>
      </c>
      <c r="I348" t="s">
        <v>2763</v>
      </c>
      <c r="J348" t="str">
        <f>"{ name: "&amp;CHAR(34)&amp;B348&amp;CHAR(34)&amp;", landmark: "&amp;CHAR(34)&amp;IF(LEN(C348)=LEN(SUBSTITUTE(C348,"Transport","")),"Korok x1","Korok x2")&amp;CHAR(34)&amp;", type: "&amp;CHAR(34)&amp;C348&amp;CHAR(34)&amp;", region: "&amp;D348&amp;", level: "&amp;CHAR(34)&amp;E348&amp;CHAR(34)&amp;", x: "&amp;F348&amp;", y: "&amp;G348&amp;", z: "&amp;H348&amp;", details: "&amp;CHAR(34)&amp;I348&amp;CHAR(34)&amp;" },"</f>
        <v>{ name: "Bridge of Eldin Korok", landmark: "Korok x1", type: "Follow the Yellow Flowers", region: 7, level: "Surface", x: 2239, y: 2363, z: 531, details: "Starts at (2224, 2369, 521)" },</v>
      </c>
    </row>
    <row r="349" spans="1:10" x14ac:dyDescent="0.2">
      <c r="A349" s="2">
        <v>408</v>
      </c>
      <c r="B349" s="34" t="s">
        <v>3217</v>
      </c>
      <c r="C349" t="s">
        <v>2808</v>
      </c>
      <c r="D349" s="2">
        <v>7</v>
      </c>
      <c r="E349" s="2" t="s">
        <v>785</v>
      </c>
      <c r="F349" s="2">
        <v>2700</v>
      </c>
      <c r="G349" s="2">
        <v>1748</v>
      </c>
      <c r="H349" s="2">
        <v>120</v>
      </c>
      <c r="J349" t="str">
        <f>"{ name: "&amp;CHAR(34)&amp;B349&amp;CHAR(34)&amp;", landmark: "&amp;CHAR(34)&amp;IF(LEN(C349)=LEN(SUBSTITUTE(C349,"Transport","")),"Korok x1","Korok x2")&amp;CHAR(34)&amp;", type: "&amp;CHAR(34)&amp;C349&amp;CHAR(34)&amp;", region: "&amp;D349&amp;", level: "&amp;CHAR(34)&amp;E349&amp;CHAR(34)&amp;", x: "&amp;F349&amp;", y: "&amp;G349&amp;", z: "&amp;H349&amp;", details: "&amp;CHAR(34)&amp;I349&amp;CHAR(34)&amp;" },"</f>
        <v>{ name: "Broca Island Korok", landmark: "Korok x1", type: "Complete the Rock Pattern", region: 7, level: "Surface", x: 2700, y: 1748, z: 120, details: "" },</v>
      </c>
    </row>
    <row r="350" spans="1:10" x14ac:dyDescent="0.2">
      <c r="A350" s="2">
        <v>416</v>
      </c>
      <c r="B350" s="34" t="s">
        <v>3232</v>
      </c>
      <c r="C350" t="s">
        <v>2817</v>
      </c>
      <c r="D350" s="2">
        <v>7</v>
      </c>
      <c r="E350" s="2" t="s">
        <v>785</v>
      </c>
      <c r="F350" s="2">
        <v>2752</v>
      </c>
      <c r="G350" s="2">
        <v>1374</v>
      </c>
      <c r="H350" s="2">
        <v>130</v>
      </c>
      <c r="I350" t="s">
        <v>2648</v>
      </c>
      <c r="J350" t="str">
        <f>"{ name: "&amp;CHAR(34)&amp;B350&amp;CHAR(34)&amp;", landmark: "&amp;CHAR(34)&amp;IF(LEN(C350)=LEN(SUBSTITUTE(C350,"Transport","")),"Korok x1","Korok x2")&amp;CHAR(34)&amp;", type: "&amp;CHAR(34)&amp;C350&amp;CHAR(34)&amp;", region: "&amp;D350&amp;", level: "&amp;CHAR(34)&amp;E350&amp;CHAR(34)&amp;", x: "&amp;F350&amp;", y: "&amp;G350&amp;", z: "&amp;H350&amp;", details: "&amp;CHAR(34)&amp;I350&amp;CHAR(34)&amp;" },"</f>
        <v>{ name: "Cephla Lake Korok", landmark: "Korok x1", type: "Reach the Target Ring", region: 7, level: "Surface", x: 2752, y: 1374, z: 130, details: "Starts at (2678, 1351, 128)" },</v>
      </c>
    </row>
    <row r="351" spans="1:10" x14ac:dyDescent="0.2">
      <c r="A351" s="2">
        <v>379</v>
      </c>
      <c r="B351" s="34" t="s">
        <v>3257</v>
      </c>
      <c r="C351" t="s">
        <v>2801</v>
      </c>
      <c r="D351" s="2">
        <v>7</v>
      </c>
      <c r="E351" s="2" t="s">
        <v>785</v>
      </c>
      <c r="F351" s="2">
        <v>1568</v>
      </c>
      <c r="G351" s="2">
        <v>2946</v>
      </c>
      <c r="H351" s="2">
        <v>402</v>
      </c>
      <c r="J351" t="str">
        <f>"{ name: "&amp;CHAR(34)&amp;B351&amp;CHAR(34)&amp;", landmark: "&amp;CHAR(34)&amp;IF(LEN(C351)=LEN(SUBSTITUTE(C351,"Transport","")),"Korok x1","Korok x2")&amp;CHAR(34)&amp;", type: "&amp;CHAR(34)&amp;C351&amp;CHAR(34)&amp;", region: "&amp;D351&amp;", level: "&amp;CHAR(34)&amp;E351&amp;CHAR(34)&amp;", x: "&amp;F351&amp;", y: "&amp;G351&amp;", z: "&amp;H351&amp;", details: "&amp;CHAR(34)&amp;I351&amp;CHAR(34)&amp;" },"</f>
        <v>{ name: "Darunia Lake Korok #02", landmark: "Korok x1", type: "Break the Acorn Pot", region: 7, level: "Surface", x: 1568, y: 2946, z: 402, details: "" },</v>
      </c>
    </row>
    <row r="352" spans="1:10" x14ac:dyDescent="0.2">
      <c r="A352" s="2">
        <v>380</v>
      </c>
      <c r="B352" s="34" t="s">
        <v>3258</v>
      </c>
      <c r="C352" t="s">
        <v>2808</v>
      </c>
      <c r="D352" s="2">
        <v>7</v>
      </c>
      <c r="E352" s="2" t="s">
        <v>785</v>
      </c>
      <c r="F352" s="2">
        <v>1375</v>
      </c>
      <c r="G352" s="2">
        <v>2844</v>
      </c>
      <c r="H352" s="2">
        <v>362</v>
      </c>
      <c r="J352" t="str">
        <f>"{ name: "&amp;CHAR(34)&amp;B352&amp;CHAR(34)&amp;", landmark: "&amp;CHAR(34)&amp;IF(LEN(C352)=LEN(SUBSTITUTE(C352,"Transport","")),"Korok x1","Korok x2")&amp;CHAR(34)&amp;", type: "&amp;CHAR(34)&amp;C352&amp;CHAR(34)&amp;", region: "&amp;D352&amp;", level: "&amp;CHAR(34)&amp;E352&amp;CHAR(34)&amp;", x: "&amp;F352&amp;", y: "&amp;G352&amp;", z: "&amp;H352&amp;", details: "&amp;CHAR(34)&amp;I352&amp;CHAR(34)&amp;" },"</f>
        <v>{ name: "Darunia Lake Korok #03", landmark: "Korok x1", type: "Complete the Rock Pattern", region: 7, level: "Surface", x: 1375, y: 2844, z: 362, details: "" },</v>
      </c>
    </row>
    <row r="353" spans="1:10" x14ac:dyDescent="0.2">
      <c r="A353" s="2">
        <v>386</v>
      </c>
      <c r="B353" s="34" t="s">
        <v>3262</v>
      </c>
      <c r="C353" t="s">
        <v>2822</v>
      </c>
      <c r="D353" s="2">
        <v>7</v>
      </c>
      <c r="E353" s="2" t="s">
        <v>785</v>
      </c>
      <c r="F353" s="2">
        <v>2780</v>
      </c>
      <c r="G353" s="2">
        <v>2525</v>
      </c>
      <c r="H353" s="2">
        <v>621</v>
      </c>
      <c r="J353" t="str">
        <f>"{ name: "&amp;CHAR(34)&amp;B353&amp;CHAR(34)&amp;", landmark: "&amp;CHAR(34)&amp;IF(LEN(C353)=LEN(SUBSTITUTE(C353,"Transport","")),"Korok x1","Korok x2")&amp;CHAR(34)&amp;", type: "&amp;CHAR(34)&amp;C353&amp;CHAR(34)&amp;", region: "&amp;D353&amp;", level: "&amp;CHAR(34)&amp;E353&amp;CHAR(34)&amp;", x: "&amp;F353&amp;", y: "&amp;G353&amp;", z: "&amp;H353&amp;", details: "&amp;CHAR(34)&amp;I353&amp;CHAR(34)&amp;" },"</f>
        <v>{ name: "Death Mountain Korok #01", landmark: "Korok x1", type: "Shoot the Hidden Balloon", region: 7, level: "Surface", x: 2780, y: 2525, z: 621, details: "" },</v>
      </c>
    </row>
    <row r="354" spans="1:10" x14ac:dyDescent="0.2">
      <c r="A354" s="2">
        <v>393</v>
      </c>
      <c r="B354" s="34" t="s">
        <v>3263</v>
      </c>
      <c r="C354" t="s">
        <v>2824</v>
      </c>
      <c r="D354" s="2">
        <v>7</v>
      </c>
      <c r="E354" s="2" t="s">
        <v>785</v>
      </c>
      <c r="F354" s="2">
        <v>2702</v>
      </c>
      <c r="G354" s="2">
        <v>2348</v>
      </c>
      <c r="H354" s="2">
        <v>621</v>
      </c>
      <c r="J354" t="str">
        <f>"{ name: "&amp;CHAR(34)&amp;B354&amp;CHAR(34)&amp;", landmark: "&amp;CHAR(34)&amp;IF(LEN(C354)=LEN(SUBSTITUTE(C354,"Transport","")),"Korok x1","Korok x2")&amp;CHAR(34)&amp;", type: "&amp;CHAR(34)&amp;C354&amp;CHAR(34)&amp;", region: "&amp;D354&amp;", level: "&amp;CHAR(34)&amp;E354&amp;CHAR(34)&amp;", x: "&amp;F354&amp;", y: "&amp;G354&amp;", z: "&amp;H354&amp;", details: "&amp;CHAR(34)&amp;I354&amp;CHAR(34)&amp;" },"</f>
        <v>{ name: "Death Mountain Korok #02", landmark: "Korok x1", type: "Catch the Moving Sparkle", region: 7, level: "Surface", x: 2702, y: 2348, z: 621, details: "" },</v>
      </c>
    </row>
    <row r="355" spans="1:10" x14ac:dyDescent="0.2">
      <c r="A355" s="2">
        <v>378</v>
      </c>
      <c r="B355" s="34" t="s">
        <v>3264</v>
      </c>
      <c r="C355" t="s">
        <v>2802</v>
      </c>
      <c r="D355" s="2">
        <v>7</v>
      </c>
      <c r="E355" s="2" t="s">
        <v>785</v>
      </c>
      <c r="F355" s="2">
        <v>2511</v>
      </c>
      <c r="G355" s="2">
        <v>2985</v>
      </c>
      <c r="H355" s="2">
        <v>524</v>
      </c>
      <c r="I355" t="s">
        <v>2643</v>
      </c>
      <c r="J355" t="str">
        <f>"{ name: "&amp;CHAR(34)&amp;B355&amp;CHAR(34)&amp;", landmark: "&amp;CHAR(34)&amp;IF(LEN(C355)=LEN(SUBSTITUTE(C355,"Transport","")),"Korok x1","Korok x2")&amp;CHAR(34)&amp;", type: "&amp;CHAR(34)&amp;C355&amp;CHAR(34)&amp;", region: "&amp;D355&amp;", level: "&amp;CHAR(34)&amp;E355&amp;CHAR(34)&amp;", x: "&amp;F355&amp;", y: "&amp;G355&amp;", z: "&amp;H355&amp;", details: "&amp;CHAR(34)&amp;I355&amp;CHAR(34)&amp;" },"</f>
        <v>{ name: "Death Mountain West Site Korok #01", landmark: "Korok x2", type: "Transport to Friend", region: 7, level: "Surface", x: 2511, y: 2985, z: 524, details: "Starts at (2178, 2780, 524)" },</v>
      </c>
    </row>
    <row r="356" spans="1:10" x14ac:dyDescent="0.2">
      <c r="A356" s="2">
        <v>382</v>
      </c>
      <c r="B356" s="34" t="s">
        <v>3265</v>
      </c>
      <c r="C356" t="s">
        <v>2807</v>
      </c>
      <c r="D356" s="2">
        <v>7</v>
      </c>
      <c r="E356" s="2" t="s">
        <v>785</v>
      </c>
      <c r="F356" s="2">
        <v>2061</v>
      </c>
      <c r="G356" s="2">
        <v>2756</v>
      </c>
      <c r="H356" s="2">
        <v>482</v>
      </c>
      <c r="J356" t="str">
        <f>"{ name: "&amp;CHAR(34)&amp;B356&amp;CHAR(34)&amp;", landmark: "&amp;CHAR(34)&amp;IF(LEN(C356)=LEN(SUBSTITUTE(C356,"Transport","")),"Korok x1","Korok x2")&amp;CHAR(34)&amp;", type: "&amp;CHAR(34)&amp;C356&amp;CHAR(34)&amp;", region: "&amp;D356&amp;", level: "&amp;CHAR(34)&amp;E356&amp;CHAR(34)&amp;", x: "&amp;F356&amp;", y: "&amp;G356&amp;", z: "&amp;H356&amp;", details: "&amp;CHAR(34)&amp;I356&amp;CHAR(34)&amp;" },"</f>
        <v>{ name: "Death Mountain West Site Korok #02", landmark: "Korok x1", type: "Complete the Cube Puzzle", region: 7, level: "Surface", x: 2061, y: 2756, z: 482, details: "" },</v>
      </c>
    </row>
    <row r="357" spans="1:10" x14ac:dyDescent="0.2">
      <c r="A357" s="2">
        <v>369</v>
      </c>
      <c r="B357" s="34" t="s">
        <v>3324</v>
      </c>
      <c r="C357" t="s">
        <v>2807</v>
      </c>
      <c r="D357" s="2">
        <v>7</v>
      </c>
      <c r="E357" s="2" t="s">
        <v>785</v>
      </c>
      <c r="F357" s="2">
        <v>2234</v>
      </c>
      <c r="G357" s="2">
        <v>3677</v>
      </c>
      <c r="H357" s="2">
        <v>238</v>
      </c>
      <c r="J357" t="str">
        <f>"{ name: "&amp;CHAR(34)&amp;B357&amp;CHAR(34)&amp;", landmark: "&amp;CHAR(34)&amp;IF(LEN(C357)=LEN(SUBSTITUTE(C357,"Transport","")),"Korok x1","Korok x2")&amp;CHAR(34)&amp;", type: "&amp;CHAR(34)&amp;C357&amp;CHAR(34)&amp;", region: "&amp;D357&amp;", level: "&amp;CHAR(34)&amp;E357&amp;CHAR(34)&amp;", x: "&amp;F357&amp;", y: "&amp;G357&amp;", z: "&amp;H357&amp;", details: "&amp;CHAR(34)&amp;I357&amp;CHAR(34)&amp;" },"</f>
        <v>{ name: "Eldin's Flank Korok", landmark: "Korok x1", type: "Complete the Cube Puzzle", region: 7, level: "Surface", x: 2234, y: 3677, z: 238, details: "" },</v>
      </c>
    </row>
    <row r="358" spans="1:10" x14ac:dyDescent="0.2">
      <c r="A358" s="2">
        <v>421</v>
      </c>
      <c r="B358" s="34" t="s">
        <v>3342</v>
      </c>
      <c r="C358" t="s">
        <v>2824</v>
      </c>
      <c r="D358" s="2">
        <v>7</v>
      </c>
      <c r="E358" s="2" t="s">
        <v>785</v>
      </c>
      <c r="F358" s="2">
        <v>2674</v>
      </c>
      <c r="G358" s="2">
        <v>1074</v>
      </c>
      <c r="H358" s="2">
        <v>157</v>
      </c>
      <c r="J358" t="str">
        <f>"{ name: "&amp;CHAR(34)&amp;B358&amp;CHAR(34)&amp;", landmark: "&amp;CHAR(34)&amp;IF(LEN(C358)=LEN(SUBSTITUTE(C358,"Transport","")),"Korok x1","Korok x2")&amp;CHAR(34)&amp;", type: "&amp;CHAR(34)&amp;C358&amp;CHAR(34)&amp;", region: "&amp;D358&amp;", level: "&amp;CHAR(34)&amp;E358&amp;CHAR(34)&amp;", x: "&amp;F358&amp;", y: "&amp;G358&amp;", z: "&amp;H358&amp;", details: "&amp;CHAR(34)&amp;I358&amp;CHAR(34)&amp;" },"</f>
        <v>{ name: "Foothill Stable Korok #01", landmark: "Korok x1", type: "Catch the Moving Sparkle", region: 7, level: "Surface", x: 2674, y: 1074, z: 157, details: "" },</v>
      </c>
    </row>
    <row r="359" spans="1:10" x14ac:dyDescent="0.2">
      <c r="A359" s="2">
        <v>422</v>
      </c>
      <c r="B359" s="34" t="s">
        <v>3343</v>
      </c>
      <c r="C359" t="s">
        <v>2807</v>
      </c>
      <c r="D359" s="2">
        <v>7</v>
      </c>
      <c r="E359" s="2" t="s">
        <v>785</v>
      </c>
      <c r="F359" s="2">
        <v>2720</v>
      </c>
      <c r="G359" s="2">
        <v>1163</v>
      </c>
      <c r="H359" s="2">
        <v>182</v>
      </c>
      <c r="J359" t="str">
        <f>"{ name: "&amp;CHAR(34)&amp;B359&amp;CHAR(34)&amp;", landmark: "&amp;CHAR(34)&amp;IF(LEN(C359)=LEN(SUBSTITUTE(C359,"Transport","")),"Korok x1","Korok x2")&amp;CHAR(34)&amp;", type: "&amp;CHAR(34)&amp;C359&amp;CHAR(34)&amp;", region: "&amp;D359&amp;", level: "&amp;CHAR(34)&amp;E359&amp;CHAR(34)&amp;", x: "&amp;F359&amp;", y: "&amp;G359&amp;", z: "&amp;H359&amp;", details: "&amp;CHAR(34)&amp;I359&amp;CHAR(34)&amp;" },"</f>
        <v>{ name: "Foothill Stable Korok #02", landmark: "Korok x1", type: "Complete the Cube Puzzle", region: 7, level: "Surface", x: 2720, y: 1163, z: 182, details: "" },</v>
      </c>
    </row>
    <row r="360" spans="1:10" x14ac:dyDescent="0.2">
      <c r="A360" s="2">
        <v>407</v>
      </c>
      <c r="B360" s="34" t="s">
        <v>3352</v>
      </c>
      <c r="C360" t="s">
        <v>2816</v>
      </c>
      <c r="D360" s="2">
        <v>7</v>
      </c>
      <c r="E360" s="2" t="s">
        <v>785</v>
      </c>
      <c r="F360" s="2">
        <v>2426</v>
      </c>
      <c r="G360" s="2">
        <v>1723</v>
      </c>
      <c r="H360" s="2">
        <v>148</v>
      </c>
      <c r="J360" t="str">
        <f>"{ name: "&amp;CHAR(34)&amp;B360&amp;CHAR(34)&amp;", landmark: "&amp;CHAR(34)&amp;IF(LEN(C360)=LEN(SUBSTITUTE(C360,"Transport","")),"Korok x1","Korok x2")&amp;CHAR(34)&amp;", type: "&amp;CHAR(34)&amp;C360&amp;CHAR(34)&amp;", region: "&amp;D360&amp;", level: "&amp;CHAR(34)&amp;E360&amp;CHAR(34)&amp;", x: "&amp;F360&amp;", y: "&amp;G360&amp;", z: "&amp;H360&amp;", details: "&amp;CHAR(34)&amp;I360&amp;CHAR(34)&amp;" },"</f>
        <v>{ name: "Gero Pond Korok", landmark: "Korok x1", type: "Pull the Plug", region: 7, level: "Surface", x: 2426, y: 1723, z: 148, details: "" },</v>
      </c>
    </row>
    <row r="361" spans="1:10" x14ac:dyDescent="0.2">
      <c r="A361" s="2">
        <v>396</v>
      </c>
      <c r="B361" s="34" t="s">
        <v>3381</v>
      </c>
      <c r="C361" t="s">
        <v>2809</v>
      </c>
      <c r="D361" s="2">
        <v>7</v>
      </c>
      <c r="E361" s="2" t="s">
        <v>785</v>
      </c>
      <c r="F361" s="2">
        <v>1474</v>
      </c>
      <c r="G361" s="2">
        <v>2224</v>
      </c>
      <c r="H361" s="2">
        <v>293</v>
      </c>
      <c r="J361" t="str">
        <f>"{ name: "&amp;CHAR(34)&amp;B361&amp;CHAR(34)&amp;", landmark: "&amp;CHAR(34)&amp;IF(LEN(C361)=LEN(SUBSTITUTE(C361,"Transport","")),"Korok x1","Korok x2")&amp;CHAR(34)&amp;", type: "&amp;CHAR(34)&amp;C361&amp;CHAR(34)&amp;", region: "&amp;D361&amp;", level: "&amp;CHAR(34)&amp;E361&amp;CHAR(34)&amp;", x: "&amp;F361&amp;", y: "&amp;G361&amp;", z: "&amp;H361&amp;", details: "&amp;CHAR(34)&amp;I361&amp;CHAR(34)&amp;" },"</f>
        <v>{ name: "Golow River Korok", landmark: "Korok x1", type: "Dive into the Lily Ring", region: 7, level: "Surface", x: 1474, y: 2224, z: 293, details: "" },</v>
      </c>
    </row>
    <row r="362" spans="1:10" x14ac:dyDescent="0.2">
      <c r="A362" s="2">
        <v>398</v>
      </c>
      <c r="B362" s="34" t="s">
        <v>3383</v>
      </c>
      <c r="C362" t="s">
        <v>2815</v>
      </c>
      <c r="D362" s="2">
        <v>7</v>
      </c>
      <c r="E362" s="2" t="s">
        <v>785</v>
      </c>
      <c r="F362" s="2">
        <v>1999</v>
      </c>
      <c r="G362" s="2">
        <v>2122</v>
      </c>
      <c r="H362" s="2">
        <v>474</v>
      </c>
      <c r="J362" t="str">
        <f>"{ name: "&amp;CHAR(34)&amp;B362&amp;CHAR(34)&amp;", landmark: "&amp;CHAR(34)&amp;IF(LEN(C362)=LEN(SUBSTITUTE(C362,"Transport","")),"Korok x1","Korok x2")&amp;CHAR(34)&amp;", type: "&amp;CHAR(34)&amp;C362&amp;CHAR(34)&amp;", region: "&amp;D362&amp;", level: "&amp;CHAR(34)&amp;E362&amp;CHAR(34)&amp;", x: "&amp;F362&amp;", y: "&amp;G362&amp;", z: "&amp;H362&amp;", details: "&amp;CHAR(34)&amp;I362&amp;CHAR(34)&amp;" },"</f>
        <v>{ name: "Gorko Lake Korok", landmark: "Korok x1", type: "Place the Boulder", region: 7, level: "Surface", x: 1999, y: 2122, z: 474, details: "" },</v>
      </c>
    </row>
    <row r="363" spans="1:10" x14ac:dyDescent="0.2">
      <c r="A363" s="2">
        <v>401</v>
      </c>
      <c r="B363" s="34" t="s">
        <v>3384</v>
      </c>
      <c r="C363" t="s">
        <v>2802</v>
      </c>
      <c r="D363" s="2">
        <v>7</v>
      </c>
      <c r="E363" s="2" t="s">
        <v>785</v>
      </c>
      <c r="F363" s="2">
        <v>1832</v>
      </c>
      <c r="G363" s="2">
        <v>1904</v>
      </c>
      <c r="H363" s="2">
        <v>343</v>
      </c>
      <c r="I363" t="s">
        <v>2642</v>
      </c>
      <c r="J363" t="str">
        <f>"{ name: "&amp;CHAR(34)&amp;B363&amp;CHAR(34)&amp;", landmark: "&amp;CHAR(34)&amp;IF(LEN(C363)=LEN(SUBSTITUTE(C363,"Transport","")),"Korok x1","Korok x2")&amp;CHAR(34)&amp;", type: "&amp;CHAR(34)&amp;C363&amp;CHAR(34)&amp;", region: "&amp;D363&amp;", level: "&amp;CHAR(34)&amp;E363&amp;CHAR(34)&amp;", x: "&amp;F363&amp;", y: "&amp;G363&amp;", z: "&amp;H363&amp;", details: "&amp;CHAR(34)&amp;I363&amp;CHAR(34)&amp;" },"</f>
        <v>{ name: "Gorko Tunnel Korok", landmark: "Korok x2", type: "Transport to Friend", region: 7, level: "Surface", x: 1832, y: 1904, z: 343, details: "Starts at (1981, 2040, 424)" },</v>
      </c>
    </row>
    <row r="364" spans="1:10" x14ac:dyDescent="0.2">
      <c r="A364" s="2">
        <v>384</v>
      </c>
      <c r="B364" s="34" t="s">
        <v>3385</v>
      </c>
      <c r="C364" t="s">
        <v>2814</v>
      </c>
      <c r="D364" s="2">
        <v>7</v>
      </c>
      <c r="E364" s="2" t="s">
        <v>785</v>
      </c>
      <c r="F364" s="2">
        <v>1806</v>
      </c>
      <c r="G364" s="2">
        <v>2530</v>
      </c>
      <c r="H364" s="2">
        <v>405</v>
      </c>
      <c r="J364" t="str">
        <f>"{ name: "&amp;CHAR(34)&amp;B364&amp;CHAR(34)&amp;", landmark: "&amp;CHAR(34)&amp;IF(LEN(C364)=LEN(SUBSTITUTE(C364,"Transport","")),"Korok x1","Korok x2")&amp;CHAR(34)&amp;", type: "&amp;CHAR(34)&amp;C364&amp;CHAR(34)&amp;", region: "&amp;D364&amp;", level: "&amp;CHAR(34)&amp;E364&amp;CHAR(34)&amp;", x: "&amp;F364&amp;", y: "&amp;G364&amp;", z: "&amp;H364&amp;", details: "&amp;CHAR(34)&amp;I364&amp;CHAR(34)&amp;" },"</f>
        <v>{ name: "Goro Cove Korok #01", landmark: "Korok x1", type: "Make Offering to Statue", region: 7, level: "Surface", x: 1806, y: 2530, z: 405, details: "" },</v>
      </c>
    </row>
    <row r="365" spans="1:10" x14ac:dyDescent="0.2">
      <c r="A365" s="2">
        <v>385</v>
      </c>
      <c r="B365" s="34" t="s">
        <v>3386</v>
      </c>
      <c r="C365" t="s">
        <v>2802</v>
      </c>
      <c r="D365" s="2">
        <v>7</v>
      </c>
      <c r="E365" s="2" t="s">
        <v>785</v>
      </c>
      <c r="F365" s="2">
        <v>1991</v>
      </c>
      <c r="G365" s="2">
        <v>2597</v>
      </c>
      <c r="H365" s="2">
        <v>458</v>
      </c>
      <c r="I365" t="s">
        <v>2641</v>
      </c>
      <c r="J365" t="str">
        <f>"{ name: "&amp;CHAR(34)&amp;B365&amp;CHAR(34)&amp;", landmark: "&amp;CHAR(34)&amp;IF(LEN(C365)=LEN(SUBSTITUTE(C365,"Transport","")),"Korok x1","Korok x2")&amp;CHAR(34)&amp;", type: "&amp;CHAR(34)&amp;C365&amp;CHAR(34)&amp;", region: "&amp;D365&amp;", level: "&amp;CHAR(34)&amp;E365&amp;CHAR(34)&amp;", x: "&amp;F365&amp;", y: "&amp;G365&amp;", z: "&amp;H365&amp;", details: "&amp;CHAR(34)&amp;I365&amp;CHAR(34)&amp;" },"</f>
        <v>{ name: "Goro Cove Korok #02", landmark: "Korok x2", type: "Transport to Friend", region: 7, level: "Surface", x: 1991, y: 2597, z: 458, details: "Starts at (1817, 2642, 402)" },</v>
      </c>
    </row>
    <row r="366" spans="1:10" x14ac:dyDescent="0.2">
      <c r="A366" s="2">
        <v>390</v>
      </c>
      <c r="B366" s="34" t="s">
        <v>3387</v>
      </c>
      <c r="C366" t="s">
        <v>2807</v>
      </c>
      <c r="D366" s="2">
        <v>7</v>
      </c>
      <c r="E366" s="2" t="s">
        <v>785</v>
      </c>
      <c r="F366" s="2">
        <v>1741</v>
      </c>
      <c r="G366" s="2">
        <v>2330</v>
      </c>
      <c r="H366" s="2">
        <v>426</v>
      </c>
      <c r="J366" t="str">
        <f>"{ name: "&amp;CHAR(34)&amp;B366&amp;CHAR(34)&amp;", landmark: "&amp;CHAR(34)&amp;IF(LEN(C366)=LEN(SUBSTITUTE(C366,"Transport","")),"Korok x1","Korok x2")&amp;CHAR(34)&amp;", type: "&amp;CHAR(34)&amp;C366&amp;CHAR(34)&amp;", region: "&amp;D366&amp;", level: "&amp;CHAR(34)&amp;E366&amp;CHAR(34)&amp;", x: "&amp;F366&amp;", y: "&amp;G366&amp;", z: "&amp;H366&amp;", details: "&amp;CHAR(34)&amp;I366&amp;CHAR(34)&amp;" },"</f>
        <v>{ name: "Goro Cove Korok #03", landmark: "Korok x1", type: "Complete the Cube Puzzle", region: 7, level: "Surface", x: 1741, y: 2330, z: 426, details: "" },</v>
      </c>
    </row>
    <row r="367" spans="1:10" x14ac:dyDescent="0.2">
      <c r="A367" s="2">
        <v>374</v>
      </c>
      <c r="B367" s="34" t="s">
        <v>3388</v>
      </c>
      <c r="C367" t="s">
        <v>2802</v>
      </c>
      <c r="D367" s="2">
        <v>7</v>
      </c>
      <c r="E367" s="2" t="s">
        <v>785</v>
      </c>
      <c r="F367" s="2">
        <v>1714</v>
      </c>
      <c r="G367" s="2">
        <v>3061</v>
      </c>
      <c r="H367" s="2">
        <v>394</v>
      </c>
      <c r="I367" t="s">
        <v>2640</v>
      </c>
      <c r="J367" t="str">
        <f>"{ name: "&amp;CHAR(34)&amp;B367&amp;CHAR(34)&amp;", landmark: "&amp;CHAR(34)&amp;IF(LEN(C367)=LEN(SUBSTITUTE(C367,"Transport","")),"Korok x1","Korok x2")&amp;CHAR(34)&amp;", type: "&amp;CHAR(34)&amp;C367&amp;CHAR(34)&amp;", region: "&amp;D367&amp;", level: "&amp;CHAR(34)&amp;E367&amp;CHAR(34)&amp;", x: "&amp;F367&amp;", y: "&amp;G367&amp;", z: "&amp;H367&amp;", details: "&amp;CHAR(34)&amp;I367&amp;CHAR(34)&amp;" },"</f>
        <v>{ name: "Goron City Korok #01", landmark: "Korok x2", type: "Transport to Friend", region: 7, level: "Surface", x: 1714, y: 3061, z: 394, details: "Starts at (1723, 2611, 431)" },</v>
      </c>
    </row>
    <row r="368" spans="1:10" x14ac:dyDescent="0.2">
      <c r="A368" s="2">
        <v>383</v>
      </c>
      <c r="B368" s="34" t="s">
        <v>3389</v>
      </c>
      <c r="C368" t="s">
        <v>2812</v>
      </c>
      <c r="D368" s="2">
        <v>7</v>
      </c>
      <c r="E368" s="2" t="s">
        <v>785</v>
      </c>
      <c r="F368" s="2">
        <v>1725</v>
      </c>
      <c r="G368" s="2">
        <v>2555</v>
      </c>
      <c r="H368" s="2">
        <v>500</v>
      </c>
      <c r="J368" t="str">
        <f>"{ name: "&amp;CHAR(34)&amp;B368&amp;CHAR(34)&amp;", landmark: "&amp;CHAR(34)&amp;IF(LEN(C368)=LEN(SUBSTITUTE(C368,"Transport","")),"Korok x1","Korok x2")&amp;CHAR(34)&amp;", type: "&amp;CHAR(34)&amp;C368&amp;CHAR(34)&amp;", region: "&amp;D368&amp;", level: "&amp;CHAR(34)&amp;E368&amp;CHAR(34)&amp;", x: "&amp;F368&amp;", y: "&amp;G368&amp;", z: "&amp;H368&amp;", details: "&amp;CHAR(34)&amp;I368&amp;CHAR(34)&amp;" },"</f>
        <v>{ name: "Goron City Korok #02", landmark: "Korok x1", type: "Lift the Rock", region: 7, level: "Surface", x: 1725, y: 2555, z: 500, details: "" },</v>
      </c>
    </row>
    <row r="369" spans="1:10" x14ac:dyDescent="0.2">
      <c r="A369" s="2">
        <v>387</v>
      </c>
      <c r="B369" s="34" t="s">
        <v>3390</v>
      </c>
      <c r="C369" t="s">
        <v>2822</v>
      </c>
      <c r="D369" s="2">
        <v>7</v>
      </c>
      <c r="E369" s="2" t="s">
        <v>785</v>
      </c>
      <c r="F369" s="2">
        <v>1594</v>
      </c>
      <c r="G369" s="2">
        <v>2474</v>
      </c>
      <c r="H369" s="2">
        <v>439</v>
      </c>
      <c r="J369" t="str">
        <f>"{ name: "&amp;CHAR(34)&amp;B369&amp;CHAR(34)&amp;", landmark: "&amp;CHAR(34)&amp;IF(LEN(C369)=LEN(SUBSTITUTE(C369,"Transport","")),"Korok x1","Korok x2")&amp;CHAR(34)&amp;", type: "&amp;CHAR(34)&amp;C369&amp;CHAR(34)&amp;", region: "&amp;D369&amp;", level: "&amp;CHAR(34)&amp;E369&amp;CHAR(34)&amp;", x: "&amp;F369&amp;", y: "&amp;G369&amp;", z: "&amp;H369&amp;", details: "&amp;CHAR(34)&amp;I369&amp;CHAR(34)&amp;" },"</f>
        <v>{ name: "Goron City Korok #03", landmark: "Korok x1", type: "Shoot the Hidden Balloon", region: 7, level: "Surface", x: 1594, y: 2474, z: 439, details: "" },</v>
      </c>
    </row>
    <row r="370" spans="1:10" x14ac:dyDescent="0.2">
      <c r="A370" s="2">
        <v>388</v>
      </c>
      <c r="B370" s="34" t="s">
        <v>3391</v>
      </c>
      <c r="C370" t="s">
        <v>2822</v>
      </c>
      <c r="D370" s="2">
        <v>7</v>
      </c>
      <c r="E370" s="2" t="s">
        <v>785</v>
      </c>
      <c r="F370" s="2">
        <v>1667</v>
      </c>
      <c r="G370" s="2">
        <v>2410</v>
      </c>
      <c r="H370" s="2">
        <v>453</v>
      </c>
      <c r="J370" t="str">
        <f>"{ name: "&amp;CHAR(34)&amp;B370&amp;CHAR(34)&amp;", landmark: "&amp;CHAR(34)&amp;IF(LEN(C370)=LEN(SUBSTITUTE(C370,"Transport","")),"Korok x1","Korok x2")&amp;CHAR(34)&amp;", type: "&amp;CHAR(34)&amp;C370&amp;CHAR(34)&amp;", region: "&amp;D370&amp;", level: "&amp;CHAR(34)&amp;E370&amp;CHAR(34)&amp;", x: "&amp;F370&amp;", y: "&amp;G370&amp;", z: "&amp;H370&amp;", details: "&amp;CHAR(34)&amp;I370&amp;CHAR(34)&amp;" },"</f>
        <v>{ name: "Goron City Korok #04", landmark: "Korok x1", type: "Shoot the Hidden Balloon", region: 7, level: "Surface", x: 1667, y: 2410, z: 453, details: "" },</v>
      </c>
    </row>
    <row r="371" spans="1:10" x14ac:dyDescent="0.2">
      <c r="A371" s="2">
        <v>389</v>
      </c>
      <c r="B371" s="34" t="s">
        <v>3392</v>
      </c>
      <c r="C371" t="s">
        <v>2809</v>
      </c>
      <c r="D371" s="2">
        <v>7</v>
      </c>
      <c r="E371" s="2" t="s">
        <v>785</v>
      </c>
      <c r="F371" s="2">
        <v>1723</v>
      </c>
      <c r="G371" s="2">
        <v>2421</v>
      </c>
      <c r="H371" s="2">
        <v>388</v>
      </c>
      <c r="J371" t="str">
        <f>"{ name: "&amp;CHAR(34)&amp;B371&amp;CHAR(34)&amp;", landmark: "&amp;CHAR(34)&amp;IF(LEN(C371)=LEN(SUBSTITUTE(C371,"Transport","")),"Korok x1","Korok x2")&amp;CHAR(34)&amp;", type: "&amp;CHAR(34)&amp;C371&amp;CHAR(34)&amp;", region: "&amp;D371&amp;", level: "&amp;CHAR(34)&amp;E371&amp;CHAR(34)&amp;", x: "&amp;F371&amp;", y: "&amp;G371&amp;", z: "&amp;H371&amp;", details: "&amp;CHAR(34)&amp;I371&amp;CHAR(34)&amp;" },"</f>
        <v>{ name: "Goron City Korok #05", landmark: "Korok x1", type: "Dive into the Lily Ring", region: 7, level: "Surface", x: 1723, y: 2421, z: 388, details: "" },</v>
      </c>
    </row>
    <row r="372" spans="1:10" x14ac:dyDescent="0.2">
      <c r="A372" s="2">
        <v>397</v>
      </c>
      <c r="B372" s="34" t="s">
        <v>3393</v>
      </c>
      <c r="C372" t="s">
        <v>2827</v>
      </c>
      <c r="D372" s="2">
        <v>7</v>
      </c>
      <c r="E372" s="2" t="s">
        <v>785</v>
      </c>
      <c r="F372" s="2">
        <v>1755</v>
      </c>
      <c r="G372" s="2">
        <v>2225</v>
      </c>
      <c r="H372" s="2">
        <v>485</v>
      </c>
      <c r="I372" t="s">
        <v>2764</v>
      </c>
      <c r="J372" t="str">
        <f>"{ name: "&amp;CHAR(34)&amp;B372&amp;CHAR(34)&amp;", landmark: "&amp;CHAR(34)&amp;IF(LEN(C372)=LEN(SUBSTITUTE(C372,"Transport","")),"Korok x1","Korok x2")&amp;CHAR(34)&amp;", type: "&amp;CHAR(34)&amp;C372&amp;CHAR(34)&amp;", region: "&amp;D372&amp;", level: "&amp;CHAR(34)&amp;E372&amp;CHAR(34)&amp;", x: "&amp;F372&amp;", y: "&amp;G372&amp;", z: "&amp;H372&amp;", details: "&amp;CHAR(34)&amp;I372&amp;CHAR(34)&amp;" },"</f>
        <v>{ name: "Goron Hot Springs Korok", landmark: "Korok x1", type: "Paraglide to the Goal", region: 7, level: "Surface", x: 1755, y: 2225, z: 485, details: "Starts at (1799, 2210, 498)" },</v>
      </c>
    </row>
    <row r="373" spans="1:10" x14ac:dyDescent="0.2">
      <c r="A373" s="2">
        <v>410</v>
      </c>
      <c r="B373" s="34" t="s">
        <v>3394</v>
      </c>
      <c r="C373" t="s">
        <v>2802</v>
      </c>
      <c r="D373" s="2">
        <v>7</v>
      </c>
      <c r="E373" s="2" t="s">
        <v>785</v>
      </c>
      <c r="F373" s="2">
        <v>1877</v>
      </c>
      <c r="G373" s="2">
        <v>1630</v>
      </c>
      <c r="H373" s="2">
        <v>303</v>
      </c>
      <c r="I373" t="s">
        <v>2644</v>
      </c>
      <c r="J373" t="str">
        <f>"{ name: "&amp;CHAR(34)&amp;B373&amp;CHAR(34)&amp;", landmark: "&amp;CHAR(34)&amp;IF(LEN(C373)=LEN(SUBSTITUTE(C373,"Transport","")),"Korok x1","Korok x2")&amp;CHAR(34)&amp;", type: "&amp;CHAR(34)&amp;C373&amp;CHAR(34)&amp;", region: "&amp;D373&amp;", level: "&amp;CHAR(34)&amp;E373&amp;CHAR(34)&amp;", x: "&amp;F373&amp;", y: "&amp;G373&amp;", z: "&amp;H373&amp;", details: "&amp;CHAR(34)&amp;I373&amp;CHAR(34)&amp;" },"</f>
        <v>{ name: "Goronbi Lake Korok", landmark: "Korok x2", type: "Transport to Friend", region: 7, level: "Surface", x: 1877, y: 1630, z: 303, details: "Starts at (1534, 1606, 306)" },</v>
      </c>
    </row>
    <row r="374" spans="1:10" x14ac:dyDescent="0.2">
      <c r="A374" s="2">
        <v>399</v>
      </c>
      <c r="B374" s="34" t="s">
        <v>3395</v>
      </c>
      <c r="C374" t="s">
        <v>2826</v>
      </c>
      <c r="D374" s="2">
        <v>7</v>
      </c>
      <c r="E374" s="2" t="s">
        <v>785</v>
      </c>
      <c r="F374" s="2">
        <v>1433</v>
      </c>
      <c r="G374" s="2">
        <v>1953</v>
      </c>
      <c r="H374" s="2">
        <v>355</v>
      </c>
      <c r="J374" t="str">
        <f>"{ name: "&amp;CHAR(34)&amp;B374&amp;CHAR(34)&amp;", landmark: "&amp;CHAR(34)&amp;IF(LEN(C374)=LEN(SUBSTITUTE(C374,"Transport","")),"Korok x1","Korok x2")&amp;CHAR(34)&amp;", type: "&amp;CHAR(34)&amp;C374&amp;CHAR(34)&amp;", region: "&amp;D374&amp;", level: "&amp;CHAR(34)&amp;E374&amp;CHAR(34)&amp;", x: "&amp;F374&amp;", y: "&amp;G374&amp;", z: "&amp;H374&amp;", details: "&amp;CHAR(34)&amp;I374&amp;CHAR(34)&amp;" },"</f>
        <v>{ name: "Goronbi River Korok #01", landmark: "Korok x1", type: "Ascend Through the Marker", region: 7, level: "Surface", x: 1433, y: 1953, z: 355, details: "" },</v>
      </c>
    </row>
    <row r="375" spans="1:10" x14ac:dyDescent="0.2">
      <c r="A375" s="2">
        <v>405</v>
      </c>
      <c r="B375" s="34" t="s">
        <v>3396</v>
      </c>
      <c r="C375" t="s">
        <v>2802</v>
      </c>
      <c r="D375" s="2">
        <v>7</v>
      </c>
      <c r="E375" s="2" t="s">
        <v>785</v>
      </c>
      <c r="F375" s="2">
        <v>1504</v>
      </c>
      <c r="G375" s="2">
        <v>1802</v>
      </c>
      <c r="H375" s="2">
        <v>310</v>
      </c>
      <c r="I375" t="s">
        <v>2645</v>
      </c>
      <c r="J375" t="str">
        <f>"{ name: "&amp;CHAR(34)&amp;B375&amp;CHAR(34)&amp;", landmark: "&amp;CHAR(34)&amp;IF(LEN(C375)=LEN(SUBSTITUTE(C375,"Transport","")),"Korok x1","Korok x2")&amp;CHAR(34)&amp;", type: "&amp;CHAR(34)&amp;C375&amp;CHAR(34)&amp;", region: "&amp;D375&amp;", level: "&amp;CHAR(34)&amp;E375&amp;CHAR(34)&amp;", x: "&amp;F375&amp;", y: "&amp;G375&amp;", z: "&amp;H375&amp;", details: "&amp;CHAR(34)&amp;I375&amp;CHAR(34)&amp;" },"</f>
        <v>{ name: "Goronbi River Korok #02", landmark: "Korok x2", type: "Transport to Friend", region: 7, level: "Surface", x: 1504, y: 1802, z: 310, details: "Starts at (1542, 1809, 284)" },</v>
      </c>
    </row>
    <row r="376" spans="1:10" x14ac:dyDescent="0.2">
      <c r="A376" s="2">
        <v>406</v>
      </c>
      <c r="B376" s="34" t="s">
        <v>3397</v>
      </c>
      <c r="C376" t="s">
        <v>2815</v>
      </c>
      <c r="D376" s="2">
        <v>7</v>
      </c>
      <c r="E376" s="2" t="s">
        <v>785</v>
      </c>
      <c r="F376" s="2">
        <v>1701</v>
      </c>
      <c r="G376" s="2">
        <v>1756</v>
      </c>
      <c r="H376" s="2">
        <v>353</v>
      </c>
      <c r="J376" t="str">
        <f>"{ name: "&amp;CHAR(34)&amp;B376&amp;CHAR(34)&amp;", landmark: "&amp;CHAR(34)&amp;IF(LEN(C376)=LEN(SUBSTITUTE(C376,"Transport","")),"Korok x1","Korok x2")&amp;CHAR(34)&amp;", type: "&amp;CHAR(34)&amp;C376&amp;CHAR(34)&amp;", region: "&amp;D376&amp;", level: "&amp;CHAR(34)&amp;E376&amp;CHAR(34)&amp;", x: "&amp;F376&amp;", y: "&amp;G376&amp;", z: "&amp;H376&amp;", details: "&amp;CHAR(34)&amp;I376&amp;CHAR(34)&amp;" },"</f>
        <v>{ name: "Goronbi River Korok #03", landmark: "Korok x1", type: "Place the Boulder", region: 7, level: "Surface", x: 1701, y: 1756, z: 353, details: "" },</v>
      </c>
    </row>
    <row r="377" spans="1:10" x14ac:dyDescent="0.2">
      <c r="A377" s="2">
        <v>372</v>
      </c>
      <c r="B377" s="34" t="s">
        <v>3427</v>
      </c>
      <c r="C377" t="s">
        <v>2823</v>
      </c>
      <c r="D377" s="2">
        <v>7</v>
      </c>
      <c r="E377" s="2" t="s">
        <v>785</v>
      </c>
      <c r="F377" s="2">
        <v>2672</v>
      </c>
      <c r="G377" s="2">
        <v>3442</v>
      </c>
      <c r="H377" s="2">
        <v>377</v>
      </c>
      <c r="J377" t="str">
        <f>"{ name: "&amp;CHAR(34)&amp;B377&amp;CHAR(34)&amp;", landmark: "&amp;CHAR(34)&amp;IF(LEN(C377)=LEN(SUBSTITUTE(C377,"Transport","")),"Korok x1","Korok x2")&amp;CHAR(34)&amp;", type: "&amp;CHAR(34)&amp;C377&amp;CHAR(34)&amp;", region: "&amp;D377&amp;", level: "&amp;CHAR(34)&amp;E377&amp;CHAR(34)&amp;", x: "&amp;F377&amp;", y: "&amp;G377&amp;", z: "&amp;H377&amp;", details: "&amp;CHAR(34)&amp;I377&amp;CHAR(34)&amp;" },"</f>
        <v>{ name: "Gut Check Rock Korok", landmark: "Korok x1", type: "Examine Fairy Lights", region: 7, level: "Surface", x: 2672, y: 3442, z: 377, details: "" },</v>
      </c>
    </row>
    <row r="378" spans="1:10" x14ac:dyDescent="0.2">
      <c r="A378" s="2">
        <v>373</v>
      </c>
      <c r="B378" s="34" t="s">
        <v>3538</v>
      </c>
      <c r="C378" t="s">
        <v>2826</v>
      </c>
      <c r="D378" s="2">
        <v>7</v>
      </c>
      <c r="E378" s="2" t="s">
        <v>785</v>
      </c>
      <c r="F378" s="2">
        <v>2406</v>
      </c>
      <c r="G378" s="2">
        <v>3328</v>
      </c>
      <c r="H378" s="2">
        <v>436</v>
      </c>
      <c r="J378" t="str">
        <f>"{ name: "&amp;CHAR(34)&amp;B378&amp;CHAR(34)&amp;", landmark: "&amp;CHAR(34)&amp;IF(LEN(C378)=LEN(SUBSTITUTE(C378,"Transport","")),"Korok x1","Korok x2")&amp;CHAR(34)&amp;", type: "&amp;CHAR(34)&amp;C378&amp;CHAR(34)&amp;", region: "&amp;D378&amp;", level: "&amp;CHAR(34)&amp;E378&amp;CHAR(34)&amp;", x: "&amp;F378&amp;", y: "&amp;G378&amp;", z: "&amp;H378&amp;", details: "&amp;CHAR(34)&amp;I378&amp;CHAR(34)&amp;" },"</f>
        <v>{ name: "Lake Darman Korok #01", landmark: "Korok x1", type: "Ascend Through the Marker", region: 7, level: "Surface", x: 2406, y: 3328, z: 436, details: "" },</v>
      </c>
    </row>
    <row r="379" spans="1:10" x14ac:dyDescent="0.2">
      <c r="A379" s="2">
        <v>375</v>
      </c>
      <c r="B379" s="34" t="s">
        <v>3539</v>
      </c>
      <c r="C379" t="s">
        <v>2817</v>
      </c>
      <c r="D379" s="2">
        <v>7</v>
      </c>
      <c r="E379" s="2" t="s">
        <v>785</v>
      </c>
      <c r="F379" s="2">
        <v>2156</v>
      </c>
      <c r="G379" s="2">
        <v>3056</v>
      </c>
      <c r="H379" s="2">
        <v>478</v>
      </c>
      <c r="I379" t="s">
        <v>2638</v>
      </c>
      <c r="J379" t="str">
        <f>"{ name: "&amp;CHAR(34)&amp;B379&amp;CHAR(34)&amp;", landmark: "&amp;CHAR(34)&amp;IF(LEN(C379)=LEN(SUBSTITUTE(C379,"Transport","")),"Korok x1","Korok x2")&amp;CHAR(34)&amp;", type: "&amp;CHAR(34)&amp;C379&amp;CHAR(34)&amp;", region: "&amp;D379&amp;", level: "&amp;CHAR(34)&amp;E379&amp;CHAR(34)&amp;", x: "&amp;F379&amp;", y: "&amp;G379&amp;", z: "&amp;H379&amp;", details: "&amp;CHAR(34)&amp;I379&amp;CHAR(34)&amp;" },"</f>
        <v>{ name: "Lake Darman Korok #02", landmark: "Korok x1", type: "Reach the Target Ring", region: 7, level: "Surface", x: 2156, y: 3056, z: 478, details: "Starts at (2194, 3009, 508)" },</v>
      </c>
    </row>
    <row r="380" spans="1:10" x14ac:dyDescent="0.2">
      <c r="A380" s="2">
        <v>376</v>
      </c>
      <c r="B380" s="34" t="s">
        <v>3540</v>
      </c>
      <c r="C380" t="s">
        <v>2595</v>
      </c>
      <c r="D380" s="2">
        <v>7</v>
      </c>
      <c r="E380" s="2" t="s">
        <v>785</v>
      </c>
      <c r="F380" s="2">
        <v>2172</v>
      </c>
      <c r="G380" s="2">
        <v>3036</v>
      </c>
      <c r="H380" s="2">
        <v>456</v>
      </c>
      <c r="J380" t="str">
        <f>"{ name: "&amp;CHAR(34)&amp;B380&amp;CHAR(34)&amp;", landmark: "&amp;CHAR(34)&amp;IF(LEN(C380)=LEN(SUBSTITUTE(C380,"Transport","")),"Korok x1","Korok x2")&amp;CHAR(34)&amp;", type: "&amp;CHAR(34)&amp;C380&amp;CHAR(34)&amp;", region: "&amp;D380&amp;", level: "&amp;CHAR(34)&amp;E380&amp;CHAR(34)&amp;", x: "&amp;F380&amp;", y: "&amp;G380&amp;", z: "&amp;H380&amp;", details: "&amp;CHAR(34)&amp;I380&amp;CHAR(34)&amp;" },"</f>
        <v>{ name: "Lake Darman Korok #03", landmark: "Korok x1", type: "Attack and catch the dandelion", region: 7, level: "Surface", x: 2172, y: 3036, z: 456, details: "" },</v>
      </c>
    </row>
    <row r="381" spans="1:10" x14ac:dyDescent="0.2">
      <c r="A381" s="2">
        <v>377</v>
      </c>
      <c r="B381" s="34" t="s">
        <v>3541</v>
      </c>
      <c r="C381" t="s">
        <v>2801</v>
      </c>
      <c r="D381" s="2">
        <v>7</v>
      </c>
      <c r="E381" s="2" t="s">
        <v>785</v>
      </c>
      <c r="F381" s="2">
        <v>2232</v>
      </c>
      <c r="G381" s="2">
        <v>3042</v>
      </c>
      <c r="H381" s="2">
        <v>447</v>
      </c>
      <c r="J381" t="str">
        <f>"{ name: "&amp;CHAR(34)&amp;B381&amp;CHAR(34)&amp;", landmark: "&amp;CHAR(34)&amp;IF(LEN(C381)=LEN(SUBSTITUTE(C381,"Transport","")),"Korok x1","Korok x2")&amp;CHAR(34)&amp;", type: "&amp;CHAR(34)&amp;C381&amp;CHAR(34)&amp;", region: "&amp;D381&amp;", level: "&amp;CHAR(34)&amp;E381&amp;CHAR(34)&amp;", x: "&amp;F381&amp;", y: "&amp;G381&amp;", z: "&amp;H381&amp;", details: "&amp;CHAR(34)&amp;I381&amp;CHAR(34)&amp;" },"</f>
        <v>{ name: "Lake Darman Korok #04", landmark: "Korok x1", type: "Break the Acorn Pot", region: 7, level: "Surface", x: 2232, y: 3042, z: 447, details: "" },</v>
      </c>
    </row>
    <row r="382" spans="1:10" x14ac:dyDescent="0.2">
      <c r="A382" s="2">
        <v>417</v>
      </c>
      <c r="B382" s="34" t="s">
        <v>3542</v>
      </c>
      <c r="C382" t="s">
        <v>2812</v>
      </c>
      <c r="D382" s="2">
        <v>7</v>
      </c>
      <c r="E382" s="2" t="s">
        <v>785</v>
      </c>
      <c r="F382" s="2">
        <v>1942</v>
      </c>
      <c r="G382" s="2">
        <v>1208</v>
      </c>
      <c r="H382" s="2">
        <v>140</v>
      </c>
      <c r="J382" t="str">
        <f>"{ name: "&amp;CHAR(34)&amp;B382&amp;CHAR(34)&amp;", landmark: "&amp;CHAR(34)&amp;IF(LEN(C382)=LEN(SUBSTITUTE(C382,"Transport","")),"Korok x1","Korok x2")&amp;CHAR(34)&amp;", type: "&amp;CHAR(34)&amp;C382&amp;CHAR(34)&amp;", region: "&amp;D382&amp;", level: "&amp;CHAR(34)&amp;E382&amp;CHAR(34)&amp;", x: "&amp;F382&amp;", y: "&amp;G382&amp;", z: "&amp;H382&amp;", details: "&amp;CHAR(34)&amp;I382&amp;CHAR(34)&amp;" },"</f>
        <v>{ name: "Lake Ferona Korok", landmark: "Korok x1", type: "Lift the Rock", region: 7, level: "Surface", x: 1942, y: 1208, z: 140, details: "" },</v>
      </c>
    </row>
    <row r="383" spans="1:10" x14ac:dyDescent="0.2">
      <c r="A383" s="2">
        <v>419</v>
      </c>
      <c r="B383" s="34" t="s">
        <v>3552</v>
      </c>
      <c r="C383" t="s">
        <v>2802</v>
      </c>
      <c r="D383" s="2">
        <v>7</v>
      </c>
      <c r="E383" s="2" t="s">
        <v>785</v>
      </c>
      <c r="F383" s="2">
        <v>2129</v>
      </c>
      <c r="G383" s="2">
        <v>1083</v>
      </c>
      <c r="H383" s="2">
        <v>133</v>
      </c>
      <c r="I383" t="s">
        <v>2646</v>
      </c>
      <c r="J383" t="str">
        <f>"{ name: "&amp;CHAR(34)&amp;B383&amp;CHAR(34)&amp;", landmark: "&amp;CHAR(34)&amp;IF(LEN(C383)=LEN(SUBSTITUTE(C383,"Transport","")),"Korok x1","Korok x2")&amp;CHAR(34)&amp;", type: "&amp;CHAR(34)&amp;C383&amp;CHAR(34)&amp;", region: "&amp;D383&amp;", level: "&amp;CHAR(34)&amp;E383&amp;CHAR(34)&amp;", x: "&amp;F383&amp;", y: "&amp;G383&amp;", z: "&amp;H383&amp;", details: "&amp;CHAR(34)&amp;I383&amp;CHAR(34)&amp;" },"</f>
        <v>{ name: "Lake Intenoch Korok", landmark: "Korok x2", type: "Transport to Friend", region: 7, level: "Surface", x: 2129, y: 1083, z: 133, details: "Starts at (2372, 1405, 132)" },</v>
      </c>
    </row>
    <row r="384" spans="1:10" x14ac:dyDescent="0.2">
      <c r="A384" s="2">
        <v>418</v>
      </c>
      <c r="B384" s="34" t="s">
        <v>3626</v>
      </c>
      <c r="C384" t="s">
        <v>2595</v>
      </c>
      <c r="D384" s="2">
        <v>7</v>
      </c>
      <c r="E384" s="2" t="s">
        <v>785</v>
      </c>
      <c r="F384" s="2">
        <v>2441</v>
      </c>
      <c r="G384" s="2">
        <v>1242</v>
      </c>
      <c r="H384" s="2">
        <v>155</v>
      </c>
      <c r="J384" t="str">
        <f>"{ name: "&amp;CHAR(34)&amp;B384&amp;CHAR(34)&amp;", landmark: "&amp;CHAR(34)&amp;IF(LEN(C384)=LEN(SUBSTITUTE(C384,"Transport","")),"Korok x1","Korok x2")&amp;CHAR(34)&amp;", type: "&amp;CHAR(34)&amp;C384&amp;CHAR(34)&amp;", region: "&amp;D384&amp;", level: "&amp;CHAR(34)&amp;E384&amp;CHAR(34)&amp;", x: "&amp;F384&amp;", y: "&amp;G384&amp;", z: "&amp;H384&amp;", details: "&amp;CHAR(34)&amp;I384&amp;CHAR(34)&amp;" },"</f>
        <v>{ name: "Maw of Death Mountain Korok #01", landmark: "Korok x1", type: "Attack and catch the dandelion", region: 7, level: "Surface", x: 2441, y: 1242, z: 155, details: "" },</v>
      </c>
    </row>
    <row r="385" spans="1:10" x14ac:dyDescent="0.2">
      <c r="A385" s="2">
        <v>420</v>
      </c>
      <c r="B385" s="34" t="s">
        <v>3627</v>
      </c>
      <c r="C385" t="s">
        <v>2826</v>
      </c>
      <c r="D385" s="2">
        <v>7</v>
      </c>
      <c r="E385" s="2" t="s">
        <v>785</v>
      </c>
      <c r="F385" s="2">
        <v>2314</v>
      </c>
      <c r="G385" s="2">
        <v>1133</v>
      </c>
      <c r="H385" s="2">
        <v>210</v>
      </c>
      <c r="J385" t="str">
        <f>"{ name: "&amp;CHAR(34)&amp;B385&amp;CHAR(34)&amp;", landmark: "&amp;CHAR(34)&amp;IF(LEN(C385)=LEN(SUBSTITUTE(C385,"Transport","")),"Korok x1","Korok x2")&amp;CHAR(34)&amp;", type: "&amp;CHAR(34)&amp;C385&amp;CHAR(34)&amp;", region: "&amp;D385&amp;", level: "&amp;CHAR(34)&amp;E385&amp;CHAR(34)&amp;", x: "&amp;F385&amp;", y: "&amp;G385&amp;", z: "&amp;H385&amp;", details: "&amp;CHAR(34)&amp;I385&amp;CHAR(34)&amp;" },"</f>
        <v>{ name: "Maw of Death Mountain Korok #02", landmark: "Korok x1", type: "Ascend Through the Marker", region: 7, level: "Surface", x: 2314, y: 1133, z: 210, details: "" },</v>
      </c>
    </row>
    <row r="386" spans="1:10" x14ac:dyDescent="0.2">
      <c r="A386" s="2">
        <v>402</v>
      </c>
      <c r="B386" s="34" t="s">
        <v>3629</v>
      </c>
      <c r="C386" t="s">
        <v>2811</v>
      </c>
      <c r="D386" s="2">
        <v>7</v>
      </c>
      <c r="E386" s="2" t="s">
        <v>785</v>
      </c>
      <c r="F386" s="2">
        <v>2269</v>
      </c>
      <c r="G386" s="2">
        <v>1837</v>
      </c>
      <c r="H386" s="2">
        <v>333</v>
      </c>
      <c r="I386" t="s">
        <v>2765</v>
      </c>
      <c r="J386" t="str">
        <f>"{ name: "&amp;CHAR(34)&amp;B386&amp;CHAR(34)&amp;", landmark: "&amp;CHAR(34)&amp;IF(LEN(C386)=LEN(SUBSTITUTE(C386,"Transport","")),"Korok x1","Korok x2")&amp;CHAR(34)&amp;", type: "&amp;CHAR(34)&amp;C386&amp;CHAR(34)&amp;", region: "&amp;D386&amp;", level: "&amp;CHAR(34)&amp;E386&amp;CHAR(34)&amp;", x: "&amp;F386&amp;", y: "&amp;G386&amp;", z: "&amp;H386&amp;", details: "&amp;CHAR(34)&amp;I386&amp;CHAR(34)&amp;" },"</f>
        <v>{ name: "Medingo Pool Korok", landmark: "Korok x1", type: "Follow the Yellow Flowers", region: 7, level: "Surface", x: 2269, y: 1837, z: 333, details: "Starts at (2268, 1827, 324)" },</v>
      </c>
    </row>
    <row r="387" spans="1:10" x14ac:dyDescent="0.2">
      <c r="A387" s="2">
        <v>409</v>
      </c>
      <c r="B387" s="34" t="s">
        <v>3631</v>
      </c>
      <c r="C387" t="s">
        <v>2817</v>
      </c>
      <c r="D387" s="2">
        <v>7</v>
      </c>
      <c r="E387" s="2" t="s">
        <v>785</v>
      </c>
      <c r="F387" s="2">
        <v>759</v>
      </c>
      <c r="G387" s="2">
        <v>1644</v>
      </c>
      <c r="H387" s="2">
        <v>154</v>
      </c>
      <c r="I387" t="s">
        <v>2613</v>
      </c>
      <c r="J387" t="str">
        <f>"{ name: "&amp;CHAR(34)&amp;B387&amp;CHAR(34)&amp;", landmark: "&amp;CHAR(34)&amp;IF(LEN(C387)=LEN(SUBSTITUTE(C387,"Transport","")),"Korok x1","Korok x2")&amp;CHAR(34)&amp;", type: "&amp;CHAR(34)&amp;C387&amp;CHAR(34)&amp;", region: "&amp;D387&amp;", level: "&amp;CHAR(34)&amp;E387&amp;CHAR(34)&amp;", x: "&amp;F387&amp;", y: "&amp;G387&amp;", z: "&amp;H387&amp;", details: "&amp;CHAR(34)&amp;I387&amp;CHAR(34)&amp;" },"</f>
        <v>{ name: "Military Training Camp Korok #01", landmark: "Korok x1", type: "Reach the Target Ring", region: 7, level: "Surface", x: 759, y: 1644, z: 154, details: "Starts at (778, 1530, 149)" },</v>
      </c>
    </row>
    <row r="388" spans="1:10" x14ac:dyDescent="0.2">
      <c r="A388" s="2">
        <v>411</v>
      </c>
      <c r="B388" s="34" t="s">
        <v>3632</v>
      </c>
      <c r="C388" t="s">
        <v>2801</v>
      </c>
      <c r="D388" s="2">
        <v>7</v>
      </c>
      <c r="E388" s="2" t="s">
        <v>785</v>
      </c>
      <c r="F388" s="2">
        <v>951</v>
      </c>
      <c r="G388" s="2">
        <v>1536</v>
      </c>
      <c r="H388" s="2">
        <v>161</v>
      </c>
      <c r="J388" t="str">
        <f>"{ name: "&amp;CHAR(34)&amp;B388&amp;CHAR(34)&amp;", landmark: "&amp;CHAR(34)&amp;IF(LEN(C388)=LEN(SUBSTITUTE(C388,"Transport","")),"Korok x1","Korok x2")&amp;CHAR(34)&amp;", type: "&amp;CHAR(34)&amp;C388&amp;CHAR(34)&amp;", region: "&amp;D388&amp;", level: "&amp;CHAR(34)&amp;E388&amp;CHAR(34)&amp;", x: "&amp;F388&amp;", y: "&amp;G388&amp;", z: "&amp;H388&amp;", details: "&amp;CHAR(34)&amp;I388&amp;CHAR(34)&amp;" },"</f>
        <v>{ name: "Military Training Camp Korok #02", landmark: "Korok x1", type: "Break the Acorn Pot", region: 7, level: "Surface", x: 951, y: 1536, z: 161, details: "" },</v>
      </c>
    </row>
    <row r="389" spans="1:10" x14ac:dyDescent="0.2">
      <c r="A389" s="2">
        <v>414</v>
      </c>
      <c r="B389" s="34" t="s">
        <v>3633</v>
      </c>
      <c r="C389" t="s">
        <v>2812</v>
      </c>
      <c r="D389" s="2">
        <v>7</v>
      </c>
      <c r="E389" s="2" t="s">
        <v>785</v>
      </c>
      <c r="F389" s="2">
        <v>770</v>
      </c>
      <c r="G389" s="2">
        <v>1416</v>
      </c>
      <c r="H389" s="2">
        <v>88</v>
      </c>
      <c r="J389" t="str">
        <f>"{ name: "&amp;CHAR(34)&amp;B389&amp;CHAR(34)&amp;", landmark: "&amp;CHAR(34)&amp;IF(LEN(C389)=LEN(SUBSTITUTE(C389,"Transport","")),"Korok x1","Korok x2")&amp;CHAR(34)&amp;", type: "&amp;CHAR(34)&amp;C389&amp;CHAR(34)&amp;", region: "&amp;D389&amp;", level: "&amp;CHAR(34)&amp;E389&amp;CHAR(34)&amp;", x: "&amp;F389&amp;", y: "&amp;G389&amp;", z: "&amp;H389&amp;", details: "&amp;CHAR(34)&amp;I389&amp;CHAR(34)&amp;" },"</f>
        <v>{ name: "Military Training Camp Korok #03", landmark: "Korok x1", type: "Lift the Rock", region: 7, level: "Surface", x: 770, y: 1416, z: 88, details: "" },</v>
      </c>
    </row>
    <row r="390" spans="1:10" x14ac:dyDescent="0.2">
      <c r="A390" s="2">
        <v>403</v>
      </c>
      <c r="B390" s="34" t="s">
        <v>3637</v>
      </c>
      <c r="C390" t="s">
        <v>2821</v>
      </c>
      <c r="D390" s="2">
        <v>7</v>
      </c>
      <c r="E390" s="2" t="s">
        <v>785</v>
      </c>
      <c r="F390" s="2">
        <v>986</v>
      </c>
      <c r="G390" s="2">
        <v>1805</v>
      </c>
      <c r="H390" s="2">
        <v>212</v>
      </c>
      <c r="J390" t="str">
        <f>"{ name: "&amp;CHAR(34)&amp;B390&amp;CHAR(34)&amp;", landmark: "&amp;CHAR(34)&amp;IF(LEN(C390)=LEN(SUBSTITUTE(C390,"Transport","")),"Korok x1","Korok x2")&amp;CHAR(34)&amp;", type: "&amp;CHAR(34)&amp;C390&amp;CHAR(34)&amp;", region: "&amp;D390&amp;", level: "&amp;CHAR(34)&amp;E390&amp;CHAR(34)&amp;", x: "&amp;F390&amp;", y: "&amp;G390&amp;", z: "&amp;H390&amp;", details: "&amp;CHAR(34)&amp;I390&amp;CHAR(34)&amp;" },"</f>
        <v>{ name: "Minshi Woods Korok", landmark: "Korok x1", type: "Shoot the Balloons", region: 7, level: "Surface", x: 986, y: 1805, z: 212, details: "" },</v>
      </c>
    </row>
    <row r="391" spans="1:10" x14ac:dyDescent="0.2">
      <c r="A391" s="2">
        <v>415</v>
      </c>
      <c r="B391" s="34" t="s">
        <v>3702</v>
      </c>
      <c r="C391" t="s">
        <v>2801</v>
      </c>
      <c r="D391" s="2">
        <v>7</v>
      </c>
      <c r="E391" s="2" t="s">
        <v>785</v>
      </c>
      <c r="F391" s="2">
        <v>1334</v>
      </c>
      <c r="G391" s="2">
        <v>1318</v>
      </c>
      <c r="H391" s="2">
        <v>172</v>
      </c>
      <c r="J391" t="str">
        <f>"{ name: "&amp;CHAR(34)&amp;B391&amp;CHAR(34)&amp;", landmark: "&amp;CHAR(34)&amp;IF(LEN(C391)=LEN(SUBSTITUTE(C391,"Transport","")),"Korok x1","Korok x2")&amp;CHAR(34)&amp;", type: "&amp;CHAR(34)&amp;C391&amp;CHAR(34)&amp;", region: "&amp;D391&amp;", level: "&amp;CHAR(34)&amp;E391&amp;CHAR(34)&amp;", x: "&amp;F391&amp;", y: "&amp;G391&amp;", z: "&amp;H391&amp;", details: "&amp;CHAR(34)&amp;I391&amp;CHAR(34)&amp;" },"</f>
        <v>{ name: "North of Pico Pond Korok", landmark: "Korok x1", type: "Break the Acorn Pot", region: 7, level: "Surface", x: 1334, y: 1318, z: 172, details: "" },</v>
      </c>
    </row>
    <row r="392" spans="1:10" x14ac:dyDescent="0.2">
      <c r="A392" s="2">
        <v>392</v>
      </c>
      <c r="B392" s="34" t="s">
        <v>3802</v>
      </c>
      <c r="C392" t="s">
        <v>2807</v>
      </c>
      <c r="D392" s="2">
        <v>7</v>
      </c>
      <c r="E392" s="2" t="s">
        <v>785</v>
      </c>
      <c r="F392" s="2">
        <v>3151</v>
      </c>
      <c r="G392" s="2">
        <v>3092</v>
      </c>
      <c r="H392" s="2">
        <v>147</v>
      </c>
      <c r="J392" t="str">
        <f>"{ name: "&amp;CHAR(34)&amp;B392&amp;CHAR(34)&amp;", landmark: "&amp;CHAR(34)&amp;IF(LEN(C392)=LEN(SUBSTITUTE(C392,"Transport","")),"Korok x1","Korok x2")&amp;CHAR(34)&amp;", type: "&amp;CHAR(34)&amp;C392&amp;CHAR(34)&amp;", region: "&amp;D392&amp;", level: "&amp;CHAR(34)&amp;E392&amp;CHAR(34)&amp;", x: "&amp;F392&amp;", y: "&amp;G392&amp;", z: "&amp;H392&amp;", details: "&amp;CHAR(34)&amp;I392&amp;CHAR(34)&amp;" },"</f>
        <v>{ name: "Rok Woods Korok #01", landmark: "Korok x1", type: "Complete the Cube Puzzle", region: 7, level: "Surface", x: 3151, y: 3092, z: 147, details: "" },</v>
      </c>
    </row>
    <row r="393" spans="1:10" x14ac:dyDescent="0.2">
      <c r="A393" s="2">
        <v>394</v>
      </c>
      <c r="B393" s="34" t="s">
        <v>3850</v>
      </c>
      <c r="C393" t="s">
        <v>2819</v>
      </c>
      <c r="D393" s="2">
        <v>7</v>
      </c>
      <c r="E393" s="2" t="s">
        <v>785</v>
      </c>
      <c r="F393" s="2">
        <v>3032</v>
      </c>
      <c r="G393" s="2">
        <v>2289</v>
      </c>
      <c r="H393" s="2">
        <v>334</v>
      </c>
      <c r="J393" t="str">
        <f>"{ name: "&amp;CHAR(34)&amp;B393&amp;CHAR(34)&amp;", landmark: "&amp;CHAR(34)&amp;IF(LEN(C393)=LEN(SUBSTITUTE(C393,"Transport","")),"Korok x1","Korok x2")&amp;CHAR(34)&amp;", type: "&amp;CHAR(34)&amp;C393&amp;CHAR(34)&amp;", region: "&amp;D393&amp;", level: "&amp;CHAR(34)&amp;E393&amp;CHAR(34)&amp;", x: "&amp;F393&amp;", y: "&amp;G393&amp;", z: "&amp;H393&amp;", details: "&amp;CHAR(34)&amp;I393&amp;CHAR(34)&amp;" },"</f>
        <v>{ name: "Shadow Hamlet Ruins Korok", landmark: "Korok x1", type: "Repair the Roof", region: 7, level: "Surface", x: 3032, y: 2289, z: 334, details: "" },</v>
      </c>
    </row>
    <row r="394" spans="1:10" x14ac:dyDescent="0.2">
      <c r="A394" s="2">
        <v>34</v>
      </c>
      <c r="B394" s="34" t="s">
        <v>3862</v>
      </c>
      <c r="C394" t="s">
        <v>2801</v>
      </c>
      <c r="D394" s="2">
        <v>7</v>
      </c>
      <c r="E394" s="2" t="s">
        <v>783</v>
      </c>
      <c r="F394" s="2">
        <v>1691</v>
      </c>
      <c r="G394" s="2">
        <v>1199</v>
      </c>
      <c r="H394" s="2">
        <v>1155</v>
      </c>
      <c r="J394" t="str">
        <f>"{ name: "&amp;CHAR(34)&amp;B394&amp;CHAR(34)&amp;", landmark: "&amp;CHAR(34)&amp;IF(LEN(C394)=LEN(SUBSTITUTE(C394,"Transport","")),"Korok x1","Korok x2")&amp;CHAR(34)&amp;", type: "&amp;CHAR(34)&amp;C394&amp;CHAR(34)&amp;", region: "&amp;D394&amp;", level: "&amp;CHAR(34)&amp;E394&amp;CHAR(34)&amp;", x: "&amp;F394&amp;", y: "&amp;G394&amp;", z: "&amp;H394&amp;", details: "&amp;CHAR(34)&amp;I394&amp;CHAR(34)&amp;" },"</f>
        <v>{ name: "South Eldin Sky Archipelago Korok #01", landmark: "Korok x1", type: "Break the Acorn Pot", region: 7, level: "Sky", x: 1691, y: 1199, z: 1155, details: "" },</v>
      </c>
    </row>
    <row r="395" spans="1:10" x14ac:dyDescent="0.2">
      <c r="A395" s="2">
        <v>35</v>
      </c>
      <c r="B395" s="34" t="s">
        <v>3863</v>
      </c>
      <c r="C395" t="s">
        <v>2828</v>
      </c>
      <c r="D395" s="2">
        <v>7</v>
      </c>
      <c r="E395" s="2" t="s">
        <v>783</v>
      </c>
      <c r="F395" s="2">
        <v>2050</v>
      </c>
      <c r="G395" s="2">
        <v>1201</v>
      </c>
      <c r="H395" s="2">
        <v>1291</v>
      </c>
      <c r="J395" t="str">
        <f>"{ name: "&amp;CHAR(34)&amp;B395&amp;CHAR(34)&amp;", landmark: "&amp;CHAR(34)&amp;IF(LEN(C395)=LEN(SUBSTITUTE(C395,"Transport","")),"Korok x1","Korok x2")&amp;CHAR(34)&amp;", type: "&amp;CHAR(34)&amp;C395&amp;CHAR(34)&amp;", region: "&amp;D395&amp;", level: "&amp;CHAR(34)&amp;E395&amp;CHAR(34)&amp;", x: "&amp;F395&amp;", y: "&amp;G395&amp;", z: "&amp;H395&amp;", details: "&amp;CHAR(34)&amp;I395&amp;CHAR(34)&amp;" },"</f>
        <v>{ name: "South Eldin Sky Archipelago Korok #02", landmark: "Korok x1", type: "Touch the Wallside Marker", region: 7, level: "Sky", x: 2050, y: 1201, z: 1291, details: "" },</v>
      </c>
    </row>
    <row r="396" spans="1:10" x14ac:dyDescent="0.2">
      <c r="A396" s="2">
        <v>400</v>
      </c>
      <c r="B396" s="34" t="s">
        <v>3880</v>
      </c>
      <c r="C396" t="s">
        <v>2812</v>
      </c>
      <c r="D396" s="2">
        <v>7</v>
      </c>
      <c r="E396" s="2" t="s">
        <v>785</v>
      </c>
      <c r="F396" s="2">
        <v>1671</v>
      </c>
      <c r="G396" s="2">
        <v>1981</v>
      </c>
      <c r="H396" s="2">
        <v>342</v>
      </c>
      <c r="J396" t="str">
        <f>"{ name: "&amp;CHAR(34)&amp;B396&amp;CHAR(34)&amp;", landmark: "&amp;CHAR(34)&amp;IF(LEN(C396)=LEN(SUBSTITUTE(C396,"Transport","")),"Korok x1","Korok x2")&amp;CHAR(34)&amp;", type: "&amp;CHAR(34)&amp;C396&amp;CHAR(34)&amp;", region: "&amp;D396&amp;", level: "&amp;CHAR(34)&amp;E396&amp;CHAR(34)&amp;", x: "&amp;F396&amp;", y: "&amp;G396&amp;", z: "&amp;H396&amp;", details: "&amp;CHAR(34)&amp;I396&amp;CHAR(34)&amp;" },"</f>
        <v>{ name: "Southern Mine Korok", landmark: "Korok x1", type: "Lift the Rock", region: 7, level: "Surface", x: 1671, y: 1981, z: 342, details: "" },</v>
      </c>
    </row>
    <row r="397" spans="1:10" x14ac:dyDescent="0.2">
      <c r="A397" s="2">
        <v>425</v>
      </c>
      <c r="B397" s="34" t="s">
        <v>3946</v>
      </c>
      <c r="C397" t="s">
        <v>2812</v>
      </c>
      <c r="D397" s="2">
        <v>7</v>
      </c>
      <c r="E397" s="2" t="s">
        <v>785</v>
      </c>
      <c r="F397" s="2">
        <v>1320</v>
      </c>
      <c r="G397" s="2">
        <v>716</v>
      </c>
      <c r="H397" s="2">
        <v>18</v>
      </c>
      <c r="J397" t="str">
        <f>"{ name: "&amp;CHAR(34)&amp;B397&amp;CHAR(34)&amp;", landmark: "&amp;CHAR(34)&amp;IF(LEN(C397)=LEN(SUBSTITUTE(C397,"Transport","")),"Korok x1","Korok x2")&amp;CHAR(34)&amp;", type: "&amp;CHAR(34)&amp;C397&amp;CHAR(34)&amp;", region: "&amp;D397&amp;", level: "&amp;CHAR(34)&amp;E397&amp;CHAR(34)&amp;", x: "&amp;F397&amp;", y: "&amp;G397&amp;", z: "&amp;H397&amp;", details: "&amp;CHAR(34)&amp;I397&amp;CHAR(34)&amp;" },"</f>
        <v>{ name: "Thims Bridge Korok", landmark: "Korok x1", type: "Lift the Rock", region: 7, level: "Surface", x: 1320, y: 716, z: 18, details: "" },</v>
      </c>
    </row>
    <row r="398" spans="1:10" x14ac:dyDescent="0.2">
      <c r="A398" s="2">
        <v>426</v>
      </c>
      <c r="B398" s="34" t="s">
        <v>3960</v>
      </c>
      <c r="C398" t="s">
        <v>2801</v>
      </c>
      <c r="D398" s="2">
        <v>7</v>
      </c>
      <c r="E398" s="2" t="s">
        <v>785</v>
      </c>
      <c r="F398" s="2">
        <v>1467</v>
      </c>
      <c r="G398" s="2">
        <v>678</v>
      </c>
      <c r="H398" s="2">
        <v>29</v>
      </c>
      <c r="J398" t="str">
        <f>"{ name: "&amp;CHAR(34)&amp;B398&amp;CHAR(34)&amp;", landmark: "&amp;CHAR(34)&amp;IF(LEN(C398)=LEN(SUBSTITUTE(C398,"Transport","")),"Korok x1","Korok x2")&amp;CHAR(34)&amp;", type: "&amp;CHAR(34)&amp;C398&amp;CHAR(34)&amp;", region: "&amp;D398&amp;", level: "&amp;CHAR(34)&amp;E398&amp;CHAR(34)&amp;", x: "&amp;F398&amp;", y: "&amp;G398&amp;", z: "&amp;H398&amp;", details: "&amp;CHAR(34)&amp;I398&amp;CHAR(34)&amp;" },"</f>
        <v>{ name: "Trilby Plain Korok #01", landmark: "Korok x1", type: "Break the Acorn Pot", region: 7, level: "Surface", x: 1467, y: 678, z: 29, details: "" },</v>
      </c>
    </row>
    <row r="399" spans="1:10" x14ac:dyDescent="0.2">
      <c r="A399" s="2">
        <v>427</v>
      </c>
      <c r="B399" s="34" t="s">
        <v>3961</v>
      </c>
      <c r="C399" t="s">
        <v>2814</v>
      </c>
      <c r="D399" s="2">
        <v>7</v>
      </c>
      <c r="E399" s="2" t="s">
        <v>785</v>
      </c>
      <c r="F399" s="2">
        <v>1581</v>
      </c>
      <c r="G399" s="2">
        <v>723</v>
      </c>
      <c r="H399" s="2">
        <v>82</v>
      </c>
      <c r="J399" t="str">
        <f>"{ name: "&amp;CHAR(34)&amp;B399&amp;CHAR(34)&amp;", landmark: "&amp;CHAR(34)&amp;IF(LEN(C399)=LEN(SUBSTITUTE(C399,"Transport","")),"Korok x1","Korok x2")&amp;CHAR(34)&amp;", type: "&amp;CHAR(34)&amp;C399&amp;CHAR(34)&amp;", region: "&amp;D399&amp;", level: "&amp;CHAR(34)&amp;E399&amp;CHAR(34)&amp;", x: "&amp;F399&amp;", y: "&amp;G399&amp;", z: "&amp;H399&amp;", details: "&amp;CHAR(34)&amp;I399&amp;CHAR(34)&amp;" },"</f>
        <v>{ name: "Trilby Plain Korok #02", landmark: "Korok x1", type: "Make Offering to Statue", region: 7, level: "Surface", x: 1581, y: 723, z: 82, details: "" },</v>
      </c>
    </row>
    <row r="400" spans="1:10" x14ac:dyDescent="0.2">
      <c r="A400" s="2">
        <v>424</v>
      </c>
      <c r="B400" s="34" t="s">
        <v>3962</v>
      </c>
      <c r="C400" t="s">
        <v>2808</v>
      </c>
      <c r="D400" s="2">
        <v>7</v>
      </c>
      <c r="E400" s="2" t="s">
        <v>785</v>
      </c>
      <c r="F400" s="2">
        <v>2294</v>
      </c>
      <c r="G400" s="2">
        <v>943</v>
      </c>
      <c r="H400" s="2">
        <v>110</v>
      </c>
      <c r="J400" t="str">
        <f>"{ name: "&amp;CHAR(34)&amp;B400&amp;CHAR(34)&amp;", landmark: "&amp;CHAR(34)&amp;IF(LEN(C400)=LEN(SUBSTITUTE(C400,"Transport","")),"Korok x1","Korok x2")&amp;CHAR(34)&amp;", type: "&amp;CHAR(34)&amp;C400&amp;CHAR(34)&amp;", region: "&amp;D400&amp;", level: "&amp;CHAR(34)&amp;E400&amp;CHAR(34)&amp;", x: "&amp;F400&amp;", y: "&amp;G400&amp;", z: "&amp;H400&amp;", details: "&amp;CHAR(34)&amp;I400&amp;CHAR(34)&amp;" },"</f>
        <v>{ name: "Trilby Valley Korok #01", landmark: "Korok x1", type: "Complete the Rock Pattern", region: 7, level: "Surface", x: 2294, y: 943, z: 110, details: "" },</v>
      </c>
    </row>
    <row r="401" spans="1:10" x14ac:dyDescent="0.2">
      <c r="A401" s="2">
        <v>391</v>
      </c>
      <c r="B401" s="34" t="s">
        <v>4015</v>
      </c>
      <c r="C401" t="s">
        <v>2807</v>
      </c>
      <c r="D401" s="2">
        <v>7</v>
      </c>
      <c r="E401" s="2" t="s">
        <v>785</v>
      </c>
      <c r="F401" s="2">
        <v>2083</v>
      </c>
      <c r="G401" s="2">
        <v>2330</v>
      </c>
      <c r="H401" s="2">
        <v>503</v>
      </c>
      <c r="J401" t="str">
        <f>"{ name: "&amp;CHAR(34)&amp;B401&amp;CHAR(34)&amp;", landmark: "&amp;CHAR(34)&amp;IF(LEN(C401)=LEN(SUBSTITUTE(C401,"Transport","")),"Korok x1","Korok x2")&amp;CHAR(34)&amp;", type: "&amp;CHAR(34)&amp;C401&amp;CHAR(34)&amp;", region: "&amp;D401&amp;", level: "&amp;CHAR(34)&amp;E401&amp;CHAR(34)&amp;", x: "&amp;F401&amp;", y: "&amp;G401&amp;", z: "&amp;H401&amp;", details: "&amp;CHAR(34)&amp;I401&amp;CHAR(34)&amp;" },"</f>
        <v>{ name: "West of Bridge of Eldin Korok", landmark: "Korok x1", type: "Complete the Cube Puzzle", region: 7, level: "Surface", x: 2083, y: 2330, z: 503, details: "" },</v>
      </c>
    </row>
    <row r="402" spans="1:10" x14ac:dyDescent="0.2">
      <c r="A402" s="2">
        <v>395</v>
      </c>
      <c r="B402" s="34" t="s">
        <v>4016</v>
      </c>
      <c r="C402" t="s">
        <v>2808</v>
      </c>
      <c r="D402" s="2">
        <v>7</v>
      </c>
      <c r="E402" s="2" t="s">
        <v>785</v>
      </c>
      <c r="F402" s="2">
        <v>1250</v>
      </c>
      <c r="G402" s="2">
        <v>2293</v>
      </c>
      <c r="H402" s="2">
        <v>323</v>
      </c>
      <c r="J402" t="str">
        <f>"{ name: "&amp;CHAR(34)&amp;B402&amp;CHAR(34)&amp;", landmark: "&amp;CHAR(34)&amp;IF(LEN(C402)=LEN(SUBSTITUTE(C402,"Transport","")),"Korok x1","Korok x2")&amp;CHAR(34)&amp;", type: "&amp;CHAR(34)&amp;C402&amp;CHAR(34)&amp;", region: "&amp;D402&amp;", level: "&amp;CHAR(34)&amp;E402&amp;CHAR(34)&amp;", x: "&amp;F402&amp;", y: "&amp;G402&amp;", z: "&amp;H402&amp;", details: "&amp;CHAR(34)&amp;I402&amp;CHAR(34)&amp;" },"</f>
        <v>{ name: "West of Goronbi River Korok #01", landmark: "Korok x1", type: "Complete the Rock Pattern", region: 7, level: "Surface", x: 1250, y: 2293, z: 323, details: "" },</v>
      </c>
    </row>
    <row r="403" spans="1:10" x14ac:dyDescent="0.2">
      <c r="A403" s="2">
        <v>404</v>
      </c>
      <c r="B403" s="34" t="s">
        <v>4017</v>
      </c>
      <c r="C403" t="s">
        <v>2815</v>
      </c>
      <c r="D403" s="2">
        <v>7</v>
      </c>
      <c r="E403" s="2" t="s">
        <v>785</v>
      </c>
      <c r="F403" s="2">
        <v>1452</v>
      </c>
      <c r="G403" s="2">
        <v>1746</v>
      </c>
      <c r="H403" s="2">
        <v>319</v>
      </c>
      <c r="J403" t="str">
        <f>"{ name: "&amp;CHAR(34)&amp;B403&amp;CHAR(34)&amp;", landmark: "&amp;CHAR(34)&amp;IF(LEN(C403)=LEN(SUBSTITUTE(C403,"Transport","")),"Korok x1","Korok x2")&amp;CHAR(34)&amp;", type: "&amp;CHAR(34)&amp;C403&amp;CHAR(34)&amp;", region: "&amp;D403&amp;", level: "&amp;CHAR(34)&amp;E403&amp;CHAR(34)&amp;", x: "&amp;F403&amp;", y: "&amp;G403&amp;", z: "&amp;H403&amp;", details: "&amp;CHAR(34)&amp;I403&amp;CHAR(34)&amp;" },"</f>
        <v>{ name: "West of Goronbi River Korok #02", landmark: "Korok x1", type: "Place the Boulder", region: 7, level: "Surface", x: 1452, y: 1746, z: 319, details: "" },</v>
      </c>
    </row>
    <row r="404" spans="1:10" x14ac:dyDescent="0.2">
      <c r="A404" s="2">
        <v>412</v>
      </c>
      <c r="B404" s="34" t="s">
        <v>4018</v>
      </c>
      <c r="C404" t="s">
        <v>2823</v>
      </c>
      <c r="D404" s="2">
        <v>7</v>
      </c>
      <c r="E404" s="2" t="s">
        <v>785</v>
      </c>
      <c r="F404" s="2">
        <v>1425</v>
      </c>
      <c r="G404" s="2">
        <v>1534</v>
      </c>
      <c r="H404" s="2">
        <v>366</v>
      </c>
      <c r="J404" t="str">
        <f>"{ name: "&amp;CHAR(34)&amp;B404&amp;CHAR(34)&amp;", landmark: "&amp;CHAR(34)&amp;IF(LEN(C404)=LEN(SUBSTITUTE(C404,"Transport","")),"Korok x1","Korok x2")&amp;CHAR(34)&amp;", type: "&amp;CHAR(34)&amp;C404&amp;CHAR(34)&amp;", region: "&amp;D404&amp;", level: "&amp;CHAR(34)&amp;E404&amp;CHAR(34)&amp;", x: "&amp;F404&amp;", y: "&amp;G404&amp;", z: "&amp;H404&amp;", details: "&amp;CHAR(34)&amp;I404&amp;CHAR(34)&amp;" },"</f>
        <v>{ name: "West of Goronbi River Korok #03", landmark: "Korok x1", type: "Examine Fairy Lights", region: 7, level: "Surface", x: 1425, y: 1534, z: 366, details: "" },</v>
      </c>
    </row>
    <row r="405" spans="1:10" x14ac:dyDescent="0.2">
      <c r="A405" s="2">
        <v>381</v>
      </c>
      <c r="B405" s="34" t="s">
        <v>4035</v>
      </c>
      <c r="C405" t="s">
        <v>2825</v>
      </c>
      <c r="D405" s="2">
        <v>7</v>
      </c>
      <c r="E405" s="2" t="s">
        <v>785</v>
      </c>
      <c r="F405" s="2">
        <v>1602</v>
      </c>
      <c r="G405" s="2">
        <v>2827</v>
      </c>
      <c r="H405" s="2">
        <v>470</v>
      </c>
      <c r="J405" t="str">
        <f>"{ name: "&amp;CHAR(34)&amp;B405&amp;CHAR(34)&amp;", landmark: "&amp;CHAR(34)&amp;IF(LEN(C405)=LEN(SUBSTITUTE(C405,"Transport","")),"Korok x1","Korok x2")&amp;CHAR(34)&amp;", type: "&amp;CHAR(34)&amp;C405&amp;CHAR(34)&amp;", region: "&amp;D405&amp;", level: "&amp;CHAR(34)&amp;E405&amp;CHAR(34)&amp;", x: "&amp;F405&amp;", y: "&amp;G405&amp;", z: "&amp;H405&amp;", details: "&amp;CHAR(34)&amp;I405&amp;CHAR(34)&amp;" },"</f>
        <v>{ name: "YunoboCo HQ Korok", landmark: "Korok x1", type: "Climb and Examine the Fairy Lights", region: 7, level: "Surface", x: 1602, y: 2827, z: 470, details: "" },</v>
      </c>
    </row>
    <row r="406" spans="1:10" x14ac:dyDescent="0.2">
      <c r="A406" s="2">
        <v>428</v>
      </c>
      <c r="B406" s="34" t="s">
        <v>4055</v>
      </c>
      <c r="C406" t="s">
        <v>2812</v>
      </c>
      <c r="D406" s="2">
        <v>7</v>
      </c>
      <c r="E406" s="2" t="s">
        <v>785</v>
      </c>
      <c r="F406" s="2">
        <v>1858</v>
      </c>
      <c r="G406" s="2">
        <v>786</v>
      </c>
      <c r="H406" s="2">
        <v>92</v>
      </c>
      <c r="J406" t="str">
        <f>"{ name: "&amp;CHAR(34)&amp;B406&amp;CHAR(34)&amp;", landmark: "&amp;CHAR(34)&amp;IF(LEN(C406)=LEN(SUBSTITUTE(C406,"Transport","")),"Korok x1","Korok x2")&amp;CHAR(34)&amp;", type: "&amp;CHAR(34)&amp;C406&amp;CHAR(34)&amp;", region: "&amp;D406&amp;", level: "&amp;CHAR(34)&amp;E406&amp;CHAR(34)&amp;", x: "&amp;F406&amp;", y: "&amp;G406&amp;", z: "&amp;H406&amp;", details: "&amp;CHAR(34)&amp;I406&amp;CHAR(34)&amp;" },"</f>
        <v>{ name: "Zora's Domain Korok #05", landmark: "Korok x1", type: "Lift the Rock", region: 7, level: "Surface", x: 1858, y: 786, z: 92, details: "" },</v>
      </c>
    </row>
    <row r="407" spans="1:10" x14ac:dyDescent="0.2">
      <c r="A407" s="2">
        <v>438</v>
      </c>
      <c r="B407" s="34" t="s">
        <v>3159</v>
      </c>
      <c r="C407" t="s">
        <v>2811</v>
      </c>
      <c r="D407" s="2">
        <v>8</v>
      </c>
      <c r="E407" s="2" t="s">
        <v>785</v>
      </c>
      <c r="F407" s="2">
        <v>4435</v>
      </c>
      <c r="G407" s="2">
        <v>3190</v>
      </c>
      <c r="H407" s="2">
        <v>253</v>
      </c>
      <c r="I407" t="s">
        <v>2745</v>
      </c>
      <c r="J407" t="str">
        <f>"{ name: "&amp;CHAR(34)&amp;B407&amp;CHAR(34)&amp;", landmark: "&amp;CHAR(34)&amp;IF(LEN(C407)=LEN(SUBSTITUTE(C407,"Transport","")),"Korok x1","Korok x2")&amp;CHAR(34)&amp;", type: "&amp;CHAR(34)&amp;C407&amp;CHAR(34)&amp;", region: "&amp;D407&amp;", level: "&amp;CHAR(34)&amp;E407&amp;CHAR(34)&amp;", x: "&amp;F407&amp;", y: "&amp;G407&amp;", z: "&amp;H407&amp;", details: "&amp;CHAR(34)&amp;I407&amp;CHAR(34)&amp;" },"</f>
        <v>{ name: "Akkala Ancient Tech Lab Korok #01", landmark: "Korok x1", type: "Follow the Yellow Flowers", region: 8, level: "Surface", x: 4435, y: 3190, z: 253, details: "Starts at (4436, 3188, 250)" },</v>
      </c>
    </row>
    <row r="408" spans="1:10" x14ac:dyDescent="0.2">
      <c r="A408" s="2">
        <v>439</v>
      </c>
      <c r="B408" s="34" t="s">
        <v>3160</v>
      </c>
      <c r="C408" t="s">
        <v>2814</v>
      </c>
      <c r="D408" s="2">
        <v>8</v>
      </c>
      <c r="E408" s="2" t="s">
        <v>785</v>
      </c>
      <c r="F408" s="2">
        <v>4492</v>
      </c>
      <c r="G408" s="2">
        <v>3148</v>
      </c>
      <c r="H408" s="2">
        <v>247</v>
      </c>
      <c r="J408" t="str">
        <f>"{ name: "&amp;CHAR(34)&amp;B408&amp;CHAR(34)&amp;", landmark: "&amp;CHAR(34)&amp;IF(LEN(C408)=LEN(SUBSTITUTE(C408,"Transport","")),"Korok x1","Korok x2")&amp;CHAR(34)&amp;", type: "&amp;CHAR(34)&amp;C408&amp;CHAR(34)&amp;", region: "&amp;D408&amp;", level: "&amp;CHAR(34)&amp;E408&amp;CHAR(34)&amp;", x: "&amp;F408&amp;", y: "&amp;G408&amp;", z: "&amp;H408&amp;", details: "&amp;CHAR(34)&amp;I408&amp;CHAR(34)&amp;" },"</f>
        <v>{ name: "Akkala Ancient Tech Lab Korok #02", landmark: "Korok x1", type: "Make Offering to Statue", region: 8, level: "Surface", x: 4492, y: 3148, z: 247, details: "" },</v>
      </c>
    </row>
    <row r="409" spans="1:10" x14ac:dyDescent="0.2">
      <c r="A409" s="2">
        <v>440</v>
      </c>
      <c r="B409" s="34" t="s">
        <v>3161</v>
      </c>
      <c r="C409" t="s">
        <v>2825</v>
      </c>
      <c r="D409" s="2">
        <v>8</v>
      </c>
      <c r="E409" s="2" t="s">
        <v>785</v>
      </c>
      <c r="F409" s="2">
        <v>4543</v>
      </c>
      <c r="G409" s="2">
        <v>3162</v>
      </c>
      <c r="H409" s="2">
        <v>274</v>
      </c>
      <c r="J409" t="str">
        <f>"{ name: "&amp;CHAR(34)&amp;B409&amp;CHAR(34)&amp;", landmark: "&amp;CHAR(34)&amp;IF(LEN(C409)=LEN(SUBSTITUTE(C409,"Transport","")),"Korok x1","Korok x2")&amp;CHAR(34)&amp;", type: "&amp;CHAR(34)&amp;C409&amp;CHAR(34)&amp;", region: "&amp;D409&amp;", level: "&amp;CHAR(34)&amp;E409&amp;CHAR(34)&amp;", x: "&amp;F409&amp;", y: "&amp;G409&amp;", z: "&amp;H409&amp;", details: "&amp;CHAR(34)&amp;I409&amp;CHAR(34)&amp;" },"</f>
        <v>{ name: "Akkala Ancient Tech Lab Korok #03", landmark: "Korok x1", type: "Climb and Examine the Fairy Lights", region: 8, level: "Surface", x: 4543, y: 3162, z: 274, details: "" },</v>
      </c>
    </row>
    <row r="410" spans="1:10" x14ac:dyDescent="0.2">
      <c r="A410" s="2">
        <v>461</v>
      </c>
      <c r="B410" s="34" t="s">
        <v>3163</v>
      </c>
      <c r="C410" t="s">
        <v>2825</v>
      </c>
      <c r="D410" s="2">
        <v>8</v>
      </c>
      <c r="E410" s="2" t="s">
        <v>785</v>
      </c>
      <c r="F410" s="2">
        <v>3299</v>
      </c>
      <c r="G410" s="2">
        <v>1511</v>
      </c>
      <c r="H410" s="2">
        <v>438</v>
      </c>
      <c r="J410" t="str">
        <f>"{ name: "&amp;CHAR(34)&amp;B410&amp;CHAR(34)&amp;", landmark: "&amp;CHAR(34)&amp;IF(LEN(C410)=LEN(SUBSTITUTE(C410,"Transport","")),"Korok x1","Korok x2")&amp;CHAR(34)&amp;", type: "&amp;CHAR(34)&amp;C410&amp;CHAR(34)&amp;", region: "&amp;D410&amp;", level: "&amp;CHAR(34)&amp;E410&amp;CHAR(34)&amp;", x: "&amp;F410&amp;", y: "&amp;G410&amp;", z: "&amp;H410&amp;", details: "&amp;CHAR(34)&amp;I410&amp;CHAR(34)&amp;" },"</f>
        <v>{ name: "Akkala Citadel Ruins Korok #01", landmark: "Korok x1", type: "Climb and Examine the Fairy Lights", region: 8, level: "Surface", x: 3299, y: 1511, z: 438, details: "" },</v>
      </c>
    </row>
    <row r="411" spans="1:10" x14ac:dyDescent="0.2">
      <c r="A411" s="2">
        <v>463</v>
      </c>
      <c r="B411" s="34" t="s">
        <v>3164</v>
      </c>
      <c r="C411" t="s">
        <v>2812</v>
      </c>
      <c r="D411" s="2">
        <v>8</v>
      </c>
      <c r="E411" s="2" t="s">
        <v>785</v>
      </c>
      <c r="F411" s="2">
        <v>3274</v>
      </c>
      <c r="G411" s="2">
        <v>1398</v>
      </c>
      <c r="H411" s="2">
        <v>286</v>
      </c>
      <c r="J411" t="str">
        <f>"{ name: "&amp;CHAR(34)&amp;B411&amp;CHAR(34)&amp;", landmark: "&amp;CHAR(34)&amp;IF(LEN(C411)=LEN(SUBSTITUTE(C411,"Transport","")),"Korok x1","Korok x2")&amp;CHAR(34)&amp;", type: "&amp;CHAR(34)&amp;C411&amp;CHAR(34)&amp;", region: "&amp;D411&amp;", level: "&amp;CHAR(34)&amp;E411&amp;CHAR(34)&amp;", x: "&amp;F411&amp;", y: "&amp;G411&amp;", z: "&amp;H411&amp;", details: "&amp;CHAR(34)&amp;I411&amp;CHAR(34)&amp;" },"</f>
        <v>{ name: "Akkala Citadel Ruins Korok #02", landmark: "Korok x1", type: "Lift the Rock", region: 8, level: "Surface", x: 3274, y: 1398, z: 286, details: "" },</v>
      </c>
    </row>
    <row r="412" spans="1:10" x14ac:dyDescent="0.2">
      <c r="A412" s="2">
        <v>467</v>
      </c>
      <c r="B412" s="34" t="s">
        <v>3165</v>
      </c>
      <c r="C412" t="s">
        <v>2807</v>
      </c>
      <c r="D412" s="2">
        <v>8</v>
      </c>
      <c r="E412" s="2" t="s">
        <v>785</v>
      </c>
      <c r="F412" s="2">
        <v>3358</v>
      </c>
      <c r="G412" s="2">
        <v>1300</v>
      </c>
      <c r="H412" s="2">
        <v>293</v>
      </c>
      <c r="J412" t="str">
        <f>"{ name: "&amp;CHAR(34)&amp;B412&amp;CHAR(34)&amp;", landmark: "&amp;CHAR(34)&amp;IF(LEN(C412)=LEN(SUBSTITUTE(C412,"Transport","")),"Korok x1","Korok x2")&amp;CHAR(34)&amp;", type: "&amp;CHAR(34)&amp;C412&amp;CHAR(34)&amp;", region: "&amp;D412&amp;", level: "&amp;CHAR(34)&amp;E412&amp;CHAR(34)&amp;", x: "&amp;F412&amp;", y: "&amp;G412&amp;", z: "&amp;H412&amp;", details: "&amp;CHAR(34)&amp;I412&amp;CHAR(34)&amp;" },"</f>
        <v>{ name: "Akkala Citadel Ruins Korok #03", landmark: "Korok x1", type: "Complete the Cube Puzzle", region: 8, level: "Surface", x: 3358, y: 1300, z: 293, details: "" },</v>
      </c>
    </row>
    <row r="413" spans="1:10" x14ac:dyDescent="0.2">
      <c r="A413" s="2">
        <v>466</v>
      </c>
      <c r="B413" s="34" t="s">
        <v>3167</v>
      </c>
      <c r="C413" t="s">
        <v>2824</v>
      </c>
      <c r="D413" s="2">
        <v>8</v>
      </c>
      <c r="E413" s="2" t="s">
        <v>785</v>
      </c>
      <c r="F413" s="2">
        <v>3112</v>
      </c>
      <c r="G413" s="2">
        <v>1298</v>
      </c>
      <c r="H413" s="2">
        <v>320</v>
      </c>
      <c r="J413" t="str">
        <f>"{ name: "&amp;CHAR(34)&amp;B413&amp;CHAR(34)&amp;", landmark: "&amp;CHAR(34)&amp;IF(LEN(C413)=LEN(SUBSTITUTE(C413,"Transport","")),"Korok x1","Korok x2")&amp;CHAR(34)&amp;", type: "&amp;CHAR(34)&amp;C413&amp;CHAR(34)&amp;", region: "&amp;D413&amp;", level: "&amp;CHAR(34)&amp;E413&amp;CHAR(34)&amp;", x: "&amp;F413&amp;", y: "&amp;G413&amp;", z: "&amp;H413&amp;", details: "&amp;CHAR(34)&amp;I413&amp;CHAR(34)&amp;" },"</f>
        <v>{ name: "Akkala Span Korok #02", landmark: "Korok x1", type: "Catch the Moving Sparkle", region: 8, level: "Surface", x: 3112, y: 1298, z: 320, details: "" },</v>
      </c>
    </row>
    <row r="414" spans="1:10" x14ac:dyDescent="0.2">
      <c r="A414" s="2">
        <v>430</v>
      </c>
      <c r="B414" s="34" t="s">
        <v>3171</v>
      </c>
      <c r="C414" t="s">
        <v>2821</v>
      </c>
      <c r="D414" s="2">
        <v>8</v>
      </c>
      <c r="E414" s="2" t="s">
        <v>785</v>
      </c>
      <c r="F414" s="2">
        <v>3453</v>
      </c>
      <c r="G414" s="2">
        <v>3581</v>
      </c>
      <c r="H414" s="2">
        <v>211</v>
      </c>
      <c r="J414" t="str">
        <f>"{ name: "&amp;CHAR(34)&amp;B414&amp;CHAR(34)&amp;", landmark: "&amp;CHAR(34)&amp;IF(LEN(C414)=LEN(SUBSTITUTE(C414,"Transport","")),"Korok x1","Korok x2")&amp;CHAR(34)&amp;", type: "&amp;CHAR(34)&amp;C414&amp;CHAR(34)&amp;", region: "&amp;D414&amp;", level: "&amp;CHAR(34)&amp;E414&amp;CHAR(34)&amp;", x: "&amp;F414&amp;", y: "&amp;G414&amp;", z: "&amp;H414&amp;", details: "&amp;CHAR(34)&amp;I414&amp;CHAR(34)&amp;" },"</f>
        <v>{ name: "Akkala Wilds Korok #03", landmark: "Korok x1", type: "Shoot the Balloons", region: 8, level: "Surface", x: 3453, y: 3581, z: 211, details: "" },</v>
      </c>
    </row>
    <row r="415" spans="1:10" x14ac:dyDescent="0.2">
      <c r="A415" s="2">
        <v>433</v>
      </c>
      <c r="B415" s="34" t="s">
        <v>3172</v>
      </c>
      <c r="C415" t="s">
        <v>2815</v>
      </c>
      <c r="D415" s="2">
        <v>8</v>
      </c>
      <c r="E415" s="2" t="s">
        <v>785</v>
      </c>
      <c r="F415" s="2">
        <v>3772</v>
      </c>
      <c r="G415" s="2">
        <v>3377</v>
      </c>
      <c r="H415" s="2">
        <v>176</v>
      </c>
      <c r="J415" t="str">
        <f>"{ name: "&amp;CHAR(34)&amp;B415&amp;CHAR(34)&amp;", landmark: "&amp;CHAR(34)&amp;IF(LEN(C415)=LEN(SUBSTITUTE(C415,"Transport","")),"Korok x1","Korok x2")&amp;CHAR(34)&amp;", type: "&amp;CHAR(34)&amp;C415&amp;CHAR(34)&amp;", region: "&amp;D415&amp;", level: "&amp;CHAR(34)&amp;E415&amp;CHAR(34)&amp;", x: "&amp;F415&amp;", y: "&amp;G415&amp;", z: "&amp;H415&amp;", details: "&amp;CHAR(34)&amp;I415&amp;CHAR(34)&amp;" },"</f>
        <v>{ name: "Akkala Wilds Korok #04", landmark: "Korok x1", type: "Place the Boulder", region: 8, level: "Surface", x: 3772, y: 3377, z: 176, details: "" },</v>
      </c>
    </row>
    <row r="416" spans="1:10" x14ac:dyDescent="0.2">
      <c r="A416" s="2">
        <v>443</v>
      </c>
      <c r="B416" s="34" t="s">
        <v>3200</v>
      </c>
      <c r="C416" t="s">
        <v>2809</v>
      </c>
      <c r="D416" s="2">
        <v>8</v>
      </c>
      <c r="E416" s="2" t="s">
        <v>785</v>
      </c>
      <c r="F416" s="2">
        <v>4278</v>
      </c>
      <c r="G416" s="2">
        <v>2943</v>
      </c>
      <c r="H416" s="2">
        <v>143</v>
      </c>
      <c r="J416" t="str">
        <f>"{ name: "&amp;CHAR(34)&amp;B416&amp;CHAR(34)&amp;", landmark: "&amp;CHAR(34)&amp;IF(LEN(C416)=LEN(SUBSTITUTE(C416,"Transport","")),"Korok x1","Korok x2")&amp;CHAR(34)&amp;", type: "&amp;CHAR(34)&amp;C416&amp;CHAR(34)&amp;", region: "&amp;D416&amp;", level: "&amp;CHAR(34)&amp;E416&amp;CHAR(34)&amp;", x: "&amp;F416&amp;", y: "&amp;G416&amp;", z: "&amp;H416&amp;", details: "&amp;CHAR(34)&amp;I416&amp;CHAR(34)&amp;" },"</f>
        <v>{ name: "Bloodleaf Lake Korok", landmark: "Korok x1", type: "Dive into the Lily Ring", region: 8, level: "Surface", x: 4278, y: 2943, z: 143, details: "" },</v>
      </c>
    </row>
    <row r="417" spans="1:10" x14ac:dyDescent="0.2">
      <c r="A417" s="2">
        <v>451</v>
      </c>
      <c r="B417" s="34" t="s">
        <v>3293</v>
      </c>
      <c r="C417" t="s">
        <v>2802</v>
      </c>
      <c r="D417" s="2">
        <v>8</v>
      </c>
      <c r="E417" s="2" t="s">
        <v>785</v>
      </c>
      <c r="F417" s="2">
        <v>4280</v>
      </c>
      <c r="G417" s="2">
        <v>2339</v>
      </c>
      <c r="H417" s="2">
        <v>21</v>
      </c>
      <c r="I417" t="s">
        <v>2600</v>
      </c>
      <c r="J417" t="str">
        <f>"{ name: "&amp;CHAR(34)&amp;B417&amp;CHAR(34)&amp;", landmark: "&amp;CHAR(34)&amp;IF(LEN(C417)=LEN(SUBSTITUTE(C417,"Transport","")),"Korok x1","Korok x2")&amp;CHAR(34)&amp;", type: "&amp;CHAR(34)&amp;C417&amp;CHAR(34)&amp;", region: "&amp;D417&amp;", level: "&amp;CHAR(34)&amp;E417&amp;CHAR(34)&amp;", x: "&amp;F417&amp;", y: "&amp;G417&amp;", z: "&amp;H417&amp;", details: "&amp;CHAR(34)&amp;I417&amp;CHAR(34)&amp;" },"</f>
        <v>{ name: "East Akkala Plains Korok", landmark: "Korok x2", type: "Transport to Friend", region: 8, level: "Surface", x: 4280, y: 2339, z: 21, details: "Starts at (3748, 2305, 94)" },</v>
      </c>
    </row>
    <row r="418" spans="1:10" x14ac:dyDescent="0.2">
      <c r="A418" s="2">
        <v>447</v>
      </c>
      <c r="B418" s="34" t="s">
        <v>3294</v>
      </c>
      <c r="C418" t="s">
        <v>2802</v>
      </c>
      <c r="D418" s="2">
        <v>8</v>
      </c>
      <c r="E418" s="2" t="s">
        <v>785</v>
      </c>
      <c r="F418" s="2">
        <v>3855</v>
      </c>
      <c r="G418" s="2">
        <v>2685</v>
      </c>
      <c r="H418" s="2">
        <v>50</v>
      </c>
      <c r="I418" t="s">
        <v>2608</v>
      </c>
      <c r="J418" t="str">
        <f>"{ name: "&amp;CHAR(34)&amp;B418&amp;CHAR(34)&amp;", landmark: "&amp;CHAR(34)&amp;IF(LEN(C418)=LEN(SUBSTITUTE(C418,"Transport","")),"Korok x1","Korok x2")&amp;CHAR(34)&amp;", type: "&amp;CHAR(34)&amp;C418&amp;CHAR(34)&amp;", region: "&amp;D418&amp;", level: "&amp;CHAR(34)&amp;E418&amp;CHAR(34)&amp;", x: "&amp;F418&amp;", y: "&amp;G418&amp;", z: "&amp;H418&amp;", details: "&amp;CHAR(34)&amp;I418&amp;CHAR(34)&amp;" },"</f>
        <v>{ name: "East Akkala Stable Korok", landmark: "Korok x2", type: "Transport to Friend", region: 8, level: "Surface", x: 3855, y: 2685, z: 50, details: "Starts at (4202, 2742, 128)" },</v>
      </c>
    </row>
    <row r="419" spans="1:10" x14ac:dyDescent="0.2">
      <c r="A419" s="2">
        <v>450</v>
      </c>
      <c r="B419" s="34" t="s">
        <v>3312</v>
      </c>
      <c r="C419" t="s">
        <v>2823</v>
      </c>
      <c r="D419" s="2">
        <v>8</v>
      </c>
      <c r="E419" s="2" t="s">
        <v>785</v>
      </c>
      <c r="F419" s="2">
        <v>4314</v>
      </c>
      <c r="G419" s="2">
        <v>2518</v>
      </c>
      <c r="H419" s="2">
        <v>83</v>
      </c>
      <c r="J419" t="str">
        <f>"{ name: "&amp;CHAR(34)&amp;B419&amp;CHAR(34)&amp;", landmark: "&amp;CHAR(34)&amp;IF(LEN(C419)=LEN(SUBSTITUTE(C419,"Transport","")),"Korok x1","Korok x2")&amp;CHAR(34)&amp;", type: "&amp;CHAR(34)&amp;C419&amp;CHAR(34)&amp;", region: "&amp;D419&amp;", level: "&amp;CHAR(34)&amp;E419&amp;CHAR(34)&amp;", x: "&amp;F419&amp;", y: "&amp;G419&amp;", z: "&amp;H419&amp;", details: "&amp;CHAR(34)&amp;I419&amp;CHAR(34)&amp;" },"</f>
        <v>{ name: "East of Octorok Lake Korok", landmark: "Korok x1", type: "Examine Fairy Lights", region: 8, level: "Surface", x: 4314, y: 2518, z: 83, details: "" },</v>
      </c>
    </row>
    <row r="420" spans="1:10" x14ac:dyDescent="0.2">
      <c r="A420" s="2">
        <v>455</v>
      </c>
      <c r="B420" s="34" t="s">
        <v>3515</v>
      </c>
      <c r="C420" t="s">
        <v>2802</v>
      </c>
      <c r="D420" s="2">
        <v>8</v>
      </c>
      <c r="E420" s="2" t="s">
        <v>785</v>
      </c>
      <c r="F420" s="2">
        <v>4748</v>
      </c>
      <c r="G420" s="2">
        <v>1986</v>
      </c>
      <c r="H420" s="2">
        <v>1</v>
      </c>
      <c r="I420" t="s">
        <v>2602</v>
      </c>
      <c r="J420" t="str">
        <f>"{ name: "&amp;CHAR(34)&amp;B420&amp;CHAR(34)&amp;", landmark: "&amp;CHAR(34)&amp;IF(LEN(C420)=LEN(SUBSTITUTE(C420,"Transport","")),"Korok x1","Korok x2")&amp;CHAR(34)&amp;", type: "&amp;CHAR(34)&amp;C420&amp;CHAR(34)&amp;", region: "&amp;D420&amp;", level: "&amp;CHAR(34)&amp;E420&amp;CHAR(34)&amp;", x: "&amp;F420&amp;", y: "&amp;G420&amp;", z: "&amp;H420&amp;", details: "&amp;CHAR(34)&amp;I420&amp;CHAR(34)&amp;" },"</f>
        <v>{ name: "Kaepora Pass Korok #01", landmark: "Korok x2", type: "Transport to Friend", region: 8, level: "Surface", x: 4748, y: 1986, z: 1, details: "Starts at (4293, 1609, 154)" },</v>
      </c>
    </row>
    <row r="421" spans="1:10" x14ac:dyDescent="0.2">
      <c r="A421" s="2">
        <v>456</v>
      </c>
      <c r="B421" s="34" t="s">
        <v>3525</v>
      </c>
      <c r="C421" t="s">
        <v>2812</v>
      </c>
      <c r="D421" s="2">
        <v>8</v>
      </c>
      <c r="E421" s="2" t="s">
        <v>785</v>
      </c>
      <c r="F421" s="2">
        <v>3232</v>
      </c>
      <c r="G421" s="2">
        <v>1787</v>
      </c>
      <c r="H421" s="2">
        <v>227</v>
      </c>
      <c r="J421" t="str">
        <f>"{ name: "&amp;CHAR(34)&amp;B421&amp;CHAR(34)&amp;", landmark: "&amp;CHAR(34)&amp;IF(LEN(C421)=LEN(SUBSTITUTE(C421,"Transport","")),"Korok x1","Korok x2")&amp;CHAR(34)&amp;", type: "&amp;CHAR(34)&amp;C421&amp;CHAR(34)&amp;", region: "&amp;D421&amp;", level: "&amp;CHAR(34)&amp;E421&amp;CHAR(34)&amp;", x: "&amp;F421&amp;", y: "&amp;G421&amp;", z: "&amp;H421&amp;", details: "&amp;CHAR(34)&amp;I421&amp;CHAR(34)&amp;" },"</f>
        <v>{ name: "Kanalet Ridge Korok", landmark: "Korok x1", type: "Lift the Rock", region: 8, level: "Surface", x: 3232, y: 1787, z: 227, details: "" },</v>
      </c>
    </row>
    <row r="422" spans="1:10" x14ac:dyDescent="0.2">
      <c r="A422" s="2">
        <v>462</v>
      </c>
      <c r="B422" s="34" t="s">
        <v>3598</v>
      </c>
      <c r="C422" t="s">
        <v>2819</v>
      </c>
      <c r="D422" s="2">
        <v>8</v>
      </c>
      <c r="E422" s="2" t="s">
        <v>785</v>
      </c>
      <c r="F422" s="2">
        <v>4134</v>
      </c>
      <c r="G422" s="2">
        <v>1495</v>
      </c>
      <c r="H422" s="2">
        <v>167</v>
      </c>
      <c r="J422" t="str">
        <f>"{ name: "&amp;CHAR(34)&amp;B422&amp;CHAR(34)&amp;", landmark: "&amp;CHAR(34)&amp;IF(LEN(C422)=LEN(SUBSTITUTE(C422,"Transport","")),"Korok x1","Korok x2")&amp;CHAR(34)&amp;", type: "&amp;CHAR(34)&amp;C422&amp;CHAR(34)&amp;", region: "&amp;D422&amp;", level: "&amp;CHAR(34)&amp;E422&amp;CHAR(34)&amp;", x: "&amp;F422&amp;", y: "&amp;G422&amp;", z: "&amp;H422&amp;", details: "&amp;CHAR(34)&amp;I422&amp;CHAR(34)&amp;" },"</f>
        <v>{ name: "Link's House Korok #01", landmark: "Korok x1", type: "Repair the Roof", region: 8, level: "Surface", x: 4134, y: 1495, z: 167, details: "" },</v>
      </c>
    </row>
    <row r="423" spans="1:10" x14ac:dyDescent="0.2">
      <c r="A423" s="2">
        <v>465</v>
      </c>
      <c r="B423" s="34" t="s">
        <v>3599</v>
      </c>
      <c r="C423" t="s">
        <v>2824</v>
      </c>
      <c r="D423" s="2">
        <v>8</v>
      </c>
      <c r="E423" s="2" t="s">
        <v>785</v>
      </c>
      <c r="F423" s="2">
        <v>4106</v>
      </c>
      <c r="G423" s="2">
        <v>1377</v>
      </c>
      <c r="H423" s="2">
        <v>167</v>
      </c>
      <c r="J423" t="str">
        <f>"{ name: "&amp;CHAR(34)&amp;B423&amp;CHAR(34)&amp;", landmark: "&amp;CHAR(34)&amp;IF(LEN(C423)=LEN(SUBSTITUTE(C423,"Transport","")),"Korok x1","Korok x2")&amp;CHAR(34)&amp;", type: "&amp;CHAR(34)&amp;C423&amp;CHAR(34)&amp;", region: "&amp;D423&amp;", level: "&amp;CHAR(34)&amp;E423&amp;CHAR(34)&amp;", x: "&amp;F423&amp;", y: "&amp;G423&amp;", z: "&amp;H423&amp;", details: "&amp;CHAR(34)&amp;I423&amp;CHAR(34)&amp;" },"</f>
        <v>{ name: "Link's House Korok #02", landmark: "Korok x1", type: "Catch the Moving Sparkle", region: 8, level: "Surface", x: 4106, y: 1377, z: 167, details: "" },</v>
      </c>
    </row>
    <row r="424" spans="1:10" x14ac:dyDescent="0.2">
      <c r="A424" s="2">
        <v>468</v>
      </c>
      <c r="B424" s="34" t="s">
        <v>3600</v>
      </c>
      <c r="C424" t="s">
        <v>2823</v>
      </c>
      <c r="D424" s="2">
        <v>8</v>
      </c>
      <c r="E424" s="2" t="s">
        <v>785</v>
      </c>
      <c r="F424" s="2">
        <v>4045</v>
      </c>
      <c r="G424" s="2">
        <v>1285</v>
      </c>
      <c r="H424" s="2">
        <v>219</v>
      </c>
      <c r="J424" t="str">
        <f>"{ name: "&amp;CHAR(34)&amp;B424&amp;CHAR(34)&amp;", landmark: "&amp;CHAR(34)&amp;IF(LEN(C424)=LEN(SUBSTITUTE(C424,"Transport","")),"Korok x1","Korok x2")&amp;CHAR(34)&amp;", type: "&amp;CHAR(34)&amp;C424&amp;CHAR(34)&amp;", region: "&amp;D424&amp;", level: "&amp;CHAR(34)&amp;E424&amp;CHAR(34)&amp;", x: "&amp;F424&amp;", y: "&amp;G424&amp;", z: "&amp;H424&amp;", details: "&amp;CHAR(34)&amp;I424&amp;CHAR(34)&amp;" },"</f>
        <v>{ name: "Link's House Korok #03", landmark: "Korok x1", type: "Examine Fairy Lights", region: 8, level: "Surface", x: 4045, y: 1285, z: 219, details: "" },</v>
      </c>
    </row>
    <row r="425" spans="1:10" x14ac:dyDescent="0.2">
      <c r="A425" s="2">
        <v>429</v>
      </c>
      <c r="B425" s="34" t="s">
        <v>3605</v>
      </c>
      <c r="C425" t="s">
        <v>2821</v>
      </c>
      <c r="D425" s="2">
        <v>8</v>
      </c>
      <c r="E425" s="2" t="s">
        <v>785</v>
      </c>
      <c r="F425" s="2">
        <v>4794</v>
      </c>
      <c r="G425" s="2">
        <v>3757</v>
      </c>
      <c r="H425" s="2">
        <v>142</v>
      </c>
      <c r="J425" t="str">
        <f>"{ name: "&amp;CHAR(34)&amp;B425&amp;CHAR(34)&amp;", landmark: "&amp;CHAR(34)&amp;IF(LEN(C425)=LEN(SUBSTITUTE(C425,"Transport","")),"Korok x1","Korok x2")&amp;CHAR(34)&amp;", type: "&amp;CHAR(34)&amp;C425&amp;CHAR(34)&amp;", region: "&amp;D425&amp;", level: "&amp;CHAR(34)&amp;E425&amp;CHAR(34)&amp;", x: "&amp;F425&amp;", y: "&amp;G425&amp;", z: "&amp;H425&amp;", details: "&amp;CHAR(34)&amp;I425&amp;CHAR(34)&amp;" },"</f>
        <v>{ name: "Lomei Labyrinth Island Korok", landmark: "Korok x1", type: "Shoot the Balloons", region: 8, level: "Surface", x: 4794, y: 3757, z: 142, details: "" },</v>
      </c>
    </row>
    <row r="426" spans="1:10" x14ac:dyDescent="0.2">
      <c r="A426" s="2">
        <v>36</v>
      </c>
      <c r="B426" s="34" t="s">
        <v>3606</v>
      </c>
      <c r="C426" t="s">
        <v>2806</v>
      </c>
      <c r="D426" s="2">
        <v>8</v>
      </c>
      <c r="E426" s="2" t="s">
        <v>783</v>
      </c>
      <c r="F426" s="2">
        <v>4796</v>
      </c>
      <c r="G426" s="2">
        <v>3756</v>
      </c>
      <c r="H426" s="2">
        <v>1136</v>
      </c>
      <c r="J426" t="str">
        <f>"{ name: "&amp;CHAR(34)&amp;B426&amp;CHAR(34)&amp;", landmark: "&amp;CHAR(34)&amp;IF(LEN(C426)=LEN(SUBSTITUTE(C426,"Transport","")),"Korok x1","Korok x2")&amp;CHAR(34)&amp;", type: "&amp;CHAR(34)&amp;C426&amp;CHAR(34)&amp;", region: "&amp;D426&amp;", level: "&amp;CHAR(34)&amp;E426&amp;CHAR(34)&amp;", x: "&amp;F426&amp;", y: "&amp;G426&amp;", z: "&amp;H426&amp;", details: "&amp;CHAR(34)&amp;I426&amp;CHAR(34)&amp;" },"</f>
        <v>{ name: "Lomei Sky Labyrinth Korok", landmark: "Korok x1", type: "Catch the Dandelion", region: 8, level: "Sky", x: 4796, y: 3756, z: 1136, details: "" },</v>
      </c>
    </row>
    <row r="427" spans="1:10" x14ac:dyDescent="0.2">
      <c r="A427" s="2">
        <v>435</v>
      </c>
      <c r="B427" s="34" t="s">
        <v>3618</v>
      </c>
      <c r="C427" t="s">
        <v>2802</v>
      </c>
      <c r="D427" s="2">
        <v>8</v>
      </c>
      <c r="E427" s="2" t="s">
        <v>785</v>
      </c>
      <c r="F427" s="2">
        <v>4417</v>
      </c>
      <c r="G427" s="2">
        <v>3265</v>
      </c>
      <c r="H427" s="2">
        <v>207</v>
      </c>
      <c r="I427" t="s">
        <v>2607</v>
      </c>
      <c r="J427" t="str">
        <f>"{ name: "&amp;CHAR(34)&amp;B427&amp;CHAR(34)&amp;", landmark: "&amp;CHAR(34)&amp;IF(LEN(C427)=LEN(SUBSTITUTE(C427,"Transport","")),"Korok x1","Korok x2")&amp;CHAR(34)&amp;", type: "&amp;CHAR(34)&amp;C427&amp;CHAR(34)&amp;", region: "&amp;D427&amp;", level: "&amp;CHAR(34)&amp;E427&amp;CHAR(34)&amp;", x: "&amp;F427&amp;", y: "&amp;G427&amp;", z: "&amp;H427&amp;", details: "&amp;CHAR(34)&amp;I427&amp;CHAR(34)&amp;" },"</f>
        <v>{ name: "Malanya Spring Korok", landmark: "Korok x2", type: "Transport to Friend", region: 8, level: "Surface", x: 4417, y: 3265, z: 207, details: "Starts at (4282, 3268, 173)" },</v>
      </c>
    </row>
    <row r="428" spans="1:10" x14ac:dyDescent="0.2">
      <c r="A428" s="2">
        <v>458</v>
      </c>
      <c r="B428" s="34" t="s">
        <v>3619</v>
      </c>
      <c r="C428" t="s">
        <v>2804</v>
      </c>
      <c r="D428" s="2">
        <v>8</v>
      </c>
      <c r="E428" s="2" t="s">
        <v>785</v>
      </c>
      <c r="F428" s="2">
        <v>4599</v>
      </c>
      <c r="G428" s="2">
        <v>1857</v>
      </c>
      <c r="H428" s="2">
        <v>10</v>
      </c>
      <c r="J428" t="str">
        <f>"{ name: "&amp;CHAR(34)&amp;B428&amp;CHAR(34)&amp;", landmark: "&amp;CHAR(34)&amp;IF(LEN(C428)=LEN(SUBSTITUTE(C428,"Transport","")),"Korok x1","Korok x2")&amp;CHAR(34)&amp;", type: "&amp;CHAR(34)&amp;C428&amp;CHAR(34)&amp;", region: "&amp;D428&amp;", level: "&amp;CHAR(34)&amp;E428&amp;CHAR(34)&amp;", x: "&amp;F428&amp;", y: "&amp;G428&amp;", z: "&amp;H428&amp;", details: "&amp;CHAR(34)&amp;I428&amp;CHAR(34)&amp;" },"</f>
        <v>{ name: "Malin Bay Korok", landmark: "Korok x1", type: "Burn the Leaves", region: 8, level: "Surface", x: 4599, y: 1857, z: 10, details: "" },</v>
      </c>
    </row>
    <row r="429" spans="1:10" x14ac:dyDescent="0.2">
      <c r="A429" s="2">
        <v>445</v>
      </c>
      <c r="B429" s="34" t="s">
        <v>3683</v>
      </c>
      <c r="C429" t="s">
        <v>2802</v>
      </c>
      <c r="D429" s="2">
        <v>8</v>
      </c>
      <c r="E429" s="2" t="s">
        <v>785</v>
      </c>
      <c r="F429" s="2">
        <v>4628</v>
      </c>
      <c r="G429" s="2">
        <v>2861</v>
      </c>
      <c r="H429" s="2">
        <v>3</v>
      </c>
      <c r="I429" t="s">
        <v>2609</v>
      </c>
      <c r="J429" t="str">
        <f>"{ name: "&amp;CHAR(34)&amp;B429&amp;CHAR(34)&amp;", landmark: "&amp;CHAR(34)&amp;IF(LEN(C429)=LEN(SUBSTITUTE(C429,"Transport","")),"Korok x1","Korok x2")&amp;CHAR(34)&amp;", type: "&amp;CHAR(34)&amp;C429&amp;CHAR(34)&amp;", region: "&amp;D429&amp;", level: "&amp;CHAR(34)&amp;E429&amp;CHAR(34)&amp;", x: "&amp;F429&amp;", y: "&amp;G429&amp;", z: "&amp;H429&amp;", details: "&amp;CHAR(34)&amp;I429&amp;CHAR(34)&amp;" },"</f>
        <v>{ name: "North Akkala Beach Korok", landmark: "Korok x2", type: "Transport to Friend", region: 8, level: "Surface", x: 4628, y: 2861, z: 3, details: "Starts at (4356, 2536, 78)" },</v>
      </c>
    </row>
    <row r="430" spans="1:10" x14ac:dyDescent="0.2">
      <c r="A430" s="2">
        <v>444</v>
      </c>
      <c r="B430" s="34" t="s">
        <v>3684</v>
      </c>
      <c r="C430" t="s">
        <v>2804</v>
      </c>
      <c r="D430" s="2">
        <v>8</v>
      </c>
      <c r="E430" s="2" t="s">
        <v>785</v>
      </c>
      <c r="F430" s="2">
        <v>4271</v>
      </c>
      <c r="G430" s="2">
        <v>2827</v>
      </c>
      <c r="H430" s="2">
        <v>149</v>
      </c>
      <c r="J430" t="str">
        <f>"{ name: "&amp;CHAR(34)&amp;B430&amp;CHAR(34)&amp;", landmark: "&amp;CHAR(34)&amp;IF(LEN(C430)=LEN(SUBSTITUTE(C430,"Transport","")),"Korok x1","Korok x2")&amp;CHAR(34)&amp;", type: "&amp;CHAR(34)&amp;C430&amp;CHAR(34)&amp;", region: "&amp;D430&amp;", level: "&amp;CHAR(34)&amp;E430&amp;CHAR(34)&amp;", x: "&amp;F430&amp;", y: "&amp;G430&amp;", z: "&amp;H430&amp;", details: "&amp;CHAR(34)&amp;I430&amp;CHAR(34)&amp;" },"</f>
        <v>{ name: "North Akkala Foothill Korok #01", landmark: "Korok x1", type: "Burn the Leaves", region: 8, level: "Surface", x: 4271, y: 2827, z: 149, details: "" },</v>
      </c>
    </row>
    <row r="431" spans="1:10" x14ac:dyDescent="0.2">
      <c r="A431" s="2">
        <v>448</v>
      </c>
      <c r="B431" s="34" t="s">
        <v>3685</v>
      </c>
      <c r="C431" t="s">
        <v>2807</v>
      </c>
      <c r="D431" s="2">
        <v>8</v>
      </c>
      <c r="E431" s="2" t="s">
        <v>785</v>
      </c>
      <c r="F431" s="2">
        <v>4394</v>
      </c>
      <c r="G431" s="2">
        <v>2721</v>
      </c>
      <c r="H431" s="2">
        <v>123</v>
      </c>
      <c r="J431" t="str">
        <f>"{ name: "&amp;CHAR(34)&amp;B431&amp;CHAR(34)&amp;", landmark: "&amp;CHAR(34)&amp;IF(LEN(C431)=LEN(SUBSTITUTE(C431,"Transport","")),"Korok x1","Korok x2")&amp;CHAR(34)&amp;", type: "&amp;CHAR(34)&amp;C431&amp;CHAR(34)&amp;", region: "&amp;D431&amp;", level: "&amp;CHAR(34)&amp;E431&amp;CHAR(34)&amp;", x: "&amp;F431&amp;", y: "&amp;G431&amp;", z: "&amp;H431&amp;", details: "&amp;CHAR(34)&amp;I431&amp;CHAR(34)&amp;" },"</f>
        <v>{ name: "North Akkala Foothill Korok #02", landmark: "Korok x1", type: "Complete the Cube Puzzle", region: 8, level: "Surface", x: 4394, y: 2721, z: 123, details: "" },</v>
      </c>
    </row>
    <row r="432" spans="1:10" x14ac:dyDescent="0.2">
      <c r="A432" s="2">
        <v>442</v>
      </c>
      <c r="B432" s="34" t="s">
        <v>3686</v>
      </c>
      <c r="C432" t="s">
        <v>2827</v>
      </c>
      <c r="D432" s="2">
        <v>8</v>
      </c>
      <c r="E432" s="2" t="s">
        <v>785</v>
      </c>
      <c r="F432" s="2">
        <v>3544</v>
      </c>
      <c r="G432" s="2">
        <v>3024</v>
      </c>
      <c r="H432" s="2">
        <v>83</v>
      </c>
      <c r="I432" t="s">
        <v>2744</v>
      </c>
      <c r="J432" t="str">
        <f>"{ name: "&amp;CHAR(34)&amp;B432&amp;CHAR(34)&amp;", landmark: "&amp;CHAR(34)&amp;IF(LEN(C432)=LEN(SUBSTITUTE(C432,"Transport","")),"Korok x1","Korok x2")&amp;CHAR(34)&amp;", type: "&amp;CHAR(34)&amp;C432&amp;CHAR(34)&amp;", region: "&amp;D432&amp;", level: "&amp;CHAR(34)&amp;E432&amp;CHAR(34)&amp;", x: "&amp;F432&amp;", y: "&amp;G432&amp;", z: "&amp;H432&amp;", details: "&amp;CHAR(34)&amp;I432&amp;CHAR(34)&amp;" },"</f>
        <v>{ name: "North Akkala Valley Korok", landmark: "Korok x1", type: "Paraglide to the Goal", region: 8, level: "Surface", x: 3544, y: 3024, z: 83, details: "Starts at (3575, 3046, 110)" },</v>
      </c>
    </row>
    <row r="433" spans="1:10" x14ac:dyDescent="0.2">
      <c r="A433" s="2">
        <v>449</v>
      </c>
      <c r="B433" s="34" t="s">
        <v>3713</v>
      </c>
      <c r="C433" t="s">
        <v>2804</v>
      </c>
      <c r="D433" s="2">
        <v>8</v>
      </c>
      <c r="E433" s="2" t="s">
        <v>785</v>
      </c>
      <c r="F433" s="2">
        <v>4073</v>
      </c>
      <c r="G433" s="2">
        <v>2453</v>
      </c>
      <c r="H433" s="2">
        <v>74</v>
      </c>
      <c r="J433" t="str">
        <f>"{ name: "&amp;CHAR(34)&amp;B433&amp;CHAR(34)&amp;", landmark: "&amp;CHAR(34)&amp;IF(LEN(C433)=LEN(SUBSTITUTE(C433,"Transport","")),"Korok x1","Korok x2")&amp;CHAR(34)&amp;", type: "&amp;CHAR(34)&amp;C433&amp;CHAR(34)&amp;", region: "&amp;D433&amp;", level: "&amp;CHAR(34)&amp;E433&amp;CHAR(34)&amp;", x: "&amp;F433&amp;", y: "&amp;G433&amp;", z: "&amp;H433&amp;", details: "&amp;CHAR(34)&amp;I433&amp;CHAR(34)&amp;" },"</f>
        <v>{ name: "Octorok Lake Korok", landmark: "Korok x1", type: "Burn the Leaves", region: 8, level: "Surface", x: 4073, y: 2453, z: 74, details: "" },</v>
      </c>
    </row>
    <row r="434" spans="1:10" x14ac:dyDescent="0.2">
      <c r="A434" s="2">
        <v>367</v>
      </c>
      <c r="B434" s="34" t="s">
        <v>3714</v>
      </c>
      <c r="C434" t="s">
        <v>2807</v>
      </c>
      <c r="D434" s="2">
        <v>8</v>
      </c>
      <c r="E434" s="2" t="s">
        <v>785</v>
      </c>
      <c r="F434" s="2">
        <v>3539</v>
      </c>
      <c r="G434" s="2">
        <v>2637</v>
      </c>
      <c r="H434" s="2">
        <v>85</v>
      </c>
      <c r="J434" t="str">
        <f>"{ name: "&amp;CHAR(34)&amp;B434&amp;CHAR(34)&amp;", landmark: "&amp;CHAR(34)&amp;IF(LEN(C434)=LEN(SUBSTITUTE(C434,"Transport","")),"Korok x1","Korok x2")&amp;CHAR(34)&amp;", type: "&amp;CHAR(34)&amp;C434&amp;CHAR(34)&amp;", region: "&amp;D434&amp;", level: "&amp;CHAR(34)&amp;E434&amp;CHAR(34)&amp;", x: "&amp;F434&amp;", y: "&amp;G434&amp;", z: "&amp;H434&amp;", details: "&amp;CHAR(34)&amp;I434&amp;CHAR(34)&amp;" },"</f>
        <v>{ name: "Ordorac Quarry Korok", landmark: "Korok x1", type: "Complete the Cube Puzzle", region: 8, level: "Surface", x: 3539, y: 2637, z: 85, details: "" },</v>
      </c>
    </row>
    <row r="435" spans="1:10" x14ac:dyDescent="0.2">
      <c r="A435" s="2">
        <v>454</v>
      </c>
      <c r="B435" s="34" t="s">
        <v>3792</v>
      </c>
      <c r="C435" t="s">
        <v>2812</v>
      </c>
      <c r="D435" s="2">
        <v>8</v>
      </c>
      <c r="E435" s="2" t="s">
        <v>785</v>
      </c>
      <c r="F435" s="2">
        <v>4528</v>
      </c>
      <c r="G435" s="2">
        <v>2047</v>
      </c>
      <c r="H435" s="2">
        <v>1</v>
      </c>
      <c r="J435" t="str">
        <f>"{ name: "&amp;CHAR(34)&amp;B435&amp;CHAR(34)&amp;", landmark: "&amp;CHAR(34)&amp;IF(LEN(C435)=LEN(SUBSTITUTE(C435,"Transport","")),"Korok x1","Korok x2")&amp;CHAR(34)&amp;", type: "&amp;CHAR(34)&amp;C435&amp;CHAR(34)&amp;", region: "&amp;D435&amp;", level: "&amp;CHAR(34)&amp;E435&amp;CHAR(34)&amp;", x: "&amp;F435&amp;", y: "&amp;G435&amp;", z: "&amp;H435&amp;", details: "&amp;CHAR(34)&amp;I435&amp;CHAR(34)&amp;" },"</f>
        <v>{ name: "Rist Peninsula Korok", landmark: "Korok x1", type: "Lift the Rock", region: 8, level: "Surface", x: 4528, y: 2047, z: 1, details: "" },</v>
      </c>
    </row>
    <row r="436" spans="1:10" x14ac:dyDescent="0.2">
      <c r="A436" s="2">
        <v>441</v>
      </c>
      <c r="B436" s="34" t="s">
        <v>3803</v>
      </c>
      <c r="C436" t="s">
        <v>2814</v>
      </c>
      <c r="D436" s="2">
        <v>8</v>
      </c>
      <c r="E436" s="2" t="s">
        <v>785</v>
      </c>
      <c r="F436" s="2">
        <v>3350</v>
      </c>
      <c r="G436" s="2">
        <v>3074</v>
      </c>
      <c r="H436" s="2">
        <v>60</v>
      </c>
      <c r="J436" t="str">
        <f>"{ name: "&amp;CHAR(34)&amp;B436&amp;CHAR(34)&amp;", landmark: "&amp;CHAR(34)&amp;IF(LEN(C436)=LEN(SUBSTITUTE(C436,"Transport","")),"Korok x1","Korok x2")&amp;CHAR(34)&amp;", type: "&amp;CHAR(34)&amp;C436&amp;CHAR(34)&amp;", region: "&amp;D436&amp;", level: "&amp;CHAR(34)&amp;E436&amp;CHAR(34)&amp;", x: "&amp;F436&amp;", y: "&amp;G436&amp;", z: "&amp;H436&amp;", details: "&amp;CHAR(34)&amp;I436&amp;CHAR(34)&amp;" },"</f>
        <v>{ name: "Rok Woods Korok #02", landmark: "Korok x1", type: "Make Offering to Statue", region: 8, level: "Surface", x: 3350, y: 3074, z: 60, details: "" },</v>
      </c>
    </row>
    <row r="437" spans="1:10" x14ac:dyDescent="0.2">
      <c r="A437" s="2">
        <v>453</v>
      </c>
      <c r="B437" s="34" t="s">
        <v>3851</v>
      </c>
      <c r="C437" t="s">
        <v>2823</v>
      </c>
      <c r="D437" s="2">
        <v>8</v>
      </c>
      <c r="E437" s="2" t="s">
        <v>785</v>
      </c>
      <c r="F437" s="2">
        <v>3327</v>
      </c>
      <c r="G437" s="2">
        <v>2169</v>
      </c>
      <c r="H437" s="2">
        <v>139</v>
      </c>
      <c r="J437" t="str">
        <f>"{ name: "&amp;CHAR(34)&amp;B437&amp;CHAR(34)&amp;", landmark: "&amp;CHAR(34)&amp;IF(LEN(C437)=LEN(SUBSTITUTE(C437,"Transport","")),"Korok x1","Korok x2")&amp;CHAR(34)&amp;", type: "&amp;CHAR(34)&amp;C437&amp;CHAR(34)&amp;", region: "&amp;D437&amp;", level: "&amp;CHAR(34)&amp;E437&amp;CHAR(34)&amp;", x: "&amp;F437&amp;", y: "&amp;G437&amp;", z: "&amp;H437&amp;", details: "&amp;CHAR(34)&amp;I437&amp;CHAR(34)&amp;" },"</f>
        <v>{ name: "Shadow Pass Korok", landmark: "Korok x1", type: "Examine Fairy Lights", region: 8, level: "Surface", x: 3327, y: 2169, z: 139, details: "" },</v>
      </c>
    </row>
    <row r="438" spans="1:10" x14ac:dyDescent="0.2">
      <c r="A438" s="2">
        <v>431</v>
      </c>
      <c r="B438" s="34" t="s">
        <v>3854</v>
      </c>
      <c r="C438" t="s">
        <v>2827</v>
      </c>
      <c r="D438" s="2">
        <v>8</v>
      </c>
      <c r="E438" s="2" t="s">
        <v>785</v>
      </c>
      <c r="F438" s="2">
        <v>3186</v>
      </c>
      <c r="G438" s="2">
        <v>3459</v>
      </c>
      <c r="H438" s="2">
        <v>91</v>
      </c>
      <c r="I438" t="s">
        <v>2743</v>
      </c>
      <c r="J438" t="str">
        <f>"{ name: "&amp;CHAR(34)&amp;B438&amp;CHAR(34)&amp;", landmark: "&amp;CHAR(34)&amp;IF(LEN(C438)=LEN(SUBSTITUTE(C438,"Transport","")),"Korok x1","Korok x2")&amp;CHAR(34)&amp;", type: "&amp;CHAR(34)&amp;C438&amp;CHAR(34)&amp;", region: "&amp;D438&amp;", level: "&amp;CHAR(34)&amp;E438&amp;CHAR(34)&amp;", x: "&amp;F438&amp;", y: "&amp;G438&amp;", z: "&amp;H438&amp;", details: "&amp;CHAR(34)&amp;I438&amp;CHAR(34)&amp;" },"</f>
        <v>{ name: "Skull Lake Korok #01", landmark: "Korok x1", type: "Paraglide to the Goal", region: 8, level: "Surface", x: 3186, y: 3459, z: 91, details: "Starts at (3153, 3431, 137)" },</v>
      </c>
    </row>
    <row r="439" spans="1:10" x14ac:dyDescent="0.2">
      <c r="A439" s="2">
        <v>432</v>
      </c>
      <c r="B439" s="34" t="s">
        <v>3855</v>
      </c>
      <c r="C439" t="s">
        <v>2812</v>
      </c>
      <c r="D439" s="2">
        <v>8</v>
      </c>
      <c r="E439" s="2" t="s">
        <v>785</v>
      </c>
      <c r="F439" s="2">
        <v>3267</v>
      </c>
      <c r="G439" s="2">
        <v>3397</v>
      </c>
      <c r="H439" s="2">
        <v>35</v>
      </c>
      <c r="J439" t="str">
        <f>"{ name: "&amp;CHAR(34)&amp;B439&amp;CHAR(34)&amp;", landmark: "&amp;CHAR(34)&amp;IF(LEN(C439)=LEN(SUBSTITUTE(C439,"Transport","")),"Korok x1","Korok x2")&amp;CHAR(34)&amp;", type: "&amp;CHAR(34)&amp;C439&amp;CHAR(34)&amp;", region: "&amp;D439&amp;", level: "&amp;CHAR(34)&amp;E439&amp;CHAR(34)&amp;", x: "&amp;F439&amp;", y: "&amp;G439&amp;", z: "&amp;H439&amp;", details: "&amp;CHAR(34)&amp;I439&amp;CHAR(34)&amp;" },"</f>
        <v>{ name: "Skull Lake Korok #02", landmark: "Korok x1", type: "Lift the Rock", region: 8, level: "Surface", x: 3267, y: 3397, z: 35, details: "" },</v>
      </c>
    </row>
    <row r="440" spans="1:10" x14ac:dyDescent="0.2">
      <c r="A440" s="2">
        <v>37</v>
      </c>
      <c r="B440" s="34" t="s">
        <v>3856</v>
      </c>
      <c r="C440" t="s">
        <v>2827</v>
      </c>
      <c r="D440" s="2">
        <v>8</v>
      </c>
      <c r="E440" s="2" t="s">
        <v>783</v>
      </c>
      <c r="F440" s="2">
        <v>4654</v>
      </c>
      <c r="G440" s="2">
        <v>2137</v>
      </c>
      <c r="H440" s="2">
        <v>1240</v>
      </c>
      <c r="I440" t="s">
        <v>2730</v>
      </c>
      <c r="J440" t="str">
        <f>"{ name: "&amp;CHAR(34)&amp;B440&amp;CHAR(34)&amp;", landmark: "&amp;CHAR(34)&amp;IF(LEN(C440)=LEN(SUBSTITUTE(C440,"Transport","")),"Korok x1","Korok x2")&amp;CHAR(34)&amp;", type: "&amp;CHAR(34)&amp;C440&amp;CHAR(34)&amp;", region: "&amp;D440&amp;", level: "&amp;CHAR(34)&amp;E440&amp;CHAR(34)&amp;", x: "&amp;F440&amp;", y: "&amp;G440&amp;", z: "&amp;H440&amp;", details: "&amp;CHAR(34)&amp;I440&amp;CHAR(34)&amp;" },"</f>
        <v>{ name: "Sky Mine Korok", landmark: "Korok x1", type: "Paraglide to the Goal", region: 8, level: "Sky", x: 4654, y: 2137, z: 1240, details: "Starts at (4613, 2284, 1299)" },</v>
      </c>
    </row>
    <row r="441" spans="1:10" x14ac:dyDescent="0.2">
      <c r="A441" s="2">
        <v>38</v>
      </c>
      <c r="B441" s="34" t="s">
        <v>3859</v>
      </c>
      <c r="C441" t="s">
        <v>2806</v>
      </c>
      <c r="D441" s="2">
        <v>8</v>
      </c>
      <c r="E441" s="2" t="s">
        <v>783</v>
      </c>
      <c r="F441" s="2">
        <v>3662</v>
      </c>
      <c r="G441" s="2">
        <v>1408</v>
      </c>
      <c r="H441" s="2">
        <v>1119</v>
      </c>
      <c r="J441" t="str">
        <f>"{ name: "&amp;CHAR(34)&amp;B441&amp;CHAR(34)&amp;", landmark: "&amp;CHAR(34)&amp;IF(LEN(C441)=LEN(SUBSTITUTE(C441,"Transport","")),"Korok x1","Korok x2")&amp;CHAR(34)&amp;", type: "&amp;CHAR(34)&amp;C441&amp;CHAR(34)&amp;", region: "&amp;D441&amp;", level: "&amp;CHAR(34)&amp;E441&amp;CHAR(34)&amp;", x: "&amp;F441&amp;", y: "&amp;G441&amp;", z: "&amp;H441&amp;", details: "&amp;CHAR(34)&amp;I441&amp;CHAR(34)&amp;" },"</f>
        <v>{ name: "Sokkala Sky Archipelago Korok", landmark: "Korok x1", type: "Catch the Dandelion", region: 8, level: "Sky", x: 3662, y: 1408, z: 1119, details: "" },</v>
      </c>
    </row>
    <row r="442" spans="1:10" x14ac:dyDescent="0.2">
      <c r="A442" s="2">
        <v>452</v>
      </c>
      <c r="B442" s="34" t="s">
        <v>3861</v>
      </c>
      <c r="C442" t="s">
        <v>2802</v>
      </c>
      <c r="D442" s="2">
        <v>8</v>
      </c>
      <c r="E442" s="2" t="s">
        <v>785</v>
      </c>
      <c r="F442" s="2">
        <v>3223</v>
      </c>
      <c r="G442" s="2">
        <v>2170</v>
      </c>
      <c r="H442" s="2">
        <v>129</v>
      </c>
      <c r="I442" t="s">
        <v>2601</v>
      </c>
      <c r="J442" t="str">
        <f>"{ name: "&amp;CHAR(34)&amp;B442&amp;CHAR(34)&amp;", landmark: "&amp;CHAR(34)&amp;IF(LEN(C442)=LEN(SUBSTITUTE(C442,"Transport","")),"Korok x1","Korok x2")&amp;CHAR(34)&amp;", type: "&amp;CHAR(34)&amp;C442&amp;CHAR(34)&amp;", region: "&amp;D442&amp;", level: "&amp;CHAR(34)&amp;E442&amp;CHAR(34)&amp;", x: "&amp;F442&amp;", y: "&amp;G442&amp;", z: "&amp;H442&amp;", details: "&amp;CHAR(34)&amp;I442&amp;CHAR(34)&amp;" },"</f>
        <v>{ name: "South Akkala Stable Korok", landmark: "Korok x2", type: "Transport to Friend", region: 8, level: "Surface", x: 3223, y: 2170, z: 129, details: "Starts at (3092, 1755, 197)" },</v>
      </c>
    </row>
    <row r="443" spans="1:10" x14ac:dyDescent="0.2">
      <c r="A443" s="2">
        <v>446</v>
      </c>
      <c r="B443" s="34" t="s">
        <v>3889</v>
      </c>
      <c r="C443" t="s">
        <v>2824</v>
      </c>
      <c r="D443" s="2">
        <v>8</v>
      </c>
      <c r="E443" s="2" t="s">
        <v>785</v>
      </c>
      <c r="F443" s="2">
        <v>3768</v>
      </c>
      <c r="G443" s="2">
        <v>2690</v>
      </c>
      <c r="H443" s="2">
        <v>20</v>
      </c>
      <c r="J443" t="str">
        <f>"{ name: "&amp;CHAR(34)&amp;B443&amp;CHAR(34)&amp;", landmark: "&amp;CHAR(34)&amp;IF(LEN(C443)=LEN(SUBSTITUTE(C443,"Transport","")),"Korok x1","Korok x2")&amp;CHAR(34)&amp;", type: "&amp;CHAR(34)&amp;C443&amp;CHAR(34)&amp;", region: "&amp;D443&amp;", level: "&amp;CHAR(34)&amp;E443&amp;CHAR(34)&amp;", x: "&amp;F443&amp;", y: "&amp;G443&amp;", z: "&amp;H443&amp;", details: "&amp;CHAR(34)&amp;I443&amp;CHAR(34)&amp;" },"</f>
        <v>{ name: "Spring of Power Korok", landmark: "Korok x1", type: "Catch the Moving Sparkle", region: 8, level: "Surface", x: 3768, y: 2690, z: 20, details: "" },</v>
      </c>
    </row>
    <row r="444" spans="1:10" x14ac:dyDescent="0.2">
      <c r="A444" s="2">
        <v>459</v>
      </c>
      <c r="B444" s="34" t="s">
        <v>3933</v>
      </c>
      <c r="C444" t="s">
        <v>2820</v>
      </c>
      <c r="D444" s="2">
        <v>8</v>
      </c>
      <c r="E444" s="2" t="s">
        <v>785</v>
      </c>
      <c r="F444" s="2">
        <v>3965</v>
      </c>
      <c r="G444" s="2">
        <v>1611</v>
      </c>
      <c r="H444" s="2">
        <v>136</v>
      </c>
      <c r="J444" t="str">
        <f>"{ name: "&amp;CHAR(34)&amp;B444&amp;CHAR(34)&amp;", landmark: "&amp;CHAR(34)&amp;IF(LEN(C444)=LEN(SUBSTITUTE(C444,"Transport","")),"Korok x1","Korok x2")&amp;CHAR(34)&amp;", type: "&amp;CHAR(34)&amp;C444&amp;CHAR(34)&amp;", region: "&amp;D444&amp;", level: "&amp;CHAR(34)&amp;E444&amp;CHAR(34)&amp;", x: "&amp;F444&amp;", y: "&amp;G444&amp;", z: "&amp;H444&amp;", details: "&amp;CHAR(34)&amp;I444&amp;CHAR(34)&amp;" },"</f>
        <v>{ name: "Tarrey Town Korok #01", landmark: "Korok x1", type: "Ring the Bell", region: 8, level: "Surface", x: 3965, y: 1611, z: 136, details: "" },</v>
      </c>
    </row>
    <row r="445" spans="1:10" x14ac:dyDescent="0.2">
      <c r="A445" s="2">
        <v>460</v>
      </c>
      <c r="B445" s="34" t="s">
        <v>3934</v>
      </c>
      <c r="C445" t="s">
        <v>2812</v>
      </c>
      <c r="D445" s="2">
        <v>8</v>
      </c>
      <c r="E445" s="2" t="s">
        <v>785</v>
      </c>
      <c r="F445" s="2">
        <v>4022</v>
      </c>
      <c r="G445" s="2">
        <v>1622</v>
      </c>
      <c r="H445" s="2">
        <v>138</v>
      </c>
      <c r="J445" t="str">
        <f>"{ name: "&amp;CHAR(34)&amp;B445&amp;CHAR(34)&amp;", landmark: "&amp;CHAR(34)&amp;IF(LEN(C445)=LEN(SUBSTITUTE(C445,"Transport","")),"Korok x1","Korok x2")&amp;CHAR(34)&amp;", type: "&amp;CHAR(34)&amp;C445&amp;CHAR(34)&amp;", region: "&amp;D445&amp;", level: "&amp;CHAR(34)&amp;E445&amp;CHAR(34)&amp;", x: "&amp;F445&amp;", y: "&amp;G445&amp;", z: "&amp;H445&amp;", details: "&amp;CHAR(34)&amp;I445&amp;CHAR(34)&amp;" },"</f>
        <v>{ name: "Tarrey Town Korok #02", landmark: "Korok x1", type: "Lift the Rock", region: 8, level: "Surface", x: 4022, y: 1622, z: 138, details: "" },</v>
      </c>
    </row>
    <row r="446" spans="1:10" x14ac:dyDescent="0.2">
      <c r="A446" s="2">
        <v>457</v>
      </c>
      <c r="B446" s="34" t="s">
        <v>3935</v>
      </c>
      <c r="C446" t="s">
        <v>2812</v>
      </c>
      <c r="D446" s="2">
        <v>8</v>
      </c>
      <c r="E446" s="2" t="s">
        <v>785</v>
      </c>
      <c r="F446" s="2">
        <v>3649</v>
      </c>
      <c r="G446" s="2">
        <v>1798</v>
      </c>
      <c r="H446" s="2">
        <v>113</v>
      </c>
      <c r="J446" t="str">
        <f>"{ name: "&amp;CHAR(34)&amp;B446&amp;CHAR(34)&amp;", landmark: "&amp;CHAR(34)&amp;IF(LEN(C446)=LEN(SUBSTITUTE(C446,"Transport","")),"Korok x1","Korok x2")&amp;CHAR(34)&amp;", type: "&amp;CHAR(34)&amp;C446&amp;CHAR(34)&amp;", region: "&amp;D446&amp;", level: "&amp;CHAR(34)&amp;E446&amp;CHAR(34)&amp;", x: "&amp;F446&amp;", y: "&amp;G446&amp;", z: "&amp;H446&amp;", details: "&amp;CHAR(34)&amp;I446&amp;CHAR(34)&amp;" },"</f>
        <v>{ name: "Tarrey Town Race Korok", landmark: "Korok x1", type: "Lift the Rock", region: 8, level: "Surface", x: 3649, y: 1798, z: 113, details: "" },</v>
      </c>
    </row>
    <row r="447" spans="1:10" x14ac:dyDescent="0.2">
      <c r="A447" s="2">
        <v>464</v>
      </c>
      <c r="B447" s="34" t="s">
        <v>3958</v>
      </c>
      <c r="C447" t="s">
        <v>2811</v>
      </c>
      <c r="D447" s="2">
        <v>8</v>
      </c>
      <c r="E447" s="2" t="s">
        <v>785</v>
      </c>
      <c r="F447" s="2">
        <v>3645</v>
      </c>
      <c r="G447" s="2">
        <v>1460</v>
      </c>
      <c r="H447" s="2">
        <v>97</v>
      </c>
      <c r="I447" t="s">
        <v>2740</v>
      </c>
      <c r="J447" t="str">
        <f>"{ name: "&amp;CHAR(34)&amp;B447&amp;CHAR(34)&amp;", landmark: "&amp;CHAR(34)&amp;IF(LEN(C447)=LEN(SUBSTITUTE(C447,"Transport","")),"Korok x1","Korok x2")&amp;CHAR(34)&amp;", type: "&amp;CHAR(34)&amp;C447&amp;CHAR(34)&amp;", region: "&amp;D447&amp;", level: "&amp;CHAR(34)&amp;E447&amp;CHAR(34)&amp;", x: "&amp;F447&amp;", y: "&amp;G447&amp;", z: "&amp;H447&amp;", details: "&amp;CHAR(34)&amp;I447&amp;CHAR(34)&amp;" },"</f>
        <v>{ name: "Torin Wetland Korok", landmark: "Korok x1", type: "Follow the Yellow Flowers", region: 8, level: "Surface", x: 3645, y: 1460, z: 97, details: "Starts at (3670, 1468, 97)" },</v>
      </c>
    </row>
    <row r="448" spans="1:10" x14ac:dyDescent="0.2">
      <c r="A448" s="2">
        <v>434</v>
      </c>
      <c r="B448" s="34" t="s">
        <v>3966</v>
      </c>
      <c r="C448" t="s">
        <v>2801</v>
      </c>
      <c r="D448" s="2">
        <v>8</v>
      </c>
      <c r="E448" s="2" t="s">
        <v>785</v>
      </c>
      <c r="F448" s="2">
        <v>4118</v>
      </c>
      <c r="G448" s="2">
        <v>3286</v>
      </c>
      <c r="H448" s="2">
        <v>204</v>
      </c>
      <c r="J448" t="str">
        <f>"{ name: "&amp;CHAR(34)&amp;B448&amp;CHAR(34)&amp;", landmark: "&amp;CHAR(34)&amp;IF(LEN(C448)=LEN(SUBSTITUTE(C448,"Transport","")),"Korok x1","Korok x2")&amp;CHAR(34)&amp;", type: "&amp;CHAR(34)&amp;C448&amp;CHAR(34)&amp;", region: "&amp;D448&amp;", level: "&amp;CHAR(34)&amp;E448&amp;CHAR(34)&amp;", x: "&amp;F448&amp;", y: "&amp;G448&amp;", z: "&amp;H448&amp;", details: "&amp;CHAR(34)&amp;I448&amp;CHAR(34)&amp;" },"</f>
        <v>{ name: "Tumlea Heights Korok #01", landmark: "Korok x1", type: "Break the Acorn Pot", region: 8, level: "Surface", x: 4118, y: 3286, z: 204, details: "" },</v>
      </c>
    </row>
    <row r="449" spans="1:10" x14ac:dyDescent="0.2">
      <c r="A449" s="2">
        <v>436</v>
      </c>
      <c r="B449" s="34" t="s">
        <v>3967</v>
      </c>
      <c r="C449" t="s">
        <v>2802</v>
      </c>
      <c r="D449" s="2">
        <v>8</v>
      </c>
      <c r="E449" s="2" t="s">
        <v>785</v>
      </c>
      <c r="F449" s="2">
        <v>3446</v>
      </c>
      <c r="G449" s="2">
        <v>3173</v>
      </c>
      <c r="H449" s="2">
        <v>55</v>
      </c>
      <c r="I449" t="s">
        <v>2606</v>
      </c>
      <c r="J449" t="str">
        <f>"{ name: "&amp;CHAR(34)&amp;B449&amp;CHAR(34)&amp;", landmark: "&amp;CHAR(34)&amp;IF(LEN(C449)=LEN(SUBSTITUTE(C449,"Transport","")),"Korok x1","Korok x2")&amp;CHAR(34)&amp;", type: "&amp;CHAR(34)&amp;C449&amp;CHAR(34)&amp;", region: "&amp;D449&amp;", level: "&amp;CHAR(34)&amp;E449&amp;CHAR(34)&amp;", x: "&amp;F449&amp;", y: "&amp;G449&amp;", z: "&amp;H449&amp;", details: "&amp;CHAR(34)&amp;I449&amp;CHAR(34)&amp;" },"</f>
        <v>{ name: "Tumlea Heights Korok #02", landmark: "Korok x2", type: "Transport to Friend", region: 8, level: "Surface", x: 3446, y: 3173, z: 55, details: "Starts at (3959, 3119, 181)" },</v>
      </c>
    </row>
    <row r="450" spans="1:10" x14ac:dyDescent="0.2">
      <c r="A450" s="2">
        <v>437</v>
      </c>
      <c r="B450" s="34" t="s">
        <v>3968</v>
      </c>
      <c r="C450" t="s">
        <v>2812</v>
      </c>
      <c r="D450" s="2">
        <v>8</v>
      </c>
      <c r="E450" s="2" t="s">
        <v>785</v>
      </c>
      <c r="F450" s="2">
        <v>4157</v>
      </c>
      <c r="G450" s="2">
        <v>3168</v>
      </c>
      <c r="H450" s="2">
        <v>251</v>
      </c>
      <c r="J450" t="str">
        <f>"{ name: "&amp;CHAR(34)&amp;B450&amp;CHAR(34)&amp;", landmark: "&amp;CHAR(34)&amp;IF(LEN(C450)=LEN(SUBSTITUTE(C450,"Transport","")),"Korok x1","Korok x2")&amp;CHAR(34)&amp;", type: "&amp;CHAR(34)&amp;C450&amp;CHAR(34)&amp;", region: "&amp;D450&amp;", level: "&amp;CHAR(34)&amp;E450&amp;CHAR(34)&amp;", x: "&amp;F450&amp;", y: "&amp;G450&amp;", z: "&amp;H450&amp;", details: "&amp;CHAR(34)&amp;I450&amp;CHAR(34)&amp;" },"</f>
        <v>{ name: "Tumlea Heights Korok #03", landmark: "Korok x1", type: "Lift the Rock", region: 8, level: "Surface", x: 4157, y: 3168, z: 251, details: "" },</v>
      </c>
    </row>
    <row r="451" spans="1:10" x14ac:dyDescent="0.2">
      <c r="A451" s="2">
        <v>470</v>
      </c>
      <c r="B451" s="34" t="s">
        <v>3162</v>
      </c>
      <c r="C451" t="s">
        <v>2804</v>
      </c>
      <c r="D451" s="2">
        <v>9</v>
      </c>
      <c r="E451" s="2" t="s">
        <v>785</v>
      </c>
      <c r="F451" s="2">
        <v>3160</v>
      </c>
      <c r="G451" s="2">
        <v>1426</v>
      </c>
      <c r="H451" s="2">
        <v>258</v>
      </c>
      <c r="J451" t="str">
        <f>"{ name: "&amp;CHAR(34)&amp;B451&amp;CHAR(34)&amp;", landmark: "&amp;CHAR(34)&amp;IF(LEN(C451)=LEN(SUBSTITUTE(C451,"Transport","")),"Korok x1","Korok x2")&amp;CHAR(34)&amp;", type: "&amp;CHAR(34)&amp;C451&amp;CHAR(34)&amp;", region: "&amp;D451&amp;", level: "&amp;CHAR(34)&amp;E451&amp;CHAR(34)&amp;", x: "&amp;F451&amp;", y: "&amp;G451&amp;", z: "&amp;H451&amp;", details: "&amp;CHAR(34)&amp;I451&amp;CHAR(34)&amp;" },"</f>
        <v>{ name: "Akkala Bridge Ruins Korok", landmark: "Korok x1", type: "Burn the Leaves", region: 9, level: "Surface", x: 3160, y: 1426, z: 258, details: "" },</v>
      </c>
    </row>
    <row r="452" spans="1:10" x14ac:dyDescent="0.2">
      <c r="A452" s="2">
        <v>469</v>
      </c>
      <c r="B452" s="34" t="s">
        <v>3168</v>
      </c>
      <c r="C452" t="s">
        <v>2823</v>
      </c>
      <c r="D452" s="2">
        <v>9</v>
      </c>
      <c r="E452" s="2" t="s">
        <v>785</v>
      </c>
      <c r="F452" s="2">
        <v>3074</v>
      </c>
      <c r="G452" s="2">
        <v>1140</v>
      </c>
      <c r="H452" s="2">
        <v>284</v>
      </c>
      <c r="J452" t="str">
        <f>"{ name: "&amp;CHAR(34)&amp;B452&amp;CHAR(34)&amp;", landmark: "&amp;CHAR(34)&amp;IF(LEN(C452)=LEN(SUBSTITUTE(C452,"Transport","")),"Korok x1","Korok x2")&amp;CHAR(34)&amp;", type: "&amp;CHAR(34)&amp;C452&amp;CHAR(34)&amp;", region: "&amp;D452&amp;", level: "&amp;CHAR(34)&amp;E452&amp;CHAR(34)&amp;", x: "&amp;F452&amp;", y: "&amp;G452&amp;", z: "&amp;H452&amp;", details: "&amp;CHAR(34)&amp;I452&amp;CHAR(34)&amp;" },"</f>
        <v>{ name: "Akkala Span Korok #03", landmark: "Korok x1", type: "Examine Fairy Lights", region: 9, level: "Surface", x: 3074, y: 1140, z: 284, details: "" },</v>
      </c>
    </row>
    <row r="453" spans="1:10" x14ac:dyDescent="0.2">
      <c r="A453" s="2">
        <v>482</v>
      </c>
      <c r="B453" s="34" t="s">
        <v>3178</v>
      </c>
      <c r="C453" t="s">
        <v>2817</v>
      </c>
      <c r="D453" s="2">
        <v>9</v>
      </c>
      <c r="E453" s="2" t="s">
        <v>785</v>
      </c>
      <c r="F453" s="2">
        <v>4561</v>
      </c>
      <c r="G453" s="2">
        <v>941</v>
      </c>
      <c r="H453" s="2">
        <v>180</v>
      </c>
      <c r="I453" t="s">
        <v>2604</v>
      </c>
      <c r="J453" t="str">
        <f>"{ name: "&amp;CHAR(34)&amp;B453&amp;CHAR(34)&amp;", landmark: "&amp;CHAR(34)&amp;IF(LEN(C453)=LEN(SUBSTITUTE(C453,"Transport","")),"Korok x1","Korok x2")&amp;CHAR(34)&amp;", type: "&amp;CHAR(34)&amp;C453&amp;CHAR(34)&amp;", region: "&amp;D453&amp;", level: "&amp;CHAR(34)&amp;E453&amp;CHAR(34)&amp;", x: "&amp;F453&amp;", y: "&amp;G453&amp;", z: "&amp;H453&amp;", details: "&amp;CHAR(34)&amp;I453&amp;CHAR(34)&amp;" },"</f>
        <v>{ name: "Ankel Island Korok", landmark: "Korok x1", type: "Reach the Target Ring", region: 9, level: "Surface", x: 4561, y: 941, z: 180, details: "Starts at (4477, 937, 97)" },</v>
      </c>
    </row>
    <row r="454" spans="1:10" x14ac:dyDescent="0.2">
      <c r="A454" s="2">
        <v>534</v>
      </c>
      <c r="B454" s="34" t="s">
        <v>3201</v>
      </c>
      <c r="C454" t="s">
        <v>2807</v>
      </c>
      <c r="D454" s="2">
        <v>9</v>
      </c>
      <c r="E454" s="2" t="s">
        <v>785</v>
      </c>
      <c r="F454" s="2">
        <v>2211</v>
      </c>
      <c r="G454" s="2">
        <v>50</v>
      </c>
      <c r="H454" s="2">
        <v>53</v>
      </c>
      <c r="J454" t="str">
        <f>"{ name: "&amp;CHAR(34)&amp;B454&amp;CHAR(34)&amp;", landmark: "&amp;CHAR(34)&amp;IF(LEN(C454)=LEN(SUBSTITUTE(C454,"Transport","")),"Korok x1","Korok x2")&amp;CHAR(34)&amp;", type: "&amp;CHAR(34)&amp;C454&amp;CHAR(34)&amp;", region: "&amp;D454&amp;", level: "&amp;CHAR(34)&amp;E454&amp;CHAR(34)&amp;", x: "&amp;F454&amp;", y: "&amp;G454&amp;", z: "&amp;H454&amp;", details: "&amp;CHAR(34)&amp;I454&amp;CHAR(34)&amp;" },"</f>
        <v>{ name: "Boné Pond East Korok #01", landmark: "Korok x1", type: "Complete the Cube Puzzle", region: 9, level: "Surface", x: 2211, y: 50, z: 53, details: "" },</v>
      </c>
    </row>
    <row r="455" spans="1:10" x14ac:dyDescent="0.2">
      <c r="A455" s="2">
        <v>535</v>
      </c>
      <c r="B455" s="34" t="s">
        <v>3202</v>
      </c>
      <c r="C455" t="s">
        <v>2809</v>
      </c>
      <c r="D455" s="2">
        <v>9</v>
      </c>
      <c r="E455" s="2" t="s">
        <v>785</v>
      </c>
      <c r="F455" s="2">
        <v>2306</v>
      </c>
      <c r="G455" s="2">
        <v>11</v>
      </c>
      <c r="H455" s="2">
        <v>49</v>
      </c>
      <c r="J455" t="str">
        <f>"{ name: "&amp;CHAR(34)&amp;B455&amp;CHAR(34)&amp;", landmark: "&amp;CHAR(34)&amp;IF(LEN(C455)=LEN(SUBSTITUTE(C455,"Transport","")),"Korok x1","Korok x2")&amp;CHAR(34)&amp;", type: "&amp;CHAR(34)&amp;C455&amp;CHAR(34)&amp;", region: "&amp;D455&amp;", level: "&amp;CHAR(34)&amp;E455&amp;CHAR(34)&amp;", x: "&amp;F455&amp;", y: "&amp;G455&amp;", z: "&amp;H455&amp;", details: "&amp;CHAR(34)&amp;I455&amp;CHAR(34)&amp;" },"</f>
        <v>{ name: "Boné Pond East Korok #02", landmark: "Korok x1", type: "Dive into the Lily Ring", region: 9, level: "Surface", x: 2306, y: 11, z: 49, details: "" },</v>
      </c>
    </row>
    <row r="456" spans="1:10" x14ac:dyDescent="0.2">
      <c r="A456" s="2">
        <v>536</v>
      </c>
      <c r="B456" s="34" t="s">
        <v>3203</v>
      </c>
      <c r="C456" t="s">
        <v>2801</v>
      </c>
      <c r="D456" s="2">
        <v>9</v>
      </c>
      <c r="E456" s="2" t="s">
        <v>785</v>
      </c>
      <c r="F456" s="2">
        <v>2308</v>
      </c>
      <c r="G456" s="2">
        <v>133</v>
      </c>
      <c r="H456" s="2">
        <v>105</v>
      </c>
      <c r="J456" t="str">
        <f>"{ name: "&amp;CHAR(34)&amp;B456&amp;CHAR(34)&amp;", landmark: "&amp;CHAR(34)&amp;IF(LEN(C456)=LEN(SUBSTITUTE(C456,"Transport","")),"Korok x1","Korok x2")&amp;CHAR(34)&amp;", type: "&amp;CHAR(34)&amp;C456&amp;CHAR(34)&amp;", region: "&amp;D456&amp;", level: "&amp;CHAR(34)&amp;E456&amp;CHAR(34)&amp;", x: "&amp;F456&amp;", y: "&amp;G456&amp;", z: "&amp;H456&amp;", details: "&amp;CHAR(34)&amp;I456&amp;CHAR(34)&amp;" },"</f>
        <v>{ name: "Boné Pond East Korok #03", landmark: "Korok x1", type: "Break the Acorn Pot", region: 9, level: "Surface", x: 2308, y: 133, z: 105, details: "" },</v>
      </c>
    </row>
    <row r="457" spans="1:10" x14ac:dyDescent="0.2">
      <c r="A457" s="2">
        <v>525</v>
      </c>
      <c r="B457" s="34" t="s">
        <v>3220</v>
      </c>
      <c r="C457" t="s">
        <v>2808</v>
      </c>
      <c r="D457" s="2">
        <v>9</v>
      </c>
      <c r="E457" s="2" t="s">
        <v>785</v>
      </c>
      <c r="F457" s="2">
        <v>3944</v>
      </c>
      <c r="G457" s="2">
        <v>-413</v>
      </c>
      <c r="H457" s="2">
        <v>39</v>
      </c>
      <c r="J457" t="str">
        <f>"{ name: "&amp;CHAR(34)&amp;B457&amp;CHAR(34)&amp;", landmark: "&amp;CHAR(34)&amp;IF(LEN(C457)=LEN(SUBSTITUTE(C457,"Transport","")),"Korok x1","Korok x2")&amp;CHAR(34)&amp;", type: "&amp;CHAR(34)&amp;C457&amp;CHAR(34)&amp;", region: "&amp;D457&amp;", level: "&amp;CHAR(34)&amp;E457&amp;CHAR(34)&amp;", x: "&amp;F457&amp;", y: "&amp;G457&amp;", z: "&amp;H457&amp;", details: "&amp;CHAR(34)&amp;I457&amp;CHAR(34)&amp;" },"</f>
        <v>{ name: "Brynna Plain Korok", landmark: "Korok x1", type: "Complete the Rock Pattern", region: 9, level: "Surface", x: 3944, y: -413, z: 39, details: "" },</v>
      </c>
    </row>
    <row r="458" spans="1:10" x14ac:dyDescent="0.2">
      <c r="A458" s="2">
        <v>484</v>
      </c>
      <c r="B458" s="34" t="s">
        <v>3261</v>
      </c>
      <c r="C458" t="s">
        <v>2827</v>
      </c>
      <c r="D458" s="2">
        <v>9</v>
      </c>
      <c r="E458" s="2" t="s">
        <v>785</v>
      </c>
      <c r="F458" s="2">
        <v>4635</v>
      </c>
      <c r="G458" s="2">
        <v>566</v>
      </c>
      <c r="H458" s="2">
        <v>218</v>
      </c>
      <c r="I458" t="s">
        <v>2742</v>
      </c>
      <c r="J458" t="str">
        <f>"{ name: "&amp;CHAR(34)&amp;B458&amp;CHAR(34)&amp;", landmark: "&amp;CHAR(34)&amp;IF(LEN(C458)=LEN(SUBSTITUTE(C458,"Transport","")),"Korok x1","Korok x2")&amp;CHAR(34)&amp;", type: "&amp;CHAR(34)&amp;C458&amp;CHAR(34)&amp;", region: "&amp;D458&amp;", level: "&amp;CHAR(34)&amp;E458&amp;CHAR(34)&amp;", x: "&amp;F458&amp;", y: "&amp;G458&amp;", z: "&amp;H458&amp;", details: "&amp;CHAR(34)&amp;I458&amp;CHAR(34)&amp;" },"</f>
        <v>{ name: "Davdi Island Korok", landmark: "Korok x1", type: "Paraglide to the Goal", region: 9, level: "Surface", x: 4635, y: 566, z: 218, details: "Starts at (4698, 547, 231)" },</v>
      </c>
    </row>
    <row r="459" spans="1:10" x14ac:dyDescent="0.2">
      <c r="A459" s="2">
        <v>517</v>
      </c>
      <c r="B459" s="34" t="s">
        <v>3313</v>
      </c>
      <c r="C459" t="s">
        <v>2823</v>
      </c>
      <c r="D459" s="2">
        <v>9</v>
      </c>
      <c r="E459" s="2" t="s">
        <v>785</v>
      </c>
      <c r="F459" s="2">
        <v>2961</v>
      </c>
      <c r="G459" s="2">
        <v>-53</v>
      </c>
      <c r="H459" s="2">
        <v>145</v>
      </c>
      <c r="J459" t="str">
        <f>"{ name: "&amp;CHAR(34)&amp;B459&amp;CHAR(34)&amp;", landmark: "&amp;CHAR(34)&amp;IF(LEN(C459)=LEN(SUBSTITUTE(C459,"Transport","")),"Korok x1","Korok x2")&amp;CHAR(34)&amp;", type: "&amp;CHAR(34)&amp;C459&amp;CHAR(34)&amp;", region: "&amp;D459&amp;", level: "&amp;CHAR(34)&amp;E459&amp;CHAR(34)&amp;", x: "&amp;F459&amp;", y: "&amp;G459&amp;", z: "&amp;H459&amp;", details: "&amp;CHAR(34)&amp;I459&amp;CHAR(34)&amp;" },"</f>
        <v>{ name: "East of Oren Bridge Korok #01", landmark: "Korok x1", type: "Examine Fairy Lights", region: 9, level: "Surface", x: 2961, y: -53, z: 145, details: "" },</v>
      </c>
    </row>
    <row r="460" spans="1:10" x14ac:dyDescent="0.2">
      <c r="A460" s="2">
        <v>518</v>
      </c>
      <c r="B460" s="34" t="s">
        <v>3314</v>
      </c>
      <c r="C460" t="s">
        <v>2821</v>
      </c>
      <c r="D460" s="2">
        <v>9</v>
      </c>
      <c r="E460" s="2" t="s">
        <v>785</v>
      </c>
      <c r="F460" s="2">
        <v>2951</v>
      </c>
      <c r="G460" s="2">
        <v>-79</v>
      </c>
      <c r="H460" s="2">
        <v>318</v>
      </c>
      <c r="J460" t="str">
        <f>"{ name: "&amp;CHAR(34)&amp;B460&amp;CHAR(34)&amp;", landmark: "&amp;CHAR(34)&amp;IF(LEN(C460)=LEN(SUBSTITUTE(C460,"Transport","")),"Korok x1","Korok x2")&amp;CHAR(34)&amp;", type: "&amp;CHAR(34)&amp;C460&amp;CHAR(34)&amp;", region: "&amp;D460&amp;", level: "&amp;CHAR(34)&amp;E460&amp;CHAR(34)&amp;", x: "&amp;F460&amp;", y: "&amp;G460&amp;", z: "&amp;H460&amp;", details: "&amp;CHAR(34)&amp;I460&amp;CHAR(34)&amp;" },"</f>
        <v>{ name: "East of Oren Bridge Korok #02", landmark: "Korok x1", type: "Shoot the Balloons", region: 9, level: "Surface", x: 2951, y: -79, z: 318, details: "" },</v>
      </c>
    </row>
    <row r="461" spans="1:10" x14ac:dyDescent="0.2">
      <c r="A461" s="2">
        <v>504</v>
      </c>
      <c r="B461" s="34" t="s">
        <v>3315</v>
      </c>
      <c r="C461" t="s">
        <v>2822</v>
      </c>
      <c r="D461" s="2">
        <v>9</v>
      </c>
      <c r="E461" s="2" t="s">
        <v>785</v>
      </c>
      <c r="F461" s="2">
        <v>3589</v>
      </c>
      <c r="G461" s="2">
        <v>416</v>
      </c>
      <c r="H461" s="2">
        <v>208</v>
      </c>
      <c r="J461" t="str">
        <f>"{ name: "&amp;CHAR(34)&amp;B461&amp;CHAR(34)&amp;", landmark: "&amp;CHAR(34)&amp;IF(LEN(C461)=LEN(SUBSTITUTE(C461,"Transport","")),"Korok x1","Korok x2")&amp;CHAR(34)&amp;", type: "&amp;CHAR(34)&amp;C461&amp;CHAR(34)&amp;", region: "&amp;D461&amp;", level: "&amp;CHAR(34)&amp;E461&amp;CHAR(34)&amp;", x: "&amp;F461&amp;", y: "&amp;G461&amp;", z: "&amp;H461&amp;", details: "&amp;CHAR(34)&amp;I461&amp;CHAR(34)&amp;" },"</f>
        <v>{ name: "East Reservoir Lake Korok #01", landmark: "Korok x1", type: "Shoot the Hidden Balloon", region: 9, level: "Surface", x: 3589, y: 416, z: 208, details: "" },</v>
      </c>
    </row>
    <row r="462" spans="1:10" x14ac:dyDescent="0.2">
      <c r="A462" s="2">
        <v>505</v>
      </c>
      <c r="B462" s="34" t="s">
        <v>3316</v>
      </c>
      <c r="C462" t="s">
        <v>2811</v>
      </c>
      <c r="D462" s="2">
        <v>9</v>
      </c>
      <c r="E462" s="2" t="s">
        <v>785</v>
      </c>
      <c r="F462" s="2">
        <v>3678</v>
      </c>
      <c r="G462" s="2">
        <v>450</v>
      </c>
      <c r="H462" s="2">
        <v>258</v>
      </c>
      <c r="I462" t="s">
        <v>2786</v>
      </c>
      <c r="J462" t="str">
        <f>"{ name: "&amp;CHAR(34)&amp;B462&amp;CHAR(34)&amp;", landmark: "&amp;CHAR(34)&amp;IF(LEN(C462)=LEN(SUBSTITUTE(C462,"Transport","")),"Korok x1","Korok x2")&amp;CHAR(34)&amp;", type: "&amp;CHAR(34)&amp;C462&amp;CHAR(34)&amp;", region: "&amp;D462&amp;", level: "&amp;CHAR(34)&amp;E462&amp;CHAR(34)&amp;", x: "&amp;F462&amp;", y: "&amp;G462&amp;", z: "&amp;H462&amp;", details: "&amp;CHAR(34)&amp;I462&amp;CHAR(34)&amp;" },"</f>
        <v>{ name: "East Reservoir Lake Korok #02", landmark: "Korok x1", type: "Follow the Yellow Flowers", region: 9, level: "Surface", x: 3678, y: 450, z: 258, details: "Starts at (3664, 450, 247)" },</v>
      </c>
    </row>
    <row r="463" spans="1:10" x14ac:dyDescent="0.2">
      <c r="A463" s="2">
        <v>507</v>
      </c>
      <c r="B463" s="34" t="s">
        <v>3317</v>
      </c>
      <c r="C463" t="s">
        <v>2821</v>
      </c>
      <c r="D463" s="2">
        <v>9</v>
      </c>
      <c r="E463" s="2" t="s">
        <v>785</v>
      </c>
      <c r="F463" s="2">
        <v>3818</v>
      </c>
      <c r="G463" s="2">
        <v>76</v>
      </c>
      <c r="H463" s="2">
        <v>214</v>
      </c>
      <c r="J463" t="str">
        <f>"{ name: "&amp;CHAR(34)&amp;B463&amp;CHAR(34)&amp;", landmark: "&amp;CHAR(34)&amp;IF(LEN(C463)=LEN(SUBSTITUTE(C463,"Transport","")),"Korok x1","Korok x2")&amp;CHAR(34)&amp;", type: "&amp;CHAR(34)&amp;C463&amp;CHAR(34)&amp;", region: "&amp;D463&amp;", level: "&amp;CHAR(34)&amp;E463&amp;CHAR(34)&amp;", x: "&amp;F463&amp;", y: "&amp;G463&amp;", z: "&amp;H463&amp;", details: "&amp;CHAR(34)&amp;I463&amp;CHAR(34)&amp;" },"</f>
        <v>{ name: "East Reservoir Lake Korok #03", landmark: "Korok x1", type: "Shoot the Balloons", region: 9, level: "Surface", x: 3818, y: 76, z: 214, details: "" },</v>
      </c>
    </row>
    <row r="464" spans="1:10" x14ac:dyDescent="0.2">
      <c r="A464" s="2">
        <v>471</v>
      </c>
      <c r="B464" s="34" t="s">
        <v>3318</v>
      </c>
      <c r="C464" t="s">
        <v>2816</v>
      </c>
      <c r="D464" s="2">
        <v>9</v>
      </c>
      <c r="E464" s="2" t="s">
        <v>785</v>
      </c>
      <c r="F464" s="2">
        <v>3869</v>
      </c>
      <c r="G464" s="2">
        <v>1086</v>
      </c>
      <c r="H464" s="2">
        <v>226</v>
      </c>
      <c r="J464" t="str">
        <f>"{ name: "&amp;CHAR(34)&amp;B464&amp;CHAR(34)&amp;", landmark: "&amp;CHAR(34)&amp;IF(LEN(C464)=LEN(SUBSTITUTE(C464,"Transport","")),"Korok x1","Korok x2")&amp;CHAR(34)&amp;", type: "&amp;CHAR(34)&amp;C464&amp;CHAR(34)&amp;", region: "&amp;D464&amp;", level: "&amp;CHAR(34)&amp;E464&amp;CHAR(34)&amp;", x: "&amp;F464&amp;", y: "&amp;G464&amp;", z: "&amp;H464&amp;", details: "&amp;CHAR(34)&amp;I464&amp;CHAR(34)&amp;" },"</f>
        <v>{ name: "East Sokkala Bridge Korok", landmark: "Korok x1", type: "Pull the Plug", region: 9, level: "Surface", x: 3869, y: 1086, z: 226, details: "" },</v>
      </c>
    </row>
    <row r="465" spans="1:10" x14ac:dyDescent="0.2">
      <c r="A465" s="2">
        <v>485</v>
      </c>
      <c r="B465" s="34" t="s">
        <v>3344</v>
      </c>
      <c r="C465" t="s">
        <v>2802</v>
      </c>
      <c r="D465" s="2">
        <v>9</v>
      </c>
      <c r="E465" s="2" t="s">
        <v>785</v>
      </c>
      <c r="F465" s="2">
        <v>2760</v>
      </c>
      <c r="G465" s="2">
        <v>774</v>
      </c>
      <c r="H465" s="2">
        <v>200</v>
      </c>
      <c r="I465" t="s">
        <v>2647</v>
      </c>
      <c r="J465" t="str">
        <f>"{ name: "&amp;CHAR(34)&amp;B465&amp;CHAR(34)&amp;", landmark: "&amp;CHAR(34)&amp;IF(LEN(C465)=LEN(SUBSTITUTE(C465,"Transport","")),"Korok x1","Korok x2")&amp;CHAR(34)&amp;", type: "&amp;CHAR(34)&amp;C465&amp;CHAR(34)&amp;", region: "&amp;D465&amp;", level: "&amp;CHAR(34)&amp;E465&amp;CHAR(34)&amp;", x: "&amp;F465&amp;", y: "&amp;G465&amp;", z: "&amp;H465&amp;", details: "&amp;CHAR(34)&amp;I465&amp;CHAR(34)&amp;" },"</f>
        <v>{ name: "Foothill Stable Korok #03", landmark: "Korok x2", type: "Transport to Friend", region: 9, level: "Surface", x: 2760, y: 774, z: 200, details: "Starts at (2638, 1111, 159)" },</v>
      </c>
    </row>
    <row r="466" spans="1:10" x14ac:dyDescent="0.2">
      <c r="A466" s="2">
        <v>497</v>
      </c>
      <c r="B466" s="34" t="s">
        <v>3424</v>
      </c>
      <c r="C466" t="s">
        <v>2812</v>
      </c>
      <c r="D466" s="2">
        <v>9</v>
      </c>
      <c r="E466" s="2" t="s">
        <v>785</v>
      </c>
      <c r="F466" s="2">
        <v>3220</v>
      </c>
      <c r="G466" s="2">
        <v>282</v>
      </c>
      <c r="H466" s="2">
        <v>79</v>
      </c>
      <c r="J466" t="str">
        <f>"{ name: "&amp;CHAR(34)&amp;B466&amp;CHAR(34)&amp;", landmark: "&amp;CHAR(34)&amp;IF(LEN(C466)=LEN(SUBSTITUTE(C466,"Transport","")),"Korok x1","Korok x2")&amp;CHAR(34)&amp;", type: "&amp;CHAR(34)&amp;C466&amp;CHAR(34)&amp;", region: "&amp;D466&amp;", level: "&amp;CHAR(34)&amp;E466&amp;CHAR(34)&amp;", x: "&amp;F466&amp;", y: "&amp;G466&amp;", z: "&amp;H466&amp;", details: "&amp;CHAR(34)&amp;I466&amp;CHAR(34)&amp;" },"</f>
        <v>{ name: "Great Zora Bridge Korok", landmark: "Korok x1", type: "Lift the Rock", region: 9, level: "Surface", x: 3220, y: 282, z: 79, details: "" },</v>
      </c>
    </row>
    <row r="467" spans="1:10" x14ac:dyDescent="0.2">
      <c r="A467" s="2">
        <v>488</v>
      </c>
      <c r="B467" s="34" t="s">
        <v>3508</v>
      </c>
      <c r="C467" t="s">
        <v>2821</v>
      </c>
      <c r="D467" s="2">
        <v>9</v>
      </c>
      <c r="E467" s="2" t="s">
        <v>785</v>
      </c>
      <c r="F467" s="2">
        <v>2335</v>
      </c>
      <c r="G467" s="2">
        <v>274</v>
      </c>
      <c r="H467" s="2">
        <v>28</v>
      </c>
      <c r="J467" t="str">
        <f>"{ name: "&amp;CHAR(34)&amp;B467&amp;CHAR(34)&amp;", landmark: "&amp;CHAR(34)&amp;IF(LEN(C467)=LEN(SUBSTITUTE(C467,"Transport","")),"Korok x1","Korok x2")&amp;CHAR(34)&amp;", type: "&amp;CHAR(34)&amp;C467&amp;CHAR(34)&amp;", region: "&amp;D467&amp;", level: "&amp;CHAR(34)&amp;E467&amp;CHAR(34)&amp;", x: "&amp;F467&amp;", y: "&amp;G467&amp;", z: "&amp;H467&amp;", details: "&amp;CHAR(34)&amp;I467&amp;CHAR(34)&amp;" },"</f>
        <v>{ name: "Inogo Bridge Korok", landmark: "Korok x1", type: "Shoot the Balloons", region: 9, level: "Surface", x: 2335, y: 274, z: 28, details: "" },</v>
      </c>
    </row>
    <row r="468" spans="1:10" x14ac:dyDescent="0.2">
      <c r="A468" s="2">
        <v>512</v>
      </c>
      <c r="B468" s="34" t="s">
        <v>3511</v>
      </c>
      <c r="C468" t="s">
        <v>2812</v>
      </c>
      <c r="D468" s="2">
        <v>9</v>
      </c>
      <c r="E468" s="2" t="s">
        <v>785</v>
      </c>
      <c r="F468" s="2">
        <v>4166</v>
      </c>
      <c r="G468" s="2">
        <v>63</v>
      </c>
      <c r="H468" s="2">
        <v>350</v>
      </c>
      <c r="J468" t="str">
        <f>"{ name: "&amp;CHAR(34)&amp;B468&amp;CHAR(34)&amp;", landmark: "&amp;CHAR(34)&amp;IF(LEN(C468)=LEN(SUBSTITUTE(C468,"Transport","")),"Korok x1","Korok x2")&amp;CHAR(34)&amp;", type: "&amp;CHAR(34)&amp;C468&amp;CHAR(34)&amp;", region: "&amp;D468&amp;", level: "&amp;CHAR(34)&amp;E468&amp;CHAR(34)&amp;", x: "&amp;F468&amp;", y: "&amp;G468&amp;", z: "&amp;H468&amp;", details: "&amp;CHAR(34)&amp;I468&amp;CHAR(34)&amp;" },"</f>
        <v>{ name: "Ja'Abu Ridge Korok #01", landmark: "Korok x1", type: "Lift the Rock", region: 9, level: "Surface", x: 4166, y: 63, z: 350, details: "" },</v>
      </c>
    </row>
    <row r="469" spans="1:10" x14ac:dyDescent="0.2">
      <c r="A469" s="2">
        <v>523</v>
      </c>
      <c r="B469" s="34" t="s">
        <v>3512</v>
      </c>
      <c r="C469" t="s">
        <v>2807</v>
      </c>
      <c r="D469" s="2">
        <v>9</v>
      </c>
      <c r="E469" s="2" t="s">
        <v>785</v>
      </c>
      <c r="F469" s="2">
        <v>3527</v>
      </c>
      <c r="G469" s="2">
        <v>-368</v>
      </c>
      <c r="H469" s="2">
        <v>151</v>
      </c>
      <c r="J469" t="str">
        <f>"{ name: "&amp;CHAR(34)&amp;B469&amp;CHAR(34)&amp;", landmark: "&amp;CHAR(34)&amp;IF(LEN(C469)=LEN(SUBSTITUTE(C469,"Transport","")),"Korok x1","Korok x2")&amp;CHAR(34)&amp;", type: "&amp;CHAR(34)&amp;C469&amp;CHAR(34)&amp;", region: "&amp;D469&amp;", level: "&amp;CHAR(34)&amp;E469&amp;CHAR(34)&amp;", x: "&amp;F469&amp;", y: "&amp;G469&amp;", z: "&amp;H469&amp;", details: "&amp;CHAR(34)&amp;I469&amp;CHAR(34)&amp;" },"</f>
        <v>{ name: "Ja'Abu Ridge Korok #02", landmark: "Korok x1", type: "Complete the Cube Puzzle", region: 9, level: "Surface", x: 3527, y: -368, z: 151, details: "" },</v>
      </c>
    </row>
    <row r="470" spans="1:10" x14ac:dyDescent="0.2">
      <c r="A470" s="2">
        <v>526</v>
      </c>
      <c r="B470" s="34" t="s">
        <v>3513</v>
      </c>
      <c r="C470" t="s">
        <v>2802</v>
      </c>
      <c r="D470" s="2">
        <v>9</v>
      </c>
      <c r="E470" s="2" t="s">
        <v>785</v>
      </c>
      <c r="F470" s="2">
        <v>4500</v>
      </c>
      <c r="G470" s="2">
        <v>-648</v>
      </c>
      <c r="H470" s="2">
        <v>76</v>
      </c>
      <c r="I470" t="s">
        <v>2701</v>
      </c>
      <c r="J470" t="str">
        <f>"{ name: "&amp;CHAR(34)&amp;B470&amp;CHAR(34)&amp;", landmark: "&amp;CHAR(34)&amp;IF(LEN(C470)=LEN(SUBSTITUTE(C470,"Transport","")),"Korok x1","Korok x2")&amp;CHAR(34)&amp;", type: "&amp;CHAR(34)&amp;C470&amp;CHAR(34)&amp;", region: "&amp;D470&amp;", level: "&amp;CHAR(34)&amp;E470&amp;CHAR(34)&amp;", x: "&amp;F470&amp;", y: "&amp;G470&amp;", z: "&amp;H470&amp;", details: "&amp;CHAR(34)&amp;I470&amp;CHAR(34)&amp;" },"</f>
        <v>{ name: "Ja'Abu Ridge Korok #03", landmark: "Korok x2", type: "Transport to Friend", region: 9, level: "Surface", x: 4500, y: -648, z: 76, details: "Starts at (4000, -187, 177)" },</v>
      </c>
    </row>
    <row r="471" spans="1:10" x14ac:dyDescent="0.2">
      <c r="A471" s="2">
        <v>472</v>
      </c>
      <c r="B471" s="34" t="s">
        <v>3516</v>
      </c>
      <c r="C471" t="s">
        <v>2811</v>
      </c>
      <c r="D471" s="2">
        <v>9</v>
      </c>
      <c r="E471" s="2" t="s">
        <v>785</v>
      </c>
      <c r="F471" s="2">
        <v>3882</v>
      </c>
      <c r="G471" s="2">
        <v>1342</v>
      </c>
      <c r="H471" s="2">
        <v>248</v>
      </c>
      <c r="I471" t="s">
        <v>2741</v>
      </c>
      <c r="J471" t="str">
        <f>"{ name: "&amp;CHAR(34)&amp;B471&amp;CHAR(34)&amp;", landmark: "&amp;CHAR(34)&amp;IF(LEN(C471)=LEN(SUBSTITUTE(C471,"Transport","")),"Korok x1","Korok x2")&amp;CHAR(34)&amp;", type: "&amp;CHAR(34)&amp;C471&amp;CHAR(34)&amp;", region: "&amp;D471&amp;", level: "&amp;CHAR(34)&amp;E471&amp;CHAR(34)&amp;", x: "&amp;F471&amp;", y: "&amp;G471&amp;", z: "&amp;H471&amp;", details: "&amp;CHAR(34)&amp;I471&amp;CHAR(34)&amp;" },"</f>
        <v>{ name: "Kaepora Pass Korok #02", landmark: "Korok x1", type: "Follow the Yellow Flowers", region: 9, level: "Surface", x: 3882, y: 1342, z: 248, details: "Starts at (3883, 1338, 248)" },</v>
      </c>
    </row>
    <row r="472" spans="1:10" x14ac:dyDescent="0.2">
      <c r="A472" s="2">
        <v>524</v>
      </c>
      <c r="B472" s="34" t="s">
        <v>3577</v>
      </c>
      <c r="C472" t="s">
        <v>2802</v>
      </c>
      <c r="D472" s="2">
        <v>9</v>
      </c>
      <c r="E472" s="2" t="s">
        <v>785</v>
      </c>
      <c r="F472" s="2">
        <v>3305</v>
      </c>
      <c r="G472" s="2">
        <v>-774</v>
      </c>
      <c r="H472" s="2">
        <v>11</v>
      </c>
      <c r="I472" t="s">
        <v>2700</v>
      </c>
      <c r="J472" t="str">
        <f>"{ name: "&amp;CHAR(34)&amp;B472&amp;CHAR(34)&amp;", landmark: "&amp;CHAR(34)&amp;IF(LEN(C472)=LEN(SUBSTITUTE(C472,"Transport","")),"Korok x1","Korok x2")&amp;CHAR(34)&amp;", type: "&amp;CHAR(34)&amp;C472&amp;CHAR(34)&amp;", region: "&amp;D472&amp;", level: "&amp;CHAR(34)&amp;E472&amp;CHAR(34)&amp;", x: "&amp;F472&amp;", y: "&amp;G472&amp;", z: "&amp;H472&amp;", details: "&amp;CHAR(34)&amp;I472&amp;CHAR(34)&amp;" },"</f>
        <v>{ name: "Lanayru Bay Korok #01", landmark: "Korok x2", type: "Transport to Friend", region: 9, level: "Surface", x: 3305, y: -774, z: 11, details: "Starts at (3654, -605, 4)" },</v>
      </c>
    </row>
    <row r="473" spans="1:10" x14ac:dyDescent="0.2">
      <c r="A473" s="2">
        <v>531</v>
      </c>
      <c r="B473" s="34" t="s">
        <v>3578</v>
      </c>
      <c r="C473" t="s">
        <v>2811</v>
      </c>
      <c r="D473" s="2">
        <v>9</v>
      </c>
      <c r="E473" s="2" t="s">
        <v>785</v>
      </c>
      <c r="F473" s="2">
        <v>3712</v>
      </c>
      <c r="G473" s="2">
        <v>-622</v>
      </c>
      <c r="H473" s="2">
        <v>2</v>
      </c>
      <c r="J473" t="str">
        <f>"{ name: "&amp;CHAR(34)&amp;B473&amp;CHAR(34)&amp;", landmark: "&amp;CHAR(34)&amp;IF(LEN(C473)=LEN(SUBSTITUTE(C473,"Transport","")),"Korok x1","Korok x2")&amp;CHAR(34)&amp;", type: "&amp;CHAR(34)&amp;C473&amp;CHAR(34)&amp;", region: "&amp;D473&amp;", level: "&amp;CHAR(34)&amp;E473&amp;CHAR(34)&amp;", x: "&amp;F473&amp;", y: "&amp;G473&amp;", z: "&amp;H473&amp;", details: "&amp;CHAR(34)&amp;I473&amp;CHAR(34)&amp;" },"</f>
        <v>{ name: "Lanayru Bay Korok #02", landmark: "Korok x1", type: "Follow the Yellow Flowers", region: 9, level: "Surface", x: 3712, y: -622, z: 2, details: "" },</v>
      </c>
    </row>
    <row r="474" spans="1:10" x14ac:dyDescent="0.2">
      <c r="A474" s="2">
        <v>532</v>
      </c>
      <c r="B474" s="34" t="s">
        <v>3579</v>
      </c>
      <c r="C474" t="s">
        <v>2823</v>
      </c>
      <c r="D474" s="2">
        <v>9</v>
      </c>
      <c r="E474" s="2" t="s">
        <v>785</v>
      </c>
      <c r="F474" s="2">
        <v>4142</v>
      </c>
      <c r="G474" s="2">
        <v>-557</v>
      </c>
      <c r="H474" s="2">
        <v>7</v>
      </c>
      <c r="J474" t="str">
        <f>"{ name: "&amp;CHAR(34)&amp;B474&amp;CHAR(34)&amp;", landmark: "&amp;CHAR(34)&amp;IF(LEN(C474)=LEN(SUBSTITUTE(C474,"Transport","")),"Korok x1","Korok x2")&amp;CHAR(34)&amp;", type: "&amp;CHAR(34)&amp;C474&amp;CHAR(34)&amp;", region: "&amp;D474&amp;", level: "&amp;CHAR(34)&amp;E474&amp;CHAR(34)&amp;", x: "&amp;F474&amp;", y: "&amp;G474&amp;", z: "&amp;H474&amp;", details: "&amp;CHAR(34)&amp;I474&amp;CHAR(34)&amp;" },"</f>
        <v>{ name: "Lanayru Bay Korok #03", landmark: "Korok x1", type: "Examine Fairy Lights", region: 9, level: "Surface", x: 4142, y: -557, z: 7, details: "" },</v>
      </c>
    </row>
    <row r="475" spans="1:10" x14ac:dyDescent="0.2">
      <c r="A475" s="2">
        <v>533</v>
      </c>
      <c r="B475" s="34" t="s">
        <v>3580</v>
      </c>
      <c r="C475" t="s">
        <v>2817</v>
      </c>
      <c r="D475" s="2">
        <v>9</v>
      </c>
      <c r="E475" s="2" t="s">
        <v>785</v>
      </c>
      <c r="F475" s="2">
        <v>4231</v>
      </c>
      <c r="G475" s="2">
        <v>-311</v>
      </c>
      <c r="H475" s="2">
        <v>5</v>
      </c>
      <c r="I475" t="s">
        <v>2702</v>
      </c>
      <c r="J475" t="str">
        <f>"{ name: "&amp;CHAR(34)&amp;B475&amp;CHAR(34)&amp;", landmark: "&amp;CHAR(34)&amp;IF(LEN(C475)=LEN(SUBSTITUTE(C475,"Transport","")),"Korok x1","Korok x2")&amp;CHAR(34)&amp;", type: "&amp;CHAR(34)&amp;C475&amp;CHAR(34)&amp;", region: "&amp;D475&amp;", level: "&amp;CHAR(34)&amp;E475&amp;CHAR(34)&amp;", x: "&amp;F475&amp;", y: "&amp;G475&amp;", z: "&amp;H475&amp;", details: "&amp;CHAR(34)&amp;I475&amp;CHAR(34)&amp;" },"</f>
        <v>{ name: "Lanayru Bay Korok #04", landmark: "Korok x1", type: "Reach the Target Ring", region: 9, level: "Surface", x: 4231, y: -311, z: 5, details: "Starts at (4185, -444, 25)" },</v>
      </c>
    </row>
    <row r="476" spans="1:10" x14ac:dyDescent="0.2">
      <c r="A476" s="2">
        <v>41</v>
      </c>
      <c r="B476" s="34" t="s">
        <v>3587</v>
      </c>
      <c r="C476" t="s">
        <v>2806</v>
      </c>
      <c r="D476" s="2">
        <v>9</v>
      </c>
      <c r="E476" s="2" t="s">
        <v>783</v>
      </c>
      <c r="F476" s="2">
        <v>3234</v>
      </c>
      <c r="G476" s="2">
        <v>462</v>
      </c>
      <c r="H476" s="2">
        <v>892</v>
      </c>
      <c r="J476" t="str">
        <f>"{ name: "&amp;CHAR(34)&amp;B476&amp;CHAR(34)&amp;", landmark: "&amp;CHAR(34)&amp;IF(LEN(C476)=LEN(SUBSTITUTE(C476,"Transport","")),"Korok x1","Korok x2")&amp;CHAR(34)&amp;", type: "&amp;CHAR(34)&amp;C476&amp;CHAR(34)&amp;", region: "&amp;D476&amp;", level: "&amp;CHAR(34)&amp;E476&amp;CHAR(34)&amp;", x: "&amp;F476&amp;", y: "&amp;G476&amp;", z: "&amp;H476&amp;", details: "&amp;CHAR(34)&amp;I476&amp;CHAR(34)&amp;" },"</f>
        <v>{ name: "Lanayru Sky Archipelago Korok", landmark: "Korok x1", type: "Catch the Dandelion", region: 9, level: "Sky", x: 3234, y: 462, z: 892, details: "" },</v>
      </c>
    </row>
    <row r="477" spans="1:10" x14ac:dyDescent="0.2">
      <c r="A477" s="2">
        <v>528</v>
      </c>
      <c r="B477" s="34" t="s">
        <v>3602</v>
      </c>
      <c r="C477" t="s">
        <v>2807</v>
      </c>
      <c r="D477" s="2">
        <v>9</v>
      </c>
      <c r="E477" s="2" t="s">
        <v>785</v>
      </c>
      <c r="F477" s="2">
        <v>4395</v>
      </c>
      <c r="G477" s="2">
        <v>-535</v>
      </c>
      <c r="H477" s="2">
        <v>62</v>
      </c>
      <c r="J477" t="str">
        <f>"{ name: "&amp;CHAR(34)&amp;B477&amp;CHAR(34)&amp;", landmark: "&amp;CHAR(34)&amp;IF(LEN(C477)=LEN(SUBSTITUTE(C477,"Transport","")),"Korok x1","Korok x2")&amp;CHAR(34)&amp;", type: "&amp;CHAR(34)&amp;C477&amp;CHAR(34)&amp;", region: "&amp;D477&amp;", level: "&amp;CHAR(34)&amp;E477&amp;CHAR(34)&amp;", x: "&amp;F477&amp;", y: "&amp;G477&amp;", z: "&amp;H477&amp;", details: "&amp;CHAR(34)&amp;I477&amp;CHAR(34)&amp;" },"</f>
        <v>{ name: "Lodrum Headland Korok #01", landmark: "Korok x1", type: "Complete the Cube Puzzle", region: 9, level: "Surface", x: 4395, y: -535, z: 62, details: "" },</v>
      </c>
    </row>
    <row r="478" spans="1:10" x14ac:dyDescent="0.2">
      <c r="A478" s="2">
        <v>529</v>
      </c>
      <c r="B478" s="34" t="s">
        <v>3603</v>
      </c>
      <c r="C478" t="s">
        <v>2826</v>
      </c>
      <c r="D478" s="2">
        <v>9</v>
      </c>
      <c r="E478" s="2" t="s">
        <v>785</v>
      </c>
      <c r="F478" s="2">
        <v>4441</v>
      </c>
      <c r="G478" s="2">
        <v>-480</v>
      </c>
      <c r="H478" s="2">
        <v>106</v>
      </c>
      <c r="J478" t="str">
        <f>"{ name: "&amp;CHAR(34)&amp;B478&amp;CHAR(34)&amp;", landmark: "&amp;CHAR(34)&amp;IF(LEN(C478)=LEN(SUBSTITUTE(C478,"Transport","")),"Korok x1","Korok x2")&amp;CHAR(34)&amp;", type: "&amp;CHAR(34)&amp;C478&amp;CHAR(34)&amp;", region: "&amp;D478&amp;", level: "&amp;CHAR(34)&amp;E478&amp;CHAR(34)&amp;", x: "&amp;F478&amp;", y: "&amp;G478&amp;", z: "&amp;H478&amp;", details: "&amp;CHAR(34)&amp;I478&amp;CHAR(34)&amp;" },"</f>
        <v>{ name: "Lodrum Headland Korok #02", landmark: "Korok x1", type: "Ascend Through the Marker", region: 9, level: "Surface", x: 4441, y: -480, z: 106, details: "" },</v>
      </c>
    </row>
    <row r="479" spans="1:10" x14ac:dyDescent="0.2">
      <c r="A479" s="2">
        <v>489</v>
      </c>
      <c r="B479" s="34" t="s">
        <v>3705</v>
      </c>
      <c r="C479" t="s">
        <v>2825</v>
      </c>
      <c r="D479" s="2">
        <v>9</v>
      </c>
      <c r="E479" s="2" t="s">
        <v>785</v>
      </c>
      <c r="F479" s="2">
        <v>2425</v>
      </c>
      <c r="G479" s="2">
        <v>410</v>
      </c>
      <c r="H479" s="2">
        <v>196</v>
      </c>
      <c r="J479" t="str">
        <f>"{ name: "&amp;CHAR(34)&amp;B479&amp;CHAR(34)&amp;", landmark: "&amp;CHAR(34)&amp;IF(LEN(C479)=LEN(SUBSTITUTE(C479,"Transport","")),"Korok x1","Korok x2")&amp;CHAR(34)&amp;", type: "&amp;CHAR(34)&amp;C479&amp;CHAR(34)&amp;", region: "&amp;D479&amp;", level: "&amp;CHAR(34)&amp;E479&amp;CHAR(34)&amp;", x: "&amp;F479&amp;", y: "&amp;G479&amp;", z: "&amp;H479&amp;", details: "&amp;CHAR(34)&amp;I479&amp;CHAR(34)&amp;" },"</f>
        <v>{ name: "North of Zora River Korok", landmark: "Korok x1", type: "Climb and Examine the Fairy Lights", region: 9, level: "Surface", x: 2425, y: 410, z: 196, details: "" },</v>
      </c>
    </row>
    <row r="480" spans="1:10" x14ac:dyDescent="0.2">
      <c r="A480" s="2">
        <v>515</v>
      </c>
      <c r="B480" s="34" t="s">
        <v>3715</v>
      </c>
      <c r="C480" t="s">
        <v>2812</v>
      </c>
      <c r="D480" s="2">
        <v>9</v>
      </c>
      <c r="E480" s="2" t="s">
        <v>785</v>
      </c>
      <c r="F480" s="2">
        <v>2851</v>
      </c>
      <c r="G480" s="2">
        <v>-28</v>
      </c>
      <c r="H480" s="2">
        <v>81</v>
      </c>
      <c r="J480" t="str">
        <f>"{ name: "&amp;CHAR(34)&amp;B480&amp;CHAR(34)&amp;", landmark: "&amp;CHAR(34)&amp;IF(LEN(C480)=LEN(SUBSTITUTE(C480,"Transport","")),"Korok x1","Korok x2")&amp;CHAR(34)&amp;", type: "&amp;CHAR(34)&amp;C480&amp;CHAR(34)&amp;", region: "&amp;D480&amp;", level: "&amp;CHAR(34)&amp;E480&amp;CHAR(34)&amp;", x: "&amp;F480&amp;", y: "&amp;G480&amp;", z: "&amp;H480&amp;", details: "&amp;CHAR(34)&amp;I480&amp;CHAR(34)&amp;" },"</f>
        <v>{ name: "Oren Bridge Korok", landmark: "Korok x1", type: "Lift the Rock", region: 9, level: "Surface", x: 2851, y: -28, z: 81, details: "" },</v>
      </c>
    </row>
    <row r="481" spans="1:10" x14ac:dyDescent="0.2">
      <c r="A481" s="2">
        <v>540</v>
      </c>
      <c r="B481" s="34" t="s">
        <v>3768</v>
      </c>
      <c r="C481" t="s">
        <v>2801</v>
      </c>
      <c r="D481" s="2">
        <v>9</v>
      </c>
      <c r="E481" s="2" t="s">
        <v>785</v>
      </c>
      <c r="F481" s="2">
        <v>2942</v>
      </c>
      <c r="G481" s="2">
        <v>210</v>
      </c>
      <c r="H481" s="2">
        <v>207</v>
      </c>
      <c r="J481" t="str">
        <f>"{ name: "&amp;CHAR(34)&amp;B481&amp;CHAR(34)&amp;", landmark: "&amp;CHAR(34)&amp;IF(LEN(C481)=LEN(SUBSTITUTE(C481,"Transport","")),"Korok x1","Korok x2")&amp;CHAR(34)&amp;", type: "&amp;CHAR(34)&amp;C481&amp;CHAR(34)&amp;", region: "&amp;D481&amp;", level: "&amp;CHAR(34)&amp;E481&amp;CHAR(34)&amp;", x: "&amp;F481&amp;", y: "&amp;G481&amp;", z: "&amp;H481&amp;", details: "&amp;CHAR(34)&amp;I481&amp;CHAR(34)&amp;" },"</f>
        <v>{ name: "Ralis Pond Korok #01", landmark: "Korok x1", type: "Break the Acorn Pot", region: 9, level: "Surface", x: 2942, y: 210, z: 207, details: "" },</v>
      </c>
    </row>
    <row r="482" spans="1:10" x14ac:dyDescent="0.2">
      <c r="A482" s="2">
        <v>541</v>
      </c>
      <c r="B482" s="34" t="s">
        <v>3769</v>
      </c>
      <c r="C482" t="s">
        <v>2817</v>
      </c>
      <c r="D482" s="2">
        <v>9</v>
      </c>
      <c r="E482" s="2" t="s">
        <v>785</v>
      </c>
      <c r="F482" s="2">
        <v>2955</v>
      </c>
      <c r="G482" s="2">
        <v>256</v>
      </c>
      <c r="H482" s="2">
        <v>223</v>
      </c>
      <c r="I482" t="s">
        <v>2695</v>
      </c>
      <c r="J482" t="str">
        <f>"{ name: "&amp;CHAR(34)&amp;B482&amp;CHAR(34)&amp;", landmark: "&amp;CHAR(34)&amp;IF(LEN(C482)=LEN(SUBSTITUTE(C482,"Transport","")),"Korok x1","Korok x2")&amp;CHAR(34)&amp;", type: "&amp;CHAR(34)&amp;C482&amp;CHAR(34)&amp;", region: "&amp;D482&amp;", level: "&amp;CHAR(34)&amp;E482&amp;CHAR(34)&amp;", x: "&amp;F482&amp;", y: "&amp;G482&amp;", z: "&amp;H482&amp;", details: "&amp;CHAR(34)&amp;I482&amp;CHAR(34)&amp;" },"</f>
        <v>{ name: "Ralis Pond Korok #02", landmark: "Korok x1", type: "Reach the Target Ring", region: 9, level: "Surface", x: 2955, y: 256, z: 223, details: "Starts at (3070, 177, 263)" },</v>
      </c>
    </row>
    <row r="483" spans="1:10" x14ac:dyDescent="0.2">
      <c r="A483" s="2">
        <v>502</v>
      </c>
      <c r="B483" s="34" t="s">
        <v>3806</v>
      </c>
      <c r="C483" t="s">
        <v>2802</v>
      </c>
      <c r="D483" s="2">
        <v>9</v>
      </c>
      <c r="E483" s="2" t="s">
        <v>785</v>
      </c>
      <c r="F483" s="2">
        <v>3880</v>
      </c>
      <c r="G483" s="2">
        <v>267</v>
      </c>
      <c r="H483" s="2">
        <v>212</v>
      </c>
      <c r="I483" t="s">
        <v>2697</v>
      </c>
      <c r="J483" t="str">
        <f>"{ name: "&amp;CHAR(34)&amp;B483&amp;CHAR(34)&amp;", landmark: "&amp;CHAR(34)&amp;IF(LEN(C483)=LEN(SUBSTITUTE(C483,"Transport","")),"Korok x1","Korok x2")&amp;CHAR(34)&amp;", type: "&amp;CHAR(34)&amp;C483&amp;CHAR(34)&amp;", region: "&amp;D483&amp;", level: "&amp;CHAR(34)&amp;E483&amp;CHAR(34)&amp;", x: "&amp;F483&amp;", y: "&amp;G483&amp;", z: "&amp;H483&amp;", details: "&amp;CHAR(34)&amp;I483&amp;CHAR(34)&amp;" },"</f>
        <v>{ name: "Rutala Dam Korok", landmark: "Korok x2", type: "Transport to Friend", region: 9, level: "Surface", x: 3880, y: 267, z: 212, details: "Starts at (3528, -61, 212)" },</v>
      </c>
    </row>
    <row r="484" spans="1:10" x14ac:dyDescent="0.2">
      <c r="A484" s="2">
        <v>513</v>
      </c>
      <c r="B484" s="34" t="s">
        <v>3807</v>
      </c>
      <c r="C484" t="s">
        <v>2808</v>
      </c>
      <c r="D484" s="2">
        <v>9</v>
      </c>
      <c r="E484" s="2" t="s">
        <v>785</v>
      </c>
      <c r="F484" s="2">
        <v>2460</v>
      </c>
      <c r="G484" s="2">
        <v>-41</v>
      </c>
      <c r="H484" s="2">
        <v>80</v>
      </c>
      <c r="J484" t="str">
        <f>"{ name: "&amp;CHAR(34)&amp;B484&amp;CHAR(34)&amp;", landmark: "&amp;CHAR(34)&amp;IF(LEN(C484)=LEN(SUBSTITUTE(C484,"Transport","")),"Korok x1","Korok x2")&amp;CHAR(34)&amp;", type: "&amp;CHAR(34)&amp;C484&amp;CHAR(34)&amp;", region: "&amp;D484&amp;", level: "&amp;CHAR(34)&amp;E484&amp;CHAR(34)&amp;", x: "&amp;F484&amp;", y: "&amp;G484&amp;", z: "&amp;H484&amp;", details: "&amp;CHAR(34)&amp;I484&amp;CHAR(34)&amp;" },"</f>
        <v>{ name: "Rutala River Korok #01", landmark: "Korok x1", type: "Complete the Rock Pattern", region: 9, level: "Surface", x: 2460, y: -41, z: 80, details: "" },</v>
      </c>
    </row>
    <row r="485" spans="1:10" x14ac:dyDescent="0.2">
      <c r="A485" s="2">
        <v>516</v>
      </c>
      <c r="B485" s="34" t="s">
        <v>3808</v>
      </c>
      <c r="C485" t="s">
        <v>2811</v>
      </c>
      <c r="D485" s="2">
        <v>9</v>
      </c>
      <c r="E485" s="2" t="s">
        <v>785</v>
      </c>
      <c r="F485" s="2">
        <v>3011</v>
      </c>
      <c r="G485" s="2">
        <v>-371</v>
      </c>
      <c r="H485" s="2">
        <v>194</v>
      </c>
      <c r="I485" t="s">
        <v>2787</v>
      </c>
      <c r="J485" t="str">
        <f>"{ name: "&amp;CHAR(34)&amp;B485&amp;CHAR(34)&amp;", landmark: "&amp;CHAR(34)&amp;IF(LEN(C485)=LEN(SUBSTITUTE(C485,"Transport","")),"Korok x1","Korok x2")&amp;CHAR(34)&amp;", type: "&amp;CHAR(34)&amp;C485&amp;CHAR(34)&amp;", region: "&amp;D485&amp;", level: "&amp;CHAR(34)&amp;E485&amp;CHAR(34)&amp;", x: "&amp;F485&amp;", y: "&amp;G485&amp;", z: "&amp;H485&amp;", details: "&amp;CHAR(34)&amp;I485&amp;CHAR(34)&amp;" },"</f>
        <v>{ name: "Rutala River Korok #02", landmark: "Korok x1", type: "Follow the Yellow Flowers", region: 9, level: "Surface", x: 3011, y: -371, z: 194, details: "Starts at (2944, -350, 181)" },</v>
      </c>
    </row>
    <row r="486" spans="1:10" x14ac:dyDescent="0.2">
      <c r="A486" s="2">
        <v>519</v>
      </c>
      <c r="B486" s="34" t="s">
        <v>3809</v>
      </c>
      <c r="C486" t="s">
        <v>2809</v>
      </c>
      <c r="D486" s="2">
        <v>9</v>
      </c>
      <c r="E486" s="2" t="s">
        <v>785</v>
      </c>
      <c r="F486" s="2">
        <v>3138</v>
      </c>
      <c r="G486" s="2">
        <v>-436</v>
      </c>
      <c r="H486" s="2">
        <v>6</v>
      </c>
      <c r="J486" t="str">
        <f>"{ name: "&amp;CHAR(34)&amp;B486&amp;CHAR(34)&amp;", landmark: "&amp;CHAR(34)&amp;IF(LEN(C486)=LEN(SUBSTITUTE(C486,"Transport","")),"Korok x1","Korok x2")&amp;CHAR(34)&amp;", type: "&amp;CHAR(34)&amp;C486&amp;CHAR(34)&amp;", region: "&amp;D486&amp;", level: "&amp;CHAR(34)&amp;E486&amp;CHAR(34)&amp;", x: "&amp;F486&amp;", y: "&amp;G486&amp;", z: "&amp;H486&amp;", details: "&amp;CHAR(34)&amp;I486&amp;CHAR(34)&amp;" },"</f>
        <v>{ name: "Rutala River Korok #03", landmark: "Korok x1", type: "Dive into the Lily Ring", region: 9, level: "Surface", x: 3138, y: -436, z: 6, details: "" },</v>
      </c>
    </row>
    <row r="487" spans="1:10" x14ac:dyDescent="0.2">
      <c r="A487" s="2">
        <v>496</v>
      </c>
      <c r="B487" s="34" t="s">
        <v>3812</v>
      </c>
      <c r="C487" t="s">
        <v>2825</v>
      </c>
      <c r="D487" s="2">
        <v>9</v>
      </c>
      <c r="E487" s="2" t="s">
        <v>785</v>
      </c>
      <c r="F487" s="2">
        <v>3192</v>
      </c>
      <c r="G487" s="2">
        <v>227</v>
      </c>
      <c r="H487" s="2">
        <v>152</v>
      </c>
      <c r="J487" t="str">
        <f>"{ name: "&amp;CHAR(34)&amp;B487&amp;CHAR(34)&amp;", landmark: "&amp;CHAR(34)&amp;IF(LEN(C487)=LEN(SUBSTITUTE(C487,"Transport","")),"Korok x1","Korok x2")&amp;CHAR(34)&amp;", type: "&amp;CHAR(34)&amp;C487&amp;CHAR(34)&amp;", region: "&amp;D487&amp;", level: "&amp;CHAR(34)&amp;E487&amp;CHAR(34)&amp;", x: "&amp;F487&amp;", y: "&amp;G487&amp;", z: "&amp;H487&amp;", details: "&amp;CHAR(34)&amp;I487&amp;CHAR(34)&amp;" },"</f>
        <v>{ name: "Ruto Lake Korok", landmark: "Korok x1", type: "Climb and Examine the Fairy Lights", region: 9, level: "Surface", x: 3192, y: 227, z: 152, details: "" },</v>
      </c>
    </row>
    <row r="488" spans="1:10" x14ac:dyDescent="0.2">
      <c r="A488" s="2">
        <v>521</v>
      </c>
      <c r="B488" s="34" t="s">
        <v>3813</v>
      </c>
      <c r="C488" t="s">
        <v>2827</v>
      </c>
      <c r="D488" s="2">
        <v>9</v>
      </c>
      <c r="E488" s="2" t="s">
        <v>785</v>
      </c>
      <c r="F488" s="2">
        <v>3273</v>
      </c>
      <c r="G488" s="2">
        <v>-13</v>
      </c>
      <c r="H488" s="2">
        <v>278</v>
      </c>
      <c r="I488" t="s">
        <v>2788</v>
      </c>
      <c r="J488" t="str">
        <f>"{ name: "&amp;CHAR(34)&amp;B488&amp;CHAR(34)&amp;", landmark: "&amp;CHAR(34)&amp;IF(LEN(C488)=LEN(SUBSTITUTE(C488,"Transport","")),"Korok x1","Korok x2")&amp;CHAR(34)&amp;", type: "&amp;CHAR(34)&amp;C488&amp;CHAR(34)&amp;", region: "&amp;D488&amp;", level: "&amp;CHAR(34)&amp;E488&amp;CHAR(34)&amp;", x: "&amp;F488&amp;", y: "&amp;G488&amp;", z: "&amp;H488&amp;", details: "&amp;CHAR(34)&amp;I488&amp;CHAR(34)&amp;" },"</f>
        <v>{ name: "Ruto Mountain Korok", landmark: "Korok x1", type: "Paraglide to the Goal", region: 9, level: "Surface", x: 3273, y: -13, z: 278, details: "Starts at (3293, -10, 294)" },</v>
      </c>
    </row>
    <row r="489" spans="1:10" x14ac:dyDescent="0.2">
      <c r="A489" s="2">
        <v>498</v>
      </c>
      <c r="B489" s="34" t="s">
        <v>3814</v>
      </c>
      <c r="C489" t="s">
        <v>2821</v>
      </c>
      <c r="D489" s="2">
        <v>9</v>
      </c>
      <c r="E489" s="2" t="s">
        <v>785</v>
      </c>
      <c r="F489" s="2">
        <v>3285</v>
      </c>
      <c r="G489" s="2">
        <v>339</v>
      </c>
      <c r="H489" s="2">
        <v>251</v>
      </c>
      <c r="J489" t="str">
        <f>"{ name: "&amp;CHAR(34)&amp;B489&amp;CHAR(34)&amp;", landmark: "&amp;CHAR(34)&amp;IF(LEN(C489)=LEN(SUBSTITUTE(C489,"Transport","")),"Korok x1","Korok x2")&amp;CHAR(34)&amp;", type: "&amp;CHAR(34)&amp;C489&amp;CHAR(34)&amp;", region: "&amp;D489&amp;", level: "&amp;CHAR(34)&amp;E489&amp;CHAR(34)&amp;", x: "&amp;F489&amp;", y: "&amp;G489&amp;", z: "&amp;H489&amp;", details: "&amp;CHAR(34)&amp;I489&amp;CHAR(34)&amp;" },"</f>
        <v>{ name: "Ruto Precipice Korok", landmark: "Korok x1", type: "Shoot the Balloons", region: 9, level: "Surface", x: 3285, y: 339, z: 251, details: "" },</v>
      </c>
    </row>
    <row r="490" spans="1:10" x14ac:dyDescent="0.2">
      <c r="A490" s="2">
        <v>520</v>
      </c>
      <c r="B490" s="34" t="s">
        <v>3824</v>
      </c>
      <c r="C490" t="s">
        <v>2814</v>
      </c>
      <c r="D490" s="2">
        <v>9</v>
      </c>
      <c r="E490" s="2" t="s">
        <v>785</v>
      </c>
      <c r="F490" s="2">
        <v>3203</v>
      </c>
      <c r="G490" s="2">
        <v>-662</v>
      </c>
      <c r="H490" s="2">
        <v>1</v>
      </c>
      <c r="J490" t="str">
        <f>"{ name: "&amp;CHAR(34)&amp;B490&amp;CHAR(34)&amp;", landmark: "&amp;CHAR(34)&amp;IF(LEN(C490)=LEN(SUBSTITUTE(C490,"Transport","")),"Korok x1","Korok x2")&amp;CHAR(34)&amp;", type: "&amp;CHAR(34)&amp;C490&amp;CHAR(34)&amp;", region: "&amp;D490&amp;", level: "&amp;CHAR(34)&amp;E490&amp;CHAR(34)&amp;", x: "&amp;F490&amp;", y: "&amp;G490&amp;", z: "&amp;H490&amp;", details: "&amp;CHAR(34)&amp;I490&amp;CHAR(34)&amp;" },"</f>
        <v>{ name: "Samasa Plain Korok #01", landmark: "Korok x1", type: "Make Offering to Statue", region: 9, level: "Surface", x: 3203, y: -662, z: 1, details: "" },</v>
      </c>
    </row>
    <row r="491" spans="1:10" x14ac:dyDescent="0.2">
      <c r="A491" s="2">
        <v>522</v>
      </c>
      <c r="B491" s="34" t="s">
        <v>3825</v>
      </c>
      <c r="C491" t="s">
        <v>2812</v>
      </c>
      <c r="D491" s="2">
        <v>9</v>
      </c>
      <c r="E491" s="2" t="s">
        <v>785</v>
      </c>
      <c r="F491" s="2">
        <v>3321</v>
      </c>
      <c r="G491" s="2">
        <v>-475</v>
      </c>
      <c r="H491" s="2">
        <v>22</v>
      </c>
      <c r="J491" t="str">
        <f>"{ name: "&amp;CHAR(34)&amp;B491&amp;CHAR(34)&amp;", landmark: "&amp;CHAR(34)&amp;IF(LEN(C491)=LEN(SUBSTITUTE(C491,"Transport","")),"Korok x1","Korok x2")&amp;CHAR(34)&amp;", type: "&amp;CHAR(34)&amp;C491&amp;CHAR(34)&amp;", region: "&amp;D491&amp;", level: "&amp;CHAR(34)&amp;E491&amp;CHAR(34)&amp;", x: "&amp;F491&amp;", y: "&amp;G491&amp;", z: "&amp;H491&amp;", details: "&amp;CHAR(34)&amp;I491&amp;CHAR(34)&amp;" },"</f>
        <v>{ name: "Samasa Plain Korok #02", landmark: "Korok x1", type: "Lift the Rock", region: 9, level: "Surface", x: 3321, y: -475, z: 22, details: "" },</v>
      </c>
    </row>
    <row r="492" spans="1:10" x14ac:dyDescent="0.2">
      <c r="A492" s="2">
        <v>506</v>
      </c>
      <c r="B492" s="34" t="s">
        <v>3852</v>
      </c>
      <c r="C492" t="s">
        <v>2802</v>
      </c>
      <c r="D492" s="2">
        <v>9</v>
      </c>
      <c r="E492" s="2" t="s">
        <v>785</v>
      </c>
      <c r="F492" s="2">
        <v>3921</v>
      </c>
      <c r="G492" s="2">
        <v>543</v>
      </c>
      <c r="H492" s="2">
        <v>486</v>
      </c>
      <c r="I492" t="s">
        <v>2698</v>
      </c>
      <c r="J492" t="str">
        <f>"{ name: "&amp;CHAR(34)&amp;B492&amp;CHAR(34)&amp;", landmark: "&amp;CHAR(34)&amp;IF(LEN(C492)=LEN(SUBSTITUTE(C492,"Transport","")),"Korok x1","Korok x2")&amp;CHAR(34)&amp;", type: "&amp;CHAR(34)&amp;C492&amp;CHAR(34)&amp;", region: "&amp;D492&amp;", level: "&amp;CHAR(34)&amp;E492&amp;CHAR(34)&amp;", x: "&amp;F492&amp;", y: "&amp;G492&amp;", z: "&amp;H492&amp;", details: "&amp;CHAR(34)&amp;I492&amp;CHAR(34)&amp;" },"</f>
        <v>{ name: "Shatterback Point Korok", landmark: "Korok x2", type: "Transport to Friend", region: 9, level: "Surface", x: 3921, y: 543, z: 486, details: "Starts at (3781, 446, 531)" },</v>
      </c>
    </row>
    <row r="493" spans="1:10" x14ac:dyDescent="0.2">
      <c r="A493" s="2">
        <v>478</v>
      </c>
      <c r="B493" s="34" t="s">
        <v>3886</v>
      </c>
      <c r="C493" t="s">
        <v>2807</v>
      </c>
      <c r="D493" s="2">
        <v>9</v>
      </c>
      <c r="E493" s="2" t="s">
        <v>785</v>
      </c>
      <c r="F493" s="2">
        <v>4220</v>
      </c>
      <c r="G493" s="2">
        <v>159</v>
      </c>
      <c r="H493" s="2">
        <v>280</v>
      </c>
      <c r="J493" t="str">
        <f>"{ name: "&amp;CHAR(34)&amp;B493&amp;CHAR(34)&amp;", landmark: "&amp;CHAR(34)&amp;IF(LEN(C493)=LEN(SUBSTITUTE(C493,"Transport","")),"Korok x1","Korok x2")&amp;CHAR(34)&amp;", type: "&amp;CHAR(34)&amp;C493&amp;CHAR(34)&amp;", region: "&amp;D493&amp;", level: "&amp;CHAR(34)&amp;E493&amp;CHAR(34)&amp;", x: "&amp;F493&amp;", y: "&amp;G493&amp;", z: "&amp;H493&amp;", details: "&amp;CHAR(34)&amp;I493&amp;CHAR(34)&amp;" },"</f>
        <v>{ name: "Spool Bight Korok #01", landmark: "Korok x1", type: "Complete the Cube Puzzle", region: 9, level: "Surface", x: 4220, y: 159, z: 280, details: "" },</v>
      </c>
    </row>
    <row r="494" spans="1:10" x14ac:dyDescent="0.2">
      <c r="A494" s="2">
        <v>479</v>
      </c>
      <c r="B494" s="34" t="s">
        <v>3887</v>
      </c>
      <c r="C494" t="s">
        <v>2807</v>
      </c>
      <c r="D494" s="2">
        <v>9</v>
      </c>
      <c r="E494" s="2" t="s">
        <v>785</v>
      </c>
      <c r="F494" s="2">
        <v>4272</v>
      </c>
      <c r="G494" s="2">
        <v>137</v>
      </c>
      <c r="H494" s="2">
        <v>107</v>
      </c>
      <c r="J494" t="str">
        <f>"{ name: "&amp;CHAR(34)&amp;B494&amp;CHAR(34)&amp;", landmark: "&amp;CHAR(34)&amp;IF(LEN(C494)=LEN(SUBSTITUTE(C494,"Transport","")),"Korok x1","Korok x2")&amp;CHAR(34)&amp;", type: "&amp;CHAR(34)&amp;C494&amp;CHAR(34)&amp;", region: "&amp;D494&amp;", level: "&amp;CHAR(34)&amp;E494&amp;CHAR(34)&amp;", x: "&amp;F494&amp;", y: "&amp;G494&amp;", z: "&amp;H494&amp;", details: "&amp;CHAR(34)&amp;I494&amp;CHAR(34)&amp;" },"</f>
        <v>{ name: "Spool Bight Korok #02", landmark: "Korok x1", type: "Complete the Cube Puzzle", region: 9, level: "Surface", x: 4272, y: 137, z: 107, details: "" },</v>
      </c>
    </row>
    <row r="495" spans="1:10" x14ac:dyDescent="0.2">
      <c r="A495" s="2">
        <v>490</v>
      </c>
      <c r="B495" s="34" t="s">
        <v>3901</v>
      </c>
      <c r="C495" t="s">
        <v>2812</v>
      </c>
      <c r="D495" s="2">
        <v>9</v>
      </c>
      <c r="E495" s="2" t="s">
        <v>785</v>
      </c>
      <c r="F495" s="2">
        <v>2472</v>
      </c>
      <c r="G495" s="2">
        <v>151</v>
      </c>
      <c r="H495" s="2">
        <v>80</v>
      </c>
      <c r="J495" t="str">
        <f>"{ name: "&amp;CHAR(34)&amp;B495&amp;CHAR(34)&amp;", landmark: "&amp;CHAR(34)&amp;IF(LEN(C495)=LEN(SUBSTITUTE(C495,"Transport","")),"Korok x1","Korok x2")&amp;CHAR(34)&amp;", type: "&amp;CHAR(34)&amp;C495&amp;CHAR(34)&amp;", region: "&amp;D495&amp;", level: "&amp;CHAR(34)&amp;E495&amp;CHAR(34)&amp;", x: "&amp;F495&amp;", y: "&amp;G495&amp;", z: "&amp;H495&amp;", details: "&amp;CHAR(34)&amp;I495&amp;CHAR(34)&amp;" },"</f>
        <v>{ name: "Tabahl Woods Korok #01", landmark: "Korok x1", type: "Lift the Rock", region: 9, level: "Surface", x: 2472, y: 151, z: 80, details: "" },</v>
      </c>
    </row>
    <row r="496" spans="1:10" x14ac:dyDescent="0.2">
      <c r="A496" s="2">
        <v>538</v>
      </c>
      <c r="B496" s="34" t="s">
        <v>3902</v>
      </c>
      <c r="C496" t="s">
        <v>2811</v>
      </c>
      <c r="D496" s="2">
        <v>9</v>
      </c>
      <c r="E496" s="2" t="s">
        <v>785</v>
      </c>
      <c r="F496" s="2">
        <v>2746</v>
      </c>
      <c r="G496" s="2">
        <v>202</v>
      </c>
      <c r="H496" s="2">
        <v>138</v>
      </c>
      <c r="I496" t="s">
        <v>2785</v>
      </c>
      <c r="J496" t="str">
        <f>"{ name: "&amp;CHAR(34)&amp;B496&amp;CHAR(34)&amp;", landmark: "&amp;CHAR(34)&amp;IF(LEN(C496)=LEN(SUBSTITUTE(C496,"Transport","")),"Korok x1","Korok x2")&amp;CHAR(34)&amp;", type: "&amp;CHAR(34)&amp;C496&amp;CHAR(34)&amp;", region: "&amp;D496&amp;", level: "&amp;CHAR(34)&amp;E496&amp;CHAR(34)&amp;", x: "&amp;F496&amp;", y: "&amp;G496&amp;", z: "&amp;H496&amp;", details: "&amp;CHAR(34)&amp;I496&amp;CHAR(34)&amp;" },"</f>
        <v>{ name: "Tabahl Woods Korok #02", landmark: "Korok x1", type: "Follow the Yellow Flowers", region: 9, level: "Surface", x: 2746, y: 202, z: 138, details: "Starts at (2752, 251, 111)" },</v>
      </c>
    </row>
    <row r="497" spans="1:10" x14ac:dyDescent="0.2">
      <c r="A497" s="2">
        <v>509</v>
      </c>
      <c r="B497" s="34" t="s">
        <v>3914</v>
      </c>
      <c r="C497" t="s">
        <v>2812</v>
      </c>
      <c r="D497" s="2">
        <v>9</v>
      </c>
      <c r="E497" s="2" t="s">
        <v>785</v>
      </c>
      <c r="F497" s="2">
        <v>4102</v>
      </c>
      <c r="G497" s="2">
        <v>474</v>
      </c>
      <c r="H497" s="2">
        <v>264</v>
      </c>
      <c r="J497" t="str">
        <f>"{ name: "&amp;CHAR(34)&amp;B497&amp;CHAR(34)&amp;", landmark: "&amp;CHAR(34)&amp;IF(LEN(C497)=LEN(SUBSTITUTE(C497,"Transport","")),"Korok x1","Korok x2")&amp;CHAR(34)&amp;", type: "&amp;CHAR(34)&amp;C497&amp;CHAR(34)&amp;", region: "&amp;D497&amp;", level: "&amp;CHAR(34)&amp;E497&amp;CHAR(34)&amp;", x: "&amp;F497&amp;", y: "&amp;G497&amp;", z: "&amp;H497&amp;", details: "&amp;CHAR(34)&amp;I497&amp;CHAR(34)&amp;" },"</f>
        <v>{ name: "Tal Tal Peak Korok #01", landmark: "Korok x1", type: "Lift the Rock", region: 9, level: "Surface", x: 4102, y: 474, z: 264, details: "" },</v>
      </c>
    </row>
    <row r="498" spans="1:10" x14ac:dyDescent="0.2">
      <c r="A498" s="2">
        <v>510</v>
      </c>
      <c r="B498" s="34" t="s">
        <v>3915</v>
      </c>
      <c r="C498" t="s">
        <v>2815</v>
      </c>
      <c r="D498" s="2">
        <v>9</v>
      </c>
      <c r="E498" s="2" t="s">
        <v>785</v>
      </c>
      <c r="F498" s="2">
        <v>4113</v>
      </c>
      <c r="G498" s="2">
        <v>471</v>
      </c>
      <c r="H498" s="2">
        <v>382</v>
      </c>
      <c r="J498" t="str">
        <f>"{ name: "&amp;CHAR(34)&amp;B498&amp;CHAR(34)&amp;", landmark: "&amp;CHAR(34)&amp;IF(LEN(C498)=LEN(SUBSTITUTE(C498,"Transport","")),"Korok x1","Korok x2")&amp;CHAR(34)&amp;", type: "&amp;CHAR(34)&amp;C498&amp;CHAR(34)&amp;", region: "&amp;D498&amp;", level: "&amp;CHAR(34)&amp;E498&amp;CHAR(34)&amp;", x: "&amp;F498&amp;", y: "&amp;G498&amp;", z: "&amp;H498&amp;", details: "&amp;CHAR(34)&amp;I498&amp;CHAR(34)&amp;" },"</f>
        <v>{ name: "Tal Tal Peak Korok #02", landmark: "Korok x1", type: "Place the Boulder", region: 9, level: "Surface", x: 4113, y: 471, z: 382, details: "" },</v>
      </c>
    </row>
    <row r="499" spans="1:10" x14ac:dyDescent="0.2">
      <c r="A499" s="2">
        <v>511</v>
      </c>
      <c r="B499" s="34" t="s">
        <v>3916</v>
      </c>
      <c r="C499" t="s">
        <v>2812</v>
      </c>
      <c r="D499" s="2">
        <v>9</v>
      </c>
      <c r="E499" s="2" t="s">
        <v>785</v>
      </c>
      <c r="F499" s="2">
        <v>4135</v>
      </c>
      <c r="G499" s="2">
        <v>406</v>
      </c>
      <c r="H499" s="2">
        <v>417</v>
      </c>
      <c r="J499" t="str">
        <f>"{ name: "&amp;CHAR(34)&amp;B499&amp;CHAR(34)&amp;", landmark: "&amp;CHAR(34)&amp;IF(LEN(C499)=LEN(SUBSTITUTE(C499,"Transport","")),"Korok x1","Korok x2")&amp;CHAR(34)&amp;", type: "&amp;CHAR(34)&amp;C499&amp;CHAR(34)&amp;", region: "&amp;D499&amp;", level: "&amp;CHAR(34)&amp;E499&amp;CHAR(34)&amp;", x: "&amp;F499&amp;", y: "&amp;G499&amp;", z: "&amp;H499&amp;", details: "&amp;CHAR(34)&amp;I499&amp;CHAR(34)&amp;" },"</f>
        <v>{ name: "Tal Tal Peak Korok #03", landmark: "Korok x1", type: "Lift the Rock", region: 9, level: "Surface", x: 4135, y: 406, z: 417, details: "" },</v>
      </c>
    </row>
    <row r="500" spans="1:10" x14ac:dyDescent="0.2">
      <c r="A500" s="2">
        <v>527</v>
      </c>
      <c r="B500" s="34" t="s">
        <v>3919</v>
      </c>
      <c r="C500" t="s">
        <v>2595</v>
      </c>
      <c r="D500" s="2">
        <v>9</v>
      </c>
      <c r="E500" s="2" t="s">
        <v>785</v>
      </c>
      <c r="F500" s="2">
        <v>4325</v>
      </c>
      <c r="G500" s="2">
        <v>-142</v>
      </c>
      <c r="H500" s="2">
        <v>51</v>
      </c>
      <c r="J500" t="str">
        <f>"{ name: "&amp;CHAR(34)&amp;B500&amp;CHAR(34)&amp;", landmark: "&amp;CHAR(34)&amp;IF(LEN(C500)=LEN(SUBSTITUTE(C500,"Transport","")),"Korok x1","Korok x2")&amp;CHAR(34)&amp;", type: "&amp;CHAR(34)&amp;C500&amp;CHAR(34)&amp;", region: "&amp;D500&amp;", level: "&amp;CHAR(34)&amp;E500&amp;CHAR(34)&amp;", x: "&amp;F500&amp;", y: "&amp;G500&amp;", z: "&amp;H500&amp;", details: "&amp;CHAR(34)&amp;I500&amp;CHAR(34)&amp;" },"</f>
        <v>{ name: "Talus Plateau Korok #01", landmark: "Korok x1", type: "Attack and catch the dandelion", region: 9, level: "Surface", x: 4325, y: -142, z: 51, details: "" },</v>
      </c>
    </row>
    <row r="501" spans="1:10" x14ac:dyDescent="0.2">
      <c r="A501" s="2">
        <v>530</v>
      </c>
      <c r="B501" s="34" t="s">
        <v>3920</v>
      </c>
      <c r="C501" t="s">
        <v>2812</v>
      </c>
      <c r="D501" s="2">
        <v>9</v>
      </c>
      <c r="E501" s="2" t="s">
        <v>785</v>
      </c>
      <c r="F501" s="2">
        <v>4459</v>
      </c>
      <c r="G501" s="2">
        <v>-357</v>
      </c>
      <c r="H501" s="2">
        <v>57</v>
      </c>
      <c r="J501" t="str">
        <f>"{ name: "&amp;CHAR(34)&amp;B501&amp;CHAR(34)&amp;", landmark: "&amp;CHAR(34)&amp;IF(LEN(C501)=LEN(SUBSTITUTE(C501,"Transport","")),"Korok x1","Korok x2")&amp;CHAR(34)&amp;", type: "&amp;CHAR(34)&amp;C501&amp;CHAR(34)&amp;", region: "&amp;D501&amp;", level: "&amp;CHAR(34)&amp;E501&amp;CHAR(34)&amp;", x: "&amp;F501&amp;", y: "&amp;G501&amp;", z: "&amp;H501&amp;", details: "&amp;CHAR(34)&amp;I501&amp;CHAR(34)&amp;" },"</f>
        <v>{ name: "Talus Plateau Korok #02", landmark: "Korok x1", type: "Lift the Rock", region: 9, level: "Surface", x: 4459, y: -357, z: 57, details: "" },</v>
      </c>
    </row>
    <row r="502" spans="1:10" x14ac:dyDescent="0.2">
      <c r="A502" s="2">
        <v>537</v>
      </c>
      <c r="B502" s="34" t="s">
        <v>3945</v>
      </c>
      <c r="C502" t="s">
        <v>2802</v>
      </c>
      <c r="D502" s="2">
        <v>9</v>
      </c>
      <c r="E502" s="2" t="s">
        <v>785</v>
      </c>
      <c r="F502" s="2">
        <v>2640</v>
      </c>
      <c r="G502" s="2">
        <v>633</v>
      </c>
      <c r="H502" s="2">
        <v>178</v>
      </c>
      <c r="I502" t="s">
        <v>2649</v>
      </c>
      <c r="J502" t="str">
        <f>"{ name: "&amp;CHAR(34)&amp;B502&amp;CHAR(34)&amp;", landmark: "&amp;CHAR(34)&amp;IF(LEN(C502)=LEN(SUBSTITUTE(C502,"Transport","")),"Korok x1","Korok x2")&amp;CHAR(34)&amp;", type: "&amp;CHAR(34)&amp;C502&amp;CHAR(34)&amp;", region: "&amp;D502&amp;", level: "&amp;CHAR(34)&amp;E502&amp;CHAR(34)&amp;", x: "&amp;F502&amp;", y: "&amp;G502&amp;", z: "&amp;H502&amp;", details: "&amp;CHAR(34)&amp;I502&amp;CHAR(34)&amp;" },"</f>
        <v>{ name: "Ternio Trail Korok", landmark: "Korok x2", type: "Transport to Friend", region: 9, level: "Surface", x: 2640, y: 633, z: 178, details: "Starts at (2544, 640, 128)" },</v>
      </c>
    </row>
    <row r="503" spans="1:10" x14ac:dyDescent="0.2">
      <c r="A503" s="2">
        <v>473</v>
      </c>
      <c r="B503" s="34" t="s">
        <v>3956</v>
      </c>
      <c r="C503" t="s">
        <v>2823</v>
      </c>
      <c r="D503" s="2">
        <v>9</v>
      </c>
      <c r="E503" s="2" t="s">
        <v>785</v>
      </c>
      <c r="F503" s="2">
        <v>4715</v>
      </c>
      <c r="G503" s="2">
        <v>1418</v>
      </c>
      <c r="H503" s="2">
        <v>184</v>
      </c>
      <c r="J503" t="str">
        <f>"{ name: "&amp;CHAR(34)&amp;B503&amp;CHAR(34)&amp;", landmark: "&amp;CHAR(34)&amp;IF(LEN(C503)=LEN(SUBSTITUTE(C503,"Transport","")),"Korok x1","Korok x2")&amp;CHAR(34)&amp;", type: "&amp;CHAR(34)&amp;C503&amp;CHAR(34)&amp;", region: "&amp;D503&amp;", level: "&amp;CHAR(34)&amp;E503&amp;CHAR(34)&amp;", x: "&amp;F503&amp;", y: "&amp;G503&amp;", z: "&amp;H503&amp;", details: "&amp;CHAR(34)&amp;I503&amp;CHAR(34)&amp;" },"</f>
        <v>{ name: "Tingel Island Korok", landmark: "Korok x1", type: "Examine Fairy Lights", region: 9, level: "Surface", x: 4715, y: 1418, z: 184, details: "" },</v>
      </c>
    </row>
    <row r="504" spans="1:10" x14ac:dyDescent="0.2">
      <c r="A504" s="2">
        <v>503</v>
      </c>
      <c r="B504" s="34" t="s">
        <v>3959</v>
      </c>
      <c r="C504" t="s">
        <v>2808</v>
      </c>
      <c r="D504" s="2">
        <v>9</v>
      </c>
      <c r="E504" s="2" t="s">
        <v>785</v>
      </c>
      <c r="F504" s="2">
        <v>3547</v>
      </c>
      <c r="G504" s="2">
        <v>965</v>
      </c>
      <c r="H504" s="2">
        <v>395</v>
      </c>
      <c r="J504" t="str">
        <f>"{ name: "&amp;CHAR(34)&amp;B504&amp;CHAR(34)&amp;", landmark: "&amp;CHAR(34)&amp;IF(LEN(C504)=LEN(SUBSTITUTE(C504,"Transport","")),"Korok x1","Korok x2")&amp;CHAR(34)&amp;", type: "&amp;CHAR(34)&amp;C504&amp;CHAR(34)&amp;", region: "&amp;D504&amp;", level: "&amp;CHAR(34)&amp;E504&amp;CHAR(34)&amp;", x: "&amp;F504&amp;", y: "&amp;G504&amp;", z: "&amp;H504&amp;", details: "&amp;CHAR(34)&amp;I504&amp;CHAR(34)&amp;" },"</f>
        <v>{ name: "Toto Lake Korok", landmark: "Korok x1", type: "Complete the Rock Pattern", region: 9, level: "Surface", x: 3547, y: 965, z: 395, details: "" },</v>
      </c>
    </row>
    <row r="505" spans="1:10" x14ac:dyDescent="0.2">
      <c r="A505" s="2">
        <v>486</v>
      </c>
      <c r="B505" s="34" t="s">
        <v>3963</v>
      </c>
      <c r="C505" t="s">
        <v>2824</v>
      </c>
      <c r="D505" s="2">
        <v>9</v>
      </c>
      <c r="E505" s="2" t="s">
        <v>785</v>
      </c>
      <c r="F505" s="2">
        <v>2555</v>
      </c>
      <c r="G505" s="2">
        <v>767</v>
      </c>
      <c r="H505" s="2">
        <v>119</v>
      </c>
      <c r="J505" t="str">
        <f>"{ name: "&amp;CHAR(34)&amp;B505&amp;CHAR(34)&amp;", landmark: "&amp;CHAR(34)&amp;IF(LEN(C505)=LEN(SUBSTITUTE(C505,"Transport","")),"Korok x1","Korok x2")&amp;CHAR(34)&amp;", type: "&amp;CHAR(34)&amp;C505&amp;CHAR(34)&amp;", region: "&amp;D505&amp;", level: "&amp;CHAR(34)&amp;E505&amp;CHAR(34)&amp;", x: "&amp;F505&amp;", y: "&amp;G505&amp;", z: "&amp;H505&amp;", details: "&amp;CHAR(34)&amp;I505&amp;CHAR(34)&amp;" },"</f>
        <v>{ name: "Trilby Valley Korok #02", landmark: "Korok x1", type: "Catch the Moving Sparkle", region: 9, level: "Surface", x: 2555, y: 767, z: 119, details: "" },</v>
      </c>
    </row>
    <row r="506" spans="1:10" x14ac:dyDescent="0.2">
      <c r="A506" s="2">
        <v>474</v>
      </c>
      <c r="B506" s="34" t="s">
        <v>3973</v>
      </c>
      <c r="C506" t="s">
        <v>2808</v>
      </c>
      <c r="D506" s="2">
        <v>9</v>
      </c>
      <c r="E506" s="2" t="s">
        <v>785</v>
      </c>
      <c r="F506" s="2">
        <v>3801</v>
      </c>
      <c r="G506" s="2">
        <v>856</v>
      </c>
      <c r="H506" s="2">
        <v>277</v>
      </c>
      <c r="J506" t="str">
        <f>"{ name: "&amp;CHAR(34)&amp;B506&amp;CHAR(34)&amp;", landmark: "&amp;CHAR(34)&amp;IF(LEN(C506)=LEN(SUBSTITUTE(C506,"Transport","")),"Korok x1","Korok x2")&amp;CHAR(34)&amp;", type: "&amp;CHAR(34)&amp;C506&amp;CHAR(34)&amp;", region: "&amp;D506&amp;", level: "&amp;CHAR(34)&amp;E506&amp;CHAR(34)&amp;", x: "&amp;F506&amp;", y: "&amp;G506&amp;", z: "&amp;H506&amp;", details: "&amp;CHAR(34)&amp;I506&amp;CHAR(34)&amp;" },"</f>
        <v>{ name: "Ukuku Plains Korok #01", landmark: "Korok x1", type: "Complete the Rock Pattern", region: 9, level: "Surface", x: 3801, y: 856, z: 277, details: "" },</v>
      </c>
    </row>
    <row r="507" spans="1:10" x14ac:dyDescent="0.2">
      <c r="A507" s="2">
        <v>475</v>
      </c>
      <c r="B507" s="34" t="s">
        <v>3974</v>
      </c>
      <c r="C507" t="s">
        <v>2802</v>
      </c>
      <c r="D507" s="2">
        <v>9</v>
      </c>
      <c r="E507" s="2" t="s">
        <v>785</v>
      </c>
      <c r="F507" s="2">
        <v>4361</v>
      </c>
      <c r="G507" s="2">
        <v>776</v>
      </c>
      <c r="H507" s="2">
        <v>281</v>
      </c>
      <c r="I507" t="s">
        <v>2603</v>
      </c>
      <c r="J507" t="str">
        <f>"{ name: "&amp;CHAR(34)&amp;B507&amp;CHAR(34)&amp;", landmark: "&amp;CHAR(34)&amp;IF(LEN(C507)=LEN(SUBSTITUTE(C507,"Transport","")),"Korok x1","Korok x2")&amp;CHAR(34)&amp;", type: "&amp;CHAR(34)&amp;C507&amp;CHAR(34)&amp;", region: "&amp;D507&amp;", level: "&amp;CHAR(34)&amp;E507&amp;CHAR(34)&amp;", x: "&amp;F507&amp;", y: "&amp;G507&amp;", z: "&amp;H507&amp;", details: "&amp;CHAR(34)&amp;I507&amp;CHAR(34)&amp;" },"</f>
        <v>{ name: "Ukuku Plains Korok #02", landmark: "Korok x2", type: "Transport to Friend", region: 9, level: "Surface", x: 4361, y: 776, z: 281, details: "Starts at (4053, 945, 277)" },</v>
      </c>
    </row>
    <row r="508" spans="1:10" x14ac:dyDescent="0.2">
      <c r="A508" s="2">
        <v>476</v>
      </c>
      <c r="B508" s="34" t="s">
        <v>3975</v>
      </c>
      <c r="C508" t="s">
        <v>2826</v>
      </c>
      <c r="D508" s="2">
        <v>9</v>
      </c>
      <c r="E508" s="2" t="s">
        <v>785</v>
      </c>
      <c r="F508" s="2">
        <v>4078</v>
      </c>
      <c r="G508" s="2">
        <v>821</v>
      </c>
      <c r="H508" s="2">
        <v>271</v>
      </c>
      <c r="J508" t="str">
        <f>"{ name: "&amp;CHAR(34)&amp;B508&amp;CHAR(34)&amp;", landmark: "&amp;CHAR(34)&amp;IF(LEN(C508)=LEN(SUBSTITUTE(C508,"Transport","")),"Korok x1","Korok x2")&amp;CHAR(34)&amp;", type: "&amp;CHAR(34)&amp;C508&amp;CHAR(34)&amp;", region: "&amp;D508&amp;", level: "&amp;CHAR(34)&amp;E508&amp;CHAR(34)&amp;", x: "&amp;F508&amp;", y: "&amp;G508&amp;", z: "&amp;H508&amp;", details: "&amp;CHAR(34)&amp;I508&amp;CHAR(34)&amp;" },"</f>
        <v>{ name: "Ulria Grotto Korok #01", landmark: "Korok x1", type: "Ascend Through the Marker", region: 9, level: "Surface", x: 4078, y: 821, z: 271, details: "" },</v>
      </c>
    </row>
    <row r="509" spans="1:10" x14ac:dyDescent="0.2">
      <c r="A509" s="2">
        <v>477</v>
      </c>
      <c r="B509" s="34" t="s">
        <v>3976</v>
      </c>
      <c r="C509" t="s">
        <v>2816</v>
      </c>
      <c r="D509" s="2">
        <v>9</v>
      </c>
      <c r="E509" s="2" t="s">
        <v>785</v>
      </c>
      <c r="F509" s="2">
        <v>4175</v>
      </c>
      <c r="G509" s="2">
        <v>699</v>
      </c>
      <c r="H509" s="2">
        <v>249</v>
      </c>
      <c r="J509" t="str">
        <f>"{ name: "&amp;CHAR(34)&amp;B509&amp;CHAR(34)&amp;", landmark: "&amp;CHAR(34)&amp;IF(LEN(C509)=LEN(SUBSTITUTE(C509,"Transport","")),"Korok x1","Korok x2")&amp;CHAR(34)&amp;", type: "&amp;CHAR(34)&amp;C509&amp;CHAR(34)&amp;", region: "&amp;D509&amp;", level: "&amp;CHAR(34)&amp;E509&amp;CHAR(34)&amp;", x: "&amp;F509&amp;", y: "&amp;G509&amp;", z: "&amp;H509&amp;", details: "&amp;CHAR(34)&amp;I509&amp;CHAR(34)&amp;" },"</f>
        <v>{ name: "Ulria Grotto Korok #02", landmark: "Korok x1", type: "Pull the Plug", region: 9, level: "Surface", x: 4175, y: 699, z: 249, details: "" },</v>
      </c>
    </row>
    <row r="510" spans="1:10" x14ac:dyDescent="0.2">
      <c r="A510" s="2">
        <v>480</v>
      </c>
      <c r="B510" s="34" t="s">
        <v>3977</v>
      </c>
      <c r="C510" t="s">
        <v>2821</v>
      </c>
      <c r="D510" s="2">
        <v>9</v>
      </c>
      <c r="E510" s="2" t="s">
        <v>785</v>
      </c>
      <c r="F510" s="2">
        <v>4274</v>
      </c>
      <c r="G510" s="2">
        <v>510</v>
      </c>
      <c r="H510" s="2">
        <v>339</v>
      </c>
      <c r="J510" t="str">
        <f>"{ name: "&amp;CHAR(34)&amp;B510&amp;CHAR(34)&amp;", landmark: "&amp;CHAR(34)&amp;IF(LEN(C510)=LEN(SUBSTITUTE(C510,"Transport","")),"Korok x1","Korok x2")&amp;CHAR(34)&amp;", type: "&amp;CHAR(34)&amp;C510&amp;CHAR(34)&amp;", region: "&amp;D510&amp;", level: "&amp;CHAR(34)&amp;E510&amp;CHAR(34)&amp;", x: "&amp;F510&amp;", y: "&amp;G510&amp;", z: "&amp;H510&amp;", details: "&amp;CHAR(34)&amp;I510&amp;CHAR(34)&amp;" },"</f>
        <v>{ name: "Ulria Grotto Korok #03", landmark: "Korok x1", type: "Shoot the Balloons", region: 9, level: "Surface", x: 4274, y: 510, z: 339, details: "" },</v>
      </c>
    </row>
    <row r="511" spans="1:10" x14ac:dyDescent="0.2">
      <c r="A511" s="2">
        <v>481</v>
      </c>
      <c r="B511" s="34" t="s">
        <v>3978</v>
      </c>
      <c r="C511" t="s">
        <v>2808</v>
      </c>
      <c r="D511" s="2">
        <v>9</v>
      </c>
      <c r="E511" s="2" t="s">
        <v>785</v>
      </c>
      <c r="F511" s="2">
        <v>4389</v>
      </c>
      <c r="G511" s="2">
        <v>612</v>
      </c>
      <c r="H511" s="2">
        <v>276</v>
      </c>
      <c r="J511" t="str">
        <f>"{ name: "&amp;CHAR(34)&amp;B511&amp;CHAR(34)&amp;", landmark: "&amp;CHAR(34)&amp;IF(LEN(C511)=LEN(SUBSTITUTE(C511,"Transport","")),"Korok x1","Korok x2")&amp;CHAR(34)&amp;", type: "&amp;CHAR(34)&amp;C511&amp;CHAR(34)&amp;", region: "&amp;D511&amp;", level: "&amp;CHAR(34)&amp;E511&amp;CHAR(34)&amp;", x: "&amp;F511&amp;", y: "&amp;G511&amp;", z: "&amp;H511&amp;", details: "&amp;CHAR(34)&amp;I511&amp;CHAR(34)&amp;" },"</f>
        <v>{ name: "Ulria Grotto Korok #04", landmark: "Korok x1", type: "Complete the Rock Pattern", region: 9, level: "Surface", x: 4389, y: 612, z: 276, details: "" },</v>
      </c>
    </row>
    <row r="512" spans="1:10" x14ac:dyDescent="0.2">
      <c r="A512" s="2">
        <v>483</v>
      </c>
      <c r="B512" s="34" t="s">
        <v>3979</v>
      </c>
      <c r="C512" t="s">
        <v>2825</v>
      </c>
      <c r="D512" s="2">
        <v>9</v>
      </c>
      <c r="E512" s="2" t="s">
        <v>785</v>
      </c>
      <c r="F512" s="2">
        <v>4485</v>
      </c>
      <c r="G512" s="2">
        <v>678</v>
      </c>
      <c r="H512" s="2">
        <v>256</v>
      </c>
      <c r="J512" t="str">
        <f>"{ name: "&amp;CHAR(34)&amp;B512&amp;CHAR(34)&amp;", landmark: "&amp;CHAR(34)&amp;IF(LEN(C512)=LEN(SUBSTITUTE(C512,"Transport","")),"Korok x1","Korok x2")&amp;CHAR(34)&amp;", type: "&amp;CHAR(34)&amp;C512&amp;CHAR(34)&amp;", region: "&amp;D512&amp;", level: "&amp;CHAR(34)&amp;E512&amp;CHAR(34)&amp;", x: "&amp;F512&amp;", y: "&amp;G512&amp;", z: "&amp;H512&amp;", details: "&amp;CHAR(34)&amp;I512&amp;CHAR(34)&amp;" },"</f>
        <v>{ name: "Ulria Grotto Korok #05", landmark: "Korok x1", type: "Climb and Examine the Fairy Lights", region: 9, level: "Surface", x: 4485, y: 678, z: 256, details: "" },</v>
      </c>
    </row>
    <row r="513" spans="1:10" x14ac:dyDescent="0.2">
      <c r="A513" s="2">
        <v>493</v>
      </c>
      <c r="B513" s="34" t="s">
        <v>3982</v>
      </c>
      <c r="C513" t="s">
        <v>2812</v>
      </c>
      <c r="D513" s="2">
        <v>9</v>
      </c>
      <c r="E513" s="2" t="s">
        <v>785</v>
      </c>
      <c r="F513" s="2">
        <v>3013</v>
      </c>
      <c r="G513" s="2">
        <v>933</v>
      </c>
      <c r="H513" s="2">
        <v>380</v>
      </c>
      <c r="J513" t="str">
        <f>"{ name: "&amp;CHAR(34)&amp;B513&amp;CHAR(34)&amp;", landmark: "&amp;CHAR(34)&amp;IF(LEN(C513)=LEN(SUBSTITUTE(C513,"Transport","")),"Korok x1","Korok x2")&amp;CHAR(34)&amp;", type: "&amp;CHAR(34)&amp;C513&amp;CHAR(34)&amp;", region: "&amp;D513&amp;", level: "&amp;CHAR(34)&amp;E513&amp;CHAR(34)&amp;", x: "&amp;F513&amp;", y: "&amp;G513&amp;", z: "&amp;H513&amp;", details: "&amp;CHAR(34)&amp;I513&amp;CHAR(34)&amp;" },"</f>
        <v>{ name: "Upland Zorana Korok #01", landmark: "Korok x1", type: "Lift the Rock", region: 9, level: "Surface", x: 3013, y: 933, z: 380, details: "" },</v>
      </c>
    </row>
    <row r="514" spans="1:10" x14ac:dyDescent="0.2">
      <c r="A514" s="2">
        <v>508</v>
      </c>
      <c r="B514" s="34" t="s">
        <v>3983</v>
      </c>
      <c r="C514" t="s">
        <v>2807</v>
      </c>
      <c r="D514" s="2">
        <v>9</v>
      </c>
      <c r="E514" s="2" t="s">
        <v>785</v>
      </c>
      <c r="F514" s="2">
        <v>3905</v>
      </c>
      <c r="G514" s="2">
        <v>797</v>
      </c>
      <c r="H514" s="2">
        <v>386</v>
      </c>
      <c r="J514" t="str">
        <f>"{ name: "&amp;CHAR(34)&amp;B514&amp;CHAR(34)&amp;", landmark: "&amp;CHAR(34)&amp;IF(LEN(C514)=LEN(SUBSTITUTE(C514,"Transport","")),"Korok x1","Korok x2")&amp;CHAR(34)&amp;", type: "&amp;CHAR(34)&amp;C514&amp;CHAR(34)&amp;", region: "&amp;D514&amp;", level: "&amp;CHAR(34)&amp;E514&amp;CHAR(34)&amp;", x: "&amp;F514&amp;", y: "&amp;G514&amp;", z: "&amp;H514&amp;", details: "&amp;CHAR(34)&amp;I514&amp;CHAR(34)&amp;" },"</f>
        <v>{ name: "Upland Zorana Korok #02", landmark: "Korok x1", type: "Complete the Cube Puzzle", region: 9, level: "Surface", x: 3905, y: 797, z: 386, details: "" },</v>
      </c>
    </row>
    <row r="515" spans="1:10" x14ac:dyDescent="0.2">
      <c r="A515" s="2">
        <v>491</v>
      </c>
      <c r="B515" s="34" t="s">
        <v>3984</v>
      </c>
      <c r="C515" t="s">
        <v>2817</v>
      </c>
      <c r="D515" s="2">
        <v>9</v>
      </c>
      <c r="E515" s="2" t="s">
        <v>785</v>
      </c>
      <c r="F515" s="2">
        <v>2580</v>
      </c>
      <c r="G515" s="2">
        <v>488</v>
      </c>
      <c r="H515" s="2">
        <v>183</v>
      </c>
      <c r="I515" t="s">
        <v>2693</v>
      </c>
      <c r="J515" t="str">
        <f>"{ name: "&amp;CHAR(34)&amp;B515&amp;CHAR(34)&amp;", landmark: "&amp;CHAR(34)&amp;IF(LEN(C515)=LEN(SUBSTITUTE(C515,"Transport","")),"Korok x1","Korok x2")&amp;CHAR(34)&amp;", type: "&amp;CHAR(34)&amp;C515&amp;CHAR(34)&amp;", region: "&amp;D515&amp;", level: "&amp;CHAR(34)&amp;E515&amp;CHAR(34)&amp;", x: "&amp;F515&amp;", y: "&amp;G515&amp;", z: "&amp;H515&amp;", details: "&amp;CHAR(34)&amp;I515&amp;CHAR(34)&amp;" },"</f>
        <v>{ name: "Upland Zorana Mountainside Korok", landmark: "Korok x1", type: "Reach the Target Ring", region: 9, level: "Surface", x: 2580, y: 488, z: 183, details: "Starts at (2565, 467, 185)" },</v>
      </c>
    </row>
    <row r="516" spans="1:10" x14ac:dyDescent="0.2">
      <c r="A516" s="2">
        <v>494</v>
      </c>
      <c r="B516" s="34" t="s">
        <v>3993</v>
      </c>
      <c r="C516" t="s">
        <v>2817</v>
      </c>
      <c r="D516" s="2">
        <v>9</v>
      </c>
      <c r="E516" s="2" t="s">
        <v>785</v>
      </c>
      <c r="F516" s="2">
        <v>3070</v>
      </c>
      <c r="G516" s="2">
        <v>457</v>
      </c>
      <c r="H516" s="2">
        <v>275</v>
      </c>
      <c r="I516" t="s">
        <v>2696</v>
      </c>
      <c r="J516" t="str">
        <f>"{ name: "&amp;CHAR(34)&amp;B516&amp;CHAR(34)&amp;", landmark: "&amp;CHAR(34)&amp;IF(LEN(C516)=LEN(SUBSTITUTE(C516,"Transport","")),"Korok x1","Korok x2")&amp;CHAR(34)&amp;", type: "&amp;CHAR(34)&amp;C516&amp;CHAR(34)&amp;", region: "&amp;D516&amp;", level: "&amp;CHAR(34)&amp;E516&amp;CHAR(34)&amp;", x: "&amp;F516&amp;", y: "&amp;G516&amp;", z: "&amp;H516&amp;", details: "&amp;CHAR(34)&amp;I516&amp;CHAR(34)&amp;" },"</f>
        <v>{ name: "Veiled Falls Korok", landmark: "Korok x1", type: "Reach the Target Ring", region: 9, level: "Surface", x: 3070, y: 457, z: 275, details: "Starts at (3105, 462, 173)" },</v>
      </c>
    </row>
    <row r="517" spans="1:10" x14ac:dyDescent="0.2">
      <c r="A517" s="2">
        <v>39</v>
      </c>
      <c r="B517" s="34" t="s">
        <v>3999</v>
      </c>
      <c r="C517" t="s">
        <v>2821</v>
      </c>
      <c r="D517" s="2">
        <v>9</v>
      </c>
      <c r="E517" s="2" t="s">
        <v>783</v>
      </c>
      <c r="F517" s="2">
        <v>3414</v>
      </c>
      <c r="G517" s="2">
        <v>618</v>
      </c>
      <c r="H517" s="2">
        <v>1551</v>
      </c>
      <c r="J517" t="str">
        <f>"{ name: "&amp;CHAR(34)&amp;B517&amp;CHAR(34)&amp;", landmark: "&amp;CHAR(34)&amp;IF(LEN(C517)=LEN(SUBSTITUTE(C517,"Transport","")),"Korok x1","Korok x2")&amp;CHAR(34)&amp;", type: "&amp;CHAR(34)&amp;C517&amp;CHAR(34)&amp;", region: "&amp;D517&amp;", level: "&amp;CHAR(34)&amp;E517&amp;CHAR(34)&amp;", x: "&amp;F517&amp;", y: "&amp;G517&amp;", z: "&amp;H517&amp;", details: "&amp;CHAR(34)&amp;I517&amp;CHAR(34)&amp;" },"</f>
        <v>{ name: "Wellspring Island Korok #01", landmark: "Korok x1", type: "Shoot the Balloons", region: 9, level: "Sky", x: 3414, y: 618, z: 1551, details: "" },</v>
      </c>
    </row>
    <row r="518" spans="1:10" x14ac:dyDescent="0.2">
      <c r="A518" s="2">
        <v>40</v>
      </c>
      <c r="B518" s="34" t="s">
        <v>4000</v>
      </c>
      <c r="C518" t="s">
        <v>2824</v>
      </c>
      <c r="D518" s="2">
        <v>9</v>
      </c>
      <c r="E518" s="2" t="s">
        <v>783</v>
      </c>
      <c r="F518" s="2">
        <v>3497</v>
      </c>
      <c r="G518" s="2">
        <v>579</v>
      </c>
      <c r="H518" s="2">
        <v>1194</v>
      </c>
      <c r="J518" t="str">
        <f>"{ name: "&amp;CHAR(34)&amp;B518&amp;CHAR(34)&amp;", landmark: "&amp;CHAR(34)&amp;IF(LEN(C518)=LEN(SUBSTITUTE(C518,"Transport","")),"Korok x1","Korok x2")&amp;CHAR(34)&amp;", type: "&amp;CHAR(34)&amp;C518&amp;CHAR(34)&amp;", region: "&amp;D518&amp;", level: "&amp;CHAR(34)&amp;E518&amp;CHAR(34)&amp;", x: "&amp;F518&amp;", y: "&amp;G518&amp;", z: "&amp;H518&amp;", details: "&amp;CHAR(34)&amp;I518&amp;CHAR(34)&amp;" },"</f>
        <v>{ name: "Wellspring Island Korok #02", landmark: "Korok x1", type: "Catch the Moving Sparkle", region: 9, level: "Sky", x: 3497, y: 579, z: 1194, details: "" },</v>
      </c>
    </row>
    <row r="519" spans="1:10" x14ac:dyDescent="0.2">
      <c r="A519" s="2">
        <v>514</v>
      </c>
      <c r="B519" s="34" t="s">
        <v>4042</v>
      </c>
      <c r="C519" t="s">
        <v>2826</v>
      </c>
      <c r="D519" s="2">
        <v>9</v>
      </c>
      <c r="E519" s="2" t="s">
        <v>785</v>
      </c>
      <c r="F519" s="2">
        <v>2674</v>
      </c>
      <c r="G519" s="2">
        <v>-11</v>
      </c>
      <c r="H519" s="2">
        <v>122</v>
      </c>
      <c r="J519" t="str">
        <f>"{ name: "&amp;CHAR(34)&amp;B519&amp;CHAR(34)&amp;", landmark: "&amp;CHAR(34)&amp;IF(LEN(C519)=LEN(SUBSTITUTE(C519,"Transport","")),"Korok x1","Korok x2")&amp;CHAR(34)&amp;", type: "&amp;CHAR(34)&amp;C519&amp;CHAR(34)&amp;", region: "&amp;D519&amp;", level: "&amp;CHAR(34)&amp;E519&amp;CHAR(34)&amp;", x: "&amp;F519&amp;", y: "&amp;G519&amp;", z: "&amp;H519&amp;", details: "&amp;CHAR(34)&amp;I519&amp;CHAR(34)&amp;" },"</f>
        <v>{ name: "Zodobon Highlands Korok", landmark: "Korok x1", type: "Ascend Through the Marker", region: 9, level: "Surface", x: 2674, y: -11, z: 122, details: "" },</v>
      </c>
    </row>
    <row r="520" spans="1:10" x14ac:dyDescent="0.2">
      <c r="A520" s="2">
        <v>487</v>
      </c>
      <c r="B520" s="34" t="s">
        <v>4048</v>
      </c>
      <c r="C520" t="s">
        <v>2802</v>
      </c>
      <c r="D520" s="2">
        <v>9</v>
      </c>
      <c r="E520" s="2" t="s">
        <v>785</v>
      </c>
      <c r="F520" s="2">
        <v>2202</v>
      </c>
      <c r="G520" s="2">
        <v>159</v>
      </c>
      <c r="H520" s="2">
        <v>35</v>
      </c>
      <c r="I520" t="s">
        <v>2692</v>
      </c>
      <c r="J520" t="str">
        <f>"{ name: "&amp;CHAR(34)&amp;B520&amp;CHAR(34)&amp;", landmark: "&amp;CHAR(34)&amp;IF(LEN(C520)=LEN(SUBSTITUTE(C520,"Transport","")),"Korok x1","Korok x2")&amp;CHAR(34)&amp;", type: "&amp;CHAR(34)&amp;C520&amp;CHAR(34)&amp;", region: "&amp;D520&amp;", level: "&amp;CHAR(34)&amp;E520&amp;CHAR(34)&amp;", x: "&amp;F520&amp;", y: "&amp;G520&amp;", z: "&amp;H520&amp;", details: "&amp;CHAR(34)&amp;I520&amp;CHAR(34)&amp;" },"</f>
        <v>{ name: "Zora River Korok #02", landmark: "Korok x2", type: "Transport to Friend", region: 9, level: "Surface", x: 2202, y: 159, z: 35, details: "Starts at (2240, 245, 15)" },</v>
      </c>
    </row>
    <row r="521" spans="1:10" x14ac:dyDescent="0.2">
      <c r="A521" s="2">
        <v>492</v>
      </c>
      <c r="B521" s="34" t="s">
        <v>4049</v>
      </c>
      <c r="C521" t="s">
        <v>2802</v>
      </c>
      <c r="D521" s="2">
        <v>9</v>
      </c>
      <c r="E521" s="2" t="s">
        <v>785</v>
      </c>
      <c r="F521" s="2">
        <v>2620</v>
      </c>
      <c r="G521" s="2">
        <v>56</v>
      </c>
      <c r="H521" s="2">
        <v>120</v>
      </c>
      <c r="I521" t="s">
        <v>2694</v>
      </c>
      <c r="J521" t="str">
        <f>"{ name: "&amp;CHAR(34)&amp;B521&amp;CHAR(34)&amp;", landmark: "&amp;CHAR(34)&amp;IF(LEN(C521)=LEN(SUBSTITUTE(C521,"Transport","")),"Korok x1","Korok x2")&amp;CHAR(34)&amp;", type: "&amp;CHAR(34)&amp;C521&amp;CHAR(34)&amp;", region: "&amp;D521&amp;", level: "&amp;CHAR(34)&amp;E521&amp;CHAR(34)&amp;", x: "&amp;F521&amp;", y: "&amp;G521&amp;", z: "&amp;H521&amp;", details: "&amp;CHAR(34)&amp;I521&amp;CHAR(34)&amp;" },"</f>
        <v>{ name: "Zora River Korok #03", landmark: "Korok x2", type: "Transport to Friend", region: 9, level: "Surface", x: 2620, y: 56, z: 120, details: "Starts at (2807, 183, 147)" },</v>
      </c>
    </row>
    <row r="522" spans="1:10" x14ac:dyDescent="0.2">
      <c r="A522" s="2">
        <v>539</v>
      </c>
      <c r="B522" s="34" t="s">
        <v>4050</v>
      </c>
      <c r="C522" t="s">
        <v>2816</v>
      </c>
      <c r="D522" s="2">
        <v>9</v>
      </c>
      <c r="E522" s="2" t="s">
        <v>785</v>
      </c>
      <c r="F522" s="2">
        <v>2783</v>
      </c>
      <c r="G522" s="2">
        <v>198</v>
      </c>
      <c r="H522" s="2">
        <v>82</v>
      </c>
      <c r="J522" t="str">
        <f>"{ name: "&amp;CHAR(34)&amp;B522&amp;CHAR(34)&amp;", landmark: "&amp;CHAR(34)&amp;IF(LEN(C522)=LEN(SUBSTITUTE(C522,"Transport","")),"Korok x1","Korok x2")&amp;CHAR(34)&amp;", type: "&amp;CHAR(34)&amp;C522&amp;CHAR(34)&amp;", region: "&amp;D522&amp;", level: "&amp;CHAR(34)&amp;E522&amp;CHAR(34)&amp;", x: "&amp;F522&amp;", y: "&amp;G522&amp;", z: "&amp;H522&amp;", details: "&amp;CHAR(34)&amp;I522&amp;CHAR(34)&amp;" },"</f>
        <v>{ name: "Zora River Korok #04", landmark: "Korok x1", type: "Pull the Plug", region: 9, level: "Surface", x: 2783, y: 198, z: 82, details: "" },</v>
      </c>
    </row>
    <row r="523" spans="1:10" x14ac:dyDescent="0.2">
      <c r="A523" s="2">
        <v>495</v>
      </c>
      <c r="B523" s="34" t="s">
        <v>4051</v>
      </c>
      <c r="C523" t="s">
        <v>2808</v>
      </c>
      <c r="D523" s="2">
        <v>9</v>
      </c>
      <c r="E523" s="2" t="s">
        <v>785</v>
      </c>
      <c r="F523" s="2">
        <v>3168</v>
      </c>
      <c r="G523" s="2">
        <v>586</v>
      </c>
      <c r="H523" s="2">
        <v>116</v>
      </c>
      <c r="J523" t="str">
        <f>"{ name: "&amp;CHAR(34)&amp;B523&amp;CHAR(34)&amp;", landmark: "&amp;CHAR(34)&amp;IF(LEN(C523)=LEN(SUBSTITUTE(C523,"Transport","")),"Korok x1","Korok x2")&amp;CHAR(34)&amp;", type: "&amp;CHAR(34)&amp;C523&amp;CHAR(34)&amp;", region: "&amp;D523&amp;", level: "&amp;CHAR(34)&amp;E523&amp;CHAR(34)&amp;", x: "&amp;F523&amp;", y: "&amp;G523&amp;", z: "&amp;H523&amp;", details: "&amp;CHAR(34)&amp;I523&amp;CHAR(34)&amp;" },"</f>
        <v>{ name: "Zora's Domain Korok #01", landmark: "Korok x1", type: "Complete the Rock Pattern", region: 9, level: "Surface", x: 3168, y: 586, z: 116, details: "" },</v>
      </c>
    </row>
    <row r="524" spans="1:10" x14ac:dyDescent="0.2">
      <c r="A524" s="2">
        <v>499</v>
      </c>
      <c r="B524" s="34" t="s">
        <v>4052</v>
      </c>
      <c r="C524" t="s">
        <v>2825</v>
      </c>
      <c r="D524" s="2">
        <v>9</v>
      </c>
      <c r="E524" s="2" t="s">
        <v>785</v>
      </c>
      <c r="F524" s="2">
        <v>3322</v>
      </c>
      <c r="G524" s="2">
        <v>516</v>
      </c>
      <c r="H524" s="2">
        <v>309</v>
      </c>
      <c r="J524" t="str">
        <f>"{ name: "&amp;CHAR(34)&amp;B524&amp;CHAR(34)&amp;", landmark: "&amp;CHAR(34)&amp;IF(LEN(C524)=LEN(SUBSTITUTE(C524,"Transport","")),"Korok x1","Korok x2")&amp;CHAR(34)&amp;", type: "&amp;CHAR(34)&amp;C524&amp;CHAR(34)&amp;", region: "&amp;D524&amp;", level: "&amp;CHAR(34)&amp;E524&amp;CHAR(34)&amp;", x: "&amp;F524&amp;", y: "&amp;G524&amp;", z: "&amp;H524&amp;", details: "&amp;CHAR(34)&amp;I524&amp;CHAR(34)&amp;" },"</f>
        <v>{ name: "Zora's Domain Korok #02", landmark: "Korok x1", type: "Climb and Examine the Fairy Lights", region: 9, level: "Surface", x: 3322, y: 516, z: 309, details: "" },</v>
      </c>
    </row>
    <row r="525" spans="1:10" x14ac:dyDescent="0.2">
      <c r="A525" s="2">
        <v>500</v>
      </c>
      <c r="B525" s="34" t="s">
        <v>4053</v>
      </c>
      <c r="C525" t="s">
        <v>2812</v>
      </c>
      <c r="D525" s="2">
        <v>9</v>
      </c>
      <c r="E525" s="2" t="s">
        <v>785</v>
      </c>
      <c r="F525" s="2">
        <v>3330</v>
      </c>
      <c r="G525" s="2">
        <v>533</v>
      </c>
      <c r="H525" s="2">
        <v>113</v>
      </c>
      <c r="J525" t="str">
        <f>"{ name: "&amp;CHAR(34)&amp;B525&amp;CHAR(34)&amp;", landmark: "&amp;CHAR(34)&amp;IF(LEN(C525)=LEN(SUBSTITUTE(C525,"Transport","")),"Korok x1","Korok x2")&amp;CHAR(34)&amp;", type: "&amp;CHAR(34)&amp;C525&amp;CHAR(34)&amp;", region: "&amp;D525&amp;", level: "&amp;CHAR(34)&amp;E525&amp;CHAR(34)&amp;", x: "&amp;F525&amp;", y: "&amp;G525&amp;", z: "&amp;H525&amp;", details: "&amp;CHAR(34)&amp;I525&amp;CHAR(34)&amp;" },"</f>
        <v>{ name: "Zora's Domain Korok #03", landmark: "Korok x1", type: "Lift the Rock", region: 9, level: "Surface", x: 3330, y: 533, z: 113, details: "" },</v>
      </c>
    </row>
    <row r="526" spans="1:10" x14ac:dyDescent="0.2">
      <c r="A526" s="2">
        <v>501</v>
      </c>
      <c r="B526" s="34" t="s">
        <v>4054</v>
      </c>
      <c r="C526" t="s">
        <v>2809</v>
      </c>
      <c r="D526" s="2">
        <v>9</v>
      </c>
      <c r="E526" s="2" t="s">
        <v>785</v>
      </c>
      <c r="F526" s="2">
        <v>3389</v>
      </c>
      <c r="G526" s="2">
        <v>746</v>
      </c>
      <c r="H526" s="2">
        <v>170</v>
      </c>
      <c r="J526" t="str">
        <f>"{ name: "&amp;CHAR(34)&amp;B526&amp;CHAR(34)&amp;", landmark: "&amp;CHAR(34)&amp;IF(LEN(C526)=LEN(SUBSTITUTE(C526,"Transport","")),"Korok x1","Korok x2")&amp;CHAR(34)&amp;", type: "&amp;CHAR(34)&amp;C526&amp;CHAR(34)&amp;", region: "&amp;D526&amp;", level: "&amp;CHAR(34)&amp;E526&amp;CHAR(34)&amp;", x: "&amp;F526&amp;", y: "&amp;G526&amp;", z: "&amp;H526&amp;", details: "&amp;CHAR(34)&amp;I526&amp;CHAR(34)&amp;" },"</f>
        <v>{ name: "Zora's Domain Korok #04", landmark: "Korok x1", type: "Dive into the Lily Ring", region: 9, level: "Surface", x: 3389, y: 746, z: 170, details: "" },</v>
      </c>
    </row>
    <row r="527" spans="1:10" x14ac:dyDescent="0.2">
      <c r="A527" s="2">
        <v>608</v>
      </c>
      <c r="B527" s="34" t="s">
        <v>3205</v>
      </c>
      <c r="C527" t="s">
        <v>2812</v>
      </c>
      <c r="D527" s="2">
        <v>10</v>
      </c>
      <c r="E527" s="2" t="s">
        <v>785</v>
      </c>
      <c r="F527" s="2">
        <v>2030</v>
      </c>
      <c r="G527" s="2">
        <v>-1167</v>
      </c>
      <c r="H527" s="2">
        <v>161</v>
      </c>
      <c r="J527" t="str">
        <f>"{ name: "&amp;CHAR(34)&amp;B527&amp;CHAR(34)&amp;", landmark: "&amp;CHAR(34)&amp;IF(LEN(C527)=LEN(SUBSTITUTE(C527,"Transport","")),"Korok x1","Korok x2")&amp;CHAR(34)&amp;", type: "&amp;CHAR(34)&amp;C527&amp;CHAR(34)&amp;", region: "&amp;D527&amp;", level: "&amp;CHAR(34)&amp;E527&amp;CHAR(34)&amp;", x: "&amp;F527&amp;", y: "&amp;G527&amp;", z: "&amp;H527&amp;", details: "&amp;CHAR(34)&amp;I527&amp;CHAR(34)&amp;" },"</f>
        <v>{ name: "Bonooru's Stand Korok", landmark: "Korok x1", type: "Lift the Rock", region: 10, level: "Surface", x: 2030, y: -1167, z: 161, details: "" },</v>
      </c>
    </row>
    <row r="528" spans="1:10" x14ac:dyDescent="0.2">
      <c r="A528" s="2">
        <v>545</v>
      </c>
      <c r="B528" s="34" t="s">
        <v>3244</v>
      </c>
      <c r="C528" t="s">
        <v>2824</v>
      </c>
      <c r="D528" s="2">
        <v>10</v>
      </c>
      <c r="E528" s="2" t="s">
        <v>785</v>
      </c>
      <c r="F528" s="2">
        <v>617</v>
      </c>
      <c r="G528" s="2">
        <v>754</v>
      </c>
      <c r="H528" s="2">
        <v>78</v>
      </c>
      <c r="J528" t="str">
        <f>"{ name: "&amp;CHAR(34)&amp;B528&amp;CHAR(34)&amp;", landmark: "&amp;CHAR(34)&amp;IF(LEN(C528)=LEN(SUBSTITUTE(C528,"Transport","")),"Korok x1","Korok x2")&amp;CHAR(34)&amp;", type: "&amp;CHAR(34)&amp;C528&amp;CHAR(34)&amp;", region: "&amp;D528&amp;", level: "&amp;CHAR(34)&amp;E528&amp;CHAR(34)&amp;", x: "&amp;F528&amp;", y: "&amp;G528&amp;", z: "&amp;H528&amp;", details: "&amp;CHAR(34)&amp;I528&amp;CHAR(34)&amp;" },"</f>
        <v>{ name: "Crenel Hills Korok #01", landmark: "Korok x1", type: "Catch the Moving Sparkle", region: 10, level: "Surface", x: 617, y: 754, z: 78, details: "" },</v>
      </c>
    </row>
    <row r="529" spans="1:10" x14ac:dyDescent="0.2">
      <c r="A529" s="2">
        <v>546</v>
      </c>
      <c r="B529" s="34" t="s">
        <v>3245</v>
      </c>
      <c r="C529" t="s">
        <v>2595</v>
      </c>
      <c r="D529" s="2">
        <v>10</v>
      </c>
      <c r="E529" s="2" t="s">
        <v>785</v>
      </c>
      <c r="F529" s="2">
        <v>691</v>
      </c>
      <c r="G529" s="2">
        <v>625</v>
      </c>
      <c r="H529" s="2">
        <v>62</v>
      </c>
      <c r="J529" t="str">
        <f>"{ name: "&amp;CHAR(34)&amp;B529&amp;CHAR(34)&amp;", landmark: "&amp;CHAR(34)&amp;IF(LEN(C529)=LEN(SUBSTITUTE(C529,"Transport","")),"Korok x1","Korok x2")&amp;CHAR(34)&amp;", type: "&amp;CHAR(34)&amp;C529&amp;CHAR(34)&amp;", region: "&amp;D529&amp;", level: "&amp;CHAR(34)&amp;E529&amp;CHAR(34)&amp;", x: "&amp;F529&amp;", y: "&amp;G529&amp;", z: "&amp;H529&amp;", details: "&amp;CHAR(34)&amp;I529&amp;CHAR(34)&amp;" },"</f>
        <v>{ name: "Crenel Hills Korok #02", landmark: "Korok x1", type: "Attack and catch the dandelion", region: 10, level: "Surface", x: 691, y: 625, z: 62, details: "" },</v>
      </c>
    </row>
    <row r="530" spans="1:10" x14ac:dyDescent="0.2">
      <c r="A530" s="2">
        <v>547</v>
      </c>
      <c r="B530" s="34" t="s">
        <v>3246</v>
      </c>
      <c r="C530" t="s">
        <v>2811</v>
      </c>
      <c r="D530" s="2">
        <v>10</v>
      </c>
      <c r="E530" s="2" t="s">
        <v>785</v>
      </c>
      <c r="F530" s="2">
        <v>850</v>
      </c>
      <c r="G530" s="2">
        <v>793</v>
      </c>
      <c r="H530" s="2">
        <v>119</v>
      </c>
      <c r="I530" t="s">
        <v>2752</v>
      </c>
      <c r="J530" t="str">
        <f>"{ name: "&amp;CHAR(34)&amp;B530&amp;CHAR(34)&amp;", landmark: "&amp;CHAR(34)&amp;IF(LEN(C530)=LEN(SUBSTITUTE(C530,"Transport","")),"Korok x1","Korok x2")&amp;CHAR(34)&amp;", type: "&amp;CHAR(34)&amp;C530&amp;CHAR(34)&amp;", region: "&amp;D530&amp;", level: "&amp;CHAR(34)&amp;E530&amp;CHAR(34)&amp;", x: "&amp;F530&amp;", y: "&amp;G530&amp;", z: "&amp;H530&amp;", details: "&amp;CHAR(34)&amp;I530&amp;CHAR(34)&amp;" },"</f>
        <v>{ name: "Crenel Hills Korok #03", landmark: "Korok x1", type: "Follow the Yellow Flowers", region: 10, level: "Surface", x: 850, y: 793, z: 119, details: "Starts at (841, 694, 129)" },</v>
      </c>
    </row>
    <row r="531" spans="1:10" x14ac:dyDescent="0.2">
      <c r="A531" s="2">
        <v>549</v>
      </c>
      <c r="B531" s="34" t="s">
        <v>3247</v>
      </c>
      <c r="C531" t="s">
        <v>2811</v>
      </c>
      <c r="D531" s="2">
        <v>10</v>
      </c>
      <c r="E531" s="2" t="s">
        <v>785</v>
      </c>
      <c r="F531" s="2">
        <v>966</v>
      </c>
      <c r="G531" s="2">
        <v>628</v>
      </c>
      <c r="H531" s="2">
        <v>89</v>
      </c>
      <c r="I531" t="s">
        <v>2753</v>
      </c>
      <c r="J531" t="str">
        <f>"{ name: "&amp;CHAR(34)&amp;B531&amp;CHAR(34)&amp;", landmark: "&amp;CHAR(34)&amp;IF(LEN(C531)=LEN(SUBSTITUTE(C531,"Transport","")),"Korok x1","Korok x2")&amp;CHAR(34)&amp;", type: "&amp;CHAR(34)&amp;C531&amp;CHAR(34)&amp;", region: "&amp;D531&amp;", level: "&amp;CHAR(34)&amp;E531&amp;CHAR(34)&amp;", x: "&amp;F531&amp;", y: "&amp;G531&amp;", z: "&amp;H531&amp;", details: "&amp;CHAR(34)&amp;I531&amp;CHAR(34)&amp;" },"</f>
        <v>{ name: "Crenel Hills Korok #04", landmark: "Korok x1", type: "Follow the Yellow Flowers", region: 10, level: "Surface", x: 966, y: 628, z: 89, details: "Starts at (974, 674, 84)" },</v>
      </c>
    </row>
    <row r="532" spans="1:10" x14ac:dyDescent="0.2">
      <c r="A532" s="2">
        <v>548</v>
      </c>
      <c r="B532" s="34" t="s">
        <v>3248</v>
      </c>
      <c r="C532" t="s">
        <v>2826</v>
      </c>
      <c r="D532" s="2">
        <v>10</v>
      </c>
      <c r="E532" s="2" t="s">
        <v>785</v>
      </c>
      <c r="F532" s="2">
        <v>919</v>
      </c>
      <c r="G532" s="2">
        <v>410</v>
      </c>
      <c r="H532" s="2">
        <v>96</v>
      </c>
      <c r="J532" t="str">
        <f>"{ name: "&amp;CHAR(34)&amp;B532&amp;CHAR(34)&amp;", landmark: "&amp;CHAR(34)&amp;IF(LEN(C532)=LEN(SUBSTITUTE(C532,"Transport","")),"Korok x1","Korok x2")&amp;CHAR(34)&amp;", type: "&amp;CHAR(34)&amp;C532&amp;CHAR(34)&amp;", region: "&amp;D532&amp;", level: "&amp;CHAR(34)&amp;E532&amp;CHAR(34)&amp;", x: "&amp;F532&amp;", y: "&amp;G532&amp;", z: "&amp;H532&amp;", details: "&amp;CHAR(34)&amp;I532&amp;CHAR(34)&amp;" },"</f>
        <v>{ name: "Crenel Peak Korok #01", landmark: "Korok x1", type: "Ascend Through the Marker", region: 10, level: "Surface", x: 919, y: 410, z: 96, details: "" },</v>
      </c>
    </row>
    <row r="533" spans="1:10" x14ac:dyDescent="0.2">
      <c r="A533" s="2">
        <v>551</v>
      </c>
      <c r="B533" s="34" t="s">
        <v>3249</v>
      </c>
      <c r="C533" t="s">
        <v>2595</v>
      </c>
      <c r="D533" s="2">
        <v>10</v>
      </c>
      <c r="E533" s="2" t="s">
        <v>785</v>
      </c>
      <c r="F533" s="2">
        <v>1118</v>
      </c>
      <c r="G533" s="2">
        <v>229</v>
      </c>
      <c r="H533" s="2">
        <v>78</v>
      </c>
      <c r="J533" t="str">
        <f>"{ name: "&amp;CHAR(34)&amp;B533&amp;CHAR(34)&amp;", landmark: "&amp;CHAR(34)&amp;IF(LEN(C533)=LEN(SUBSTITUTE(C533,"Transport","")),"Korok x1","Korok x2")&amp;CHAR(34)&amp;", type: "&amp;CHAR(34)&amp;C533&amp;CHAR(34)&amp;", region: "&amp;D533&amp;", level: "&amp;CHAR(34)&amp;E533&amp;CHAR(34)&amp;", x: "&amp;F533&amp;", y: "&amp;G533&amp;", z: "&amp;H533&amp;", details: "&amp;CHAR(34)&amp;I533&amp;CHAR(34)&amp;" },"</f>
        <v>{ name: "Crenel Peak Korok #02", landmark: "Korok x1", type: "Attack and catch the dandelion", region: 10, level: "Surface", x: 1118, y: 229, z: 78, details: "" },</v>
      </c>
    </row>
    <row r="534" spans="1:10" x14ac:dyDescent="0.2">
      <c r="A534" s="2">
        <v>552</v>
      </c>
      <c r="B534" s="34" t="s">
        <v>3250</v>
      </c>
      <c r="C534" t="s">
        <v>2804</v>
      </c>
      <c r="D534" s="2">
        <v>10</v>
      </c>
      <c r="E534" s="2" t="s">
        <v>785</v>
      </c>
      <c r="F534" s="2">
        <v>1182</v>
      </c>
      <c r="G534" s="2">
        <v>380</v>
      </c>
      <c r="H534" s="2">
        <v>158</v>
      </c>
      <c r="J534" t="str">
        <f>"{ name: "&amp;CHAR(34)&amp;B534&amp;CHAR(34)&amp;", landmark: "&amp;CHAR(34)&amp;IF(LEN(C534)=LEN(SUBSTITUTE(C534,"Transport","")),"Korok x1","Korok x2")&amp;CHAR(34)&amp;", type: "&amp;CHAR(34)&amp;C534&amp;CHAR(34)&amp;", region: "&amp;D534&amp;", level: "&amp;CHAR(34)&amp;E534&amp;CHAR(34)&amp;", x: "&amp;F534&amp;", y: "&amp;G534&amp;", z: "&amp;H534&amp;", details: "&amp;CHAR(34)&amp;I534&amp;CHAR(34)&amp;" },"</f>
        <v>{ name: "Crenel Peak Korok #03", landmark: "Korok x1", type: "Burn the Leaves", region: 10, level: "Surface", x: 1182, y: 380, z: 158, details: "" },</v>
      </c>
    </row>
    <row r="535" spans="1:10" x14ac:dyDescent="0.2">
      <c r="A535" s="2">
        <v>556</v>
      </c>
      <c r="B535" s="34" t="s">
        <v>3279</v>
      </c>
      <c r="C535" t="s">
        <v>2821</v>
      </c>
      <c r="D535" s="2">
        <v>10</v>
      </c>
      <c r="E535" s="2" t="s">
        <v>785</v>
      </c>
      <c r="F535" s="2">
        <v>1522</v>
      </c>
      <c r="G535" s="2">
        <v>-1845</v>
      </c>
      <c r="H535" s="2">
        <v>292</v>
      </c>
      <c r="J535" t="str">
        <f>"{ name: "&amp;CHAR(34)&amp;B535&amp;CHAR(34)&amp;", landmark: "&amp;CHAR(34)&amp;IF(LEN(C535)=LEN(SUBSTITUTE(C535,"Transport","")),"Korok x1","Korok x2")&amp;CHAR(34)&amp;", type: "&amp;CHAR(34)&amp;C535&amp;CHAR(34)&amp;", region: "&amp;D535&amp;", level: "&amp;CHAR(34)&amp;E535&amp;CHAR(34)&amp;", x: "&amp;F535&amp;", y: "&amp;G535&amp;", z: "&amp;H535&amp;", details: "&amp;CHAR(34)&amp;I535&amp;CHAR(34)&amp;" },"</f>
        <v>{ name: "Dueling Peaks North Korok #01", landmark: "Korok x1", type: "Shoot the Balloons", region: 10, level: "Surface", x: 1522, y: -1845, z: 292, details: "" },</v>
      </c>
    </row>
    <row r="536" spans="1:10" x14ac:dyDescent="0.2">
      <c r="A536" s="2">
        <v>588</v>
      </c>
      <c r="B536" s="34" t="s">
        <v>3280</v>
      </c>
      <c r="C536" t="s">
        <v>2822</v>
      </c>
      <c r="D536" s="2">
        <v>10</v>
      </c>
      <c r="E536" s="2" t="s">
        <v>785</v>
      </c>
      <c r="F536" s="2">
        <v>1154</v>
      </c>
      <c r="G536" s="2">
        <v>-1704</v>
      </c>
      <c r="H536" s="2">
        <v>159</v>
      </c>
      <c r="J536" t="str">
        <f>"{ name: "&amp;CHAR(34)&amp;B536&amp;CHAR(34)&amp;", landmark: "&amp;CHAR(34)&amp;IF(LEN(C536)=LEN(SUBSTITUTE(C536,"Transport","")),"Korok x1","Korok x2")&amp;CHAR(34)&amp;", type: "&amp;CHAR(34)&amp;C536&amp;CHAR(34)&amp;", region: "&amp;D536&amp;", level: "&amp;CHAR(34)&amp;E536&amp;CHAR(34)&amp;", x: "&amp;F536&amp;", y: "&amp;G536&amp;", z: "&amp;H536&amp;", details: "&amp;CHAR(34)&amp;I536&amp;CHAR(34)&amp;" },"</f>
        <v>{ name: "Dueling Peaks North Korok #02", landmark: "Korok x1", type: "Shoot the Hidden Balloon", region: 10, level: "Surface", x: 1154, y: -1704, z: 159, details: "" },</v>
      </c>
    </row>
    <row r="537" spans="1:10" x14ac:dyDescent="0.2">
      <c r="A537" s="2">
        <v>590</v>
      </c>
      <c r="B537" s="34" t="s">
        <v>3281</v>
      </c>
      <c r="C537" t="s">
        <v>2807</v>
      </c>
      <c r="D537" s="2">
        <v>10</v>
      </c>
      <c r="E537" s="2" t="s">
        <v>785</v>
      </c>
      <c r="F537" s="2">
        <v>1241</v>
      </c>
      <c r="G537" s="2">
        <v>-1850</v>
      </c>
      <c r="H537" s="2">
        <v>341</v>
      </c>
      <c r="J537" t="str">
        <f>"{ name: "&amp;CHAR(34)&amp;B537&amp;CHAR(34)&amp;", landmark: "&amp;CHAR(34)&amp;IF(LEN(C537)=LEN(SUBSTITUTE(C537,"Transport","")),"Korok x1","Korok x2")&amp;CHAR(34)&amp;", type: "&amp;CHAR(34)&amp;C537&amp;CHAR(34)&amp;", region: "&amp;D537&amp;", level: "&amp;CHAR(34)&amp;E537&amp;CHAR(34)&amp;", x: "&amp;F537&amp;", y: "&amp;G537&amp;", z: "&amp;H537&amp;", details: "&amp;CHAR(34)&amp;I537&amp;CHAR(34)&amp;" },"</f>
        <v>{ name: "Dueling Peaks North Korok #03", landmark: "Korok x1", type: "Complete the Cube Puzzle", region: 10, level: "Surface", x: 1241, y: -1850, z: 341, details: "" },</v>
      </c>
    </row>
    <row r="538" spans="1:10" x14ac:dyDescent="0.2">
      <c r="A538" s="2">
        <v>592</v>
      </c>
      <c r="B538" s="34" t="s">
        <v>3282</v>
      </c>
      <c r="C538" t="s">
        <v>2821</v>
      </c>
      <c r="D538" s="2">
        <v>10</v>
      </c>
      <c r="E538" s="2" t="s">
        <v>785</v>
      </c>
      <c r="F538" s="2">
        <v>1252</v>
      </c>
      <c r="G538" s="2">
        <v>-1856</v>
      </c>
      <c r="H538" s="2">
        <v>389</v>
      </c>
      <c r="J538" t="str">
        <f>"{ name: "&amp;CHAR(34)&amp;B538&amp;CHAR(34)&amp;", landmark: "&amp;CHAR(34)&amp;IF(LEN(C538)=LEN(SUBSTITUTE(C538,"Transport","")),"Korok x1","Korok x2")&amp;CHAR(34)&amp;", type: "&amp;CHAR(34)&amp;C538&amp;CHAR(34)&amp;", region: "&amp;D538&amp;", level: "&amp;CHAR(34)&amp;E538&amp;CHAR(34)&amp;", x: "&amp;F538&amp;", y: "&amp;G538&amp;", z: "&amp;H538&amp;", details: "&amp;CHAR(34)&amp;I538&amp;CHAR(34)&amp;" },"</f>
        <v>{ name: "Dueling Peaks North Korok #04", landmark: "Korok x1", type: "Shoot the Balloons", region: 10, level: "Surface", x: 1252, y: -1856, z: 389, details: "" },</v>
      </c>
    </row>
    <row r="539" spans="1:10" x14ac:dyDescent="0.2">
      <c r="A539" s="2">
        <v>595</v>
      </c>
      <c r="B539" s="34" t="s">
        <v>3283</v>
      </c>
      <c r="C539" t="s">
        <v>2595</v>
      </c>
      <c r="D539" s="2">
        <v>10</v>
      </c>
      <c r="E539" s="2" t="s">
        <v>785</v>
      </c>
      <c r="F539" s="2">
        <v>1373</v>
      </c>
      <c r="G539" s="2">
        <v>-1680</v>
      </c>
      <c r="H539" s="2">
        <v>232</v>
      </c>
      <c r="J539" t="str">
        <f>"{ name: "&amp;CHAR(34)&amp;B539&amp;CHAR(34)&amp;", landmark: "&amp;CHAR(34)&amp;IF(LEN(C539)=LEN(SUBSTITUTE(C539,"Transport","")),"Korok x1","Korok x2")&amp;CHAR(34)&amp;", type: "&amp;CHAR(34)&amp;C539&amp;CHAR(34)&amp;", region: "&amp;D539&amp;", level: "&amp;CHAR(34)&amp;E539&amp;CHAR(34)&amp;", x: "&amp;F539&amp;", y: "&amp;G539&amp;", z: "&amp;H539&amp;", details: "&amp;CHAR(34)&amp;I539&amp;CHAR(34)&amp;" },"</f>
        <v>{ name: "Dueling Peaks North Korok #05", landmark: "Korok x1", type: "Attack and catch the dandelion", region: 10, level: "Surface", x: 1373, y: -1680, z: 232, details: "" },</v>
      </c>
    </row>
    <row r="540" spans="1:10" x14ac:dyDescent="0.2">
      <c r="A540" s="2">
        <v>589</v>
      </c>
      <c r="B540" s="34" t="s">
        <v>3284</v>
      </c>
      <c r="C540" t="s">
        <v>2802</v>
      </c>
      <c r="D540" s="2">
        <v>10</v>
      </c>
      <c r="E540" s="2" t="s">
        <v>785</v>
      </c>
      <c r="F540" s="2">
        <v>1196</v>
      </c>
      <c r="G540" s="2">
        <v>-1843</v>
      </c>
      <c r="H540" s="2">
        <v>12</v>
      </c>
      <c r="I540" t="s">
        <v>2723</v>
      </c>
      <c r="J540" t="str">
        <f>"{ name: "&amp;CHAR(34)&amp;B540&amp;CHAR(34)&amp;", landmark: "&amp;CHAR(34)&amp;IF(LEN(C540)=LEN(SUBSTITUTE(C540,"Transport","")),"Korok x1","Korok x2")&amp;CHAR(34)&amp;", type: "&amp;CHAR(34)&amp;C540&amp;CHAR(34)&amp;", region: "&amp;D540&amp;", level: "&amp;CHAR(34)&amp;E540&amp;CHAR(34)&amp;", x: "&amp;F540&amp;", y: "&amp;G540&amp;", z: "&amp;H540&amp;", details: "&amp;CHAR(34)&amp;I540&amp;CHAR(34)&amp;" },"</f>
        <v>{ name: "Dueling Peaks South Korok #01", landmark: "Korok x2", type: "Transport to Friend", region: 10, level: "Surface", x: 1196, y: -1843, z: 12, details: "Starts at (1172, -1885, 10)" },</v>
      </c>
    </row>
    <row r="541" spans="1:10" x14ac:dyDescent="0.2">
      <c r="A541" s="2">
        <v>591</v>
      </c>
      <c r="B541" s="34" t="s">
        <v>3285</v>
      </c>
      <c r="C541" t="s">
        <v>2827</v>
      </c>
      <c r="D541" s="2">
        <v>10</v>
      </c>
      <c r="E541" s="2" t="s">
        <v>785</v>
      </c>
      <c r="F541" s="2">
        <v>1280</v>
      </c>
      <c r="G541" s="2">
        <v>-1963</v>
      </c>
      <c r="H541" s="2">
        <v>421</v>
      </c>
      <c r="I541" t="s">
        <v>2796</v>
      </c>
      <c r="J541" t="str">
        <f>"{ name: "&amp;CHAR(34)&amp;B541&amp;CHAR(34)&amp;", landmark: "&amp;CHAR(34)&amp;IF(LEN(C541)=LEN(SUBSTITUTE(C541,"Transport","")),"Korok x1","Korok x2")&amp;CHAR(34)&amp;", type: "&amp;CHAR(34)&amp;C541&amp;CHAR(34)&amp;", region: "&amp;D541&amp;", level: "&amp;CHAR(34)&amp;E541&amp;CHAR(34)&amp;", x: "&amp;F541&amp;", y: "&amp;G541&amp;", z: "&amp;H541&amp;", details: "&amp;CHAR(34)&amp;I541&amp;CHAR(34)&amp;" },"</f>
        <v>{ name: "Dueling Peaks South Korok #02", landmark: "Korok x1", type: "Paraglide to the Goal", region: 10, level: "Surface", x: 1280, y: -1963, z: 421, details: "Starts at (1244, -1941, 437)" },</v>
      </c>
    </row>
    <row r="542" spans="1:10" x14ac:dyDescent="0.2">
      <c r="A542" s="2">
        <v>594</v>
      </c>
      <c r="B542" s="34" t="s">
        <v>3286</v>
      </c>
      <c r="C542" t="s">
        <v>2816</v>
      </c>
      <c r="D542" s="2">
        <v>10</v>
      </c>
      <c r="E542" s="2" t="s">
        <v>785</v>
      </c>
      <c r="F542" s="2">
        <v>1326</v>
      </c>
      <c r="G542" s="2">
        <v>-1963</v>
      </c>
      <c r="H542" s="2">
        <v>187</v>
      </c>
      <c r="J542" t="str">
        <f>"{ name: "&amp;CHAR(34)&amp;B542&amp;CHAR(34)&amp;", landmark: "&amp;CHAR(34)&amp;IF(LEN(C542)=LEN(SUBSTITUTE(C542,"Transport","")),"Korok x1","Korok x2")&amp;CHAR(34)&amp;", type: "&amp;CHAR(34)&amp;C542&amp;CHAR(34)&amp;", region: "&amp;D542&amp;", level: "&amp;CHAR(34)&amp;E542&amp;CHAR(34)&amp;", x: "&amp;F542&amp;", y: "&amp;G542&amp;", z: "&amp;H542&amp;", details: "&amp;CHAR(34)&amp;I542&amp;CHAR(34)&amp;" },"</f>
        <v>{ name: "Dueling Peaks South Korok #03", landmark: "Korok x1", type: "Pull the Plug", region: 10, level: "Surface", x: 1326, y: -1963, z: 187, details: "" },</v>
      </c>
    </row>
    <row r="543" spans="1:10" x14ac:dyDescent="0.2">
      <c r="A543" s="2">
        <v>612</v>
      </c>
      <c r="B543" s="34" t="s">
        <v>3287</v>
      </c>
      <c r="C543" t="s">
        <v>2823</v>
      </c>
      <c r="D543" s="2">
        <v>10</v>
      </c>
      <c r="E543" s="2" t="s">
        <v>785</v>
      </c>
      <c r="F543" s="2">
        <v>1368</v>
      </c>
      <c r="G543" s="2">
        <v>-2273</v>
      </c>
      <c r="H543" s="2">
        <v>189</v>
      </c>
      <c r="J543" t="str">
        <f>"{ name: "&amp;CHAR(34)&amp;B543&amp;CHAR(34)&amp;", landmark: "&amp;CHAR(34)&amp;IF(LEN(C543)=LEN(SUBSTITUTE(C543,"Transport","")),"Korok x1","Korok x2")&amp;CHAR(34)&amp;", type: "&amp;CHAR(34)&amp;C543&amp;CHAR(34)&amp;", region: "&amp;D543&amp;", level: "&amp;CHAR(34)&amp;E543&amp;CHAR(34)&amp;", x: "&amp;F543&amp;", y: "&amp;G543&amp;", z: "&amp;H543&amp;", details: "&amp;CHAR(34)&amp;I543&amp;CHAR(34)&amp;" },"</f>
        <v>{ name: "Dueling Peaks South Korok #04", landmark: "Korok x1", type: "Examine Fairy Lights", region: 10, level: "Surface", x: 1368, y: -2273, z: 189, details: "" },</v>
      </c>
    </row>
    <row r="544" spans="1:10" x14ac:dyDescent="0.2">
      <c r="A544" s="2">
        <v>599</v>
      </c>
      <c r="B544" s="34" t="s">
        <v>3289</v>
      </c>
      <c r="C544" t="s">
        <v>2816</v>
      </c>
      <c r="D544" s="2">
        <v>10</v>
      </c>
      <c r="E544" s="2" t="s">
        <v>785</v>
      </c>
      <c r="F544" s="2">
        <v>1652</v>
      </c>
      <c r="G544" s="2">
        <v>-1908</v>
      </c>
      <c r="H544" s="2">
        <v>11</v>
      </c>
      <c r="J544" t="str">
        <f>"{ name: "&amp;CHAR(34)&amp;B544&amp;CHAR(34)&amp;", landmark: "&amp;CHAR(34)&amp;IF(LEN(C544)=LEN(SUBSTITUTE(C544,"Transport","")),"Korok x1","Korok x2")&amp;CHAR(34)&amp;", type: "&amp;CHAR(34)&amp;C544&amp;CHAR(34)&amp;", region: "&amp;D544&amp;", level: "&amp;CHAR(34)&amp;E544&amp;CHAR(34)&amp;", x: "&amp;F544&amp;", y: "&amp;G544&amp;", z: "&amp;H544&amp;", details: "&amp;CHAR(34)&amp;I544&amp;CHAR(34)&amp;" },"</f>
        <v>{ name: "Dueling Peaks Stable Korok #01", landmark: "Korok x1", type: "Pull the Plug", region: 10, level: "Surface", x: 1652, y: -1908, z: 11, details: "" },</v>
      </c>
    </row>
    <row r="545" spans="1:10" x14ac:dyDescent="0.2">
      <c r="A545" s="2">
        <v>602</v>
      </c>
      <c r="B545" s="34" t="s">
        <v>3290</v>
      </c>
      <c r="C545" t="s">
        <v>2802</v>
      </c>
      <c r="D545" s="2">
        <v>10</v>
      </c>
      <c r="E545" s="2" t="s">
        <v>785</v>
      </c>
      <c r="F545" s="2">
        <v>2191</v>
      </c>
      <c r="G545" s="2">
        <v>-1701</v>
      </c>
      <c r="H545" s="2">
        <v>24</v>
      </c>
      <c r="I545" t="s">
        <v>2724</v>
      </c>
      <c r="J545" t="str">
        <f>"{ name: "&amp;CHAR(34)&amp;B545&amp;CHAR(34)&amp;", landmark: "&amp;CHAR(34)&amp;IF(LEN(C545)=LEN(SUBSTITUTE(C545,"Transport","")),"Korok x1","Korok x2")&amp;CHAR(34)&amp;", type: "&amp;CHAR(34)&amp;C545&amp;CHAR(34)&amp;", region: "&amp;D545&amp;", level: "&amp;CHAR(34)&amp;E545&amp;CHAR(34)&amp;", x: "&amp;F545&amp;", y: "&amp;G545&amp;", z: "&amp;H545&amp;", details: "&amp;CHAR(34)&amp;I545&amp;CHAR(34)&amp;" },"</f>
        <v>{ name: "Dueling Peaks Stable Korok #02", landmark: "Korok x2", type: "Transport to Friend", region: 10, level: "Surface", x: 2191, y: -1701, z: 24, details: "Starts at (1769, -1868, 16)" },</v>
      </c>
    </row>
    <row r="546" spans="1:10" x14ac:dyDescent="0.2">
      <c r="A546" s="2">
        <v>587</v>
      </c>
      <c r="B546" s="34" t="s">
        <v>3306</v>
      </c>
      <c r="C546" t="s">
        <v>2802</v>
      </c>
      <c r="D546" s="2">
        <v>10</v>
      </c>
      <c r="E546" s="2" t="s">
        <v>785</v>
      </c>
      <c r="F546" s="2">
        <v>2175</v>
      </c>
      <c r="G546" s="2">
        <v>-568</v>
      </c>
      <c r="H546" s="2">
        <v>212</v>
      </c>
      <c r="I546" t="s">
        <v>2721</v>
      </c>
      <c r="J546" t="str">
        <f>"{ name: "&amp;CHAR(34)&amp;B546&amp;CHAR(34)&amp;", landmark: "&amp;CHAR(34)&amp;IF(LEN(C546)=LEN(SUBSTITUTE(C546,"Transport","")),"Korok x1","Korok x2")&amp;CHAR(34)&amp;", type: "&amp;CHAR(34)&amp;C546&amp;CHAR(34)&amp;", region: "&amp;D546&amp;", level: "&amp;CHAR(34)&amp;E546&amp;CHAR(34)&amp;", x: "&amp;F546&amp;", y: "&amp;G546&amp;", z: "&amp;H546&amp;", details: "&amp;CHAR(34)&amp;I546&amp;CHAR(34)&amp;" },"</f>
        <v>{ name: "East Hill Korok", landmark: "Korok x2", type: "Transport to Friend", region: 10, level: "Surface", x: 2175, y: -568, z: 212, details: "Starts at (1877, -806, 240)" },</v>
      </c>
    </row>
    <row r="547" spans="1:10" x14ac:dyDescent="0.2">
      <c r="A547" s="2">
        <v>579</v>
      </c>
      <c r="B547" s="34" t="s">
        <v>3350</v>
      </c>
      <c r="C547" t="s">
        <v>2812</v>
      </c>
      <c r="D547" s="2">
        <v>10</v>
      </c>
      <c r="E547" s="2" t="s">
        <v>785</v>
      </c>
      <c r="F547" s="2">
        <v>2326</v>
      </c>
      <c r="G547" s="2">
        <v>-1829</v>
      </c>
      <c r="H547" s="2">
        <v>28</v>
      </c>
      <c r="J547" t="str">
        <f>"{ name: "&amp;CHAR(34)&amp;B547&amp;CHAR(34)&amp;", landmark: "&amp;CHAR(34)&amp;IF(LEN(C547)=LEN(SUBSTITUTE(C547,"Transport","")),"Korok x1","Korok x2")&amp;CHAR(34)&amp;", type: "&amp;CHAR(34)&amp;C547&amp;CHAR(34)&amp;", region: "&amp;D547&amp;", level: "&amp;CHAR(34)&amp;E547&amp;CHAR(34)&amp;", x: "&amp;F547&amp;", y: "&amp;G547&amp;", z: "&amp;H547&amp;", details: "&amp;CHAR(34)&amp;I547&amp;CHAR(34)&amp;" },"</f>
        <v>{ name: "Fort Hateno Korok", landmark: "Korok x1", type: "Lift the Rock", region: 10, level: "Surface", x: 2326, y: -1829, z: 28, details: "" },</v>
      </c>
    </row>
    <row r="548" spans="1:10" x14ac:dyDescent="0.2">
      <c r="A548" s="2">
        <v>574</v>
      </c>
      <c r="B548" s="34" t="s">
        <v>3382</v>
      </c>
      <c r="C548" t="s">
        <v>2802</v>
      </c>
      <c r="D548" s="2">
        <v>10</v>
      </c>
      <c r="E548" s="2" t="s">
        <v>785</v>
      </c>
      <c r="F548" s="2">
        <v>1701</v>
      </c>
      <c r="G548" s="2">
        <v>10</v>
      </c>
      <c r="H548" s="2">
        <v>11</v>
      </c>
      <c r="I548" t="s">
        <v>2704</v>
      </c>
      <c r="J548" t="str">
        <f>"{ name: "&amp;CHAR(34)&amp;B548&amp;CHAR(34)&amp;", landmark: "&amp;CHAR(34)&amp;IF(LEN(C548)=LEN(SUBSTITUTE(C548,"Transport","")),"Korok x1","Korok x2")&amp;CHAR(34)&amp;", type: "&amp;CHAR(34)&amp;C548&amp;CHAR(34)&amp;", region: "&amp;D548&amp;", level: "&amp;CHAR(34)&amp;E548&amp;CHAR(34)&amp;", x: "&amp;F548&amp;", y: "&amp;G548&amp;", z: "&amp;H548&amp;", details: "&amp;CHAR(34)&amp;I548&amp;CHAR(34)&amp;" },"</f>
        <v>{ name: "Goponga Island Korok", landmark: "Korok x2", type: "Transport to Friend", region: 10, level: "Surface", x: 1701, y: 10, z: 11, details: "Starts at (1505, -336, 14)" },</v>
      </c>
    </row>
    <row r="549" spans="1:10" x14ac:dyDescent="0.2">
      <c r="A549" s="2">
        <v>542</v>
      </c>
      <c r="B549" s="34" t="s">
        <v>3470</v>
      </c>
      <c r="C549" t="s">
        <v>2812</v>
      </c>
      <c r="D549" s="2">
        <v>10</v>
      </c>
      <c r="E549" s="2" t="s">
        <v>785</v>
      </c>
      <c r="F549" s="2">
        <v>967</v>
      </c>
      <c r="G549" s="2">
        <v>1027</v>
      </c>
      <c r="H549" s="2">
        <v>11</v>
      </c>
      <c r="J549" t="str">
        <f>"{ name: "&amp;CHAR(34)&amp;B549&amp;CHAR(34)&amp;", landmark: "&amp;CHAR(34)&amp;IF(LEN(C549)=LEN(SUBSTITUTE(C549,"Transport","")),"Korok x1","Korok x2")&amp;CHAR(34)&amp;", type: "&amp;CHAR(34)&amp;C549&amp;CHAR(34)&amp;", region: "&amp;D549&amp;", level: "&amp;CHAR(34)&amp;E549&amp;CHAR(34)&amp;", x: "&amp;F549&amp;", y: "&amp;G549&amp;", z: "&amp;H549&amp;", details: "&amp;CHAR(34)&amp;I549&amp;CHAR(34)&amp;" },"</f>
        <v>{ name: "Hylia River Korok #03", landmark: "Korok x1", type: "Lift the Rock", region: 10, level: "Surface", x: 967, y: 1027, z: 11, details: "" },</v>
      </c>
    </row>
    <row r="550" spans="1:10" x14ac:dyDescent="0.2">
      <c r="A550" s="2">
        <v>550</v>
      </c>
      <c r="B550" s="34" t="s">
        <v>3471</v>
      </c>
      <c r="C550" t="s">
        <v>2822</v>
      </c>
      <c r="D550" s="2">
        <v>10</v>
      </c>
      <c r="E550" s="2" t="s">
        <v>785</v>
      </c>
      <c r="F550" s="2">
        <v>1107</v>
      </c>
      <c r="G550" s="2">
        <v>858</v>
      </c>
      <c r="H550" s="2">
        <v>11</v>
      </c>
      <c r="J550" t="str">
        <f>"{ name: "&amp;CHAR(34)&amp;B550&amp;CHAR(34)&amp;", landmark: "&amp;CHAR(34)&amp;IF(LEN(C550)=LEN(SUBSTITUTE(C550,"Transport","")),"Korok x1","Korok x2")&amp;CHAR(34)&amp;", type: "&amp;CHAR(34)&amp;C550&amp;CHAR(34)&amp;", region: "&amp;D550&amp;", level: "&amp;CHAR(34)&amp;E550&amp;CHAR(34)&amp;", x: "&amp;F550&amp;", y: "&amp;G550&amp;", z: "&amp;H550&amp;", details: "&amp;CHAR(34)&amp;I550&amp;CHAR(34)&amp;" },"</f>
        <v>{ name: "Hylia River Korok #04", landmark: "Korok x1", type: "Shoot the Hidden Balloon", region: 10, level: "Surface", x: 1107, y: 858, z: 11, details: "" },</v>
      </c>
    </row>
    <row r="551" spans="1:10" x14ac:dyDescent="0.2">
      <c r="A551" s="2">
        <v>554</v>
      </c>
      <c r="B551" s="34" t="s">
        <v>3472</v>
      </c>
      <c r="C551" t="s">
        <v>2802</v>
      </c>
      <c r="D551" s="2">
        <v>10</v>
      </c>
      <c r="E551" s="2" t="s">
        <v>785</v>
      </c>
      <c r="F551" s="2">
        <v>889</v>
      </c>
      <c r="G551" s="2">
        <v>-556</v>
      </c>
      <c r="H551" s="2">
        <v>10</v>
      </c>
      <c r="I551" t="s">
        <v>2623</v>
      </c>
      <c r="J551" t="str">
        <f>"{ name: "&amp;CHAR(34)&amp;B551&amp;CHAR(34)&amp;", landmark: "&amp;CHAR(34)&amp;IF(LEN(C551)=LEN(SUBSTITUTE(C551,"Transport","")),"Korok x1","Korok x2")&amp;CHAR(34)&amp;", type: "&amp;CHAR(34)&amp;C551&amp;CHAR(34)&amp;", region: "&amp;D551&amp;", level: "&amp;CHAR(34)&amp;E551&amp;CHAR(34)&amp;", x: "&amp;F551&amp;", y: "&amp;G551&amp;", z: "&amp;H551&amp;", details: "&amp;CHAR(34)&amp;I551&amp;CHAR(34)&amp;" },"</f>
        <v>{ name: "Hylia River Korok #05", landmark: "Korok x2", type: "Transport to Friend", region: 10, level: "Surface", x: 889, y: -556, z: 10, details: "Starts at (794, -511, 11)" },</v>
      </c>
    </row>
    <row r="552" spans="1:10" x14ac:dyDescent="0.2">
      <c r="A552" s="2">
        <v>604</v>
      </c>
      <c r="B552" s="34" t="s">
        <v>3517</v>
      </c>
      <c r="C552" t="s">
        <v>2804</v>
      </c>
      <c r="D552" s="2">
        <v>10</v>
      </c>
      <c r="E552" s="2" t="s">
        <v>785</v>
      </c>
      <c r="F552" s="2">
        <v>1787</v>
      </c>
      <c r="G552" s="2">
        <v>-1552</v>
      </c>
      <c r="H552" s="2">
        <v>11</v>
      </c>
      <c r="J552" t="str">
        <f>"{ name: "&amp;CHAR(34)&amp;B552&amp;CHAR(34)&amp;", landmark: "&amp;CHAR(34)&amp;IF(LEN(C552)=LEN(SUBSTITUTE(C552,"Transport","")),"Korok x1","Korok x2")&amp;CHAR(34)&amp;", type: "&amp;CHAR(34)&amp;C552&amp;CHAR(34)&amp;", region: "&amp;D552&amp;", level: "&amp;CHAR(34)&amp;E552&amp;CHAR(34)&amp;", x: "&amp;F552&amp;", y: "&amp;G552&amp;", z: "&amp;H552&amp;", details: "&amp;CHAR(34)&amp;I552&amp;CHAR(34)&amp;" },"</f>
        <v>{ name: "Kakariko Bridge Korok", landmark: "Korok x1", type: "Burn the Leaves", region: 10, level: "Surface", x: 1787, y: -1552, z: 11, details: "" },</v>
      </c>
    </row>
    <row r="553" spans="1:10" x14ac:dyDescent="0.2">
      <c r="A553" s="2">
        <v>600</v>
      </c>
      <c r="B553" s="34" t="s">
        <v>3518</v>
      </c>
      <c r="C553" t="s">
        <v>2812</v>
      </c>
      <c r="D553" s="2">
        <v>10</v>
      </c>
      <c r="E553" s="2" t="s">
        <v>785</v>
      </c>
      <c r="F553" s="2">
        <v>1695</v>
      </c>
      <c r="G553" s="2">
        <v>-929</v>
      </c>
      <c r="H553" s="2">
        <v>311</v>
      </c>
      <c r="J553" t="str">
        <f>"{ name: "&amp;CHAR(34)&amp;B553&amp;CHAR(34)&amp;", landmark: "&amp;CHAR(34)&amp;IF(LEN(C553)=LEN(SUBSTITUTE(C553,"Transport","")),"Korok x1","Korok x2")&amp;CHAR(34)&amp;", type: "&amp;CHAR(34)&amp;C553&amp;CHAR(34)&amp;", region: "&amp;D553&amp;", level: "&amp;CHAR(34)&amp;E553&amp;CHAR(34)&amp;", x: "&amp;F553&amp;", y: "&amp;G553&amp;", z: "&amp;H553&amp;", details: "&amp;CHAR(34)&amp;I553&amp;CHAR(34)&amp;" },"</f>
        <v>{ name: "Kakariko Village Korok #01", landmark: "Korok x1", type: "Lift the Rock", region: 10, level: "Surface", x: 1695, y: -929, z: 311, details: "" },</v>
      </c>
    </row>
    <row r="554" spans="1:10" x14ac:dyDescent="0.2">
      <c r="A554" s="2">
        <v>601</v>
      </c>
      <c r="B554" s="34" t="s">
        <v>3519</v>
      </c>
      <c r="C554" t="s">
        <v>2825</v>
      </c>
      <c r="D554" s="2">
        <v>10</v>
      </c>
      <c r="E554" s="2" t="s">
        <v>785</v>
      </c>
      <c r="F554" s="2">
        <v>1758</v>
      </c>
      <c r="G554" s="2">
        <v>-984</v>
      </c>
      <c r="H554" s="2">
        <v>143</v>
      </c>
      <c r="J554" t="str">
        <f>"{ name: "&amp;CHAR(34)&amp;B554&amp;CHAR(34)&amp;", landmark: "&amp;CHAR(34)&amp;IF(LEN(C554)=LEN(SUBSTITUTE(C554,"Transport","")),"Korok x1","Korok x2")&amp;CHAR(34)&amp;", type: "&amp;CHAR(34)&amp;C554&amp;CHAR(34)&amp;", region: "&amp;D554&amp;", level: "&amp;CHAR(34)&amp;E554&amp;CHAR(34)&amp;", x: "&amp;F554&amp;", y: "&amp;G554&amp;", z: "&amp;H554&amp;", details: "&amp;CHAR(34)&amp;I554&amp;CHAR(34)&amp;" },"</f>
        <v>{ name: "Kakariko Village Korok #02", landmark: "Korok x1", type: "Climb and Examine the Fairy Lights", region: 10, level: "Surface", x: 1758, y: -984, z: 143, details: "" },</v>
      </c>
    </row>
    <row r="555" spans="1:10" x14ac:dyDescent="0.2">
      <c r="A555" s="2">
        <v>603</v>
      </c>
      <c r="B555" s="34" t="s">
        <v>3520</v>
      </c>
      <c r="C555" t="s">
        <v>2824</v>
      </c>
      <c r="D555" s="2">
        <v>10</v>
      </c>
      <c r="E555" s="2" t="s">
        <v>785</v>
      </c>
      <c r="F555" s="2">
        <v>1776</v>
      </c>
      <c r="G555" s="2">
        <v>-984</v>
      </c>
      <c r="H555" s="2">
        <v>121</v>
      </c>
      <c r="J555" t="str">
        <f>"{ name: "&amp;CHAR(34)&amp;B555&amp;CHAR(34)&amp;", landmark: "&amp;CHAR(34)&amp;IF(LEN(C555)=LEN(SUBSTITUTE(C555,"Transport","")),"Korok x1","Korok x2")&amp;CHAR(34)&amp;", type: "&amp;CHAR(34)&amp;C555&amp;CHAR(34)&amp;", region: "&amp;D555&amp;", level: "&amp;CHAR(34)&amp;E555&amp;CHAR(34)&amp;", x: "&amp;F555&amp;", y: "&amp;G555&amp;", z: "&amp;H555&amp;", details: "&amp;CHAR(34)&amp;I555&amp;CHAR(34)&amp;" },"</f>
        <v>{ name: "Kakariko Village Korok #03", landmark: "Korok x1", type: "Catch the Moving Sparkle", region: 10, level: "Surface", x: 1776, y: -984, z: 121, details: "" },</v>
      </c>
    </row>
    <row r="556" spans="1:10" x14ac:dyDescent="0.2">
      <c r="A556" s="2">
        <v>605</v>
      </c>
      <c r="B556" s="34" t="s">
        <v>3521</v>
      </c>
      <c r="C556" t="s">
        <v>2801</v>
      </c>
      <c r="D556" s="2">
        <v>10</v>
      </c>
      <c r="E556" s="2" t="s">
        <v>785</v>
      </c>
      <c r="F556" s="2">
        <v>1791</v>
      </c>
      <c r="G556" s="2">
        <v>-853</v>
      </c>
      <c r="H556" s="2">
        <v>119</v>
      </c>
      <c r="J556" t="str">
        <f>"{ name: "&amp;CHAR(34)&amp;B556&amp;CHAR(34)&amp;", landmark: "&amp;CHAR(34)&amp;IF(LEN(C556)=LEN(SUBSTITUTE(C556,"Transport","")),"Korok x1","Korok x2")&amp;CHAR(34)&amp;", type: "&amp;CHAR(34)&amp;C556&amp;CHAR(34)&amp;", region: "&amp;D556&amp;", level: "&amp;CHAR(34)&amp;E556&amp;CHAR(34)&amp;", x: "&amp;F556&amp;", y: "&amp;G556&amp;", z: "&amp;H556&amp;", details: "&amp;CHAR(34)&amp;I556&amp;CHAR(34)&amp;" },"</f>
        <v>{ name: "Kakariko Village Korok #04", landmark: "Korok x1", type: "Break the Acorn Pot", region: 10, level: "Surface", x: 1791, y: -853, z: 119, details: "" },</v>
      </c>
    </row>
    <row r="557" spans="1:10" x14ac:dyDescent="0.2">
      <c r="A557" s="2">
        <v>607</v>
      </c>
      <c r="B557" s="34" t="s">
        <v>3522</v>
      </c>
      <c r="C557" t="s">
        <v>2801</v>
      </c>
      <c r="D557" s="2">
        <v>10</v>
      </c>
      <c r="E557" s="2" t="s">
        <v>785</v>
      </c>
      <c r="F557" s="2">
        <v>1997</v>
      </c>
      <c r="G557" s="2">
        <v>-959</v>
      </c>
      <c r="H557" s="2">
        <v>177</v>
      </c>
      <c r="J557" t="str">
        <f>"{ name: "&amp;CHAR(34)&amp;B557&amp;CHAR(34)&amp;", landmark: "&amp;CHAR(34)&amp;IF(LEN(C557)=LEN(SUBSTITUTE(C557,"Transport","")),"Korok x1","Korok x2")&amp;CHAR(34)&amp;", type: "&amp;CHAR(34)&amp;C557&amp;CHAR(34)&amp;", region: "&amp;D557&amp;", level: "&amp;CHAR(34)&amp;E557&amp;CHAR(34)&amp;", x: "&amp;F557&amp;", y: "&amp;G557&amp;", z: "&amp;H557&amp;", details: "&amp;CHAR(34)&amp;I557&amp;CHAR(34)&amp;" },"</f>
        <v>{ name: "Kakariko Village Korok #05", landmark: "Korok x1", type: "Break the Acorn Pot", region: 10, level: "Surface", x: 1997, y: -959, z: 177, details: "" },</v>
      </c>
    </row>
    <row r="558" spans="1:10" x14ac:dyDescent="0.2">
      <c r="A558" s="2">
        <v>576</v>
      </c>
      <c r="B558" s="34" t="s">
        <v>3534</v>
      </c>
      <c r="C558" t="s">
        <v>2812</v>
      </c>
      <c r="D558" s="2">
        <v>10</v>
      </c>
      <c r="E558" s="2" t="s">
        <v>785</v>
      </c>
      <c r="F558" s="2">
        <v>1892</v>
      </c>
      <c r="G558" s="2">
        <v>-151</v>
      </c>
      <c r="H558" s="2">
        <v>10</v>
      </c>
      <c r="J558" t="str">
        <f>"{ name: "&amp;CHAR(34)&amp;B558&amp;CHAR(34)&amp;", landmark: "&amp;CHAR(34)&amp;IF(LEN(C558)=LEN(SUBSTITUTE(C558,"Transport","")),"Korok x1","Korok x2")&amp;CHAR(34)&amp;", type: "&amp;CHAR(34)&amp;C558&amp;CHAR(34)&amp;", region: "&amp;D558&amp;", level: "&amp;CHAR(34)&amp;E558&amp;CHAR(34)&amp;", x: "&amp;F558&amp;", y: "&amp;G558&amp;", z: "&amp;H558&amp;", details: "&amp;CHAR(34)&amp;I558&amp;CHAR(34)&amp;" },"</f>
        <v>{ name: "Kincean Island Korok", landmark: "Korok x1", type: "Lift the Rock", region: 10, level: "Surface", x: 1892, y: -151, z: 10, details: "" },</v>
      </c>
    </row>
    <row r="559" spans="1:10" x14ac:dyDescent="0.2">
      <c r="A559" s="2">
        <v>578</v>
      </c>
      <c r="B559" s="34" t="s">
        <v>3562</v>
      </c>
      <c r="C559" t="s">
        <v>2822</v>
      </c>
      <c r="D559" s="2">
        <v>10</v>
      </c>
      <c r="E559" s="2" t="s">
        <v>785</v>
      </c>
      <c r="F559" s="2">
        <v>2300</v>
      </c>
      <c r="G559" s="2">
        <v>-1357</v>
      </c>
      <c r="H559" s="2">
        <v>120</v>
      </c>
      <c r="J559" t="str">
        <f>"{ name: "&amp;CHAR(34)&amp;B559&amp;CHAR(34)&amp;", landmark: "&amp;CHAR(34)&amp;IF(LEN(C559)=LEN(SUBSTITUTE(C559,"Transport","")),"Korok x1","Korok x2")&amp;CHAR(34)&amp;", type: "&amp;CHAR(34)&amp;C559&amp;CHAR(34)&amp;", region: "&amp;D559&amp;", level: "&amp;CHAR(34)&amp;E559&amp;CHAR(34)&amp;", x: "&amp;F559&amp;", y: "&amp;G559&amp;", z: "&amp;H559&amp;", details: "&amp;CHAR(34)&amp;I559&amp;CHAR(34)&amp;" },"</f>
        <v>{ name: "Lake Siela Korok #01", landmark: "Korok x1", type: "Shoot the Hidden Balloon", region: 10, level: "Surface", x: 2300, y: -1357, z: 120, details: "" },</v>
      </c>
    </row>
    <row r="560" spans="1:10" x14ac:dyDescent="0.2">
      <c r="A560" s="2">
        <v>596</v>
      </c>
      <c r="B560" s="34" t="s">
        <v>3563</v>
      </c>
      <c r="C560" t="s">
        <v>2812</v>
      </c>
      <c r="D560" s="2">
        <v>10</v>
      </c>
      <c r="E560" s="2" t="s">
        <v>785</v>
      </c>
      <c r="F560" s="2">
        <v>1537</v>
      </c>
      <c r="G560" s="2">
        <v>-1302</v>
      </c>
      <c r="H560" s="2">
        <v>63</v>
      </c>
      <c r="J560" t="str">
        <f>"{ name: "&amp;CHAR(34)&amp;B560&amp;CHAR(34)&amp;", landmark: "&amp;CHAR(34)&amp;IF(LEN(C560)=LEN(SUBSTITUTE(C560,"Transport","")),"Korok x1","Korok x2")&amp;CHAR(34)&amp;", type: "&amp;CHAR(34)&amp;C560&amp;CHAR(34)&amp;", region: "&amp;D560&amp;", level: "&amp;CHAR(34)&amp;E560&amp;CHAR(34)&amp;", x: "&amp;F560&amp;", y: "&amp;G560&amp;", z: "&amp;H560&amp;", details: "&amp;CHAR(34)&amp;I560&amp;CHAR(34)&amp;" },"</f>
        <v>{ name: "Lake Siela Korok #02", landmark: "Korok x1", type: "Lift the Rock", region: 10, level: "Surface", x: 1537, y: -1302, z: 63, details: "" },</v>
      </c>
    </row>
    <row r="561" spans="1:10" x14ac:dyDescent="0.2">
      <c r="A561" s="2">
        <v>598</v>
      </c>
      <c r="B561" s="34" t="s">
        <v>3564</v>
      </c>
      <c r="C561" t="s">
        <v>2811</v>
      </c>
      <c r="D561" s="2">
        <v>10</v>
      </c>
      <c r="E561" s="2" t="s">
        <v>785</v>
      </c>
      <c r="F561" s="2">
        <v>1598</v>
      </c>
      <c r="G561" s="2">
        <v>-1395</v>
      </c>
      <c r="H561" s="2">
        <v>26</v>
      </c>
      <c r="I561" t="s">
        <v>2797</v>
      </c>
      <c r="J561" t="str">
        <f>"{ name: "&amp;CHAR(34)&amp;B561&amp;CHAR(34)&amp;", landmark: "&amp;CHAR(34)&amp;IF(LEN(C561)=LEN(SUBSTITUTE(C561,"Transport","")),"Korok x1","Korok x2")&amp;CHAR(34)&amp;", type: "&amp;CHAR(34)&amp;C561&amp;CHAR(34)&amp;", region: "&amp;D561&amp;", level: "&amp;CHAR(34)&amp;E561&amp;CHAR(34)&amp;", x: "&amp;F561&amp;", y: "&amp;G561&amp;", z: "&amp;H561&amp;", details: "&amp;CHAR(34)&amp;I561&amp;CHAR(34)&amp;" },"</f>
        <v>{ name: "Lake Siela Korok #03", landmark: "Korok x1", type: "Follow the Yellow Flowers", region: 10, level: "Surface", x: 1598, y: -1395, z: 26, details: "Starts at (1626, -1360, 12)" },</v>
      </c>
    </row>
    <row r="562" spans="1:10" x14ac:dyDescent="0.2">
      <c r="A562" s="2">
        <v>606</v>
      </c>
      <c r="B562" s="34" t="s">
        <v>3565</v>
      </c>
      <c r="C562" t="s">
        <v>2812</v>
      </c>
      <c r="D562" s="2">
        <v>10</v>
      </c>
      <c r="E562" s="2" t="s">
        <v>785</v>
      </c>
      <c r="F562" s="2">
        <v>1926</v>
      </c>
      <c r="G562" s="2">
        <v>-1490</v>
      </c>
      <c r="H562" s="2">
        <v>82</v>
      </c>
      <c r="J562" t="str">
        <f>"{ name: "&amp;CHAR(34)&amp;B562&amp;CHAR(34)&amp;", landmark: "&amp;CHAR(34)&amp;IF(LEN(C562)=LEN(SUBSTITUTE(C562,"Transport","")),"Korok x1","Korok x2")&amp;CHAR(34)&amp;", type: "&amp;CHAR(34)&amp;C562&amp;CHAR(34)&amp;", region: "&amp;D562&amp;", level: "&amp;CHAR(34)&amp;E562&amp;CHAR(34)&amp;", x: "&amp;F562&amp;", y: "&amp;G562&amp;", z: "&amp;H562&amp;", details: "&amp;CHAR(34)&amp;I562&amp;CHAR(34)&amp;" },"</f>
        <v>{ name: "Lake Siela Korok #04", landmark: "Korok x1", type: "Lift the Rock", region: 10, level: "Surface", x: 1926, y: -1490, z: 82, details: "" },</v>
      </c>
    </row>
    <row r="563" spans="1:10" x14ac:dyDescent="0.2">
      <c r="A563" s="2">
        <v>610</v>
      </c>
      <c r="B563" s="34" t="s">
        <v>3566</v>
      </c>
      <c r="C563" t="s">
        <v>2824</v>
      </c>
      <c r="D563" s="2">
        <v>10</v>
      </c>
      <c r="E563" s="2" t="s">
        <v>785</v>
      </c>
      <c r="F563" s="2">
        <v>2201</v>
      </c>
      <c r="G563" s="2">
        <v>-1374</v>
      </c>
      <c r="H563" s="2">
        <v>57</v>
      </c>
      <c r="J563" t="str">
        <f>"{ name: "&amp;CHAR(34)&amp;B563&amp;CHAR(34)&amp;", landmark: "&amp;CHAR(34)&amp;IF(LEN(C563)=LEN(SUBSTITUTE(C563,"Transport","")),"Korok x1","Korok x2")&amp;CHAR(34)&amp;", type: "&amp;CHAR(34)&amp;C563&amp;CHAR(34)&amp;", region: "&amp;D563&amp;", level: "&amp;CHAR(34)&amp;E563&amp;CHAR(34)&amp;", x: "&amp;F563&amp;", y: "&amp;G563&amp;", z: "&amp;H563&amp;", details: "&amp;CHAR(34)&amp;I563&amp;CHAR(34)&amp;" },"</f>
        <v>{ name: "Lake Siela Korok #05", landmark: "Korok x1", type: "Catch the Moving Sparkle", region: 10, level: "Surface", x: 2201, y: -1374, z: 57, details: "" },</v>
      </c>
    </row>
    <row r="564" spans="1:10" x14ac:dyDescent="0.2">
      <c r="A564" s="2">
        <v>560</v>
      </c>
      <c r="B564" s="34" t="s">
        <v>3582</v>
      </c>
      <c r="C564" t="s">
        <v>2815</v>
      </c>
      <c r="D564" s="2">
        <v>10</v>
      </c>
      <c r="E564" s="2" t="s">
        <v>785</v>
      </c>
      <c r="F564" s="2">
        <v>2495</v>
      </c>
      <c r="G564" s="2">
        <v>-892</v>
      </c>
      <c r="H564" s="2">
        <v>204</v>
      </c>
      <c r="J564" t="str">
        <f>"{ name: "&amp;CHAR(34)&amp;B564&amp;CHAR(34)&amp;", landmark: "&amp;CHAR(34)&amp;IF(LEN(C564)=LEN(SUBSTITUTE(C564,"Transport","")),"Korok x1","Korok x2")&amp;CHAR(34)&amp;", type: "&amp;CHAR(34)&amp;C564&amp;CHAR(34)&amp;", region: "&amp;D564&amp;", level: "&amp;CHAR(34)&amp;E564&amp;CHAR(34)&amp;", x: "&amp;F564&amp;", y: "&amp;G564&amp;", z: "&amp;H564&amp;", details: "&amp;CHAR(34)&amp;I564&amp;CHAR(34)&amp;" },"</f>
        <v>{ name: "Lanayru Heights Korok", landmark: "Korok x1", type: "Place the Boulder", region: 10, level: "Surface", x: 2495, y: -892, z: 204, details: "" },</v>
      </c>
    </row>
    <row r="565" spans="1:10" x14ac:dyDescent="0.2">
      <c r="A565" s="2">
        <v>582</v>
      </c>
      <c r="B565" s="34" t="s">
        <v>3583</v>
      </c>
      <c r="C565" t="s">
        <v>2801</v>
      </c>
      <c r="D565" s="2">
        <v>10</v>
      </c>
      <c r="E565" s="2" t="s">
        <v>785</v>
      </c>
      <c r="F565" s="2">
        <v>2546</v>
      </c>
      <c r="G565" s="2">
        <v>-1077</v>
      </c>
      <c r="H565" s="2">
        <v>112</v>
      </c>
      <c r="J565" t="str">
        <f>"{ name: "&amp;CHAR(34)&amp;B565&amp;CHAR(34)&amp;", landmark: "&amp;CHAR(34)&amp;IF(LEN(C565)=LEN(SUBSTITUTE(C565,"Transport","")),"Korok x1","Korok x2")&amp;CHAR(34)&amp;", type: "&amp;CHAR(34)&amp;C565&amp;CHAR(34)&amp;", region: "&amp;D565&amp;", level: "&amp;CHAR(34)&amp;E565&amp;CHAR(34)&amp;", x: "&amp;F565&amp;", y: "&amp;G565&amp;", z: "&amp;H565&amp;", details: "&amp;CHAR(34)&amp;I565&amp;CHAR(34)&amp;" },"</f>
        <v>{ name: "Lanayru Promenade Korok #01", landmark: "Korok x1", type: "Break the Acorn Pot", region: 10, level: "Surface", x: 2546, y: -1077, z: 112, details: "" },</v>
      </c>
    </row>
    <row r="566" spans="1:10" x14ac:dyDescent="0.2">
      <c r="A566" s="2">
        <v>583</v>
      </c>
      <c r="B566" s="34" t="s">
        <v>3584</v>
      </c>
      <c r="C566" t="s">
        <v>2811</v>
      </c>
      <c r="D566" s="2">
        <v>10</v>
      </c>
      <c r="E566" s="2" t="s">
        <v>785</v>
      </c>
      <c r="F566" s="2">
        <v>2705</v>
      </c>
      <c r="G566" s="2">
        <v>-1164</v>
      </c>
      <c r="H566" s="2">
        <v>98</v>
      </c>
      <c r="I566" t="s">
        <v>2791</v>
      </c>
      <c r="J566" t="str">
        <f>"{ name: "&amp;CHAR(34)&amp;B566&amp;CHAR(34)&amp;", landmark: "&amp;CHAR(34)&amp;IF(LEN(C566)=LEN(SUBSTITUTE(C566,"Transport","")),"Korok x1","Korok x2")&amp;CHAR(34)&amp;", type: "&amp;CHAR(34)&amp;C566&amp;CHAR(34)&amp;", region: "&amp;D566&amp;", level: "&amp;CHAR(34)&amp;E566&amp;CHAR(34)&amp;", x: "&amp;F566&amp;", y: "&amp;G566&amp;", z: "&amp;H566&amp;", details: "&amp;CHAR(34)&amp;I566&amp;CHAR(34)&amp;" },"</f>
        <v>{ name: "Lanayru Promenade Korok #02", landmark: "Korok x1", type: "Follow the Yellow Flowers", region: 10, level: "Surface", x: 2705, y: -1164, z: 98, details: "Starts at (2766, -1217, 167)" },</v>
      </c>
    </row>
    <row r="567" spans="1:10" x14ac:dyDescent="0.2">
      <c r="A567" s="2">
        <v>584</v>
      </c>
      <c r="B567" s="34" t="s">
        <v>3585</v>
      </c>
      <c r="C567" t="s">
        <v>2812</v>
      </c>
      <c r="D567" s="2">
        <v>10</v>
      </c>
      <c r="E567" s="2" t="s">
        <v>785</v>
      </c>
      <c r="F567" s="2">
        <v>2834</v>
      </c>
      <c r="G567" s="2">
        <v>-1119</v>
      </c>
      <c r="H567" s="2">
        <v>103</v>
      </c>
      <c r="J567" t="str">
        <f>"{ name: "&amp;CHAR(34)&amp;B567&amp;CHAR(34)&amp;", landmark: "&amp;CHAR(34)&amp;IF(LEN(C567)=LEN(SUBSTITUTE(C567,"Transport","")),"Korok x1","Korok x2")&amp;CHAR(34)&amp;", type: "&amp;CHAR(34)&amp;C567&amp;CHAR(34)&amp;", region: "&amp;D567&amp;", level: "&amp;CHAR(34)&amp;E567&amp;CHAR(34)&amp;", x: "&amp;F567&amp;", y: "&amp;G567&amp;", z: "&amp;H567&amp;", details: "&amp;CHAR(34)&amp;I567&amp;CHAR(34)&amp;" },"</f>
        <v>{ name: "Lanayru Promenade Korok #03", landmark: "Korok x1", type: "Lift the Rock", region: 10, level: "Surface", x: 2834, y: -1119, z: 103, details: "" },</v>
      </c>
    </row>
    <row r="568" spans="1:10" x14ac:dyDescent="0.2">
      <c r="A568" s="2">
        <v>559</v>
      </c>
      <c r="B568" s="34" t="s">
        <v>3586</v>
      </c>
      <c r="C568" t="s">
        <v>2814</v>
      </c>
      <c r="D568" s="2">
        <v>10</v>
      </c>
      <c r="E568" s="2" t="s">
        <v>785</v>
      </c>
      <c r="F568" s="2">
        <v>2240</v>
      </c>
      <c r="G568" s="2">
        <v>-726</v>
      </c>
      <c r="H568" s="2">
        <v>233</v>
      </c>
      <c r="J568" t="str">
        <f>"{ name: "&amp;CHAR(34)&amp;B568&amp;CHAR(34)&amp;", landmark: "&amp;CHAR(34)&amp;IF(LEN(C568)=LEN(SUBSTITUTE(C568,"Transport","")),"Korok x1","Korok x2")&amp;CHAR(34)&amp;", type: "&amp;CHAR(34)&amp;C568&amp;CHAR(34)&amp;", region: "&amp;D568&amp;", level: "&amp;CHAR(34)&amp;E568&amp;CHAR(34)&amp;", x: "&amp;F568&amp;", y: "&amp;G568&amp;", z: "&amp;H568&amp;", details: "&amp;CHAR(34)&amp;I568&amp;CHAR(34)&amp;" },"</f>
        <v>{ name: "Lanayru Road West Gate Korok", landmark: "Korok x1", type: "Make Offering to Statue", region: 10, level: "Surface", x: 2240, y: -726, z: 233, details: "" },</v>
      </c>
    </row>
    <row r="569" spans="1:10" x14ac:dyDescent="0.2">
      <c r="A569" s="2">
        <v>580</v>
      </c>
      <c r="B569" s="34" t="s">
        <v>3601</v>
      </c>
      <c r="C569" t="s">
        <v>2825</v>
      </c>
      <c r="D569" s="2">
        <v>10</v>
      </c>
      <c r="E569" s="2" t="s">
        <v>785</v>
      </c>
      <c r="F569" s="2">
        <v>2397</v>
      </c>
      <c r="G569" s="2">
        <v>-1847</v>
      </c>
      <c r="H569" s="2">
        <v>24</v>
      </c>
      <c r="J569" t="str">
        <f>"{ name: "&amp;CHAR(34)&amp;B569&amp;CHAR(34)&amp;", landmark: "&amp;CHAR(34)&amp;IF(LEN(C569)=LEN(SUBSTITUTE(C569,"Transport","")),"Korok x1","Korok x2")&amp;CHAR(34)&amp;", type: "&amp;CHAR(34)&amp;C569&amp;CHAR(34)&amp;", region: "&amp;D569&amp;", level: "&amp;CHAR(34)&amp;E569&amp;CHAR(34)&amp;", x: "&amp;F569&amp;", y: "&amp;G569&amp;", z: "&amp;H569&amp;", details: "&amp;CHAR(34)&amp;I569&amp;CHAR(34)&amp;" },"</f>
        <v>{ name: "Lodge Korok", landmark: "Korok x1", type: "Climb and Examine the Fairy Lights", region: 10, level: "Surface", x: 2397, y: -1847, z: 24, details: "" },</v>
      </c>
    </row>
    <row r="570" spans="1:10" x14ac:dyDescent="0.2">
      <c r="A570" s="2">
        <v>593</v>
      </c>
      <c r="B570" s="34" t="s">
        <v>3614</v>
      </c>
      <c r="C570" t="s">
        <v>2801</v>
      </c>
      <c r="D570" s="2">
        <v>10</v>
      </c>
      <c r="E570" s="2" t="s">
        <v>785</v>
      </c>
      <c r="F570" s="2">
        <v>1291</v>
      </c>
      <c r="G570" s="2">
        <v>-1331</v>
      </c>
      <c r="H570" s="2">
        <v>165</v>
      </c>
      <c r="J570" t="str">
        <f>"{ name: "&amp;CHAR(34)&amp;B570&amp;CHAR(34)&amp;", landmark: "&amp;CHAR(34)&amp;IF(LEN(C570)=LEN(SUBSTITUTE(C570,"Transport","")),"Korok x1","Korok x2")&amp;CHAR(34)&amp;", type: "&amp;CHAR(34)&amp;C570&amp;CHAR(34)&amp;", region: "&amp;D570&amp;", level: "&amp;CHAR(34)&amp;E570&amp;CHAR(34)&amp;", x: "&amp;F570&amp;", y: "&amp;G570&amp;", z: "&amp;H570&amp;", details: "&amp;CHAR(34)&amp;I570&amp;CHAR(34)&amp;" },"</f>
        <v>{ name: "Mable Ridge Korok", landmark: "Korok x1", type: "Break the Acorn Pot", region: 10, level: "Surface", x: 1291, y: -1331, z: 165, details: "" },</v>
      </c>
    </row>
    <row r="571" spans="1:10" x14ac:dyDescent="0.2">
      <c r="A571" s="2">
        <v>572</v>
      </c>
      <c r="B571" s="34" t="s">
        <v>3634</v>
      </c>
      <c r="C571" t="s">
        <v>2809</v>
      </c>
      <c r="D571" s="2">
        <v>10</v>
      </c>
      <c r="E571" s="2" t="s">
        <v>785</v>
      </c>
      <c r="F571" s="2">
        <v>1305</v>
      </c>
      <c r="G571" s="2">
        <v>-180</v>
      </c>
      <c r="H571" s="2">
        <v>6</v>
      </c>
      <c r="J571" t="str">
        <f>"{ name: "&amp;CHAR(34)&amp;B571&amp;CHAR(34)&amp;", landmark: "&amp;CHAR(34)&amp;IF(LEN(C571)=LEN(SUBSTITUTE(C571,"Transport","")),"Korok x1","Korok x2")&amp;CHAR(34)&amp;", type: "&amp;CHAR(34)&amp;C571&amp;CHAR(34)&amp;", region: "&amp;D571&amp;", level: "&amp;CHAR(34)&amp;E571&amp;CHAR(34)&amp;", x: "&amp;F571&amp;", y: "&amp;G571&amp;", z: "&amp;H571&amp;", details: "&amp;CHAR(34)&amp;I571&amp;CHAR(34)&amp;" },"</f>
        <v>{ name: "Millennio Sandbar Korok #01", landmark: "Korok x1", type: "Dive into the Lily Ring", region: 10, level: "Surface", x: 1305, y: -180, z: 6, details: "" },</v>
      </c>
    </row>
    <row r="572" spans="1:10" x14ac:dyDescent="0.2">
      <c r="A572" s="2">
        <v>573</v>
      </c>
      <c r="B572" s="34" t="s">
        <v>3635</v>
      </c>
      <c r="C572" t="s">
        <v>2595</v>
      </c>
      <c r="D572" s="2">
        <v>10</v>
      </c>
      <c r="E572" s="2" t="s">
        <v>785</v>
      </c>
      <c r="F572" s="2">
        <v>1442</v>
      </c>
      <c r="G572" s="2">
        <v>-537</v>
      </c>
      <c r="H572" s="2">
        <v>16</v>
      </c>
      <c r="J572" t="str">
        <f>"{ name: "&amp;CHAR(34)&amp;B572&amp;CHAR(34)&amp;", landmark: "&amp;CHAR(34)&amp;IF(LEN(C572)=LEN(SUBSTITUTE(C572,"Transport","")),"Korok x1","Korok x2")&amp;CHAR(34)&amp;", type: "&amp;CHAR(34)&amp;C572&amp;CHAR(34)&amp;", region: "&amp;D572&amp;", level: "&amp;CHAR(34)&amp;E572&amp;CHAR(34)&amp;", x: "&amp;F572&amp;", y: "&amp;G572&amp;", z: "&amp;H572&amp;", details: "&amp;CHAR(34)&amp;I572&amp;CHAR(34)&amp;" },"</f>
        <v>{ name: "Millennio Sandbar Korok #02", landmark: "Korok x1", type: "Attack and catch the dandelion", region: 10, level: "Surface", x: 1442, y: -537, z: 16, details: "" },</v>
      </c>
    </row>
    <row r="573" spans="1:10" x14ac:dyDescent="0.2">
      <c r="A573" s="2">
        <v>575</v>
      </c>
      <c r="B573" s="34" t="s">
        <v>3636</v>
      </c>
      <c r="C573" t="s">
        <v>2812</v>
      </c>
      <c r="D573" s="2">
        <v>10</v>
      </c>
      <c r="E573" s="2" t="s">
        <v>785</v>
      </c>
      <c r="F573" s="2">
        <v>1825</v>
      </c>
      <c r="G573" s="2">
        <v>-460</v>
      </c>
      <c r="H573" s="2">
        <v>13</v>
      </c>
      <c r="J573" t="str">
        <f>"{ name: "&amp;CHAR(34)&amp;B573&amp;CHAR(34)&amp;", landmark: "&amp;CHAR(34)&amp;IF(LEN(C573)=LEN(SUBSTITUTE(C573,"Transport","")),"Korok x1","Korok x2")&amp;CHAR(34)&amp;", type: "&amp;CHAR(34)&amp;C573&amp;CHAR(34)&amp;", region: "&amp;D573&amp;", level: "&amp;CHAR(34)&amp;E573&amp;CHAR(34)&amp;", x: "&amp;F573&amp;", y: "&amp;G573&amp;", z: "&amp;H573&amp;", details: "&amp;CHAR(34)&amp;I573&amp;CHAR(34)&amp;" },"</f>
        <v>{ name: "Millennio Sandbar Korok #03", landmark: "Korok x1", type: "Lift the Rock", region: 10, level: "Surface", x: 1825, y: -460, z: 13, details: "" },</v>
      </c>
    </row>
    <row r="574" spans="1:10" x14ac:dyDescent="0.2">
      <c r="A574" s="2">
        <v>553</v>
      </c>
      <c r="B574" s="34" t="s">
        <v>3639</v>
      </c>
      <c r="C574" t="s">
        <v>2804</v>
      </c>
      <c r="D574" s="2">
        <v>10</v>
      </c>
      <c r="E574" s="2" t="s">
        <v>785</v>
      </c>
      <c r="F574" s="2">
        <v>1397</v>
      </c>
      <c r="G574" s="2">
        <v>128</v>
      </c>
      <c r="H574" s="2">
        <v>27</v>
      </c>
      <c r="J574" t="str">
        <f>"{ name: "&amp;CHAR(34)&amp;B574&amp;CHAR(34)&amp;", landmark: "&amp;CHAR(34)&amp;IF(LEN(C574)=LEN(SUBSTITUTE(C574,"Transport","")),"Korok x1","Korok x2")&amp;CHAR(34)&amp;", type: "&amp;CHAR(34)&amp;C574&amp;CHAR(34)&amp;", region: "&amp;D574&amp;", level: "&amp;CHAR(34)&amp;E574&amp;CHAR(34)&amp;", x: "&amp;F574&amp;", y: "&amp;G574&amp;", z: "&amp;H574&amp;", details: "&amp;CHAR(34)&amp;I574&amp;CHAR(34)&amp;" },"</f>
        <v>{ name: "Moor Garrison Ruins Korok #01", landmark: "Korok x1", type: "Burn the Leaves", region: 10, level: "Surface", x: 1397, y: 128, z: 27, details: "" },</v>
      </c>
    </row>
    <row r="575" spans="1:10" x14ac:dyDescent="0.2">
      <c r="A575" s="2">
        <v>566</v>
      </c>
      <c r="B575" s="34" t="s">
        <v>3640</v>
      </c>
      <c r="C575" t="s">
        <v>2821</v>
      </c>
      <c r="D575" s="2">
        <v>10</v>
      </c>
      <c r="E575" s="2" t="s">
        <v>785</v>
      </c>
      <c r="F575" s="2">
        <v>1515</v>
      </c>
      <c r="G575" s="2">
        <v>292</v>
      </c>
      <c r="H575" s="2">
        <v>36</v>
      </c>
      <c r="J575" t="str">
        <f>"{ name: "&amp;CHAR(34)&amp;B575&amp;CHAR(34)&amp;", landmark: "&amp;CHAR(34)&amp;IF(LEN(C575)=LEN(SUBSTITUTE(C575,"Transport","")),"Korok x1","Korok x2")&amp;CHAR(34)&amp;", type: "&amp;CHAR(34)&amp;C575&amp;CHAR(34)&amp;", region: "&amp;D575&amp;", level: "&amp;CHAR(34)&amp;E575&amp;CHAR(34)&amp;", x: "&amp;F575&amp;", y: "&amp;G575&amp;", z: "&amp;H575&amp;", details: "&amp;CHAR(34)&amp;I575&amp;CHAR(34)&amp;" },"</f>
        <v>{ name: "Moor Garrison Ruins Korok #02", landmark: "Korok x1", type: "Shoot the Balloons", region: 10, level: "Surface", x: 1515, y: 292, z: 36, details: "" },</v>
      </c>
    </row>
    <row r="576" spans="1:10" x14ac:dyDescent="0.2">
      <c r="A576" s="2">
        <v>42</v>
      </c>
      <c r="B576" s="34" t="s">
        <v>3697</v>
      </c>
      <c r="C576" t="s">
        <v>2806</v>
      </c>
      <c r="D576" s="2">
        <v>10</v>
      </c>
      <c r="E576" s="2" t="s">
        <v>783</v>
      </c>
      <c r="F576" s="2">
        <v>1776</v>
      </c>
      <c r="G576" s="2">
        <v>-939</v>
      </c>
      <c r="H576" s="2">
        <v>917</v>
      </c>
      <c r="J576" t="str">
        <f>"{ name: "&amp;CHAR(34)&amp;B576&amp;CHAR(34)&amp;", landmark: "&amp;CHAR(34)&amp;IF(LEN(C576)=LEN(SUBSTITUTE(C576,"Transport","")),"Korok x1","Korok x2")&amp;CHAR(34)&amp;", type: "&amp;CHAR(34)&amp;C576&amp;CHAR(34)&amp;", region: "&amp;D576&amp;", level: "&amp;CHAR(34)&amp;E576&amp;CHAR(34)&amp;", x: "&amp;F576&amp;", y: "&amp;G576&amp;", z: "&amp;H576&amp;", details: "&amp;CHAR(34)&amp;I576&amp;CHAR(34)&amp;" },"</f>
        <v>{ name: "North Necluda Sky Archipelago Korok", landmark: "Korok x1", type: "Catch the Dandelion", region: 10, level: "Sky", x: 1776, y: -939, z: 917, details: "" },</v>
      </c>
    </row>
    <row r="577" spans="1:10" x14ac:dyDescent="0.2">
      <c r="A577" s="2">
        <v>577</v>
      </c>
      <c r="B577" s="34" t="s">
        <v>3698</v>
      </c>
      <c r="C577" t="s">
        <v>2815</v>
      </c>
      <c r="D577" s="2">
        <v>10</v>
      </c>
      <c r="E577" s="2" t="s">
        <v>785</v>
      </c>
      <c r="F577" s="2">
        <v>2295</v>
      </c>
      <c r="G577" s="2">
        <v>-1511</v>
      </c>
      <c r="H577" s="2">
        <v>70</v>
      </c>
      <c r="J577" t="str">
        <f>"{ name: "&amp;CHAR(34)&amp;B577&amp;CHAR(34)&amp;", landmark: "&amp;CHAR(34)&amp;IF(LEN(C577)=LEN(SUBSTITUTE(C577,"Transport","")),"Korok x1","Korok x2")&amp;CHAR(34)&amp;", type: "&amp;CHAR(34)&amp;C577&amp;CHAR(34)&amp;", region: "&amp;D577&amp;", level: "&amp;CHAR(34)&amp;E577&amp;CHAR(34)&amp;", x: "&amp;F577&amp;", y: "&amp;G577&amp;", z: "&amp;H577&amp;", details: "&amp;CHAR(34)&amp;I577&amp;CHAR(34)&amp;" },"</f>
        <v>{ name: "North of Fort Hateno Korok", landmark: "Korok x1", type: "Place the Boulder", region: 10, level: "Surface", x: 2295, y: -1511, z: 70, details: "" },</v>
      </c>
    </row>
    <row r="578" spans="1:10" x14ac:dyDescent="0.2">
      <c r="A578" s="2">
        <v>543</v>
      </c>
      <c r="B578" s="34" t="s">
        <v>3716</v>
      </c>
      <c r="C578" t="s">
        <v>2802</v>
      </c>
      <c r="D578" s="2">
        <v>10</v>
      </c>
      <c r="E578" s="2" t="s">
        <v>785</v>
      </c>
      <c r="F578" s="2">
        <v>432</v>
      </c>
      <c r="G578" s="2">
        <v>597</v>
      </c>
      <c r="H578" s="2">
        <v>10</v>
      </c>
      <c r="I578" t="s">
        <v>2619</v>
      </c>
      <c r="J578" t="str">
        <f>"{ name: "&amp;CHAR(34)&amp;B578&amp;CHAR(34)&amp;", landmark: "&amp;CHAR(34)&amp;IF(LEN(C578)=LEN(SUBSTITUTE(C578,"Transport","")),"Korok x1","Korok x2")&amp;CHAR(34)&amp;", type: "&amp;CHAR(34)&amp;C578&amp;CHAR(34)&amp;", region: "&amp;D578&amp;", level: "&amp;CHAR(34)&amp;E578&amp;CHAR(34)&amp;", x: "&amp;F578&amp;", y: "&amp;G578&amp;", z: "&amp;H578&amp;", details: "&amp;CHAR(34)&amp;I578&amp;CHAR(34)&amp;" },"</f>
        <v>{ name: "Orsedd Bridge Korok #01", landmark: "Korok x2", type: "Transport to Friend", region: 10, level: "Surface", x: 432, y: 597, z: 10, details: "Starts at (434, 484, 30)" },</v>
      </c>
    </row>
    <row r="579" spans="1:10" x14ac:dyDescent="0.2">
      <c r="A579" s="2">
        <v>544</v>
      </c>
      <c r="B579" s="34" t="s">
        <v>3717</v>
      </c>
      <c r="C579" t="s">
        <v>2809</v>
      </c>
      <c r="D579" s="2">
        <v>10</v>
      </c>
      <c r="E579" s="2" t="s">
        <v>785</v>
      </c>
      <c r="F579" s="2">
        <v>546</v>
      </c>
      <c r="G579" s="2">
        <v>512</v>
      </c>
      <c r="H579" s="2">
        <v>6</v>
      </c>
      <c r="J579" t="str">
        <f>"{ name: "&amp;CHAR(34)&amp;B579&amp;CHAR(34)&amp;", landmark: "&amp;CHAR(34)&amp;IF(LEN(C579)=LEN(SUBSTITUTE(C579,"Transport","")),"Korok x1","Korok x2")&amp;CHAR(34)&amp;", type: "&amp;CHAR(34)&amp;C579&amp;CHAR(34)&amp;", region: "&amp;D579&amp;", level: "&amp;CHAR(34)&amp;E579&amp;CHAR(34)&amp;", x: "&amp;F579&amp;", y: "&amp;G579&amp;", z: "&amp;H579&amp;", details: "&amp;CHAR(34)&amp;I579&amp;CHAR(34)&amp;" },"</f>
        <v>{ name: "Orsedd Bridge Korok #02", landmark: "Korok x1", type: "Dive into the Lily Ring", region: 10, level: "Surface", x: 546, y: 512, z: 6, details: "" },</v>
      </c>
    </row>
    <row r="580" spans="1:10" x14ac:dyDescent="0.2">
      <c r="A580" s="2">
        <v>609</v>
      </c>
      <c r="B580" s="34" t="s">
        <v>3745</v>
      </c>
      <c r="C580" t="s">
        <v>2808</v>
      </c>
      <c r="D580" s="2">
        <v>10</v>
      </c>
      <c r="E580" s="2" t="s">
        <v>785</v>
      </c>
      <c r="F580" s="2">
        <v>2162</v>
      </c>
      <c r="G580" s="2">
        <v>-1036</v>
      </c>
      <c r="H580" s="2">
        <v>355</v>
      </c>
      <c r="J580" t="str">
        <f>"{ name: "&amp;CHAR(34)&amp;B580&amp;CHAR(34)&amp;", landmark: "&amp;CHAR(34)&amp;IF(LEN(C580)=LEN(SUBSTITUTE(C580,"Transport","")),"Korok x1","Korok x2")&amp;CHAR(34)&amp;", type: "&amp;CHAR(34)&amp;C580&amp;CHAR(34)&amp;", region: "&amp;D580&amp;", level: "&amp;CHAR(34)&amp;E580&amp;CHAR(34)&amp;", x: "&amp;F580&amp;", y: "&amp;G580&amp;", z: "&amp;H580&amp;", details: "&amp;CHAR(34)&amp;I580&amp;CHAR(34)&amp;" },"</f>
        <v>{ name: "Pierre Plateau Korok", landmark: "Korok x1", type: "Complete the Rock Pattern", region: 10, level: "Surface", x: 2162, y: -1036, z: 355, details: "" },</v>
      </c>
    </row>
    <row r="581" spans="1:10" x14ac:dyDescent="0.2">
      <c r="A581" s="2">
        <v>611</v>
      </c>
      <c r="B581" s="34" t="s">
        <v>3753</v>
      </c>
      <c r="C581" t="s">
        <v>2802</v>
      </c>
      <c r="D581" s="2">
        <v>10</v>
      </c>
      <c r="E581" s="2" t="s">
        <v>785</v>
      </c>
      <c r="F581" s="2">
        <v>1150</v>
      </c>
      <c r="G581" s="2">
        <v>-2282</v>
      </c>
      <c r="H581" s="2">
        <v>211</v>
      </c>
      <c r="I581" t="s">
        <v>2728</v>
      </c>
      <c r="J581" t="str">
        <f>"{ name: "&amp;CHAR(34)&amp;B581&amp;CHAR(34)&amp;", landmark: "&amp;CHAR(34)&amp;IF(LEN(C581)=LEN(SUBSTITUTE(C581,"Transport","")),"Korok x1","Korok x2")&amp;CHAR(34)&amp;", type: "&amp;CHAR(34)&amp;C581&amp;CHAR(34)&amp;", region: "&amp;D581&amp;", level: "&amp;CHAR(34)&amp;E581&amp;CHAR(34)&amp;", x: "&amp;F581&amp;", y: "&amp;G581&amp;", z: "&amp;H581&amp;", details: "&amp;CHAR(34)&amp;I581&amp;CHAR(34)&amp;" },"</f>
        <v>{ name: "Popla Foothills Korok #01", landmark: "Korok x2", type: "Transport to Friend", region: 10, level: "Surface", x: 1150, y: -2282, z: 211, details: "Starts at (770, -2141, 137)" },</v>
      </c>
    </row>
    <row r="582" spans="1:10" x14ac:dyDescent="0.2">
      <c r="A582" s="2">
        <v>558</v>
      </c>
      <c r="B582" s="34" t="s">
        <v>3763</v>
      </c>
      <c r="C582" t="s">
        <v>2822</v>
      </c>
      <c r="D582" s="2">
        <v>10</v>
      </c>
      <c r="E582" s="2" t="s">
        <v>785</v>
      </c>
      <c r="F582" s="2">
        <v>1982</v>
      </c>
      <c r="G582" s="2">
        <v>-449</v>
      </c>
      <c r="H582" s="2">
        <v>71</v>
      </c>
      <c r="J582" t="str">
        <f>"{ name: "&amp;CHAR(34)&amp;B582&amp;CHAR(34)&amp;", landmark: "&amp;CHAR(34)&amp;IF(LEN(C582)=LEN(SUBSTITUTE(C582,"Transport","")),"Korok x1","Korok x2")&amp;CHAR(34)&amp;", type: "&amp;CHAR(34)&amp;C582&amp;CHAR(34)&amp;", region: "&amp;D582&amp;", level: "&amp;CHAR(34)&amp;E582&amp;CHAR(34)&amp;", x: "&amp;F582&amp;", y: "&amp;G582&amp;", z: "&amp;H582&amp;", details: "&amp;CHAR(34)&amp;I582&amp;CHAR(34)&amp;" },"</f>
        <v>{ name: "Quatta's Shelf Korok", landmark: "Korok x1", type: "Shoot the Hidden Balloon", region: 10, level: "Surface", x: 1982, y: -449, z: 71, details: "" },</v>
      </c>
    </row>
    <row r="583" spans="1:10" x14ac:dyDescent="0.2">
      <c r="A583" s="2">
        <v>561</v>
      </c>
      <c r="B583" s="34" t="s">
        <v>3765</v>
      </c>
      <c r="C583" t="s">
        <v>2812</v>
      </c>
      <c r="D583" s="2">
        <v>10</v>
      </c>
      <c r="E583" s="2" t="s">
        <v>785</v>
      </c>
      <c r="F583" s="2">
        <v>2547</v>
      </c>
      <c r="G583" s="2">
        <v>-585</v>
      </c>
      <c r="H583" s="2">
        <v>121</v>
      </c>
      <c r="J583" t="str">
        <f>"{ name: "&amp;CHAR(34)&amp;B583&amp;CHAR(34)&amp;", landmark: "&amp;CHAR(34)&amp;IF(LEN(C583)=LEN(SUBSTITUTE(C583,"Transport","")),"Korok x1","Korok x2")&amp;CHAR(34)&amp;", type: "&amp;CHAR(34)&amp;C583&amp;CHAR(34)&amp;", region: "&amp;D583&amp;", level: "&amp;CHAR(34)&amp;E583&amp;CHAR(34)&amp;", x: "&amp;F583&amp;", y: "&amp;G583&amp;", z: "&amp;H583&amp;", details: "&amp;CHAR(34)&amp;I583&amp;CHAR(34)&amp;" },"</f>
        <v>{ name: "Rabia Plain Korok #01", landmark: "Korok x1", type: "Lift the Rock", region: 10, level: "Surface", x: 2547, y: -585, z: 121, details: "" },</v>
      </c>
    </row>
    <row r="584" spans="1:10" x14ac:dyDescent="0.2">
      <c r="A584" s="2">
        <v>562</v>
      </c>
      <c r="B584" s="34" t="s">
        <v>3766</v>
      </c>
      <c r="C584" t="s">
        <v>2801</v>
      </c>
      <c r="D584" s="2">
        <v>10</v>
      </c>
      <c r="E584" s="2" t="s">
        <v>785</v>
      </c>
      <c r="F584" s="2">
        <v>2638</v>
      </c>
      <c r="G584" s="2">
        <v>-368</v>
      </c>
      <c r="H584" s="2">
        <v>160</v>
      </c>
      <c r="J584" t="str">
        <f>"{ name: "&amp;CHAR(34)&amp;B584&amp;CHAR(34)&amp;", landmark: "&amp;CHAR(34)&amp;IF(LEN(C584)=LEN(SUBSTITUTE(C584,"Transport","")),"Korok x1","Korok x2")&amp;CHAR(34)&amp;", type: "&amp;CHAR(34)&amp;C584&amp;CHAR(34)&amp;", region: "&amp;D584&amp;", level: "&amp;CHAR(34)&amp;E584&amp;CHAR(34)&amp;", x: "&amp;F584&amp;", y: "&amp;G584&amp;", z: "&amp;H584&amp;", details: "&amp;CHAR(34)&amp;I584&amp;CHAR(34)&amp;" },"</f>
        <v>{ name: "Rabia Plain Korok #02", landmark: "Korok x1", type: "Break the Acorn Pot", region: 10, level: "Surface", x: 2638, y: -368, z: 160, details: "" },</v>
      </c>
    </row>
    <row r="585" spans="1:10" x14ac:dyDescent="0.2">
      <c r="A585" s="2">
        <v>563</v>
      </c>
      <c r="B585" s="34" t="s">
        <v>3767</v>
      </c>
      <c r="C585" t="s">
        <v>2802</v>
      </c>
      <c r="D585" s="2">
        <v>10</v>
      </c>
      <c r="E585" s="2" t="s">
        <v>785</v>
      </c>
      <c r="F585" s="2">
        <v>2760</v>
      </c>
      <c r="G585" s="2">
        <v>-583</v>
      </c>
      <c r="H585" s="2">
        <v>134</v>
      </c>
      <c r="I585" t="s">
        <v>2699</v>
      </c>
      <c r="J585" t="str">
        <f>"{ name: "&amp;CHAR(34)&amp;B585&amp;CHAR(34)&amp;", landmark: "&amp;CHAR(34)&amp;IF(LEN(C585)=LEN(SUBSTITUTE(C585,"Transport","")),"Korok x1","Korok x2")&amp;CHAR(34)&amp;", type: "&amp;CHAR(34)&amp;C585&amp;CHAR(34)&amp;", region: "&amp;D585&amp;", level: "&amp;CHAR(34)&amp;E585&amp;CHAR(34)&amp;", x: "&amp;F585&amp;", y: "&amp;G585&amp;", z: "&amp;H585&amp;", details: "&amp;CHAR(34)&amp;I585&amp;CHAR(34)&amp;" },"</f>
        <v>{ name: "Rabia Plain Korok #03", landmark: "Korok x2", type: "Transport to Friend", region: 10, level: "Surface", x: 2760, y: -583, z: 134, details: "Starts at (2689, -544, 112)" },</v>
      </c>
    </row>
    <row r="586" spans="1:10" x14ac:dyDescent="0.2">
      <c r="A586" s="2">
        <v>555</v>
      </c>
      <c r="B586" s="34" t="s">
        <v>3775</v>
      </c>
      <c r="C586" t="s">
        <v>2817</v>
      </c>
      <c r="D586" s="2">
        <v>10</v>
      </c>
      <c r="E586" s="2" t="s">
        <v>785</v>
      </c>
      <c r="F586" s="2">
        <v>838</v>
      </c>
      <c r="G586" s="2">
        <v>-30</v>
      </c>
      <c r="H586" s="2">
        <v>16</v>
      </c>
      <c r="I586" t="s">
        <v>2624</v>
      </c>
      <c r="J586" t="str">
        <f>"{ name: "&amp;CHAR(34)&amp;B586&amp;CHAR(34)&amp;", landmark: "&amp;CHAR(34)&amp;IF(LEN(C586)=LEN(SUBSTITUTE(C586,"Transport","")),"Korok x1","Korok x2")&amp;CHAR(34)&amp;", type: "&amp;CHAR(34)&amp;C586&amp;CHAR(34)&amp;", region: "&amp;D586&amp;", level: "&amp;CHAR(34)&amp;E586&amp;CHAR(34)&amp;", x: "&amp;F586&amp;", y: "&amp;G586&amp;", z: "&amp;H586&amp;", details: "&amp;CHAR(34)&amp;I586&amp;CHAR(34)&amp;" },"</f>
        <v>{ name: "Rebonae Bridge Korok #02", landmark: "Korok x1", type: "Reach the Target Ring", region: 10, level: "Surface", x: 838, y: -30, z: 16, details: "Starts at (809, -27, 11)" },</v>
      </c>
    </row>
    <row r="587" spans="1:10" x14ac:dyDescent="0.2">
      <c r="A587" s="2">
        <v>581</v>
      </c>
      <c r="B587" s="34" t="s">
        <v>3800</v>
      </c>
      <c r="C587" t="s">
        <v>2826</v>
      </c>
      <c r="D587" s="2">
        <v>10</v>
      </c>
      <c r="E587" s="2" t="s">
        <v>785</v>
      </c>
      <c r="F587" s="2">
        <v>2510</v>
      </c>
      <c r="G587" s="2">
        <v>-1573</v>
      </c>
      <c r="H587" s="2">
        <v>25</v>
      </c>
      <c r="J587" t="str">
        <f>"{ name: "&amp;CHAR(34)&amp;B587&amp;CHAR(34)&amp;", landmark: "&amp;CHAR(34)&amp;IF(LEN(C587)=LEN(SUBSTITUTE(C587,"Transport","")),"Korok x1","Korok x2")&amp;CHAR(34)&amp;", type: "&amp;CHAR(34)&amp;C587&amp;CHAR(34)&amp;", region: "&amp;D587&amp;", level: "&amp;CHAR(34)&amp;E587&amp;CHAR(34)&amp;", x: "&amp;F587&amp;", y: "&amp;G587&amp;", z: "&amp;H587&amp;", details: "&amp;CHAR(34)&amp;I587&amp;CHAR(34)&amp;" },"</f>
        <v>{ name: "Robred Dropoff Korok", landmark: "Korok x1", type: "Ascend Through the Marker", region: 10, level: "Surface", x: 2510, y: -1573, z: 25, details: "" },</v>
      </c>
    </row>
    <row r="588" spans="1:10" x14ac:dyDescent="0.2">
      <c r="A588" s="2">
        <v>570</v>
      </c>
      <c r="B588" s="34" t="s">
        <v>3818</v>
      </c>
      <c r="C588" t="s">
        <v>2801</v>
      </c>
      <c r="D588" s="2">
        <v>10</v>
      </c>
      <c r="E588" s="2" t="s">
        <v>785</v>
      </c>
      <c r="F588" s="2">
        <v>1116</v>
      </c>
      <c r="G588" s="2">
        <v>-732</v>
      </c>
      <c r="H588" s="2">
        <v>67</v>
      </c>
      <c r="J588" t="str">
        <f>"{ name: "&amp;CHAR(34)&amp;B588&amp;CHAR(34)&amp;", landmark: "&amp;CHAR(34)&amp;IF(LEN(C588)=LEN(SUBSTITUTE(C588,"Transport","")),"Korok x1","Korok x2")&amp;CHAR(34)&amp;", type: "&amp;CHAR(34)&amp;C588&amp;CHAR(34)&amp;", region: "&amp;D588&amp;", level: "&amp;CHAR(34)&amp;E588&amp;CHAR(34)&amp;", x: "&amp;F588&amp;", y: "&amp;G588&amp;", z: "&amp;H588&amp;", details: "&amp;CHAR(34)&amp;I588&amp;CHAR(34)&amp;" },"</f>
        <v>{ name: "Sahasra Slope Korok #01", landmark: "Korok x1", type: "Break the Acorn Pot", region: 10, level: "Surface", x: 1116, y: -732, z: 67, details: "" },</v>
      </c>
    </row>
    <row r="589" spans="1:10" x14ac:dyDescent="0.2">
      <c r="A589" s="2">
        <v>571</v>
      </c>
      <c r="B589" s="34" t="s">
        <v>3819</v>
      </c>
      <c r="C589" t="s">
        <v>2812</v>
      </c>
      <c r="D589" s="2">
        <v>10</v>
      </c>
      <c r="E589" s="2" t="s">
        <v>785</v>
      </c>
      <c r="F589" s="2">
        <v>1282</v>
      </c>
      <c r="G589" s="2">
        <v>-834</v>
      </c>
      <c r="H589" s="2">
        <v>78</v>
      </c>
      <c r="J589" t="str">
        <f>"{ name: "&amp;CHAR(34)&amp;B589&amp;CHAR(34)&amp;", landmark: "&amp;CHAR(34)&amp;IF(LEN(C589)=LEN(SUBSTITUTE(C589,"Transport","")),"Korok x1","Korok x2")&amp;CHAR(34)&amp;", type: "&amp;CHAR(34)&amp;C589&amp;CHAR(34)&amp;", region: "&amp;D589&amp;", level: "&amp;CHAR(34)&amp;E589&amp;CHAR(34)&amp;", x: "&amp;F589&amp;", y: "&amp;G589&amp;", z: "&amp;H589&amp;", details: "&amp;CHAR(34)&amp;I589&amp;CHAR(34)&amp;" },"</f>
        <v>{ name: "Sahasra Slope Korok #02", landmark: "Korok x1", type: "Lift the Rock", region: 10, level: "Surface", x: 1282, y: -834, z: 78, details: "" },</v>
      </c>
    </row>
    <row r="590" spans="1:10" x14ac:dyDescent="0.2">
      <c r="A590" s="2">
        <v>585</v>
      </c>
      <c r="B590" s="34" t="s">
        <v>3820</v>
      </c>
      <c r="C590" t="s">
        <v>2811</v>
      </c>
      <c r="D590" s="2">
        <v>10</v>
      </c>
      <c r="E590" s="2" t="s">
        <v>785</v>
      </c>
      <c r="F590" s="2">
        <v>1245</v>
      </c>
      <c r="G590" s="2">
        <v>-1037</v>
      </c>
      <c r="H590" s="2">
        <v>146</v>
      </c>
      <c r="I590" t="s">
        <v>2794</v>
      </c>
      <c r="J590" t="str">
        <f>"{ name: "&amp;CHAR(34)&amp;B590&amp;CHAR(34)&amp;", landmark: "&amp;CHAR(34)&amp;IF(LEN(C590)=LEN(SUBSTITUTE(C590,"Transport","")),"Korok x1","Korok x2")&amp;CHAR(34)&amp;", type: "&amp;CHAR(34)&amp;C590&amp;CHAR(34)&amp;", region: "&amp;D590&amp;", level: "&amp;CHAR(34)&amp;E590&amp;CHAR(34)&amp;", x: "&amp;F590&amp;", y: "&amp;G590&amp;", z: "&amp;H590&amp;", details: "&amp;CHAR(34)&amp;I590&amp;CHAR(34)&amp;" },"</f>
        <v>{ name: "Sahasra Slope Korok #03", landmark: "Korok x1", type: "Follow the Yellow Flowers", region: 10, level: "Surface", x: 1245, y: -1037, z: 146, details: "Starts at (1260, -1006, 153)" },</v>
      </c>
    </row>
    <row r="591" spans="1:10" x14ac:dyDescent="0.2">
      <c r="A591" s="2">
        <v>597</v>
      </c>
      <c r="B591" s="34" t="s">
        <v>3821</v>
      </c>
      <c r="C591" t="s">
        <v>2595</v>
      </c>
      <c r="D591" s="2">
        <v>10</v>
      </c>
      <c r="E591" s="2" t="s">
        <v>785</v>
      </c>
      <c r="F591" s="2">
        <v>1575</v>
      </c>
      <c r="G591" s="2">
        <v>-1045</v>
      </c>
      <c r="H591" s="2">
        <v>155</v>
      </c>
      <c r="J591" t="str">
        <f>"{ name: "&amp;CHAR(34)&amp;B591&amp;CHAR(34)&amp;", landmark: "&amp;CHAR(34)&amp;IF(LEN(C591)=LEN(SUBSTITUTE(C591,"Transport","")),"Korok x1","Korok x2")&amp;CHAR(34)&amp;", type: "&amp;CHAR(34)&amp;C591&amp;CHAR(34)&amp;", region: "&amp;D591&amp;", level: "&amp;CHAR(34)&amp;E591&amp;CHAR(34)&amp;", x: "&amp;F591&amp;", y: "&amp;G591&amp;", z: "&amp;H591&amp;", details: "&amp;CHAR(34)&amp;I591&amp;CHAR(34)&amp;" },"</f>
        <v>{ name: "Sahasra Slope Korok #04", landmark: "Korok x1", type: "Attack and catch the dandelion", region: 10, level: "Surface", x: 1575, y: -1045, z: 155, details: "" },</v>
      </c>
    </row>
    <row r="592" spans="1:10" x14ac:dyDescent="0.2">
      <c r="A592" s="2">
        <v>586</v>
      </c>
      <c r="B592" s="34" t="s">
        <v>3936</v>
      </c>
      <c r="C592" t="s">
        <v>2812</v>
      </c>
      <c r="D592" s="2">
        <v>10</v>
      </c>
      <c r="E592" s="2" t="s">
        <v>785</v>
      </c>
      <c r="F592" s="2">
        <v>1626</v>
      </c>
      <c r="G592" s="2">
        <v>-781</v>
      </c>
      <c r="H592" s="2">
        <v>40</v>
      </c>
      <c r="J592" t="str">
        <f>"{ name: "&amp;CHAR(34)&amp;B592&amp;CHAR(34)&amp;", landmark: "&amp;CHAR(34)&amp;IF(LEN(C592)=LEN(SUBSTITUTE(C592,"Transport","")),"Korok x1","Korok x2")&amp;CHAR(34)&amp;", type: "&amp;CHAR(34)&amp;C592&amp;CHAR(34)&amp;", region: "&amp;D592&amp;", level: "&amp;CHAR(34)&amp;E592&amp;CHAR(34)&amp;", x: "&amp;F592&amp;", y: "&amp;G592&amp;", z: "&amp;H592&amp;", details: "&amp;CHAR(34)&amp;I592&amp;CHAR(34)&amp;" },"</f>
        <v>{ name: "Telta Lake Korok", landmark: "Korok x1", type: "Lift the Rock", region: 10, level: "Surface", x: 1626, y: -781, z: 40, details: "" },</v>
      </c>
    </row>
    <row r="593" spans="1:10" x14ac:dyDescent="0.2">
      <c r="A593" s="2">
        <v>564</v>
      </c>
      <c r="B593" s="34" t="s">
        <v>3964</v>
      </c>
      <c r="C593" t="s">
        <v>2808</v>
      </c>
      <c r="D593" s="2">
        <v>10</v>
      </c>
      <c r="E593" s="2" t="s">
        <v>785</v>
      </c>
      <c r="F593" s="2">
        <v>3011</v>
      </c>
      <c r="G593" s="2">
        <v>-786</v>
      </c>
      <c r="H593" s="2">
        <v>147</v>
      </c>
      <c r="J593" t="str">
        <f>"{ name: "&amp;CHAR(34)&amp;B593&amp;CHAR(34)&amp;", landmark: "&amp;CHAR(34)&amp;IF(LEN(C593)=LEN(SUBSTITUTE(C593,"Transport","")),"Korok x1","Korok x2")&amp;CHAR(34)&amp;", type: "&amp;CHAR(34)&amp;C593&amp;CHAR(34)&amp;", region: "&amp;D593&amp;", level: "&amp;CHAR(34)&amp;E593&amp;CHAR(34)&amp;", x: "&amp;F593&amp;", y: "&amp;G593&amp;", z: "&amp;H593&amp;", details: "&amp;CHAR(34)&amp;I593&amp;CHAR(34)&amp;" },"</f>
        <v>{ name: "Trotter's Downfall Korok", landmark: "Korok x1", type: "Complete the Rock Pattern", region: 10, level: "Surface", x: 3011, y: -786, z: 147, details: "" },</v>
      </c>
    </row>
    <row r="594" spans="1:10" x14ac:dyDescent="0.2">
      <c r="A594" s="2">
        <v>47</v>
      </c>
      <c r="B594" s="34" t="s">
        <v>4012</v>
      </c>
      <c r="C594" t="s">
        <v>2808</v>
      </c>
      <c r="D594" s="2">
        <v>10</v>
      </c>
      <c r="E594" s="2" t="s">
        <v>783</v>
      </c>
      <c r="F594" s="2">
        <v>1677</v>
      </c>
      <c r="G594" s="2">
        <v>-1898</v>
      </c>
      <c r="H594" s="2">
        <v>694</v>
      </c>
      <c r="J594" t="str">
        <f>"{ name: "&amp;CHAR(34)&amp;B594&amp;CHAR(34)&amp;", landmark: "&amp;CHAR(34)&amp;IF(LEN(C594)=LEN(SUBSTITUTE(C594,"Transport","")),"Korok x1","Korok x2")&amp;CHAR(34)&amp;", type: "&amp;CHAR(34)&amp;C594&amp;CHAR(34)&amp;", region: "&amp;D594&amp;", level: "&amp;CHAR(34)&amp;E594&amp;CHAR(34)&amp;", x: "&amp;F594&amp;", y: "&amp;G594&amp;", z: "&amp;H594&amp;", details: "&amp;CHAR(34)&amp;I594&amp;CHAR(34)&amp;" },"</f>
        <v>{ name: "West Necluda Sky Archipelago Korok #01", landmark: "Korok x1", type: "Complete the Rock Pattern", region: 10, level: "Sky", x: 1677, y: -1898, z: 694, details: "" },</v>
      </c>
    </row>
    <row r="595" spans="1:10" x14ac:dyDescent="0.2">
      <c r="A595" s="2">
        <v>48</v>
      </c>
      <c r="B595" s="34" t="s">
        <v>4013</v>
      </c>
      <c r="C595" t="s">
        <v>2827</v>
      </c>
      <c r="D595" s="2">
        <v>10</v>
      </c>
      <c r="E595" s="2" t="s">
        <v>783</v>
      </c>
      <c r="F595" s="2">
        <v>1337</v>
      </c>
      <c r="G595" s="2">
        <v>-2062</v>
      </c>
      <c r="H595" s="2">
        <v>595</v>
      </c>
      <c r="I595" t="s">
        <v>2739</v>
      </c>
      <c r="J595" t="str">
        <f>"{ name: "&amp;CHAR(34)&amp;B595&amp;CHAR(34)&amp;", landmark: "&amp;CHAR(34)&amp;IF(LEN(C595)=LEN(SUBSTITUTE(C595,"Transport","")),"Korok x1","Korok x2")&amp;CHAR(34)&amp;", type: "&amp;CHAR(34)&amp;C595&amp;CHAR(34)&amp;", region: "&amp;D595&amp;", level: "&amp;CHAR(34)&amp;E595&amp;CHAR(34)&amp;", x: "&amp;F595&amp;", y: "&amp;G595&amp;", z: "&amp;H595&amp;", details: "&amp;CHAR(34)&amp;I595&amp;CHAR(34)&amp;" },"</f>
        <v>{ name: "West Necluda Sky Archipelago Korok #02", landmark: "Korok x1", type: "Paraglide to the Goal", region: 10, level: "Sky", x: 1337, y: -2062, z: 595, details: "Starts at (1300, -1977, 629)" },</v>
      </c>
    </row>
    <row r="596" spans="1:10" x14ac:dyDescent="0.2">
      <c r="A596" s="2">
        <v>567</v>
      </c>
      <c r="B596" s="34" t="s">
        <v>4024</v>
      </c>
      <c r="C596" t="s">
        <v>2823</v>
      </c>
      <c r="D596" s="2">
        <v>10</v>
      </c>
      <c r="E596" s="2" t="s">
        <v>785</v>
      </c>
      <c r="F596" s="2">
        <v>821</v>
      </c>
      <c r="G596" s="2">
        <v>-330</v>
      </c>
      <c r="H596" s="2">
        <v>33</v>
      </c>
      <c r="J596" t="str">
        <f>"{ name: "&amp;CHAR(34)&amp;B596&amp;CHAR(34)&amp;", landmark: "&amp;CHAR(34)&amp;IF(LEN(C596)=LEN(SUBSTITUTE(C596,"Transport","")),"Korok x1","Korok x2")&amp;CHAR(34)&amp;", type: "&amp;CHAR(34)&amp;C596&amp;CHAR(34)&amp;", region: "&amp;D596&amp;", level: "&amp;CHAR(34)&amp;E596&amp;CHAR(34)&amp;", x: "&amp;F596&amp;", y: "&amp;G596&amp;", z: "&amp;H596&amp;", details: "&amp;CHAR(34)&amp;I596&amp;CHAR(34)&amp;" },"</f>
        <v>{ name: "Wetland Stable Korok #01", landmark: "Korok x1", type: "Examine Fairy Lights", region: 10, level: "Surface", x: 821, y: -330, z: 33, details: "" },</v>
      </c>
    </row>
    <row r="597" spans="1:10" x14ac:dyDescent="0.2">
      <c r="A597" s="2">
        <v>568</v>
      </c>
      <c r="B597" s="34" t="s">
        <v>4025</v>
      </c>
      <c r="C597" t="s">
        <v>2808</v>
      </c>
      <c r="D597" s="2">
        <v>10</v>
      </c>
      <c r="E597" s="2" t="s">
        <v>785</v>
      </c>
      <c r="F597" s="2">
        <v>929</v>
      </c>
      <c r="G597" s="2">
        <v>-366</v>
      </c>
      <c r="H597" s="2">
        <v>41</v>
      </c>
      <c r="J597" t="str">
        <f>"{ name: "&amp;CHAR(34)&amp;B597&amp;CHAR(34)&amp;", landmark: "&amp;CHAR(34)&amp;IF(LEN(C597)=LEN(SUBSTITUTE(C597,"Transport","")),"Korok x1","Korok x2")&amp;CHAR(34)&amp;", type: "&amp;CHAR(34)&amp;C597&amp;CHAR(34)&amp;", region: "&amp;D597&amp;", level: "&amp;CHAR(34)&amp;E597&amp;CHAR(34)&amp;", x: "&amp;F597&amp;", y: "&amp;G597&amp;", z: "&amp;H597&amp;", details: "&amp;CHAR(34)&amp;I597&amp;CHAR(34)&amp;" },"</f>
        <v>{ name: "Wetland Stable Korok #02", landmark: "Korok x1", type: "Complete the Rock Pattern", region: 10, level: "Surface", x: 929, y: -366, z: 41, details: "" },</v>
      </c>
    </row>
    <row r="598" spans="1:10" x14ac:dyDescent="0.2">
      <c r="A598" s="2">
        <v>569</v>
      </c>
      <c r="B598" s="34" t="s">
        <v>4026</v>
      </c>
      <c r="C598" t="s">
        <v>2802</v>
      </c>
      <c r="D598" s="2">
        <v>10</v>
      </c>
      <c r="E598" s="2" t="s">
        <v>785</v>
      </c>
      <c r="F598" s="2">
        <v>1196</v>
      </c>
      <c r="G598" s="2">
        <v>-649</v>
      </c>
      <c r="H598" s="2">
        <v>21</v>
      </c>
      <c r="I598" t="s">
        <v>2703</v>
      </c>
      <c r="J598" t="str">
        <f>"{ name: "&amp;CHAR(34)&amp;B598&amp;CHAR(34)&amp;", landmark: "&amp;CHAR(34)&amp;IF(LEN(C598)=LEN(SUBSTITUTE(C598,"Transport","")),"Korok x1","Korok x2")&amp;CHAR(34)&amp;", type: "&amp;CHAR(34)&amp;C598&amp;CHAR(34)&amp;", region: "&amp;D598&amp;", level: "&amp;CHAR(34)&amp;E598&amp;CHAR(34)&amp;", x: "&amp;F598&amp;", y: "&amp;G598&amp;", z: "&amp;H598&amp;", details: "&amp;CHAR(34)&amp;I598&amp;CHAR(34)&amp;" },"</f>
        <v>{ name: "Wetland Stable Korok #03", landmark: "Korok x2", type: "Transport to Friend", region: 10, level: "Surface", x: 1196, y: -649, z: 21, details: "Starts at (958, -203, 32)" },</v>
      </c>
    </row>
    <row r="599" spans="1:10" x14ac:dyDescent="0.2">
      <c r="A599" s="2">
        <v>557</v>
      </c>
      <c r="B599" s="34" t="s">
        <v>4037</v>
      </c>
      <c r="C599" t="s">
        <v>2802</v>
      </c>
      <c r="D599" s="2">
        <v>10</v>
      </c>
      <c r="E599" s="2" t="s">
        <v>785</v>
      </c>
      <c r="F599" s="2">
        <v>1686</v>
      </c>
      <c r="G599" s="2">
        <v>256</v>
      </c>
      <c r="H599" s="2">
        <v>17</v>
      </c>
      <c r="I599" t="s">
        <v>2691</v>
      </c>
      <c r="J599" t="str">
        <f>"{ name: "&amp;CHAR(34)&amp;B599&amp;CHAR(34)&amp;", landmark: "&amp;CHAR(34)&amp;IF(LEN(C599)=LEN(SUBSTITUTE(C599,"Transport","")),"Korok x1","Korok x2")&amp;CHAR(34)&amp;", type: "&amp;CHAR(34)&amp;C599&amp;CHAR(34)&amp;", region: "&amp;D599&amp;", level: "&amp;CHAR(34)&amp;E599&amp;CHAR(34)&amp;", x: "&amp;F599&amp;", y: "&amp;G599&amp;", z: "&amp;H599&amp;", details: "&amp;CHAR(34)&amp;I599&amp;CHAR(34)&amp;" },"</f>
        <v>{ name: "Zelo Pond Korok #01", landmark: "Korok x2", type: "Transport to Friend", region: 10, level: "Surface", x: 1686, y: 256, z: 17, details: "Starts at (1535, 510, 11)" },</v>
      </c>
    </row>
    <row r="600" spans="1:10" x14ac:dyDescent="0.2">
      <c r="A600" s="2">
        <v>565</v>
      </c>
      <c r="B600" s="34" t="s">
        <v>4038</v>
      </c>
      <c r="C600" t="s">
        <v>2801</v>
      </c>
      <c r="D600" s="2">
        <v>10</v>
      </c>
      <c r="E600" s="2" t="s">
        <v>785</v>
      </c>
      <c r="F600" s="2">
        <v>1483</v>
      </c>
      <c r="G600" s="2">
        <v>443</v>
      </c>
      <c r="H600" s="2">
        <v>12</v>
      </c>
      <c r="J600" t="str">
        <f>"{ name: "&amp;CHAR(34)&amp;B600&amp;CHAR(34)&amp;", landmark: "&amp;CHAR(34)&amp;IF(LEN(C600)=LEN(SUBSTITUTE(C600,"Transport","")),"Korok x1","Korok x2")&amp;CHAR(34)&amp;", type: "&amp;CHAR(34)&amp;C600&amp;CHAR(34)&amp;", region: "&amp;D600&amp;", level: "&amp;CHAR(34)&amp;E600&amp;CHAR(34)&amp;", x: "&amp;F600&amp;", y: "&amp;G600&amp;", z: "&amp;H600&amp;", details: "&amp;CHAR(34)&amp;I600&amp;CHAR(34)&amp;" },"</f>
        <v>{ name: "Zelo Pond Korok #02", landmark: "Korok x1", type: "Break the Acorn Pot", region: 10, level: "Surface", x: 1483, y: 443, z: 12, details: "" },</v>
      </c>
    </row>
    <row r="601" spans="1:10" x14ac:dyDescent="0.2">
      <c r="A601" s="2">
        <v>43</v>
      </c>
      <c r="B601" s="34" t="s">
        <v>4043</v>
      </c>
      <c r="C601" t="s">
        <v>2808</v>
      </c>
      <c r="D601" s="2">
        <v>10</v>
      </c>
      <c r="E601" s="2" t="s">
        <v>783</v>
      </c>
      <c r="F601" s="2">
        <v>2440</v>
      </c>
      <c r="G601" s="2">
        <v>-1722</v>
      </c>
      <c r="H601" s="2">
        <v>1445</v>
      </c>
      <c r="J601" t="str">
        <f>"{ name: "&amp;CHAR(34)&amp;B601&amp;CHAR(34)&amp;", landmark: "&amp;CHAR(34)&amp;IF(LEN(C601)=LEN(SUBSTITUTE(C601,"Transport","")),"Korok x1","Korok x2")&amp;CHAR(34)&amp;", type: "&amp;CHAR(34)&amp;C601&amp;CHAR(34)&amp;", region: "&amp;D601&amp;", level: "&amp;CHAR(34)&amp;E601&amp;CHAR(34)&amp;", x: "&amp;F601&amp;", y: "&amp;G601&amp;", z: "&amp;H601&amp;", details: "&amp;CHAR(34)&amp;I601&amp;CHAR(34)&amp;" },"</f>
        <v>{ name: "Zonaite Forge Island Korok #01", landmark: "Korok x1", type: "Complete the Rock Pattern", region: 10, level: "Sky", x: 2440, y: -1722, z: 1445, details: "" },</v>
      </c>
    </row>
    <row r="602" spans="1:10" x14ac:dyDescent="0.2">
      <c r="A602" s="2">
        <v>44</v>
      </c>
      <c r="B602" s="34" t="s">
        <v>4044</v>
      </c>
      <c r="C602" t="s">
        <v>2812</v>
      </c>
      <c r="D602" s="2">
        <v>10</v>
      </c>
      <c r="E602" s="2" t="s">
        <v>783</v>
      </c>
      <c r="F602" s="2">
        <v>2345</v>
      </c>
      <c r="G602" s="2">
        <v>-1753</v>
      </c>
      <c r="H602" s="2">
        <v>1886</v>
      </c>
      <c r="J602" t="str">
        <f>"{ name: "&amp;CHAR(34)&amp;B602&amp;CHAR(34)&amp;", landmark: "&amp;CHAR(34)&amp;IF(LEN(C602)=LEN(SUBSTITUTE(C602,"Transport","")),"Korok x1","Korok x2")&amp;CHAR(34)&amp;", type: "&amp;CHAR(34)&amp;C602&amp;CHAR(34)&amp;", region: "&amp;D602&amp;", level: "&amp;CHAR(34)&amp;E602&amp;CHAR(34)&amp;", x: "&amp;F602&amp;", y: "&amp;G602&amp;", z: "&amp;H602&amp;", details: "&amp;CHAR(34)&amp;I602&amp;CHAR(34)&amp;" },"</f>
        <v>{ name: "Zonaite Forge Island Korok #02", landmark: "Korok x1", type: "Lift the Rock", region: 10, level: "Sky", x: 2345, y: -1753, z: 1886, details: "" },</v>
      </c>
    </row>
    <row r="603" spans="1:10" x14ac:dyDescent="0.2">
      <c r="A603" s="2">
        <v>45</v>
      </c>
      <c r="B603" s="34" t="s">
        <v>4045</v>
      </c>
      <c r="C603" t="s">
        <v>2817</v>
      </c>
      <c r="D603" s="2">
        <v>10</v>
      </c>
      <c r="E603" s="2" t="s">
        <v>783</v>
      </c>
      <c r="F603" s="2">
        <v>2430</v>
      </c>
      <c r="G603" s="2">
        <v>-1783</v>
      </c>
      <c r="H603" s="2">
        <v>1518</v>
      </c>
      <c r="I603" t="s">
        <v>2599</v>
      </c>
      <c r="J603" t="str">
        <f>"{ name: "&amp;CHAR(34)&amp;B603&amp;CHAR(34)&amp;", landmark: "&amp;CHAR(34)&amp;IF(LEN(C603)=LEN(SUBSTITUTE(C603,"Transport","")),"Korok x1","Korok x2")&amp;CHAR(34)&amp;", type: "&amp;CHAR(34)&amp;C603&amp;CHAR(34)&amp;", region: "&amp;D603&amp;", level: "&amp;CHAR(34)&amp;E603&amp;CHAR(34)&amp;", x: "&amp;F603&amp;", y: "&amp;G603&amp;", z: "&amp;H603&amp;", details: "&amp;CHAR(34)&amp;I603&amp;CHAR(34)&amp;" },"</f>
        <v>{ name: "Zonaite Forge Island Korok #03", landmark: "Korok x1", type: "Reach the Target Ring", region: 10, level: "Sky", x: 2430, y: -1783, z: 1518, details: "Starts at (2409, -1821, 1570)" },</v>
      </c>
    </row>
    <row r="604" spans="1:10" x14ac:dyDescent="0.2">
      <c r="A604" s="2">
        <v>46</v>
      </c>
      <c r="B604" s="34" t="s">
        <v>4046</v>
      </c>
      <c r="C604" t="s">
        <v>2811</v>
      </c>
      <c r="D604" s="2">
        <v>10</v>
      </c>
      <c r="E604" s="2" t="s">
        <v>783</v>
      </c>
      <c r="F604" s="2">
        <v>2332</v>
      </c>
      <c r="G604" s="2">
        <v>-1827</v>
      </c>
      <c r="H604" s="2">
        <v>1717</v>
      </c>
      <c r="I604" t="s">
        <v>2738</v>
      </c>
      <c r="J604" t="str">
        <f>"{ name: "&amp;CHAR(34)&amp;B604&amp;CHAR(34)&amp;", landmark: "&amp;CHAR(34)&amp;IF(LEN(C604)=LEN(SUBSTITUTE(C604,"Transport","")),"Korok x1","Korok x2")&amp;CHAR(34)&amp;", type: "&amp;CHAR(34)&amp;C604&amp;CHAR(34)&amp;", region: "&amp;D604&amp;", level: "&amp;CHAR(34)&amp;E604&amp;CHAR(34)&amp;", x: "&amp;F604&amp;", y: "&amp;G604&amp;", z: "&amp;H604&amp;", details: "&amp;CHAR(34)&amp;I604&amp;CHAR(34)&amp;" },"</f>
        <v>{ name: "Zonaite Forge Island Korok #04", landmark: "Korok x1", type: "Follow the Yellow Flowers", region: 10, level: "Sky", x: 2332, y: -1827, z: 1717, details: "Starts at (2335, -1845, 1686)" },</v>
      </c>
    </row>
    <row r="605" spans="1:10" x14ac:dyDescent="0.2">
      <c r="A605" s="2">
        <v>615</v>
      </c>
      <c r="B605" s="34" t="s">
        <v>4634</v>
      </c>
      <c r="C605" t="s">
        <v>2815</v>
      </c>
      <c r="D605" s="2">
        <v>11</v>
      </c>
      <c r="E605" s="2" t="s">
        <v>785</v>
      </c>
      <c r="F605" s="2">
        <v>4396</v>
      </c>
      <c r="G605" s="2">
        <v>-1458</v>
      </c>
      <c r="H605" s="2">
        <v>71</v>
      </c>
      <c r="J605" t="str">
        <f>"{ name: "&amp;CHAR(34)&amp;B605&amp;CHAR(34)&amp;", landmark: "&amp;CHAR(34)&amp;IF(LEN(C605)=LEN(SUBSTITUTE(C605,"Transport","")),"Korok x1","Korok x2")&amp;CHAR(34)&amp;", type: "&amp;CHAR(34)&amp;C605&amp;CHAR(34)&amp;", region: "&amp;D605&amp;", level: "&amp;CHAR(34)&amp;E605&amp;CHAR(34)&amp;", x: "&amp;F605&amp;", y: "&amp;G605&amp;", z: "&amp;H605&amp;", details: "&amp;CHAR(34)&amp;I605&amp;CHAR(34)&amp;" },"</f>
        <v>{ name: "Afromsia Coast Korok #01", landmark: "Korok x1", type: "Place the Boulder", region: 11, level: "Surface", x: 4396, y: -1458, z: 71, details: "" },</v>
      </c>
    </row>
    <row r="606" spans="1:10" x14ac:dyDescent="0.2">
      <c r="A606" s="2">
        <v>618</v>
      </c>
      <c r="B606" s="34" t="s">
        <v>3158</v>
      </c>
      <c r="C606" t="s">
        <v>2811</v>
      </c>
      <c r="D606" s="2">
        <v>11</v>
      </c>
      <c r="E606" s="2" t="s">
        <v>785</v>
      </c>
      <c r="F606" s="2">
        <v>4506</v>
      </c>
      <c r="G606" s="2">
        <v>-1521</v>
      </c>
      <c r="H606" s="2">
        <v>2</v>
      </c>
      <c r="I606" t="s">
        <v>2790</v>
      </c>
      <c r="J606" t="str">
        <f>"{ name: "&amp;CHAR(34)&amp;B606&amp;CHAR(34)&amp;", landmark: "&amp;CHAR(34)&amp;IF(LEN(C606)=LEN(SUBSTITUTE(C606,"Transport","")),"Korok x1","Korok x2")&amp;CHAR(34)&amp;", type: "&amp;CHAR(34)&amp;C606&amp;CHAR(34)&amp;", region: "&amp;D606&amp;", level: "&amp;CHAR(34)&amp;E606&amp;CHAR(34)&amp;", x: "&amp;F606&amp;", y: "&amp;G606&amp;", z: "&amp;H606&amp;", details: "&amp;CHAR(34)&amp;I606&amp;CHAR(34)&amp;" },"</f>
        <v>{ name: "Afromsia Coast Korok #02", landmark: "Korok x1", type: "Follow the Yellow Flowers", region: 11, level: "Surface", x: 4506, y: -1521, z: 2, details: "Starts at (4526, -1515, 12)" },</v>
      </c>
    </row>
    <row r="607" spans="1:10" x14ac:dyDescent="0.2">
      <c r="A607" s="2">
        <v>640</v>
      </c>
      <c r="B607" s="34" t="s">
        <v>3222</v>
      </c>
      <c r="C607" t="s">
        <v>2827</v>
      </c>
      <c r="D607" s="2">
        <v>11</v>
      </c>
      <c r="E607" s="2" t="s">
        <v>785</v>
      </c>
      <c r="F607" s="2">
        <v>2976</v>
      </c>
      <c r="G607" s="2">
        <v>-2025</v>
      </c>
      <c r="H607" s="2">
        <v>20</v>
      </c>
      <c r="I607" t="s">
        <v>2792</v>
      </c>
      <c r="J607" t="str">
        <f>"{ name: "&amp;CHAR(34)&amp;B607&amp;CHAR(34)&amp;", landmark: "&amp;CHAR(34)&amp;IF(LEN(C607)=LEN(SUBSTITUTE(C607,"Transport","")),"Korok x1","Korok x2")&amp;CHAR(34)&amp;", type: "&amp;CHAR(34)&amp;C607&amp;CHAR(34)&amp;", region: "&amp;D607&amp;", level: "&amp;CHAR(34)&amp;E607&amp;CHAR(34)&amp;", x: "&amp;F607&amp;", y: "&amp;G607&amp;", z: "&amp;H607&amp;", details: "&amp;CHAR(34)&amp;I607&amp;CHAR(34)&amp;" },"</f>
        <v>{ name: "Camphor Pond Korok", landmark: "Korok x1", type: "Paraglide to the Goal", region: 11, level: "Surface", x: 2976, y: -2025, z: 20, details: "Starts at (3018, -2033, 50)" },</v>
      </c>
    </row>
    <row r="608" spans="1:10" x14ac:dyDescent="0.2">
      <c r="A608" s="2">
        <v>628</v>
      </c>
      <c r="B608" s="34" t="s">
        <v>3235</v>
      </c>
      <c r="C608" t="s">
        <v>2816</v>
      </c>
      <c r="D608" s="2">
        <v>11</v>
      </c>
      <c r="E608" s="2" t="s">
        <v>785</v>
      </c>
      <c r="F608" s="2">
        <v>2513</v>
      </c>
      <c r="G608" s="2">
        <v>-1866</v>
      </c>
      <c r="H608" s="2">
        <v>139</v>
      </c>
      <c r="J608" t="str">
        <f>"{ name: "&amp;CHAR(34)&amp;B608&amp;CHAR(34)&amp;", landmark: "&amp;CHAR(34)&amp;IF(LEN(C608)=LEN(SUBSTITUTE(C608,"Transport","")),"Korok x1","Korok x2")&amp;CHAR(34)&amp;", type: "&amp;CHAR(34)&amp;C608&amp;CHAR(34)&amp;", region: "&amp;D608&amp;", level: "&amp;CHAR(34)&amp;E608&amp;CHAR(34)&amp;", x: "&amp;F608&amp;", y: "&amp;G608&amp;", z: "&amp;H608&amp;", details: "&amp;CHAR(34)&amp;I608&amp;CHAR(34)&amp;" },"</f>
        <v>{ name: "Cliffs of Quince Korok #01", landmark: "Korok x1", type: "Pull the Plug", region: 11, level: "Surface", x: 2513, y: -1866, z: 139, details: "" },</v>
      </c>
    </row>
    <row r="609" spans="1:10" x14ac:dyDescent="0.2">
      <c r="A609" s="2">
        <v>629</v>
      </c>
      <c r="B609" s="34" t="s">
        <v>3236</v>
      </c>
      <c r="C609" t="s">
        <v>2822</v>
      </c>
      <c r="D609" s="2">
        <v>11</v>
      </c>
      <c r="E609" s="2" t="s">
        <v>785</v>
      </c>
      <c r="F609" s="2">
        <v>2528</v>
      </c>
      <c r="G609" s="2">
        <v>-1750</v>
      </c>
      <c r="H609" s="2">
        <v>45</v>
      </c>
      <c r="J609" t="str">
        <f>"{ name: "&amp;CHAR(34)&amp;B609&amp;CHAR(34)&amp;", landmark: "&amp;CHAR(34)&amp;IF(LEN(C609)=LEN(SUBSTITUTE(C609,"Transport","")),"Korok x1","Korok x2")&amp;CHAR(34)&amp;", type: "&amp;CHAR(34)&amp;C609&amp;CHAR(34)&amp;", region: "&amp;D609&amp;", level: "&amp;CHAR(34)&amp;E609&amp;CHAR(34)&amp;", x: "&amp;F609&amp;", y: "&amp;G609&amp;", z: "&amp;H609&amp;", details: "&amp;CHAR(34)&amp;I609&amp;CHAR(34)&amp;" },"</f>
        <v>{ name: "Cliffs of Quince Korok #02", landmark: "Korok x1", type: "Shoot the Hidden Balloon", region: 11, level: "Surface", x: 2528, y: -1750, z: 45, details: "" },</v>
      </c>
    </row>
    <row r="610" spans="1:10" x14ac:dyDescent="0.2">
      <c r="A610" s="2">
        <v>657</v>
      </c>
      <c r="B610" s="34" t="s">
        <v>3266</v>
      </c>
      <c r="C610" t="s">
        <v>2807</v>
      </c>
      <c r="D610" s="2">
        <v>11</v>
      </c>
      <c r="E610" s="2" t="s">
        <v>785</v>
      </c>
      <c r="F610" s="2">
        <v>4395</v>
      </c>
      <c r="G610" s="2">
        <v>-2415</v>
      </c>
      <c r="H610" s="2">
        <v>6</v>
      </c>
      <c r="J610" t="str">
        <f>"{ name: "&amp;CHAR(34)&amp;B610&amp;CHAR(34)&amp;", landmark: "&amp;CHAR(34)&amp;IF(LEN(C610)=LEN(SUBSTITUTE(C610,"Transport","")),"Korok x1","Korok x2")&amp;CHAR(34)&amp;", type: "&amp;CHAR(34)&amp;C610&amp;CHAR(34)&amp;", region: "&amp;D610&amp;", level: "&amp;CHAR(34)&amp;E610&amp;CHAR(34)&amp;", x: "&amp;F610&amp;", y: "&amp;G610&amp;", z: "&amp;H610&amp;", details: "&amp;CHAR(34)&amp;I610&amp;CHAR(34)&amp;" },"</f>
        <v>{ name: "Deepback Bay Korok", landmark: "Korok x1", type: "Complete the Cube Puzzle", region: 11, level: "Surface", x: 4395, y: -2415, z: 6, details: "" },</v>
      </c>
    </row>
    <row r="611" spans="1:10" x14ac:dyDescent="0.2">
      <c r="A611" s="2">
        <v>644</v>
      </c>
      <c r="B611" s="34" t="s">
        <v>3321</v>
      </c>
      <c r="C611" t="s">
        <v>2821</v>
      </c>
      <c r="D611" s="2">
        <v>11</v>
      </c>
      <c r="E611" s="2" t="s">
        <v>785</v>
      </c>
      <c r="F611" s="2">
        <v>3415</v>
      </c>
      <c r="G611" s="2">
        <v>-2381</v>
      </c>
      <c r="H611" s="2">
        <v>236</v>
      </c>
      <c r="J611" t="str">
        <f>"{ name: "&amp;CHAR(34)&amp;B611&amp;CHAR(34)&amp;", landmark: "&amp;CHAR(34)&amp;IF(LEN(C611)=LEN(SUBSTITUTE(C611,"Transport","")),"Korok x1","Korok x2")&amp;CHAR(34)&amp;", type: "&amp;CHAR(34)&amp;C611&amp;CHAR(34)&amp;", region: "&amp;D611&amp;", level: "&amp;CHAR(34)&amp;E611&amp;CHAR(34)&amp;", x: "&amp;F611&amp;", y: "&amp;G611&amp;", z: "&amp;H611&amp;", details: "&amp;CHAR(34)&amp;I611&amp;CHAR(34)&amp;" },"</f>
        <v>{ name: "Ebon Mountain Korok #01", landmark: "Korok x1", type: "Shoot the Balloons", region: 11, level: "Surface", x: 3415, y: -2381, z: 236, details: "" },</v>
      </c>
    </row>
    <row r="612" spans="1:10" x14ac:dyDescent="0.2">
      <c r="A612" s="2">
        <v>645</v>
      </c>
      <c r="B612" s="34" t="s">
        <v>3322</v>
      </c>
      <c r="C612" t="s">
        <v>2807</v>
      </c>
      <c r="D612" s="2">
        <v>11</v>
      </c>
      <c r="E612" s="2" t="s">
        <v>785</v>
      </c>
      <c r="F612" s="2">
        <v>3440</v>
      </c>
      <c r="G612" s="2">
        <v>-2517</v>
      </c>
      <c r="H612" s="2">
        <v>213</v>
      </c>
      <c r="J612" t="str">
        <f>"{ name: "&amp;CHAR(34)&amp;B612&amp;CHAR(34)&amp;", landmark: "&amp;CHAR(34)&amp;IF(LEN(C612)=LEN(SUBSTITUTE(C612,"Transport","")),"Korok x1","Korok x2")&amp;CHAR(34)&amp;", type: "&amp;CHAR(34)&amp;C612&amp;CHAR(34)&amp;", region: "&amp;D612&amp;", level: "&amp;CHAR(34)&amp;E612&amp;CHAR(34)&amp;", x: "&amp;F612&amp;", y: "&amp;G612&amp;", z: "&amp;H612&amp;", details: "&amp;CHAR(34)&amp;I612&amp;CHAR(34)&amp;" },"</f>
        <v>{ name: "Ebon Mountain Korok #02", landmark: "Korok x1", type: "Complete the Cube Puzzle", region: 11, level: "Surface", x: 3440, y: -2517, z: 213, details: "" },</v>
      </c>
    </row>
    <row r="613" spans="1:10" x14ac:dyDescent="0.2">
      <c r="A613" s="2">
        <v>630</v>
      </c>
      <c r="B613" s="34" t="s">
        <v>3335</v>
      </c>
      <c r="C613" t="s">
        <v>2809</v>
      </c>
      <c r="D613" s="2">
        <v>11</v>
      </c>
      <c r="E613" s="2" t="s">
        <v>785</v>
      </c>
      <c r="F613" s="2">
        <v>2801</v>
      </c>
      <c r="G613" s="2">
        <v>-1848</v>
      </c>
      <c r="H613" s="2">
        <v>6</v>
      </c>
      <c r="J613" t="str">
        <f>"{ name: "&amp;CHAR(34)&amp;B613&amp;CHAR(34)&amp;", landmark: "&amp;CHAR(34)&amp;IF(LEN(C613)=LEN(SUBSTITUTE(C613,"Transport","")),"Korok x1","Korok x2")&amp;CHAR(34)&amp;", type: "&amp;CHAR(34)&amp;C613&amp;CHAR(34)&amp;", region: "&amp;D613&amp;", level: "&amp;CHAR(34)&amp;E613&amp;CHAR(34)&amp;", x: "&amp;F613&amp;", y: "&amp;G613&amp;", z: "&amp;H613&amp;", details: "&amp;CHAR(34)&amp;I613&amp;CHAR(34)&amp;" },"</f>
        <v>{ name: "Fir River Korok", landmark: "Korok x1", type: "Dive into the Lily Ring", region: 11, level: "Surface", x: 2801, y: -1848, z: 6, details: "" },</v>
      </c>
    </row>
    <row r="614" spans="1:10" x14ac:dyDescent="0.2">
      <c r="A614" s="2">
        <v>642</v>
      </c>
      <c r="B614" s="34" t="s">
        <v>3337</v>
      </c>
      <c r="C614" t="s">
        <v>2812</v>
      </c>
      <c r="D614" s="2">
        <v>11</v>
      </c>
      <c r="E614" s="2" t="s">
        <v>785</v>
      </c>
      <c r="F614" s="2">
        <v>3264</v>
      </c>
      <c r="G614" s="2">
        <v>-2226</v>
      </c>
      <c r="H614" s="2">
        <v>107</v>
      </c>
      <c r="J614" t="str">
        <f>"{ name: "&amp;CHAR(34)&amp;B614&amp;CHAR(34)&amp;", landmark: "&amp;CHAR(34)&amp;IF(LEN(C614)=LEN(SUBSTITUTE(C614,"Transport","")),"Korok x1","Korok x2")&amp;CHAR(34)&amp;", type: "&amp;CHAR(34)&amp;C614&amp;CHAR(34)&amp;", region: "&amp;D614&amp;", level: "&amp;CHAR(34)&amp;E614&amp;CHAR(34)&amp;", x: "&amp;F614&amp;", y: "&amp;G614&amp;", z: "&amp;H614&amp;", details: "&amp;CHAR(34)&amp;I614&amp;CHAR(34)&amp;" },"</f>
        <v>{ name: "Firly Pond Korok", landmark: "Korok x1", type: "Lift the Rock", region: 11, level: "Surface", x: 3264, y: -2226, z: 107, details: "" },</v>
      </c>
    </row>
    <row r="615" spans="1:10" x14ac:dyDescent="0.2">
      <c r="A615" s="2">
        <v>648</v>
      </c>
      <c r="B615" s="34" t="s">
        <v>3428</v>
      </c>
      <c r="C615" t="s">
        <v>2825</v>
      </c>
      <c r="D615" s="2">
        <v>11</v>
      </c>
      <c r="E615" s="2" t="s">
        <v>785</v>
      </c>
      <c r="F615" s="2">
        <v>3782</v>
      </c>
      <c r="G615" s="2">
        <v>-2123</v>
      </c>
      <c r="H615" s="2">
        <v>288</v>
      </c>
      <c r="J615" t="str">
        <f>"{ name: "&amp;CHAR(34)&amp;B615&amp;CHAR(34)&amp;", landmark: "&amp;CHAR(34)&amp;IF(LEN(C615)=LEN(SUBSTITUTE(C615,"Transport","")),"Korok x1","Korok x2")&amp;CHAR(34)&amp;", type: "&amp;CHAR(34)&amp;C615&amp;CHAR(34)&amp;", region: "&amp;D615&amp;", level: "&amp;CHAR(34)&amp;E615&amp;CHAR(34)&amp;", x: "&amp;F615&amp;", y: "&amp;G615&amp;", z: "&amp;H615&amp;", details: "&amp;CHAR(34)&amp;I615&amp;CHAR(34)&amp;" },"</f>
        <v>{ name: "Hateno Ancient Tech Lab Korok", landmark: "Korok x1", type: "Climb and Examine the Fairy Lights", region: 11, level: "Surface", x: 3782, y: -2123, z: 288, details: "" },</v>
      </c>
    </row>
    <row r="616" spans="1:10" x14ac:dyDescent="0.2">
      <c r="A616" s="2">
        <v>653</v>
      </c>
      <c r="B616" s="34" t="s">
        <v>3429</v>
      </c>
      <c r="C616" t="s">
        <v>2823</v>
      </c>
      <c r="D616" s="2">
        <v>11</v>
      </c>
      <c r="E616" s="2" t="s">
        <v>785</v>
      </c>
      <c r="F616" s="2">
        <v>3933</v>
      </c>
      <c r="G616" s="2">
        <v>-2480</v>
      </c>
      <c r="H616" s="2">
        <v>22</v>
      </c>
      <c r="J616" t="str">
        <f>"{ name: "&amp;CHAR(34)&amp;B616&amp;CHAR(34)&amp;", landmark: "&amp;CHAR(34)&amp;IF(LEN(C616)=LEN(SUBSTITUTE(C616,"Transport","")),"Korok x1","Korok x2")&amp;CHAR(34)&amp;", type: "&amp;CHAR(34)&amp;C616&amp;CHAR(34)&amp;", region: "&amp;D616&amp;", level: "&amp;CHAR(34)&amp;E616&amp;CHAR(34)&amp;", x: "&amp;F616&amp;", y: "&amp;G616&amp;", z: "&amp;H616&amp;", details: "&amp;CHAR(34)&amp;I616&amp;CHAR(34)&amp;" },"</f>
        <v>{ name: "Hateno Bay Korok #01", landmark: "Korok x1", type: "Examine Fairy Lights", region: 11, level: "Surface", x: 3933, y: -2480, z: 22, details: "" },</v>
      </c>
    </row>
    <row r="617" spans="1:10" x14ac:dyDescent="0.2">
      <c r="A617" s="2">
        <v>656</v>
      </c>
      <c r="B617" s="34" t="s">
        <v>3430</v>
      </c>
      <c r="C617" t="s">
        <v>2823</v>
      </c>
      <c r="D617" s="2">
        <v>11</v>
      </c>
      <c r="E617" s="2" t="s">
        <v>785</v>
      </c>
      <c r="F617" s="2">
        <v>4119</v>
      </c>
      <c r="G617" s="2">
        <v>-2574</v>
      </c>
      <c r="H617" s="2">
        <v>3</v>
      </c>
      <c r="J617" t="str">
        <f>"{ name: "&amp;CHAR(34)&amp;B617&amp;CHAR(34)&amp;", landmark: "&amp;CHAR(34)&amp;IF(LEN(C617)=LEN(SUBSTITUTE(C617,"Transport","")),"Korok x1","Korok x2")&amp;CHAR(34)&amp;", type: "&amp;CHAR(34)&amp;C617&amp;CHAR(34)&amp;", region: "&amp;D617&amp;", level: "&amp;CHAR(34)&amp;E617&amp;CHAR(34)&amp;", x: "&amp;F617&amp;", y: "&amp;G617&amp;", z: "&amp;H617&amp;", details: "&amp;CHAR(34)&amp;I617&amp;CHAR(34)&amp;" },"</f>
        <v>{ name: "Hateno Bay Korok #02", landmark: "Korok x1", type: "Examine Fairy Lights", region: 11, level: "Surface", x: 4119, y: -2574, z: 3, details: "" },</v>
      </c>
    </row>
    <row r="618" spans="1:10" x14ac:dyDescent="0.2">
      <c r="A618" s="2">
        <v>650</v>
      </c>
      <c r="B618" s="34" t="s">
        <v>3431</v>
      </c>
      <c r="C618" t="s">
        <v>2595</v>
      </c>
      <c r="D618" s="2">
        <v>11</v>
      </c>
      <c r="E618" s="2" t="s">
        <v>785</v>
      </c>
      <c r="F618" s="2">
        <v>4038</v>
      </c>
      <c r="G618" s="2">
        <v>-2309</v>
      </c>
      <c r="H618" s="2">
        <v>11</v>
      </c>
      <c r="J618" t="str">
        <f>"{ name: "&amp;CHAR(34)&amp;B618&amp;CHAR(34)&amp;", landmark: "&amp;CHAR(34)&amp;IF(LEN(C618)=LEN(SUBSTITUTE(C618,"Transport","")),"Korok x1","Korok x2")&amp;CHAR(34)&amp;", type: "&amp;CHAR(34)&amp;C618&amp;CHAR(34)&amp;", region: "&amp;D618&amp;", level: "&amp;CHAR(34)&amp;E618&amp;CHAR(34)&amp;", x: "&amp;F618&amp;", y: "&amp;G618&amp;", z: "&amp;H618&amp;", details: "&amp;CHAR(34)&amp;I618&amp;CHAR(34)&amp;" },"</f>
        <v>{ name: "Hateno Beach Korok", landmark: "Korok x1", type: "Attack and catch the dandelion", region: 11, level: "Surface", x: 4038, y: -2309, z: 11, details: "" },</v>
      </c>
    </row>
    <row r="619" spans="1:10" x14ac:dyDescent="0.2">
      <c r="A619" s="2">
        <v>634</v>
      </c>
      <c r="B619" s="34" t="s">
        <v>3432</v>
      </c>
      <c r="C619" t="s">
        <v>2820</v>
      </c>
      <c r="D619" s="2">
        <v>11</v>
      </c>
      <c r="E619" s="2" t="s">
        <v>785</v>
      </c>
      <c r="F619" s="2">
        <v>3366</v>
      </c>
      <c r="G619" s="2">
        <v>-1979</v>
      </c>
      <c r="H619" s="2">
        <v>145</v>
      </c>
      <c r="J619" t="str">
        <f>"{ name: "&amp;CHAR(34)&amp;B619&amp;CHAR(34)&amp;", landmark: "&amp;CHAR(34)&amp;IF(LEN(C619)=LEN(SUBSTITUTE(C619,"Transport","")),"Korok x1","Korok x2")&amp;CHAR(34)&amp;", type: "&amp;CHAR(34)&amp;C619&amp;CHAR(34)&amp;", region: "&amp;D619&amp;", level: "&amp;CHAR(34)&amp;E619&amp;CHAR(34)&amp;", x: "&amp;F619&amp;", y: "&amp;G619&amp;", z: "&amp;H619&amp;", details: "&amp;CHAR(34)&amp;I619&amp;CHAR(34)&amp;" },"</f>
        <v>{ name: "Hateno Village Korok #01", landmark: "Korok x1", type: "Ring the Bell", region: 11, level: "Surface", x: 3366, y: -1979, z: 145, details: "" },</v>
      </c>
    </row>
    <row r="620" spans="1:10" x14ac:dyDescent="0.2">
      <c r="A620" s="2">
        <v>643</v>
      </c>
      <c r="B620" s="34" t="s">
        <v>3433</v>
      </c>
      <c r="C620" t="s">
        <v>2825</v>
      </c>
      <c r="D620" s="2">
        <v>11</v>
      </c>
      <c r="E620" s="2" t="s">
        <v>785</v>
      </c>
      <c r="F620" s="2">
        <v>3286</v>
      </c>
      <c r="G620" s="2">
        <v>-2180</v>
      </c>
      <c r="H620" s="2">
        <v>171</v>
      </c>
      <c r="J620" t="str">
        <f>"{ name: "&amp;CHAR(34)&amp;B620&amp;CHAR(34)&amp;", landmark: "&amp;CHAR(34)&amp;IF(LEN(C620)=LEN(SUBSTITUTE(C620,"Transport","")),"Korok x1","Korok x2")&amp;CHAR(34)&amp;", type: "&amp;CHAR(34)&amp;C620&amp;CHAR(34)&amp;", region: "&amp;D620&amp;", level: "&amp;CHAR(34)&amp;E620&amp;CHAR(34)&amp;", x: "&amp;F620&amp;", y: "&amp;G620&amp;", z: "&amp;H620&amp;", details: "&amp;CHAR(34)&amp;I620&amp;CHAR(34)&amp;" },"</f>
        <v>{ name: "Hateno Village Korok #02", landmark: "Korok x1", type: "Climb and Examine the Fairy Lights", region: 11, level: "Surface", x: 3286, y: -2180, z: 171, details: "" },</v>
      </c>
    </row>
    <row r="621" spans="1:10" x14ac:dyDescent="0.2">
      <c r="A621" s="2">
        <v>646</v>
      </c>
      <c r="B621" s="34" t="s">
        <v>3434</v>
      </c>
      <c r="C621" t="s">
        <v>2812</v>
      </c>
      <c r="D621" s="2">
        <v>11</v>
      </c>
      <c r="E621" s="2" t="s">
        <v>785</v>
      </c>
      <c r="F621" s="2">
        <v>3676</v>
      </c>
      <c r="G621" s="2">
        <v>-2193</v>
      </c>
      <c r="H621" s="2">
        <v>218</v>
      </c>
      <c r="J621" t="str">
        <f>"{ name: "&amp;CHAR(34)&amp;B621&amp;CHAR(34)&amp;", landmark: "&amp;CHAR(34)&amp;IF(LEN(C621)=LEN(SUBSTITUTE(C621,"Transport","")),"Korok x1","Korok x2")&amp;CHAR(34)&amp;", type: "&amp;CHAR(34)&amp;C621&amp;CHAR(34)&amp;", region: "&amp;D621&amp;", level: "&amp;CHAR(34)&amp;E621&amp;CHAR(34)&amp;", x: "&amp;F621&amp;", y: "&amp;G621&amp;", z: "&amp;H621&amp;", details: "&amp;CHAR(34)&amp;I621&amp;CHAR(34)&amp;" },"</f>
        <v>{ name: "Hateno Village Korok #03", landmark: "Korok x1", type: "Lift the Rock", region: 11, level: "Surface", x: 3676, y: -2193, z: 218, details: "" },</v>
      </c>
    </row>
    <row r="622" spans="1:10" x14ac:dyDescent="0.2">
      <c r="A622" s="2">
        <v>647</v>
      </c>
      <c r="B622" s="34" t="s">
        <v>3435</v>
      </c>
      <c r="C622" t="s">
        <v>2802</v>
      </c>
      <c r="D622" s="2">
        <v>11</v>
      </c>
      <c r="E622" s="2" t="s">
        <v>785</v>
      </c>
      <c r="F622" s="2">
        <v>3899</v>
      </c>
      <c r="G622" s="2">
        <v>-2506</v>
      </c>
      <c r="H622" s="2">
        <v>1</v>
      </c>
      <c r="I622" t="s">
        <v>2712</v>
      </c>
      <c r="J622" t="str">
        <f>"{ name: "&amp;CHAR(34)&amp;B622&amp;CHAR(34)&amp;", landmark: "&amp;CHAR(34)&amp;IF(LEN(C622)=LEN(SUBSTITUTE(C622,"Transport","")),"Korok x1","Korok x2")&amp;CHAR(34)&amp;", type: "&amp;CHAR(34)&amp;C622&amp;CHAR(34)&amp;", region: "&amp;D622&amp;", level: "&amp;CHAR(34)&amp;E622&amp;CHAR(34)&amp;", x: "&amp;F622&amp;", y: "&amp;G622&amp;", z: "&amp;H622&amp;", details: "&amp;CHAR(34)&amp;I622&amp;CHAR(34)&amp;" },"</f>
        <v>{ name: "Hateno Village Korok #04", landmark: "Korok x2", type: "Transport to Friend", region: 11, level: "Surface", x: 3899, y: -2506, z: 1, details: "Starts at (3727, -2161, 202)" },</v>
      </c>
    </row>
    <row r="623" spans="1:10" x14ac:dyDescent="0.2">
      <c r="A623" s="2">
        <v>652</v>
      </c>
      <c r="B623" s="34" t="s">
        <v>3535</v>
      </c>
      <c r="C623" t="s">
        <v>2812</v>
      </c>
      <c r="D623" s="2">
        <v>11</v>
      </c>
      <c r="E623" s="2" t="s">
        <v>785</v>
      </c>
      <c r="F623" s="2">
        <v>3749</v>
      </c>
      <c r="G623" s="2">
        <v>-2629</v>
      </c>
      <c r="H623" s="2">
        <v>22</v>
      </c>
      <c r="J623" t="str">
        <f>"{ name: "&amp;CHAR(34)&amp;B623&amp;CHAR(34)&amp;", landmark: "&amp;CHAR(34)&amp;IF(LEN(C623)=LEN(SUBSTITUTE(C623,"Transport","")),"Korok x1","Korok x2")&amp;CHAR(34)&amp;", type: "&amp;CHAR(34)&amp;C623&amp;CHAR(34)&amp;", region: "&amp;D623&amp;", level: "&amp;CHAR(34)&amp;E623&amp;CHAR(34)&amp;", x: "&amp;F623&amp;", y: "&amp;G623&amp;", z: "&amp;H623&amp;", details: "&amp;CHAR(34)&amp;I623&amp;CHAR(34)&amp;" },"</f>
        <v>{ name: "Kitano Bay Korok", landmark: "Korok x1", type: "Lift the Rock", region: 11, level: "Surface", x: 3749, y: -2629, z: 22, details: "" },</v>
      </c>
    </row>
    <row r="624" spans="1:10" x14ac:dyDescent="0.2">
      <c r="A624" s="2">
        <v>635</v>
      </c>
      <c r="B624" s="34" t="s">
        <v>3567</v>
      </c>
      <c r="C624" t="s">
        <v>2824</v>
      </c>
      <c r="D624" s="2">
        <v>11</v>
      </c>
      <c r="E624" s="2" t="s">
        <v>785</v>
      </c>
      <c r="F624" s="2">
        <v>3715</v>
      </c>
      <c r="G624" s="2">
        <v>-1949</v>
      </c>
      <c r="H624" s="2">
        <v>177</v>
      </c>
      <c r="J624" t="str">
        <f>"{ name: "&amp;CHAR(34)&amp;B624&amp;CHAR(34)&amp;", landmark: "&amp;CHAR(34)&amp;IF(LEN(C624)=LEN(SUBSTITUTE(C624,"Transport","")),"Korok x1","Korok x2")&amp;CHAR(34)&amp;", type: "&amp;CHAR(34)&amp;C624&amp;CHAR(34)&amp;", region: "&amp;D624&amp;", level: "&amp;CHAR(34)&amp;E624&amp;CHAR(34)&amp;", x: "&amp;F624&amp;", y: "&amp;G624&amp;", z: "&amp;H624&amp;", details: "&amp;CHAR(34)&amp;I624&amp;CHAR(34)&amp;" },"</f>
        <v>{ name: "Lake Sumac Korok", landmark: "Korok x1", type: "Catch the Moving Sparkle", region: 11, level: "Surface", x: 3715, y: -1949, z: 177, details: "" },</v>
      </c>
    </row>
    <row r="625" spans="1:10" x14ac:dyDescent="0.2">
      <c r="A625" s="2">
        <v>617</v>
      </c>
      <c r="B625" s="34" t="s">
        <v>3581</v>
      </c>
      <c r="C625" t="s">
        <v>2809</v>
      </c>
      <c r="D625" s="2">
        <v>11</v>
      </c>
      <c r="E625" s="2" t="s">
        <v>785</v>
      </c>
      <c r="F625" s="2">
        <v>4187</v>
      </c>
      <c r="G625" s="2">
        <v>-816</v>
      </c>
      <c r="H625" s="2">
        <v>-3</v>
      </c>
      <c r="J625" t="str">
        <f>"{ name: "&amp;CHAR(34)&amp;B625&amp;CHAR(34)&amp;", landmark: "&amp;CHAR(34)&amp;IF(LEN(C625)=LEN(SUBSTITUTE(C625,"Transport","")),"Korok x1","Korok x2")&amp;CHAR(34)&amp;", type: "&amp;CHAR(34)&amp;C625&amp;CHAR(34)&amp;", region: "&amp;D625&amp;", level: "&amp;CHAR(34)&amp;E625&amp;CHAR(34)&amp;", x: "&amp;F625&amp;", y: "&amp;G625&amp;", z: "&amp;H625&amp;", details: "&amp;CHAR(34)&amp;I625&amp;CHAR(34)&amp;" },"</f>
        <v>{ name: "Lanayru Bay Korok #05", landmark: "Korok x1", type: "Dive into the Lily Ring", region: 11, level: "Surface", x: 4187, y: -816, z: -3, details: "" },</v>
      </c>
    </row>
    <row r="626" spans="1:10" x14ac:dyDescent="0.2">
      <c r="A626" s="2">
        <v>614</v>
      </c>
      <c r="B626" s="34" t="s">
        <v>3604</v>
      </c>
      <c r="C626" t="s">
        <v>2811</v>
      </c>
      <c r="D626" s="2">
        <v>11</v>
      </c>
      <c r="E626" s="2" t="s">
        <v>785</v>
      </c>
      <c r="F626" s="2">
        <v>4463</v>
      </c>
      <c r="G626" s="2">
        <v>-844</v>
      </c>
      <c r="H626" s="2">
        <v>64</v>
      </c>
      <c r="I626" t="s">
        <v>2789</v>
      </c>
      <c r="J626" t="str">
        <f>"{ name: "&amp;CHAR(34)&amp;B626&amp;CHAR(34)&amp;", landmark: "&amp;CHAR(34)&amp;IF(LEN(C626)=LEN(SUBSTITUTE(C626,"Transport","")),"Korok x1","Korok x2")&amp;CHAR(34)&amp;", type: "&amp;CHAR(34)&amp;C626&amp;CHAR(34)&amp;", region: "&amp;D626&amp;", level: "&amp;CHAR(34)&amp;E626&amp;CHAR(34)&amp;", x: "&amp;F626&amp;", y: "&amp;G626&amp;", z: "&amp;H626&amp;", details: "&amp;CHAR(34)&amp;I626&amp;CHAR(34)&amp;" },"</f>
        <v>{ name: "Lodrum Headland Korok #03", landmark: "Korok x1", type: "Follow the Yellow Flowers", region: 11, level: "Surface", x: 4463, y: -844, z: 64, details: "Starts at (4448, -743, 69)" },</v>
      </c>
    </row>
    <row r="627" spans="1:10" x14ac:dyDescent="0.2">
      <c r="A627" s="2">
        <v>620</v>
      </c>
      <c r="B627" s="34" t="s">
        <v>3615</v>
      </c>
      <c r="C627" t="s">
        <v>2825</v>
      </c>
      <c r="D627" s="2">
        <v>11</v>
      </c>
      <c r="E627" s="2" t="s">
        <v>785</v>
      </c>
      <c r="F627" s="2">
        <v>3529</v>
      </c>
      <c r="G627" s="2">
        <v>-1684</v>
      </c>
      <c r="H627" s="2">
        <v>362</v>
      </c>
      <c r="J627" t="str">
        <f>"{ name: "&amp;CHAR(34)&amp;B627&amp;CHAR(34)&amp;", landmark: "&amp;CHAR(34)&amp;IF(LEN(C627)=LEN(SUBSTITUTE(C627,"Transport","")),"Korok x1","Korok x2")&amp;CHAR(34)&amp;", type: "&amp;CHAR(34)&amp;C627&amp;CHAR(34)&amp;", region: "&amp;D627&amp;", level: "&amp;CHAR(34)&amp;E627&amp;CHAR(34)&amp;", x: "&amp;F627&amp;", y: "&amp;G627&amp;", z: "&amp;H627&amp;", details: "&amp;CHAR(34)&amp;I627&amp;CHAR(34)&amp;" },"</f>
        <v>{ name: "Madorna Mountain Korok #01", landmark: "Korok x1", type: "Climb and Examine the Fairy Lights", region: 11, level: "Surface", x: 3529, y: -1684, z: 362, details: "" },</v>
      </c>
    </row>
    <row r="628" spans="1:10" x14ac:dyDescent="0.2">
      <c r="A628" s="2">
        <v>622</v>
      </c>
      <c r="B628" s="34" t="s">
        <v>3616</v>
      </c>
      <c r="C628" t="s">
        <v>2825</v>
      </c>
      <c r="D628" s="2">
        <v>11</v>
      </c>
      <c r="E628" s="2" t="s">
        <v>785</v>
      </c>
      <c r="F628" s="2">
        <v>3742</v>
      </c>
      <c r="G628" s="2">
        <v>-1685</v>
      </c>
      <c r="H628" s="2">
        <v>387</v>
      </c>
      <c r="J628" t="str">
        <f>"{ name: "&amp;CHAR(34)&amp;B628&amp;CHAR(34)&amp;", landmark: "&amp;CHAR(34)&amp;IF(LEN(C628)=LEN(SUBSTITUTE(C628,"Transport","")),"Korok x1","Korok x2")&amp;CHAR(34)&amp;", type: "&amp;CHAR(34)&amp;C628&amp;CHAR(34)&amp;", region: "&amp;D628&amp;", level: "&amp;CHAR(34)&amp;E628&amp;CHAR(34)&amp;", x: "&amp;F628&amp;", y: "&amp;G628&amp;", z: "&amp;H628&amp;", details: "&amp;CHAR(34)&amp;I628&amp;CHAR(34)&amp;" },"</f>
        <v>{ name: "Madorna Mountain Korok #02", landmark: "Korok x1", type: "Climb and Examine the Fairy Lights", region: 11, level: "Surface", x: 3742, y: -1685, z: 387, details: "" },</v>
      </c>
    </row>
    <row r="629" spans="1:10" x14ac:dyDescent="0.2">
      <c r="A629" s="2">
        <v>624</v>
      </c>
      <c r="B629" s="34" t="s">
        <v>3617</v>
      </c>
      <c r="C629" t="s">
        <v>2825</v>
      </c>
      <c r="D629" s="2">
        <v>11</v>
      </c>
      <c r="E629" s="2" t="s">
        <v>785</v>
      </c>
      <c r="F629" s="2">
        <v>3896</v>
      </c>
      <c r="G629" s="2">
        <v>-1684</v>
      </c>
      <c r="H629" s="2">
        <v>387</v>
      </c>
      <c r="J629" t="str">
        <f>"{ name: "&amp;CHAR(34)&amp;B629&amp;CHAR(34)&amp;", landmark: "&amp;CHAR(34)&amp;IF(LEN(C629)=LEN(SUBSTITUTE(C629,"Transport","")),"Korok x1","Korok x2")&amp;CHAR(34)&amp;", type: "&amp;CHAR(34)&amp;C629&amp;CHAR(34)&amp;", region: "&amp;D629&amp;", level: "&amp;CHAR(34)&amp;E629&amp;CHAR(34)&amp;", x: "&amp;F629&amp;", y: "&amp;G629&amp;", z: "&amp;H629&amp;", details: "&amp;CHAR(34)&amp;I629&amp;CHAR(34)&amp;" },"</f>
        <v>{ name: "Madorna Mountain Korok #03", landmark: "Korok x1", type: "Climb and Examine the Fairy Lights", region: 11, level: "Surface", x: 3896, y: -1684, z: 387, details: "" },</v>
      </c>
    </row>
    <row r="630" spans="1:10" x14ac:dyDescent="0.2">
      <c r="A630" s="2">
        <v>658</v>
      </c>
      <c r="B630" s="34" t="s">
        <v>3622</v>
      </c>
      <c r="C630" t="s">
        <v>2816</v>
      </c>
      <c r="D630" s="2">
        <v>11</v>
      </c>
      <c r="E630" s="2" t="s">
        <v>785</v>
      </c>
      <c r="F630" s="2">
        <v>4592</v>
      </c>
      <c r="G630" s="2">
        <v>-2160</v>
      </c>
      <c r="H630" s="2">
        <v>4</v>
      </c>
      <c r="J630" t="str">
        <f>"{ name: "&amp;CHAR(34)&amp;B630&amp;CHAR(34)&amp;", landmark: "&amp;CHAR(34)&amp;IF(LEN(C630)=LEN(SUBSTITUTE(C630,"Transport","")),"Korok x1","Korok x2")&amp;CHAR(34)&amp;", type: "&amp;CHAR(34)&amp;C630&amp;CHAR(34)&amp;", region: "&amp;D630&amp;", level: "&amp;CHAR(34)&amp;E630&amp;CHAR(34)&amp;", x: "&amp;F630&amp;", y: "&amp;G630&amp;", z: "&amp;H630&amp;", details: "&amp;CHAR(34)&amp;I630&amp;CHAR(34)&amp;" },"</f>
        <v>{ name: "Mapla Point Korok", landmark: "Korok x1", type: "Pull the Plug", region: 11, level: "Surface", x: 4592, y: -2160, z: 4, details: "" },</v>
      </c>
    </row>
    <row r="631" spans="1:10" x14ac:dyDescent="0.2">
      <c r="A631" s="2">
        <v>621</v>
      </c>
      <c r="B631" s="34" t="s">
        <v>3658</v>
      </c>
      <c r="C631" t="s">
        <v>2825</v>
      </c>
      <c r="D631" s="2">
        <v>11</v>
      </c>
      <c r="E631" s="2" t="s">
        <v>785</v>
      </c>
      <c r="F631" s="2">
        <v>3562</v>
      </c>
      <c r="G631" s="2">
        <v>-1113</v>
      </c>
      <c r="H631" s="2">
        <v>256</v>
      </c>
      <c r="J631" t="str">
        <f>"{ name: "&amp;CHAR(34)&amp;B631&amp;CHAR(34)&amp;", landmark: "&amp;CHAR(34)&amp;IF(LEN(C631)=LEN(SUBSTITUTE(C631,"Transport","")),"Korok x1","Korok x2")&amp;CHAR(34)&amp;", type: "&amp;CHAR(34)&amp;C631&amp;CHAR(34)&amp;", region: "&amp;D631&amp;", level: "&amp;CHAR(34)&amp;E631&amp;CHAR(34)&amp;", x: "&amp;F631&amp;", y: "&amp;G631&amp;", z: "&amp;H631&amp;", details: "&amp;CHAR(34)&amp;I631&amp;CHAR(34)&amp;" },"</f>
        <v>{ name: "Mount Lanayru Korok #01", landmark: "Korok x1", type: "Climb and Examine the Fairy Lights", region: 11, level: "Surface", x: 3562, y: -1113, z: 256, details: "" },</v>
      </c>
    </row>
    <row r="632" spans="1:10" x14ac:dyDescent="0.2">
      <c r="A632" s="2">
        <v>623</v>
      </c>
      <c r="B632" s="34" t="s">
        <v>3659</v>
      </c>
      <c r="C632" t="s">
        <v>2595</v>
      </c>
      <c r="D632" s="2">
        <v>11</v>
      </c>
      <c r="E632" s="2" t="s">
        <v>785</v>
      </c>
      <c r="F632" s="2">
        <v>3742</v>
      </c>
      <c r="G632" s="2">
        <v>-1151</v>
      </c>
      <c r="H632" s="2">
        <v>452</v>
      </c>
      <c r="J632" t="str">
        <f>"{ name: "&amp;CHAR(34)&amp;B632&amp;CHAR(34)&amp;", landmark: "&amp;CHAR(34)&amp;IF(LEN(C632)=LEN(SUBSTITUTE(C632,"Transport","")),"Korok x1","Korok x2")&amp;CHAR(34)&amp;", type: "&amp;CHAR(34)&amp;C632&amp;CHAR(34)&amp;", region: "&amp;D632&amp;", level: "&amp;CHAR(34)&amp;E632&amp;CHAR(34)&amp;", x: "&amp;F632&amp;", y: "&amp;G632&amp;", z: "&amp;H632&amp;", details: "&amp;CHAR(34)&amp;I632&amp;CHAR(34)&amp;" },"</f>
        <v>{ name: "Mount Lanayru Korok #02", landmark: "Korok x1", type: "Attack and catch the dandelion", region: 11, level: "Surface", x: 3742, y: -1151, z: 452, details: "" },</v>
      </c>
    </row>
    <row r="633" spans="1:10" x14ac:dyDescent="0.2">
      <c r="A633" s="2">
        <v>625</v>
      </c>
      <c r="B633" s="34" t="s">
        <v>3660</v>
      </c>
      <c r="C633" t="s">
        <v>2816</v>
      </c>
      <c r="D633" s="2">
        <v>11</v>
      </c>
      <c r="E633" s="2" t="s">
        <v>785</v>
      </c>
      <c r="F633" s="2">
        <v>4028</v>
      </c>
      <c r="G633" s="2">
        <v>-1095</v>
      </c>
      <c r="H633" s="2">
        <v>350</v>
      </c>
      <c r="J633" t="str">
        <f>"{ name: "&amp;CHAR(34)&amp;B633&amp;CHAR(34)&amp;", landmark: "&amp;CHAR(34)&amp;IF(LEN(C633)=LEN(SUBSTITUTE(C633,"Transport","")),"Korok x1","Korok x2")&amp;CHAR(34)&amp;", type: "&amp;CHAR(34)&amp;C633&amp;CHAR(34)&amp;", region: "&amp;D633&amp;", level: "&amp;CHAR(34)&amp;E633&amp;CHAR(34)&amp;", x: "&amp;F633&amp;", y: "&amp;G633&amp;", z: "&amp;H633&amp;", details: "&amp;CHAR(34)&amp;I633&amp;CHAR(34)&amp;" },"</f>
        <v>{ name: "Mount Lanayru Korok #03", landmark: "Korok x1", type: "Pull the Plug", region: 11, level: "Surface", x: 4028, y: -1095, z: 350, details: "" },</v>
      </c>
    </row>
    <row r="634" spans="1:10" x14ac:dyDescent="0.2">
      <c r="A634" s="2">
        <v>619</v>
      </c>
      <c r="B634" s="34" t="s">
        <v>3670</v>
      </c>
      <c r="C634" t="s">
        <v>2802</v>
      </c>
      <c r="D634" s="2">
        <v>11</v>
      </c>
      <c r="E634" s="2" t="s">
        <v>785</v>
      </c>
      <c r="F634" s="2">
        <v>3667</v>
      </c>
      <c r="G634" s="2">
        <v>-1386</v>
      </c>
      <c r="H634" s="2">
        <v>298</v>
      </c>
      <c r="I634" t="s">
        <v>2705</v>
      </c>
      <c r="J634" t="str">
        <f>"{ name: "&amp;CHAR(34)&amp;B634&amp;CHAR(34)&amp;", landmark: "&amp;CHAR(34)&amp;IF(LEN(C634)=LEN(SUBSTITUTE(C634,"Transport","")),"Korok x1","Korok x2")&amp;CHAR(34)&amp;", type: "&amp;CHAR(34)&amp;C634&amp;CHAR(34)&amp;", region: "&amp;D634&amp;", level: "&amp;CHAR(34)&amp;E634&amp;CHAR(34)&amp;", x: "&amp;F634&amp;", y: "&amp;G634&amp;", z: "&amp;H634&amp;", details: "&amp;CHAR(34)&amp;I634&amp;CHAR(34)&amp;" },"</f>
        <v>{ name: "Naydra Snowfield Korok", landmark: "Korok x2", type: "Transport to Friend", region: 11, level: "Surface", x: 3667, y: -1386, z: 298, details: "Starts at (3500, -1458, 163)" },</v>
      </c>
    </row>
    <row r="635" spans="1:10" x14ac:dyDescent="0.2">
      <c r="A635" s="2">
        <v>632</v>
      </c>
      <c r="B635" s="34" t="s">
        <v>3682</v>
      </c>
      <c r="C635" t="s">
        <v>2808</v>
      </c>
      <c r="D635" s="2">
        <v>11</v>
      </c>
      <c r="E635" s="2" t="s">
        <v>785</v>
      </c>
      <c r="F635" s="2">
        <v>3237</v>
      </c>
      <c r="G635" s="2">
        <v>-1545</v>
      </c>
      <c r="H635" s="2">
        <v>198</v>
      </c>
      <c r="J635" t="str">
        <f>"{ name: "&amp;CHAR(34)&amp;B635&amp;CHAR(34)&amp;", landmark: "&amp;CHAR(34)&amp;IF(LEN(C635)=LEN(SUBSTITUTE(C635,"Transport","")),"Korok x1","Korok x2")&amp;CHAR(34)&amp;", type: "&amp;CHAR(34)&amp;C635&amp;CHAR(34)&amp;", region: "&amp;D635&amp;", level: "&amp;CHAR(34)&amp;E635&amp;CHAR(34)&amp;", x: "&amp;F635&amp;", y: "&amp;G635&amp;", z: "&amp;H635&amp;", details: "&amp;CHAR(34)&amp;I635&amp;CHAR(34)&amp;" },"</f>
        <v>{ name: "Nirvata Plateau Korok", landmark: "Korok x1", type: "Complete the Rock Pattern", region: 11, level: "Surface", x: 3237, y: -1545, z: 198, details: "" },</v>
      </c>
    </row>
    <row r="636" spans="1:10" x14ac:dyDescent="0.2">
      <c r="A636" s="2">
        <v>636</v>
      </c>
      <c r="B636" s="34" t="s">
        <v>3711</v>
      </c>
      <c r="C636" t="s">
        <v>2802</v>
      </c>
      <c r="D636" s="2">
        <v>11</v>
      </c>
      <c r="E636" s="2" t="s">
        <v>785</v>
      </c>
      <c r="F636" s="2">
        <v>2482</v>
      </c>
      <c r="G636" s="2">
        <v>-2049</v>
      </c>
      <c r="H636" s="2">
        <v>10</v>
      </c>
      <c r="I636" t="s">
        <v>2709</v>
      </c>
      <c r="J636" t="str">
        <f>"{ name: "&amp;CHAR(34)&amp;B636&amp;CHAR(34)&amp;", landmark: "&amp;CHAR(34)&amp;IF(LEN(C636)=LEN(SUBSTITUTE(C636,"Transport","")),"Korok x1","Korok x2")&amp;CHAR(34)&amp;", type: "&amp;CHAR(34)&amp;C636&amp;CHAR(34)&amp;", region: "&amp;D636&amp;", level: "&amp;CHAR(34)&amp;E636&amp;CHAR(34)&amp;", x: "&amp;F636&amp;", y: "&amp;G636&amp;", z: "&amp;H636&amp;", details: "&amp;CHAR(34)&amp;I636&amp;CHAR(34)&amp;" },"</f>
        <v>{ name: "Oakle's Navel Korok #01", landmark: "Korok x2", type: "Transport to Friend", region: 11, level: "Surface", x: 2482, y: -2049, z: 10, details: "Starts at (2646, -2118, 128)" },</v>
      </c>
    </row>
    <row r="637" spans="1:10" x14ac:dyDescent="0.2">
      <c r="A637" s="2">
        <v>659</v>
      </c>
      <c r="B637" s="34" t="s">
        <v>3712</v>
      </c>
      <c r="C637" t="s">
        <v>2812</v>
      </c>
      <c r="D637" s="2">
        <v>11</v>
      </c>
      <c r="E637" s="2" t="s">
        <v>785</v>
      </c>
      <c r="F637" s="2">
        <v>2490</v>
      </c>
      <c r="G637" s="2">
        <v>-2123</v>
      </c>
      <c r="H637" s="2">
        <v>34</v>
      </c>
      <c r="J637" t="str">
        <f>"{ name: "&amp;CHAR(34)&amp;B637&amp;CHAR(34)&amp;", landmark: "&amp;CHAR(34)&amp;IF(LEN(C637)=LEN(SUBSTITUTE(C637,"Transport","")),"Korok x1","Korok x2")&amp;CHAR(34)&amp;", type: "&amp;CHAR(34)&amp;C637&amp;CHAR(34)&amp;", region: "&amp;D637&amp;", level: "&amp;CHAR(34)&amp;E637&amp;CHAR(34)&amp;", x: "&amp;F637&amp;", y: "&amp;G637&amp;", z: "&amp;H637&amp;", details: "&amp;CHAR(34)&amp;I637&amp;CHAR(34)&amp;" },"</f>
        <v>{ name: "Oakle's Navel Korok #02", landmark: "Korok x1", type: "Lift the Rock", region: 11, level: "Surface", x: 2490, y: -2123, z: 34, details: "" },</v>
      </c>
    </row>
    <row r="638" spans="1:10" x14ac:dyDescent="0.2">
      <c r="A638" s="2">
        <v>637</v>
      </c>
      <c r="B638" s="34" t="s">
        <v>3729</v>
      </c>
      <c r="C638" t="s">
        <v>2825</v>
      </c>
      <c r="D638" s="2">
        <v>11</v>
      </c>
      <c r="E638" s="2" t="s">
        <v>785</v>
      </c>
      <c r="F638" s="2">
        <v>2837</v>
      </c>
      <c r="G638" s="2">
        <v>-2120</v>
      </c>
      <c r="H638" s="2">
        <v>23</v>
      </c>
      <c r="J638" t="str">
        <f>"{ name: "&amp;CHAR(34)&amp;B638&amp;CHAR(34)&amp;", landmark: "&amp;CHAR(34)&amp;IF(LEN(C638)=LEN(SUBSTITUTE(C638,"Transport","")),"Korok x1","Korok x2")&amp;CHAR(34)&amp;", type: "&amp;CHAR(34)&amp;C638&amp;CHAR(34)&amp;", region: "&amp;D638&amp;", level: "&amp;CHAR(34)&amp;E638&amp;CHAR(34)&amp;", x: "&amp;F638&amp;", y: "&amp;G638&amp;", z: "&amp;H638&amp;", details: "&amp;CHAR(34)&amp;I638&amp;CHAR(34)&amp;" },"</f>
        <v>{ name: "Ovli Plain Korok #01", landmark: "Korok x1", type: "Climb and Examine the Fairy Lights", region: 11, level: "Surface", x: 2837, y: -2120, z: 23, details: "" },</v>
      </c>
    </row>
    <row r="639" spans="1:10" x14ac:dyDescent="0.2">
      <c r="A639" s="2">
        <v>638</v>
      </c>
      <c r="B639" s="34" t="s">
        <v>3730</v>
      </c>
      <c r="C639" t="s">
        <v>2824</v>
      </c>
      <c r="D639" s="2">
        <v>11</v>
      </c>
      <c r="E639" s="2" t="s">
        <v>785</v>
      </c>
      <c r="F639" s="2">
        <v>2868</v>
      </c>
      <c r="G639" s="2">
        <v>-2187</v>
      </c>
      <c r="H639" s="2">
        <v>35</v>
      </c>
      <c r="J639" t="str">
        <f>"{ name: "&amp;CHAR(34)&amp;B639&amp;CHAR(34)&amp;", landmark: "&amp;CHAR(34)&amp;IF(LEN(C639)=LEN(SUBSTITUTE(C639,"Transport","")),"Korok x1","Korok x2")&amp;CHAR(34)&amp;", type: "&amp;CHAR(34)&amp;C639&amp;CHAR(34)&amp;", region: "&amp;D639&amp;", level: "&amp;CHAR(34)&amp;E639&amp;CHAR(34)&amp;", x: "&amp;F639&amp;", y: "&amp;G639&amp;", z: "&amp;H639&amp;", details: "&amp;CHAR(34)&amp;I639&amp;CHAR(34)&amp;" },"</f>
        <v>{ name: "Ovli Plain Korok #02", landmark: "Korok x1", type: "Catch the Moving Sparkle", region: 11, level: "Surface", x: 2868, y: -2187, z: 35, details: "" },</v>
      </c>
    </row>
    <row r="640" spans="1:10" x14ac:dyDescent="0.2">
      <c r="A640" s="2">
        <v>639</v>
      </c>
      <c r="B640" s="34" t="s">
        <v>3731</v>
      </c>
      <c r="C640" t="s">
        <v>2802</v>
      </c>
      <c r="D640" s="2">
        <v>11</v>
      </c>
      <c r="E640" s="2" t="s">
        <v>785</v>
      </c>
      <c r="F640" s="2">
        <v>3251</v>
      </c>
      <c r="G640" s="2">
        <v>-2114</v>
      </c>
      <c r="H640" s="2">
        <v>100</v>
      </c>
      <c r="I640" t="s">
        <v>2710</v>
      </c>
      <c r="J640" t="str">
        <f>"{ name: "&amp;CHAR(34)&amp;B640&amp;CHAR(34)&amp;", landmark: "&amp;CHAR(34)&amp;IF(LEN(C640)=LEN(SUBSTITUTE(C640,"Transport","")),"Korok x1","Korok x2")&amp;CHAR(34)&amp;", type: "&amp;CHAR(34)&amp;C640&amp;CHAR(34)&amp;", region: "&amp;D640&amp;", level: "&amp;CHAR(34)&amp;E640&amp;CHAR(34)&amp;", x: "&amp;F640&amp;", y: "&amp;G640&amp;", z: "&amp;H640&amp;", details: "&amp;CHAR(34)&amp;I640&amp;CHAR(34)&amp;" },"</f>
        <v>{ name: "Ovli Plain Korok #03", landmark: "Korok x2", type: "Transport to Friend", region: 11, level: "Surface", x: 3251, y: -2114, z: 100, details: "Starts at (2859, -1913, 41)" },</v>
      </c>
    </row>
    <row r="641" spans="1:10" x14ac:dyDescent="0.2">
      <c r="A641" s="2">
        <v>631</v>
      </c>
      <c r="B641" s="34" t="s">
        <v>3744</v>
      </c>
      <c r="C641" t="s">
        <v>2816</v>
      </c>
      <c r="D641" s="2">
        <v>11</v>
      </c>
      <c r="E641" s="2" t="s">
        <v>785</v>
      </c>
      <c r="F641" s="2">
        <v>2921</v>
      </c>
      <c r="G641" s="2">
        <v>-1392</v>
      </c>
      <c r="H641" s="2">
        <v>381</v>
      </c>
      <c r="J641" t="str">
        <f>"{ name: "&amp;CHAR(34)&amp;B641&amp;CHAR(34)&amp;", landmark: "&amp;CHAR(34)&amp;IF(LEN(C641)=LEN(SUBSTITUTE(C641,"Transport","")),"Korok x1","Korok x2")&amp;CHAR(34)&amp;", type: "&amp;CHAR(34)&amp;C641&amp;CHAR(34)&amp;", region: "&amp;D641&amp;", level: "&amp;CHAR(34)&amp;E641&amp;CHAR(34)&amp;", x: "&amp;F641&amp;", y: "&amp;G641&amp;", z: "&amp;H641&amp;", details: "&amp;CHAR(34)&amp;I641&amp;CHAR(34)&amp;" },"</f>
        <v>{ name: "Peak of Awakening Korok", landmark: "Korok x1", type: "Pull the Plug", region: 11, level: "Surface", x: 2921, y: -1392, z: 381, details: "" },</v>
      </c>
    </row>
    <row r="642" spans="1:10" x14ac:dyDescent="0.2">
      <c r="A642" s="2">
        <v>633</v>
      </c>
      <c r="B642" s="34" t="s">
        <v>3761</v>
      </c>
      <c r="C642" t="s">
        <v>2807</v>
      </c>
      <c r="D642" s="2">
        <v>11</v>
      </c>
      <c r="E642" s="2" t="s">
        <v>785</v>
      </c>
      <c r="F642" s="2">
        <v>3250</v>
      </c>
      <c r="G642" s="2">
        <v>-1336</v>
      </c>
      <c r="H642" s="2">
        <v>171</v>
      </c>
      <c r="J642" t="str">
        <f>"{ name: "&amp;CHAR(34)&amp;B642&amp;CHAR(34)&amp;", landmark: "&amp;CHAR(34)&amp;IF(LEN(C642)=LEN(SUBSTITUTE(C642,"Transport","")),"Korok x1","Korok x2")&amp;CHAR(34)&amp;", type: "&amp;CHAR(34)&amp;C642&amp;CHAR(34)&amp;", region: "&amp;D642&amp;", level: "&amp;CHAR(34)&amp;E642&amp;CHAR(34)&amp;", x: "&amp;F642&amp;", y: "&amp;G642&amp;", z: "&amp;H642&amp;", details: "&amp;CHAR(34)&amp;I642&amp;CHAR(34)&amp;" },"</f>
        <v>{ name: "Purifier Lake Korok", landmark: "Korok x1", type: "Complete the Cube Puzzle", region: 11, level: "Surface", x: 3250, y: -1336, z: 171, details: "" },</v>
      </c>
    </row>
    <row r="643" spans="1:10" x14ac:dyDescent="0.2">
      <c r="A643" s="2">
        <v>649</v>
      </c>
      <c r="B643" s="34" t="s">
        <v>3782</v>
      </c>
      <c r="C643" t="s">
        <v>2821</v>
      </c>
      <c r="D643" s="2">
        <v>11</v>
      </c>
      <c r="E643" s="2" t="s">
        <v>785</v>
      </c>
      <c r="F643" s="2">
        <v>3914</v>
      </c>
      <c r="G643" s="2">
        <v>-2101</v>
      </c>
      <c r="H643" s="2">
        <v>133</v>
      </c>
      <c r="J643" t="str">
        <f>"{ name: "&amp;CHAR(34)&amp;B643&amp;CHAR(34)&amp;", landmark: "&amp;CHAR(34)&amp;IF(LEN(C643)=LEN(SUBSTITUTE(C643,"Transport","")),"Korok x1","Korok x2")&amp;CHAR(34)&amp;", type: "&amp;CHAR(34)&amp;C643&amp;CHAR(34)&amp;", region: "&amp;D643&amp;", level: "&amp;CHAR(34)&amp;E643&amp;CHAR(34)&amp;", x: "&amp;F643&amp;", y: "&amp;G643&amp;", z: "&amp;H643&amp;", details: "&amp;CHAR(34)&amp;I643&amp;CHAR(34)&amp;" },"</f>
        <v>{ name: "Retsam Forest Korok", landmark: "Korok x1", type: "Shoot the Balloons", region: 11, level: "Surface", x: 3914, y: -2101, z: 133, details: "" },</v>
      </c>
    </row>
    <row r="644" spans="1:10" x14ac:dyDescent="0.2">
      <c r="A644" s="2">
        <v>651</v>
      </c>
      <c r="B644" s="34" t="s">
        <v>3860</v>
      </c>
      <c r="C644" t="s">
        <v>2812</v>
      </c>
      <c r="D644" s="2">
        <v>11</v>
      </c>
      <c r="E644" s="2" t="s">
        <v>785</v>
      </c>
      <c r="F644" s="2">
        <v>4516</v>
      </c>
      <c r="G644" s="2">
        <v>-2306</v>
      </c>
      <c r="H644" s="2">
        <v>114</v>
      </c>
      <c r="J644" t="str">
        <f>"{ name: "&amp;CHAR(34)&amp;B644&amp;CHAR(34)&amp;", landmark: "&amp;CHAR(34)&amp;IF(LEN(C644)=LEN(SUBSTITUTE(C644,"Transport","")),"Korok x1","Korok x2")&amp;CHAR(34)&amp;", type: "&amp;CHAR(34)&amp;C644&amp;CHAR(34)&amp;", region: "&amp;D644&amp;", level: "&amp;CHAR(34)&amp;E644&amp;CHAR(34)&amp;", x: "&amp;F644&amp;", y: "&amp;G644&amp;", z: "&amp;H644&amp;", details: "&amp;CHAR(34)&amp;I644&amp;CHAR(34)&amp;" },"</f>
        <v>{ name: "Solewood Range Korok", landmark: "Korok x1", type: "Lift the Rock", region: 11, level: "Surface", x: 4516, y: -2306, z: 114, details: "" },</v>
      </c>
    </row>
    <row r="645" spans="1:10" x14ac:dyDescent="0.2">
      <c r="A645" s="2">
        <v>49</v>
      </c>
      <c r="B645" s="34" t="s">
        <v>3867</v>
      </c>
      <c r="C645" t="s">
        <v>2821</v>
      </c>
      <c r="D645" s="2">
        <v>11</v>
      </c>
      <c r="E645" s="2" t="s">
        <v>783</v>
      </c>
      <c r="F645" s="2">
        <v>4818</v>
      </c>
      <c r="G645" s="2">
        <v>-822</v>
      </c>
      <c r="H645" s="2">
        <v>1942</v>
      </c>
      <c r="J645" t="str">
        <f>"{ name: "&amp;CHAR(34)&amp;B645&amp;CHAR(34)&amp;", landmark: "&amp;CHAR(34)&amp;IF(LEN(C645)=LEN(SUBSTITUTE(C645,"Transport","")),"Korok x1","Korok x2")&amp;CHAR(34)&amp;", type: "&amp;CHAR(34)&amp;C645&amp;CHAR(34)&amp;", region: "&amp;D645&amp;", level: "&amp;CHAR(34)&amp;E645&amp;CHAR(34)&amp;", x: "&amp;F645&amp;", y: "&amp;G645&amp;", z: "&amp;H645&amp;", details: "&amp;CHAR(34)&amp;I645&amp;CHAR(34)&amp;" },"</f>
        <v>{ name: "South Lanayru Sky Archipelago Korok #01", landmark: "Korok x1", type: "Shoot the Balloons", region: 11, level: "Sky", x: 4818, y: -822, z: 1942, details: "" },</v>
      </c>
    </row>
    <row r="646" spans="1:10" x14ac:dyDescent="0.2">
      <c r="A646" s="2">
        <v>51</v>
      </c>
      <c r="B646" s="34" t="s">
        <v>3868</v>
      </c>
      <c r="C646" t="s">
        <v>2806</v>
      </c>
      <c r="D646" s="2">
        <v>11</v>
      </c>
      <c r="E646" s="2" t="s">
        <v>783</v>
      </c>
      <c r="F646" s="2">
        <v>4747</v>
      </c>
      <c r="G646" s="2">
        <v>-1156</v>
      </c>
      <c r="H646" s="2">
        <v>1780</v>
      </c>
      <c r="J646" t="str">
        <f>"{ name: "&amp;CHAR(34)&amp;B646&amp;CHAR(34)&amp;", landmark: "&amp;CHAR(34)&amp;IF(LEN(C646)=LEN(SUBSTITUTE(C646,"Transport","")),"Korok x1","Korok x2")&amp;CHAR(34)&amp;", type: "&amp;CHAR(34)&amp;C646&amp;CHAR(34)&amp;", region: "&amp;D646&amp;", level: "&amp;CHAR(34)&amp;E646&amp;CHAR(34)&amp;", x: "&amp;F646&amp;", y: "&amp;G646&amp;", z: "&amp;H646&amp;", details: "&amp;CHAR(34)&amp;I646&amp;CHAR(34)&amp;" },"</f>
        <v>{ name: "South Lanayru Sky Archipelago Korok #02", landmark: "Korok x1", type: "Catch the Dandelion", region: 11, level: "Sky", x: 4747, y: -1156, z: 1780, details: "" },</v>
      </c>
    </row>
    <row r="647" spans="1:10" x14ac:dyDescent="0.2">
      <c r="A647" s="2">
        <v>627</v>
      </c>
      <c r="B647" s="34" t="s">
        <v>3890</v>
      </c>
      <c r="C647" t="s">
        <v>2802</v>
      </c>
      <c r="D647" s="2">
        <v>11</v>
      </c>
      <c r="E647" s="2" t="s">
        <v>785</v>
      </c>
      <c r="F647" s="2">
        <v>2614</v>
      </c>
      <c r="G647" s="2">
        <v>-1868</v>
      </c>
      <c r="H647" s="2">
        <v>20</v>
      </c>
      <c r="I647" t="s">
        <v>2706</v>
      </c>
      <c r="J647" t="str">
        <f>"{ name: "&amp;CHAR(34)&amp;B647&amp;CHAR(34)&amp;", landmark: "&amp;CHAR(34)&amp;IF(LEN(C647)=LEN(SUBSTITUTE(C647,"Transport","")),"Korok x1","Korok x2")&amp;CHAR(34)&amp;", type: "&amp;CHAR(34)&amp;C647&amp;CHAR(34)&amp;", region: "&amp;D647&amp;", level: "&amp;CHAR(34)&amp;E647&amp;CHAR(34)&amp;", x: "&amp;F647&amp;", y: "&amp;G647&amp;", z: "&amp;H647&amp;", details: "&amp;CHAR(34)&amp;I647&amp;CHAR(34)&amp;" },"</f>
        <v>{ name: "Squabble River Korok #01", landmark: "Korok x2", type: "Transport to Friend", region: 11, level: "Surface", x: 2614, y: -1868, z: 20, details: "Starts at (2477, -1743, 11)" },</v>
      </c>
    </row>
    <row r="648" spans="1:10" x14ac:dyDescent="0.2">
      <c r="A648" s="2">
        <v>654</v>
      </c>
      <c r="B648" s="34" t="s">
        <v>3943</v>
      </c>
      <c r="C648" t="s">
        <v>2825</v>
      </c>
      <c r="D648" s="2">
        <v>11</v>
      </c>
      <c r="E648" s="2" t="s">
        <v>785</v>
      </c>
      <c r="F648" s="2">
        <v>3997</v>
      </c>
      <c r="G648" s="2">
        <v>-2996</v>
      </c>
      <c r="H648" s="2">
        <v>17</v>
      </c>
      <c r="J648" t="str">
        <f>"{ name: "&amp;CHAR(34)&amp;B648&amp;CHAR(34)&amp;", landmark: "&amp;CHAR(34)&amp;IF(LEN(C648)=LEN(SUBSTITUTE(C648,"Transport","")),"Korok x1","Korok x2")&amp;CHAR(34)&amp;", type: "&amp;CHAR(34)&amp;C648&amp;CHAR(34)&amp;", region: "&amp;D648&amp;", level: "&amp;CHAR(34)&amp;E648&amp;CHAR(34)&amp;", x: "&amp;F648&amp;", y: "&amp;G648&amp;", z: "&amp;H648&amp;", details: "&amp;CHAR(34)&amp;I648&amp;CHAR(34)&amp;" },"</f>
        <v>{ name: "Tenoko Island Korok #01", landmark: "Korok x1", type: "Climb and Examine the Fairy Lights", region: 11, level: "Surface", x: 3997, y: -2996, z: 17, details: "" },</v>
      </c>
    </row>
    <row r="649" spans="1:10" x14ac:dyDescent="0.2">
      <c r="A649" s="2">
        <v>655</v>
      </c>
      <c r="B649" s="34" t="s">
        <v>3944</v>
      </c>
      <c r="C649" t="s">
        <v>2816</v>
      </c>
      <c r="D649" s="2">
        <v>11</v>
      </c>
      <c r="E649" s="2" t="s">
        <v>785</v>
      </c>
      <c r="F649" s="2">
        <v>4084</v>
      </c>
      <c r="G649" s="2">
        <v>-2974</v>
      </c>
      <c r="H649" s="2">
        <v>4</v>
      </c>
      <c r="J649" t="str">
        <f>"{ name: "&amp;CHAR(34)&amp;B649&amp;CHAR(34)&amp;", landmark: "&amp;CHAR(34)&amp;IF(LEN(C649)=LEN(SUBSTITUTE(C649,"Transport","")),"Korok x1","Korok x2")&amp;CHAR(34)&amp;", type: "&amp;CHAR(34)&amp;C649&amp;CHAR(34)&amp;", region: "&amp;D649&amp;", level: "&amp;CHAR(34)&amp;E649&amp;CHAR(34)&amp;", x: "&amp;F649&amp;", y: "&amp;G649&amp;", z: "&amp;H649&amp;", details: "&amp;CHAR(34)&amp;I649&amp;CHAR(34)&amp;" },"</f>
        <v>{ name: "Tenoko Island Korok #02", landmark: "Korok x1", type: "Pull the Plug", region: 11, level: "Surface", x: 4084, y: -2974, z: 4, details: "" },</v>
      </c>
    </row>
    <row r="650" spans="1:10" x14ac:dyDescent="0.2">
      <c r="A650" s="2">
        <v>50</v>
      </c>
      <c r="B650" s="34" t="s">
        <v>3986</v>
      </c>
      <c r="C650" t="s">
        <v>2806</v>
      </c>
      <c r="D650" s="2">
        <v>11</v>
      </c>
      <c r="E650" s="2" t="s">
        <v>783</v>
      </c>
      <c r="F650" s="2">
        <v>4580</v>
      </c>
      <c r="G650" s="2">
        <v>-910</v>
      </c>
      <c r="H650" s="2">
        <v>1079</v>
      </c>
      <c r="J650" t="str">
        <f>"{ name: "&amp;CHAR(34)&amp;B650&amp;CHAR(34)&amp;", landmark: "&amp;CHAR(34)&amp;IF(LEN(C650)=LEN(SUBSTITUTE(C650,"Transport","")),"Korok x1","Korok x2")&amp;CHAR(34)&amp;", type: "&amp;CHAR(34)&amp;C650&amp;CHAR(34)&amp;", region: "&amp;D650&amp;", level: "&amp;CHAR(34)&amp;E650&amp;CHAR(34)&amp;", x: "&amp;F650&amp;", y: "&amp;G650&amp;", z: "&amp;H650&amp;", details: "&amp;CHAR(34)&amp;I650&amp;CHAR(34)&amp;" },"</f>
        <v>{ name: "Valor Island Korok", landmark: "Korok x1", type: "Catch the Dandelion", region: 11, level: "Sky", x: 4580, y: -910, z: 1079, details: "" },</v>
      </c>
    </row>
    <row r="651" spans="1:10" x14ac:dyDescent="0.2">
      <c r="A651" s="2">
        <v>626</v>
      </c>
      <c r="B651" s="34" t="s">
        <v>3994</v>
      </c>
      <c r="C651" t="s">
        <v>2808</v>
      </c>
      <c r="D651" s="2">
        <v>11</v>
      </c>
      <c r="E651" s="2" t="s">
        <v>785</v>
      </c>
      <c r="F651" s="2">
        <v>4335</v>
      </c>
      <c r="G651" s="2">
        <v>-1871</v>
      </c>
      <c r="H651" s="2">
        <v>213</v>
      </c>
      <c r="J651" t="str">
        <f>"{ name: "&amp;CHAR(34)&amp;B651&amp;CHAR(34)&amp;", landmark: "&amp;CHAR(34)&amp;IF(LEN(C651)=LEN(SUBSTITUTE(C651,"Transport","")),"Korok x1","Korok x2")&amp;CHAR(34)&amp;", type: "&amp;CHAR(34)&amp;C651&amp;CHAR(34)&amp;", region: "&amp;D651&amp;", level: "&amp;CHAR(34)&amp;E651&amp;CHAR(34)&amp;", x: "&amp;F651&amp;", y: "&amp;G651&amp;", z: "&amp;H651&amp;", details: "&amp;CHAR(34)&amp;I651&amp;CHAR(34)&amp;" },"</f>
        <v>{ name: "Walnot Mountain Korok", landmark: "Korok x1", type: "Complete the Rock Pattern", region: 11, level: "Surface", x: 4335, y: -1871, z: 213, details: "" },</v>
      </c>
    </row>
    <row r="652" spans="1:10" x14ac:dyDescent="0.2">
      <c r="A652" s="2">
        <v>616</v>
      </c>
      <c r="B652" s="34" t="s">
        <v>4033</v>
      </c>
      <c r="C652" t="s">
        <v>2824</v>
      </c>
      <c r="D652" s="2">
        <v>11</v>
      </c>
      <c r="E652" s="2" t="s">
        <v>785</v>
      </c>
      <c r="F652" s="2">
        <v>4524</v>
      </c>
      <c r="G652" s="2">
        <v>-1005</v>
      </c>
      <c r="H652" s="2">
        <v>8</v>
      </c>
      <c r="J652" t="str">
        <f>"{ name: "&amp;CHAR(34)&amp;B652&amp;CHAR(34)&amp;", landmark: "&amp;CHAR(34)&amp;IF(LEN(C652)=LEN(SUBSTITUTE(C652,"Transport","")),"Korok x1","Korok x2")&amp;CHAR(34)&amp;", type: "&amp;CHAR(34)&amp;C652&amp;CHAR(34)&amp;", region: "&amp;D652&amp;", level: "&amp;CHAR(34)&amp;E652&amp;CHAR(34)&amp;", x: "&amp;F652&amp;", y: "&amp;G652&amp;", z: "&amp;H652&amp;", details: "&amp;CHAR(34)&amp;I652&amp;CHAR(34)&amp;" },"</f>
        <v>{ name: "Wintre Island Korok", landmark: "Korok x1", type: "Catch the Moving Sparkle", region: 11, level: "Surface", x: 4524, y: -1005, z: 8, details: "" },</v>
      </c>
    </row>
    <row r="653" spans="1:10" x14ac:dyDescent="0.2">
      <c r="A653" s="2">
        <v>641</v>
      </c>
      <c r="B653" s="34" t="s">
        <v>4036</v>
      </c>
      <c r="C653" t="s">
        <v>2802</v>
      </c>
      <c r="D653" s="2">
        <v>11</v>
      </c>
      <c r="E653" s="2" t="s">
        <v>785</v>
      </c>
      <c r="F653" s="2">
        <v>3261</v>
      </c>
      <c r="G653" s="2">
        <v>-2397</v>
      </c>
      <c r="H653" s="2">
        <v>218</v>
      </c>
      <c r="I653" t="s">
        <v>2711</v>
      </c>
      <c r="J653" t="str">
        <f>"{ name: "&amp;CHAR(34)&amp;B653&amp;CHAR(34)&amp;", landmark: "&amp;CHAR(34)&amp;IF(LEN(C653)=LEN(SUBSTITUTE(C653,"Transport","")),"Korok x1","Korok x2")&amp;CHAR(34)&amp;", type: "&amp;CHAR(34)&amp;C653&amp;CHAR(34)&amp;", region: "&amp;D653&amp;", level: "&amp;CHAR(34)&amp;E653&amp;CHAR(34)&amp;", x: "&amp;F653&amp;", y: "&amp;G653&amp;", z: "&amp;H653&amp;", details: "&amp;CHAR(34)&amp;I653&amp;CHAR(34)&amp;" },"</f>
        <v>{ name: "Zelda's House Korok", landmark: "Korok x2", type: "Transport to Friend", region: 11, level: "Surface", x: 3261, y: -2397, z: 218, details: "Starts at (3245, -2283, 132)" },</v>
      </c>
    </row>
    <row r="654" spans="1:10" x14ac:dyDescent="0.2">
      <c r="A654" s="2">
        <v>661</v>
      </c>
      <c r="B654" s="34" t="s">
        <v>3177</v>
      </c>
      <c r="C654" t="s">
        <v>2825</v>
      </c>
      <c r="D654" s="2">
        <v>12</v>
      </c>
      <c r="E654" s="2" t="s">
        <v>785</v>
      </c>
      <c r="F654" s="2">
        <v>1775</v>
      </c>
      <c r="G654" s="2">
        <v>-2767</v>
      </c>
      <c r="H654" s="2">
        <v>318</v>
      </c>
      <c r="J654" t="str">
        <f>"{ name: "&amp;CHAR(34)&amp;B654&amp;CHAR(34)&amp;", landmark: "&amp;CHAR(34)&amp;IF(LEN(C654)=LEN(SUBSTITUTE(C654,"Transport","")),"Korok x1","Korok x2")&amp;CHAR(34)&amp;", type: "&amp;CHAR(34)&amp;C654&amp;CHAR(34)&amp;", region: "&amp;D654&amp;", level: "&amp;CHAR(34)&amp;E654&amp;CHAR(34)&amp;", x: "&amp;F654&amp;", y: "&amp;G654&amp;", z: "&amp;H654&amp;", details: "&amp;CHAR(34)&amp;I654&amp;CHAR(34)&amp;" },"</f>
        <v>{ name: "Angel Peak Korok", landmark: "Korok x1", type: "Climb and Examine the Fairy Lights", region: 12, level: "Surface", x: 1775, y: -2767, z: 318, details: "" },</v>
      </c>
    </row>
    <row r="655" spans="1:10" x14ac:dyDescent="0.2">
      <c r="A655" s="2">
        <v>689</v>
      </c>
      <c r="B655" s="34" t="s">
        <v>3180</v>
      </c>
      <c r="C655" t="s">
        <v>2817</v>
      </c>
      <c r="D655" s="2">
        <v>12</v>
      </c>
      <c r="E655" s="2" t="s">
        <v>785</v>
      </c>
      <c r="F655" s="2">
        <v>2011</v>
      </c>
      <c r="G655" s="2">
        <v>-3957</v>
      </c>
      <c r="H655" s="2">
        <v>6</v>
      </c>
      <c r="I655" t="s">
        <v>2719</v>
      </c>
      <c r="J655" t="str">
        <f>"{ name: "&amp;CHAR(34)&amp;B655&amp;CHAR(34)&amp;", landmark: "&amp;CHAR(34)&amp;IF(LEN(C655)=LEN(SUBSTITUTE(C655,"Transport","")),"Korok x1","Korok x2")&amp;CHAR(34)&amp;", type: "&amp;CHAR(34)&amp;C655&amp;CHAR(34)&amp;", region: "&amp;D655&amp;", level: "&amp;CHAR(34)&amp;E655&amp;CHAR(34)&amp;", x: "&amp;F655&amp;", y: "&amp;G655&amp;", z: "&amp;H655&amp;", details: "&amp;CHAR(34)&amp;I655&amp;CHAR(34)&amp;" },"</f>
        <v>{ name: "Aris Beach Korok", landmark: "Korok x1", type: "Reach the Target Ring", region: 12, level: "Surface", x: 2011, y: -3957, z: 6, details: "Starts at (1973, -3922, 4)" },</v>
      </c>
    </row>
    <row r="656" spans="1:10" x14ac:dyDescent="0.2">
      <c r="A656" s="2">
        <v>696</v>
      </c>
      <c r="B656" s="34" t="s">
        <v>3181</v>
      </c>
      <c r="C656" t="s">
        <v>2823</v>
      </c>
      <c r="D656" s="2">
        <v>12</v>
      </c>
      <c r="E656" s="2" t="s">
        <v>785</v>
      </c>
      <c r="F656" s="2">
        <v>2012</v>
      </c>
      <c r="G656" s="2">
        <v>-1896</v>
      </c>
      <c r="H656" s="2">
        <v>17</v>
      </c>
      <c r="J656" t="str">
        <f>"{ name: "&amp;CHAR(34)&amp;B656&amp;CHAR(34)&amp;", landmark: "&amp;CHAR(34)&amp;IF(LEN(C656)=LEN(SUBSTITUTE(C656,"Transport","")),"Korok x1","Korok x2")&amp;CHAR(34)&amp;", type: "&amp;CHAR(34)&amp;C656&amp;CHAR(34)&amp;", region: "&amp;D656&amp;", level: "&amp;CHAR(34)&amp;E656&amp;CHAR(34)&amp;", x: "&amp;F656&amp;", y: "&amp;G656&amp;", z: "&amp;H656&amp;", details: "&amp;CHAR(34)&amp;I656&amp;CHAR(34)&amp;" },"</f>
        <v>{ name: "Ash Swamp Korok", landmark: "Korok x1", type: "Examine Fairy Lights", region: 12, level: "Surface", x: 2012, y: -1896, z: 17, details: "" },</v>
      </c>
    </row>
    <row r="657" spans="1:10" x14ac:dyDescent="0.2">
      <c r="A657" s="2">
        <v>678</v>
      </c>
      <c r="B657" s="34" t="s">
        <v>3183</v>
      </c>
      <c r="C657" t="s">
        <v>2802</v>
      </c>
      <c r="D657" s="2">
        <v>12</v>
      </c>
      <c r="E657" s="2" t="s">
        <v>785</v>
      </c>
      <c r="F657" s="2">
        <v>2227</v>
      </c>
      <c r="G657" s="2">
        <v>-3834</v>
      </c>
      <c r="H657" s="2">
        <v>2</v>
      </c>
      <c r="I657" t="s">
        <v>2715</v>
      </c>
      <c r="J657" t="str">
        <f>"{ name: "&amp;CHAR(34)&amp;B657&amp;CHAR(34)&amp;", landmark: "&amp;CHAR(34)&amp;IF(LEN(C657)=LEN(SUBSTITUTE(C657,"Transport","")),"Korok x1","Korok x2")&amp;CHAR(34)&amp;", type: "&amp;CHAR(34)&amp;C657&amp;CHAR(34)&amp;", region: "&amp;D657&amp;", level: "&amp;CHAR(34)&amp;E657&amp;CHAR(34)&amp;", x: "&amp;F657&amp;", y: "&amp;G657&amp;", z: "&amp;H657&amp;", details: "&amp;CHAR(34)&amp;I657&amp;CHAR(34)&amp;" },"</f>
        <v>{ name: "Atun Valley Korok #02", landmark: "Korok x2", type: "Transport to Friend", region: 12, level: "Surface", x: 2227, y: -3834, z: 2, details: "Starts at (2243, -3469, 30)" },</v>
      </c>
    </row>
    <row r="658" spans="1:10" x14ac:dyDescent="0.2">
      <c r="A658" s="2">
        <v>681</v>
      </c>
      <c r="B658" s="34" t="s">
        <v>3182</v>
      </c>
      <c r="C658" t="s">
        <v>2827</v>
      </c>
      <c r="D658" s="2">
        <v>12</v>
      </c>
      <c r="E658" s="2" t="s">
        <v>785</v>
      </c>
      <c r="F658" s="2">
        <v>2540</v>
      </c>
      <c r="G658" s="2">
        <v>-3291</v>
      </c>
      <c r="H658" s="2">
        <v>66</v>
      </c>
      <c r="I658" t="s">
        <v>2793</v>
      </c>
      <c r="J658" t="str">
        <f>"{ name: "&amp;CHAR(34)&amp;B658&amp;CHAR(34)&amp;", landmark: "&amp;CHAR(34)&amp;IF(LEN(C658)=LEN(SUBSTITUTE(C658,"Transport","")),"Korok x1","Korok x2")&amp;CHAR(34)&amp;", type: "&amp;CHAR(34)&amp;C658&amp;CHAR(34)&amp;", region: "&amp;D658&amp;", level: "&amp;CHAR(34)&amp;E658&amp;CHAR(34)&amp;", x: "&amp;F658&amp;", y: "&amp;G658&amp;", z: "&amp;H658&amp;", details: "&amp;CHAR(34)&amp;I658&amp;CHAR(34)&amp;" },"</f>
        <v>{ name: "Atun Valley Korok #01", landmark: "Korok x1", type: "Paraglide to the Goal", region: 12, level: "Surface", x: 2540, y: -3291, z: 66, details: "Starts at (2549, -3208, 92)" },</v>
      </c>
    </row>
    <row r="659" spans="1:10" x14ac:dyDescent="0.2">
      <c r="A659" s="2">
        <v>665</v>
      </c>
      <c r="B659" s="34" t="s">
        <v>3210</v>
      </c>
      <c r="C659" t="s">
        <v>2814</v>
      </c>
      <c r="D659" s="2">
        <v>12</v>
      </c>
      <c r="E659" s="2" t="s">
        <v>785</v>
      </c>
      <c r="F659" s="2">
        <v>2142</v>
      </c>
      <c r="G659" s="2">
        <v>-2604</v>
      </c>
      <c r="H659" s="2">
        <v>260</v>
      </c>
      <c r="J659" t="str">
        <f>"{ name: "&amp;CHAR(34)&amp;B659&amp;CHAR(34)&amp;", landmark: "&amp;CHAR(34)&amp;IF(LEN(C659)=LEN(SUBSTITUTE(C659,"Transport","")),"Korok x1","Korok x2")&amp;CHAR(34)&amp;", type: "&amp;CHAR(34)&amp;C659&amp;CHAR(34)&amp;", region: "&amp;D659&amp;", level: "&amp;CHAR(34)&amp;E659&amp;CHAR(34)&amp;", x: "&amp;F659&amp;", y: "&amp;G659&amp;", z: "&amp;H659&amp;", details: "&amp;CHAR(34)&amp;I659&amp;CHAR(34)&amp;" },"</f>
        <v>{ name: "Breman Peak Korok #01", landmark: "Korok x1", type: "Make Offering to Statue", region: 12, level: "Surface", x: 2142, y: -2604, z: 260, details: "" },</v>
      </c>
    </row>
    <row r="660" spans="1:10" x14ac:dyDescent="0.2">
      <c r="A660" s="2">
        <v>666</v>
      </c>
      <c r="B660" s="34" t="s">
        <v>3211</v>
      </c>
      <c r="C660" t="s">
        <v>2821</v>
      </c>
      <c r="D660" s="2">
        <v>12</v>
      </c>
      <c r="E660" s="2" t="s">
        <v>785</v>
      </c>
      <c r="F660" s="2">
        <v>2283</v>
      </c>
      <c r="G660" s="2">
        <v>-2657</v>
      </c>
      <c r="H660" s="2">
        <v>184</v>
      </c>
      <c r="J660" t="str">
        <f>"{ name: "&amp;CHAR(34)&amp;B660&amp;CHAR(34)&amp;", landmark: "&amp;CHAR(34)&amp;IF(LEN(C660)=LEN(SUBSTITUTE(C660,"Transport","")),"Korok x1","Korok x2")&amp;CHAR(34)&amp;", type: "&amp;CHAR(34)&amp;C660&amp;CHAR(34)&amp;", region: "&amp;D660&amp;", level: "&amp;CHAR(34)&amp;E660&amp;CHAR(34)&amp;", x: "&amp;F660&amp;", y: "&amp;G660&amp;", z: "&amp;H660&amp;", details: "&amp;CHAR(34)&amp;I660&amp;CHAR(34)&amp;" },"</f>
        <v>{ name: "Breman Peak Korok #02", landmark: "Korok x1", type: "Shoot the Balloons", region: 12, level: "Surface", x: 2283, y: -2657, z: 184, details: "" },</v>
      </c>
    </row>
    <row r="661" spans="1:10" x14ac:dyDescent="0.2">
      <c r="A661" s="2">
        <v>700</v>
      </c>
      <c r="B661" s="34" t="s">
        <v>3221</v>
      </c>
      <c r="C661" t="s">
        <v>2595</v>
      </c>
      <c r="D661" s="2">
        <v>12</v>
      </c>
      <c r="E661" s="2" t="s">
        <v>785</v>
      </c>
      <c r="F661" s="2">
        <v>2052</v>
      </c>
      <c r="G661" s="2">
        <v>-2092</v>
      </c>
      <c r="H661" s="2">
        <v>50</v>
      </c>
      <c r="J661" t="str">
        <f>"{ name: "&amp;CHAR(34)&amp;B661&amp;CHAR(34)&amp;", landmark: "&amp;CHAR(34)&amp;IF(LEN(C661)=LEN(SUBSTITUTE(C661,"Transport","")),"Korok x1","Korok x2")&amp;CHAR(34)&amp;", type: "&amp;CHAR(34)&amp;C661&amp;CHAR(34)&amp;", region: "&amp;D661&amp;", level: "&amp;CHAR(34)&amp;E661&amp;CHAR(34)&amp;", x: "&amp;F661&amp;", y: "&amp;G661&amp;", z: "&amp;H661&amp;", details: "&amp;CHAR(34)&amp;I661&amp;CHAR(34)&amp;" },"</f>
        <v>{ name: "Bubinga Forest Korok", landmark: "Korok x1", type: "Attack and catch the dandelion", region: 12, level: "Surface", x: 2052, y: -2092, z: 50, details: "" },</v>
      </c>
    </row>
    <row r="662" spans="1:10" x14ac:dyDescent="0.2">
      <c r="A662" s="2">
        <v>685</v>
      </c>
      <c r="B662" s="34" t="s">
        <v>3223</v>
      </c>
      <c r="C662" t="s">
        <v>2801</v>
      </c>
      <c r="D662" s="2">
        <v>12</v>
      </c>
      <c r="E662" s="2" t="s">
        <v>785</v>
      </c>
      <c r="F662" s="2">
        <v>3496</v>
      </c>
      <c r="G662" s="2">
        <v>-3311</v>
      </c>
      <c r="H662" s="2">
        <v>228</v>
      </c>
      <c r="J662" t="str">
        <f>"{ name: "&amp;CHAR(34)&amp;B662&amp;CHAR(34)&amp;", landmark: "&amp;CHAR(34)&amp;IF(LEN(C662)=LEN(SUBSTITUTE(C662,"Transport","")),"Korok x1","Korok x2")&amp;CHAR(34)&amp;", type: "&amp;CHAR(34)&amp;C662&amp;CHAR(34)&amp;", region: "&amp;D662&amp;", level: "&amp;CHAR(34)&amp;E662&amp;CHAR(34)&amp;", x: "&amp;F662&amp;", y: "&amp;G662&amp;", z: "&amp;H662&amp;", details: "&amp;CHAR(34)&amp;I662&amp;CHAR(34)&amp;" },"</f>
        <v>{ name: "Cape Cales Korok #01", landmark: "Korok x1", type: "Break the Acorn Pot", region: 12, level: "Surface", x: 3496, y: -3311, z: 228, details: "" },</v>
      </c>
    </row>
    <row r="663" spans="1:10" x14ac:dyDescent="0.2">
      <c r="A663" s="2">
        <v>687</v>
      </c>
      <c r="B663" s="34" t="s">
        <v>3224</v>
      </c>
      <c r="C663" t="s">
        <v>2812</v>
      </c>
      <c r="D663" s="2">
        <v>12</v>
      </c>
      <c r="E663" s="2" t="s">
        <v>785</v>
      </c>
      <c r="F663" s="2">
        <v>3666</v>
      </c>
      <c r="G663" s="2">
        <v>-3277</v>
      </c>
      <c r="H663" s="2">
        <v>207</v>
      </c>
      <c r="J663" t="str">
        <f>"{ name: "&amp;CHAR(34)&amp;B663&amp;CHAR(34)&amp;", landmark: "&amp;CHAR(34)&amp;IF(LEN(C663)=LEN(SUBSTITUTE(C663,"Transport","")),"Korok x1","Korok x2")&amp;CHAR(34)&amp;", type: "&amp;CHAR(34)&amp;C663&amp;CHAR(34)&amp;", region: "&amp;D663&amp;", level: "&amp;CHAR(34)&amp;E663&amp;CHAR(34)&amp;", x: "&amp;F663&amp;", y: "&amp;G663&amp;", z: "&amp;H663&amp;", details: "&amp;CHAR(34)&amp;I663&amp;CHAR(34)&amp;" },"</f>
        <v>{ name: "Cape Cales Korok #02", landmark: "Korok x1", type: "Lift the Rock", region: 12, level: "Surface", x: 3666, y: -3277, z: 207, details: "" },</v>
      </c>
    </row>
    <row r="664" spans="1:10" x14ac:dyDescent="0.2">
      <c r="A664" s="2">
        <v>688</v>
      </c>
      <c r="B664" s="34" t="s">
        <v>3225</v>
      </c>
      <c r="C664" t="s">
        <v>2802</v>
      </c>
      <c r="D664" s="2">
        <v>12</v>
      </c>
      <c r="E664" s="2" t="s">
        <v>785</v>
      </c>
      <c r="F664" s="2">
        <v>4497</v>
      </c>
      <c r="G664" s="2">
        <v>-3616</v>
      </c>
      <c r="H664" s="2">
        <v>1</v>
      </c>
      <c r="I664" t="s">
        <v>2718</v>
      </c>
      <c r="J664" t="str">
        <f>"{ name: "&amp;CHAR(34)&amp;B664&amp;CHAR(34)&amp;", landmark: "&amp;CHAR(34)&amp;IF(LEN(C664)=LEN(SUBSTITUTE(C664,"Transport","")),"Korok x1","Korok x2")&amp;CHAR(34)&amp;", type: "&amp;CHAR(34)&amp;C664&amp;CHAR(34)&amp;", region: "&amp;D664&amp;", level: "&amp;CHAR(34)&amp;E664&amp;CHAR(34)&amp;", x: "&amp;F664&amp;", y: "&amp;G664&amp;", z: "&amp;H664&amp;", details: "&amp;CHAR(34)&amp;I664&amp;CHAR(34)&amp;" },"</f>
        <v>{ name: "Cape Cales Korok #03", landmark: "Korok x2", type: "Transport to Friend", region: 12, level: "Surface", x: 4497, y: -3616, z: 1, details: "Starts at (3687, -3318, 245)" },</v>
      </c>
    </row>
    <row r="665" spans="1:10" x14ac:dyDescent="0.2">
      <c r="A665" s="2">
        <v>690</v>
      </c>
      <c r="B665" s="34" t="s">
        <v>3234</v>
      </c>
      <c r="C665" t="s">
        <v>2802</v>
      </c>
      <c r="D665" s="2">
        <v>12</v>
      </c>
      <c r="E665" s="2" t="s">
        <v>785</v>
      </c>
      <c r="F665" s="2">
        <v>2428</v>
      </c>
      <c r="G665" s="2">
        <v>-3945</v>
      </c>
      <c r="H665" s="2">
        <v>1</v>
      </c>
      <c r="I665" t="s">
        <v>2720</v>
      </c>
      <c r="J665" t="str">
        <f>"{ name: "&amp;CHAR(34)&amp;B665&amp;CHAR(34)&amp;", landmark: "&amp;CHAR(34)&amp;IF(LEN(C665)=LEN(SUBSTITUTE(C665,"Transport","")),"Korok x1","Korok x2")&amp;CHAR(34)&amp;", type: "&amp;CHAR(34)&amp;C665&amp;CHAR(34)&amp;", region: "&amp;D665&amp;", level: "&amp;CHAR(34)&amp;E665&amp;CHAR(34)&amp;", x: "&amp;F665&amp;", y: "&amp;G665&amp;", z: "&amp;H665&amp;", details: "&amp;CHAR(34)&amp;I665&amp;CHAR(34)&amp;" },"</f>
        <v>{ name: "Clarnet Coast Korok", landmark: "Korok x2", type: "Transport to Friend", region: 12, level: "Surface", x: 2428, y: -3945, z: 1, details: "Starts at (2828, -3884, 1)" },</v>
      </c>
    </row>
    <row r="666" spans="1:10" x14ac:dyDescent="0.2">
      <c r="A666" s="2">
        <v>679</v>
      </c>
      <c r="B666" s="34" t="s">
        <v>3243</v>
      </c>
      <c r="C666" t="s">
        <v>2824</v>
      </c>
      <c r="D666" s="2">
        <v>12</v>
      </c>
      <c r="E666" s="2" t="s">
        <v>785</v>
      </c>
      <c r="F666" s="2">
        <v>2294</v>
      </c>
      <c r="G666" s="2">
        <v>-3020</v>
      </c>
      <c r="H666" s="2">
        <v>184</v>
      </c>
      <c r="J666" t="str">
        <f>"{ name: "&amp;CHAR(34)&amp;B666&amp;CHAR(34)&amp;", landmark: "&amp;CHAR(34)&amp;IF(LEN(C666)=LEN(SUBSTITUTE(C666,"Transport","")),"Korok x1","Korok x2")&amp;CHAR(34)&amp;", type: "&amp;CHAR(34)&amp;C666&amp;CHAR(34)&amp;", region: "&amp;D666&amp;", level: "&amp;CHAR(34)&amp;E666&amp;CHAR(34)&amp;", x: "&amp;F666&amp;", y: "&amp;G666&amp;", z: "&amp;H666&amp;", details: "&amp;CHAR(34)&amp;I666&amp;CHAR(34)&amp;" },"</f>
        <v>{ name: "Courage Steppe Korok", landmark: "Korok x1", type: "Catch the Moving Sparkle", region: 12, level: "Surface", x: 2294, y: -3020, z: 184, details: "" },</v>
      </c>
    </row>
    <row r="667" spans="1:10" x14ac:dyDescent="0.2">
      <c r="A667" s="2">
        <v>676</v>
      </c>
      <c r="B667" s="34" t="s">
        <v>3291</v>
      </c>
      <c r="C667" t="s">
        <v>2808</v>
      </c>
      <c r="D667" s="2">
        <v>12</v>
      </c>
      <c r="E667" s="2" t="s">
        <v>785</v>
      </c>
      <c r="F667" s="2">
        <v>3100</v>
      </c>
      <c r="G667" s="2">
        <v>-2951</v>
      </c>
      <c r="H667" s="2">
        <v>185</v>
      </c>
      <c r="J667" t="str">
        <f>"{ name: "&amp;CHAR(34)&amp;B667&amp;CHAR(34)&amp;", landmark: "&amp;CHAR(34)&amp;IF(LEN(C667)=LEN(SUBSTITUTE(C667,"Transport","")),"Korok x1","Korok x2")&amp;CHAR(34)&amp;", type: "&amp;CHAR(34)&amp;C667&amp;CHAR(34)&amp;", region: "&amp;D667&amp;", level: "&amp;CHAR(34)&amp;E667&amp;CHAR(34)&amp;", x: "&amp;F667&amp;", y: "&amp;G667&amp;", z: "&amp;H667&amp;", details: "&amp;CHAR(34)&amp;I667&amp;CHAR(34)&amp;" },"</f>
        <v>{ name: "Dunsel Plateau Korok", landmark: "Korok x1", type: "Complete the Rock Pattern", region: 12, level: "Surface", x: 3100, y: -2951, z: 185, details: "" },</v>
      </c>
    </row>
    <row r="668" spans="1:10" x14ac:dyDescent="0.2">
      <c r="A668" s="2">
        <v>692</v>
      </c>
      <c r="B668" s="34" t="s">
        <v>3326</v>
      </c>
      <c r="C668" t="s">
        <v>2821</v>
      </c>
      <c r="D668" s="2">
        <v>12</v>
      </c>
      <c r="E668" s="2" t="s">
        <v>785</v>
      </c>
      <c r="F668" s="2">
        <v>4491</v>
      </c>
      <c r="G668" s="2">
        <v>-3396</v>
      </c>
      <c r="H668" s="2">
        <v>6</v>
      </c>
      <c r="J668" t="str">
        <f>"{ name: "&amp;CHAR(34)&amp;B668&amp;CHAR(34)&amp;", landmark: "&amp;CHAR(34)&amp;IF(LEN(C668)=LEN(SUBSTITUTE(C668,"Transport","")),"Korok x1","Korok x2")&amp;CHAR(34)&amp;", type: "&amp;CHAR(34)&amp;C668&amp;CHAR(34)&amp;", region: "&amp;D668&amp;", level: "&amp;CHAR(34)&amp;E668&amp;CHAR(34)&amp;", x: "&amp;F668&amp;", y: "&amp;G668&amp;", z: "&amp;H668&amp;", details: "&amp;CHAR(34)&amp;I668&amp;CHAR(34)&amp;" },"</f>
        <v>{ name: "Eventide Island Korok #01", landmark: "Korok x1", type: "Shoot the Balloons", region: 12, level: "Surface", x: 4491, y: -3396, z: 6, details: "" },</v>
      </c>
    </row>
    <row r="669" spans="1:10" x14ac:dyDescent="0.2">
      <c r="A669" s="2">
        <v>693</v>
      </c>
      <c r="B669" s="34" t="s">
        <v>3327</v>
      </c>
      <c r="C669" t="s">
        <v>2812</v>
      </c>
      <c r="D669" s="2">
        <v>12</v>
      </c>
      <c r="E669" s="2" t="s">
        <v>785</v>
      </c>
      <c r="F669" s="2">
        <v>4536</v>
      </c>
      <c r="G669" s="2">
        <v>-3663</v>
      </c>
      <c r="H669" s="2">
        <v>46</v>
      </c>
      <c r="J669" t="str">
        <f>"{ name: "&amp;CHAR(34)&amp;B669&amp;CHAR(34)&amp;", landmark: "&amp;CHAR(34)&amp;IF(LEN(C669)=LEN(SUBSTITUTE(C669,"Transport","")),"Korok x1","Korok x2")&amp;CHAR(34)&amp;", type: "&amp;CHAR(34)&amp;C669&amp;CHAR(34)&amp;", region: "&amp;D669&amp;", level: "&amp;CHAR(34)&amp;E669&amp;CHAR(34)&amp;", x: "&amp;F669&amp;", y: "&amp;G669&amp;", z: "&amp;H669&amp;", details: "&amp;CHAR(34)&amp;I669&amp;CHAR(34)&amp;" },"</f>
        <v>{ name: "Eventide Island Korok #02", landmark: "Korok x1", type: "Lift the Rock", region: 12, level: "Surface", x: 4536, y: -3663, z: 46, details: "" },</v>
      </c>
    </row>
    <row r="670" spans="1:10" x14ac:dyDescent="0.2">
      <c r="A670" s="2">
        <v>694</v>
      </c>
      <c r="B670" s="34" t="s">
        <v>3328</v>
      </c>
      <c r="C670" t="s">
        <v>2825</v>
      </c>
      <c r="D670" s="2">
        <v>12</v>
      </c>
      <c r="E670" s="2" t="s">
        <v>785</v>
      </c>
      <c r="F670" s="2">
        <v>4598</v>
      </c>
      <c r="G670" s="2">
        <v>-3562</v>
      </c>
      <c r="H670" s="2">
        <v>22</v>
      </c>
      <c r="J670" t="str">
        <f>"{ name: "&amp;CHAR(34)&amp;B670&amp;CHAR(34)&amp;", landmark: "&amp;CHAR(34)&amp;IF(LEN(C670)=LEN(SUBSTITUTE(C670,"Transport","")),"Korok x1","Korok x2")&amp;CHAR(34)&amp;", type: "&amp;CHAR(34)&amp;C670&amp;CHAR(34)&amp;", region: "&amp;D670&amp;", level: "&amp;CHAR(34)&amp;E670&amp;CHAR(34)&amp;", x: "&amp;F670&amp;", y: "&amp;G670&amp;", z: "&amp;H670&amp;", details: "&amp;CHAR(34)&amp;I670&amp;CHAR(34)&amp;" },"</f>
        <v>{ name: "Eventide Island Korok #03", landmark: "Korok x1", type: "Climb and Examine the Fairy Lights", region: 12, level: "Surface", x: 4598, y: -3562, z: 22, details: "" },</v>
      </c>
    </row>
    <row r="671" spans="1:10" x14ac:dyDescent="0.2">
      <c r="A671" s="2">
        <v>695</v>
      </c>
      <c r="B671" s="34" t="s">
        <v>3329</v>
      </c>
      <c r="C671" t="s">
        <v>2824</v>
      </c>
      <c r="D671" s="2">
        <v>12</v>
      </c>
      <c r="E671" s="2" t="s">
        <v>785</v>
      </c>
      <c r="F671" s="2">
        <v>4897</v>
      </c>
      <c r="G671" s="2">
        <v>-3693</v>
      </c>
      <c r="H671" s="2">
        <v>3</v>
      </c>
      <c r="J671" t="str">
        <f>"{ name: "&amp;CHAR(34)&amp;B671&amp;CHAR(34)&amp;", landmark: "&amp;CHAR(34)&amp;IF(LEN(C671)=LEN(SUBSTITUTE(C671,"Transport","")),"Korok x1","Korok x2")&amp;CHAR(34)&amp;", type: "&amp;CHAR(34)&amp;C671&amp;CHAR(34)&amp;", region: "&amp;D671&amp;", level: "&amp;CHAR(34)&amp;E671&amp;CHAR(34)&amp;", x: "&amp;F671&amp;", y: "&amp;G671&amp;", z: "&amp;H671&amp;", details: "&amp;CHAR(34)&amp;I671&amp;CHAR(34)&amp;" },"</f>
        <v>{ name: "Eventide Island Korok #04", landmark: "Korok x1", type: "Catch the Moving Sparkle", region: 12, level: "Surface", x: 4897, y: -3693, z: 3, details: "" },</v>
      </c>
    </row>
    <row r="672" spans="1:10" x14ac:dyDescent="0.2">
      <c r="A672" s="2">
        <v>675</v>
      </c>
      <c r="B672" s="34" t="s">
        <v>3336</v>
      </c>
      <c r="C672" t="s">
        <v>2809</v>
      </c>
      <c r="D672" s="2">
        <v>12</v>
      </c>
      <c r="E672" s="2" t="s">
        <v>785</v>
      </c>
      <c r="F672" s="2">
        <v>3017</v>
      </c>
      <c r="G672" s="2">
        <v>-2539</v>
      </c>
      <c r="H672" s="2">
        <v>121</v>
      </c>
      <c r="J672" t="str">
        <f>"{ name: "&amp;CHAR(34)&amp;B672&amp;CHAR(34)&amp;", landmark: "&amp;CHAR(34)&amp;IF(LEN(C672)=LEN(SUBSTITUTE(C672,"Transport","")),"Korok x1","Korok x2")&amp;CHAR(34)&amp;", type: "&amp;CHAR(34)&amp;C672&amp;CHAR(34)&amp;", region: "&amp;D672&amp;", level: "&amp;CHAR(34)&amp;E672&amp;CHAR(34)&amp;", x: "&amp;F672&amp;", y: "&amp;G672&amp;", z: "&amp;H672&amp;", details: "&amp;CHAR(34)&amp;I672&amp;CHAR(34)&amp;" },"</f>
        <v>{ name: "Firly Plateau Korok", landmark: "Korok x1", type: "Dive into the Lily Ring", region: 12, level: "Surface", x: 3017, y: -2539, z: 121, details: "" },</v>
      </c>
    </row>
    <row r="673" spans="1:10" x14ac:dyDescent="0.2">
      <c r="A673" s="2">
        <v>697</v>
      </c>
      <c r="B673" s="34" t="s">
        <v>3457</v>
      </c>
      <c r="C673" t="s">
        <v>2811</v>
      </c>
      <c r="D673" s="2">
        <v>12</v>
      </c>
      <c r="E673" s="2" t="s">
        <v>785</v>
      </c>
      <c r="F673" s="2">
        <v>1946</v>
      </c>
      <c r="G673" s="2">
        <v>-2382</v>
      </c>
      <c r="H673" s="2">
        <v>40</v>
      </c>
      <c r="I673" t="s">
        <v>2799</v>
      </c>
      <c r="J673" t="str">
        <f>"{ name: "&amp;CHAR(34)&amp;B673&amp;CHAR(34)&amp;", landmark: "&amp;CHAR(34)&amp;IF(LEN(C673)=LEN(SUBSTITUTE(C673,"Transport","")),"Korok x1","Korok x2")&amp;CHAR(34)&amp;", type: "&amp;CHAR(34)&amp;C673&amp;CHAR(34)&amp;", region: "&amp;D673&amp;", level: "&amp;CHAR(34)&amp;E673&amp;CHAR(34)&amp;", x: "&amp;F673&amp;", y: "&amp;G673&amp;", z: "&amp;H673&amp;", details: "&amp;CHAR(34)&amp;I673&amp;CHAR(34)&amp;" },"</f>
        <v>{ name: "Hickaly Woods Korok #01", landmark: "Korok x1", type: "Follow the Yellow Flowers", region: 12, level: "Surface", x: 1946, y: -2382, z: 40, details: "Starts at (1885, -2418, 40)" },</v>
      </c>
    </row>
    <row r="674" spans="1:10" x14ac:dyDescent="0.2">
      <c r="A674" s="2">
        <v>698</v>
      </c>
      <c r="B674" s="34" t="s">
        <v>3458</v>
      </c>
      <c r="C674" t="s">
        <v>2816</v>
      </c>
      <c r="D674" s="2">
        <v>12</v>
      </c>
      <c r="E674" s="2" t="s">
        <v>785</v>
      </c>
      <c r="F674" s="2">
        <v>1940</v>
      </c>
      <c r="G674" s="2">
        <v>-2564</v>
      </c>
      <c r="H674" s="2">
        <v>27</v>
      </c>
      <c r="J674" t="str">
        <f>"{ name: "&amp;CHAR(34)&amp;B674&amp;CHAR(34)&amp;", landmark: "&amp;CHAR(34)&amp;IF(LEN(C674)=LEN(SUBSTITUTE(C674,"Transport","")),"Korok x1","Korok x2")&amp;CHAR(34)&amp;", type: "&amp;CHAR(34)&amp;C674&amp;CHAR(34)&amp;", region: "&amp;D674&amp;", level: "&amp;CHAR(34)&amp;E674&amp;CHAR(34)&amp;", x: "&amp;F674&amp;", y: "&amp;G674&amp;", z: "&amp;H674&amp;", details: "&amp;CHAR(34)&amp;I674&amp;CHAR(34)&amp;" },"</f>
        <v>{ name: "Hickaly Woods Korok #02", landmark: "Korok x1", type: "Pull the Plug", region: 12, level: "Surface", x: 1940, y: -2564, z: 27, details: "" },</v>
      </c>
    </row>
    <row r="675" spans="1:10" x14ac:dyDescent="0.2">
      <c r="A675" s="2">
        <v>682</v>
      </c>
      <c r="B675" s="34" t="s">
        <v>3611</v>
      </c>
      <c r="C675" t="s">
        <v>2817</v>
      </c>
      <c r="D675" s="2">
        <v>12</v>
      </c>
      <c r="E675" s="2" t="s">
        <v>785</v>
      </c>
      <c r="F675" s="2">
        <v>3064</v>
      </c>
      <c r="G675" s="2">
        <v>-3395</v>
      </c>
      <c r="H675" s="2">
        <v>21</v>
      </c>
      <c r="I675" t="s">
        <v>2716</v>
      </c>
      <c r="J675" t="str">
        <f>"{ name: "&amp;CHAR(34)&amp;B675&amp;CHAR(34)&amp;", landmark: "&amp;CHAR(34)&amp;IF(LEN(C675)=LEN(SUBSTITUTE(C675,"Transport","")),"Korok x1","Korok x2")&amp;CHAR(34)&amp;", type: "&amp;CHAR(34)&amp;C675&amp;CHAR(34)&amp;", region: "&amp;D675&amp;", level: "&amp;CHAR(34)&amp;E675&amp;CHAR(34)&amp;", x: "&amp;F675&amp;", y: "&amp;G675&amp;", z: "&amp;H675&amp;", details: "&amp;CHAR(34)&amp;I675&amp;CHAR(34)&amp;" },"</f>
        <v>{ name: "Lurelin Village Korok", landmark: "Korok x1", type: "Reach the Target Ring", region: 12, level: "Surface", x: 3064, y: -3395, z: 21, details: "Starts at (3082, -3386, 49)" },</v>
      </c>
    </row>
    <row r="676" spans="1:10" x14ac:dyDescent="0.2">
      <c r="A676" s="2">
        <v>673</v>
      </c>
      <c r="B676" s="34" t="s">
        <v>3623</v>
      </c>
      <c r="C676" t="s">
        <v>2812</v>
      </c>
      <c r="D676" s="2">
        <v>12</v>
      </c>
      <c r="E676" s="2" t="s">
        <v>785</v>
      </c>
      <c r="F676" s="2">
        <v>2810</v>
      </c>
      <c r="G676" s="2">
        <v>-2248</v>
      </c>
      <c r="H676" s="2">
        <v>126</v>
      </c>
      <c r="J676" t="str">
        <f>"{ name: "&amp;CHAR(34)&amp;B676&amp;CHAR(34)&amp;", landmark: "&amp;CHAR(34)&amp;IF(LEN(C676)=LEN(SUBSTITUTE(C676,"Transport","")),"Korok x1","Korok x2")&amp;CHAR(34)&amp;", type: "&amp;CHAR(34)&amp;C676&amp;CHAR(34)&amp;", region: "&amp;D676&amp;", level: "&amp;CHAR(34)&amp;E676&amp;CHAR(34)&amp;", x: "&amp;F676&amp;", y: "&amp;G676&amp;", z: "&amp;H676&amp;", details: "&amp;CHAR(34)&amp;I676&amp;CHAR(34)&amp;" },"</f>
        <v>{ name: "Marblod Plain Korok", landmark: "Korok x1", type: "Lift the Rock", region: 12, level: "Surface", x: 2810, y: -2248, z: 126, details: "" },</v>
      </c>
    </row>
    <row r="677" spans="1:10" x14ac:dyDescent="0.2">
      <c r="A677" s="2">
        <v>669</v>
      </c>
      <c r="B677" s="34" t="s">
        <v>3628</v>
      </c>
      <c r="C677" t="s">
        <v>2807</v>
      </c>
      <c r="D677" s="2">
        <v>12</v>
      </c>
      <c r="E677" s="2" t="s">
        <v>785</v>
      </c>
      <c r="F677" s="2">
        <v>2559</v>
      </c>
      <c r="G677" s="2">
        <v>-2485</v>
      </c>
      <c r="H677" s="2">
        <v>256</v>
      </c>
      <c r="J677" t="str">
        <f>"{ name: "&amp;CHAR(34)&amp;B677&amp;CHAR(34)&amp;", landmark: "&amp;CHAR(34)&amp;IF(LEN(C677)=LEN(SUBSTITUTE(C677,"Transport","")),"Korok x1","Korok x2")&amp;CHAR(34)&amp;", type: "&amp;CHAR(34)&amp;C677&amp;CHAR(34)&amp;", region: "&amp;D677&amp;", level: "&amp;CHAR(34)&amp;E677&amp;CHAR(34)&amp;", x: "&amp;F677&amp;", y: "&amp;G677&amp;", z: "&amp;H677&amp;", details: "&amp;CHAR(34)&amp;I677&amp;CHAR(34)&amp;" },"</f>
        <v>{ name: "Meda Mountain Korok", landmark: "Korok x1", type: "Complete the Cube Puzzle", region: 12, level: "Surface", x: 2559, y: -2485, z: 256, details: "" },</v>
      </c>
    </row>
    <row r="678" spans="1:10" x14ac:dyDescent="0.2">
      <c r="A678" s="2">
        <v>662</v>
      </c>
      <c r="B678" s="34" t="s">
        <v>3650</v>
      </c>
      <c r="C678" t="s">
        <v>2821</v>
      </c>
      <c r="D678" s="2">
        <v>12</v>
      </c>
      <c r="E678" s="2" t="s">
        <v>785</v>
      </c>
      <c r="F678" s="2">
        <v>1936</v>
      </c>
      <c r="G678" s="2">
        <v>-2777</v>
      </c>
      <c r="H678" s="2">
        <v>390</v>
      </c>
      <c r="J678" t="str">
        <f>"{ name: "&amp;CHAR(34)&amp;B678&amp;CHAR(34)&amp;", landmark: "&amp;CHAR(34)&amp;IF(LEN(C678)=LEN(SUBSTITUTE(C678,"Transport","")),"Korok x1","Korok x2")&amp;CHAR(34)&amp;", type: "&amp;CHAR(34)&amp;C678&amp;CHAR(34)&amp;", region: "&amp;D678&amp;", level: "&amp;CHAR(34)&amp;E678&amp;CHAR(34)&amp;", x: "&amp;F678&amp;", y: "&amp;G678&amp;", z: "&amp;H678&amp;", details: "&amp;CHAR(34)&amp;I678&amp;CHAR(34)&amp;" },"</f>
        <v>{ name: "Mount Floria Korok #01", landmark: "Korok x1", type: "Shoot the Balloons", region: 12, level: "Surface", x: 1936, y: -2777, z: 390, details: "" },</v>
      </c>
    </row>
    <row r="679" spans="1:10" x14ac:dyDescent="0.2">
      <c r="A679" s="2">
        <v>663</v>
      </c>
      <c r="B679" s="34" t="s">
        <v>3651</v>
      </c>
      <c r="C679" t="s">
        <v>2801</v>
      </c>
      <c r="D679" s="2">
        <v>12</v>
      </c>
      <c r="E679" s="2" t="s">
        <v>785</v>
      </c>
      <c r="F679" s="2">
        <v>1960</v>
      </c>
      <c r="G679" s="2">
        <v>-2628</v>
      </c>
      <c r="H679" s="2">
        <v>252</v>
      </c>
      <c r="J679" t="str">
        <f>"{ name: "&amp;CHAR(34)&amp;B679&amp;CHAR(34)&amp;", landmark: "&amp;CHAR(34)&amp;IF(LEN(C679)=LEN(SUBSTITUTE(C679,"Transport","")),"Korok x1","Korok x2")&amp;CHAR(34)&amp;", type: "&amp;CHAR(34)&amp;C679&amp;CHAR(34)&amp;", region: "&amp;D679&amp;", level: "&amp;CHAR(34)&amp;E679&amp;CHAR(34)&amp;", x: "&amp;F679&amp;", y: "&amp;G679&amp;", z: "&amp;H679&amp;", details: "&amp;CHAR(34)&amp;I679&amp;CHAR(34)&amp;" },"</f>
        <v>{ name: "Mount Floria Korok #02", landmark: "Korok x1", type: "Break the Acorn Pot", region: 12, level: "Surface", x: 1960, y: -2628, z: 252, details: "" },</v>
      </c>
    </row>
    <row r="680" spans="1:10" x14ac:dyDescent="0.2">
      <c r="A680" s="2">
        <v>664</v>
      </c>
      <c r="B680" s="34" t="s">
        <v>3652</v>
      </c>
      <c r="C680" t="s">
        <v>2812</v>
      </c>
      <c r="D680" s="2">
        <v>12</v>
      </c>
      <c r="E680" s="2" t="s">
        <v>785</v>
      </c>
      <c r="F680" s="2">
        <v>2044</v>
      </c>
      <c r="G680" s="2">
        <v>-2661</v>
      </c>
      <c r="H680" s="2">
        <v>308</v>
      </c>
      <c r="J680" t="str">
        <f>"{ name: "&amp;CHAR(34)&amp;B680&amp;CHAR(34)&amp;", landmark: "&amp;CHAR(34)&amp;IF(LEN(C680)=LEN(SUBSTITUTE(C680,"Transport","")),"Korok x1","Korok x2")&amp;CHAR(34)&amp;", type: "&amp;CHAR(34)&amp;C680&amp;CHAR(34)&amp;", region: "&amp;D680&amp;", level: "&amp;CHAR(34)&amp;E680&amp;CHAR(34)&amp;", x: "&amp;F680&amp;", y: "&amp;G680&amp;", z: "&amp;H680&amp;", details: "&amp;CHAR(34)&amp;I680&amp;CHAR(34)&amp;" },"</f>
        <v>{ name: "Mount Floria Korok #03", landmark: "Korok x1", type: "Lift the Rock", region: 12, level: "Surface", x: 2044, y: -2661, z: 308, details: "" },</v>
      </c>
    </row>
    <row r="681" spans="1:10" x14ac:dyDescent="0.2">
      <c r="A681" s="2">
        <v>702</v>
      </c>
      <c r="B681" s="34" t="s">
        <v>3663</v>
      </c>
      <c r="C681" t="s">
        <v>2822</v>
      </c>
      <c r="D681" s="2">
        <v>12</v>
      </c>
      <c r="E681" s="2" t="s">
        <v>785</v>
      </c>
      <c r="F681" s="2">
        <v>2278</v>
      </c>
      <c r="G681" s="2">
        <v>-2361</v>
      </c>
      <c r="H681" s="2">
        <v>182</v>
      </c>
      <c r="J681" t="str">
        <f>"{ name: "&amp;CHAR(34)&amp;B681&amp;CHAR(34)&amp;", landmark: "&amp;CHAR(34)&amp;IF(LEN(C681)=LEN(SUBSTITUTE(C681,"Transport","")),"Korok x1","Korok x2")&amp;CHAR(34)&amp;", type: "&amp;CHAR(34)&amp;C681&amp;CHAR(34)&amp;", region: "&amp;D681&amp;", level: "&amp;CHAR(34)&amp;E681&amp;CHAR(34)&amp;", x: "&amp;F681&amp;", y: "&amp;G681&amp;", z: "&amp;H681&amp;", details: "&amp;CHAR(34)&amp;I681&amp;CHAR(34)&amp;" },"</f>
        <v>{ name: "Mount Rozudo Korok #01", landmark: "Korok x1", type: "Shoot the Hidden Balloon", region: 12, level: "Surface", x: 2278, y: -2361, z: 182, details: "" },</v>
      </c>
    </row>
    <row r="682" spans="1:10" x14ac:dyDescent="0.2">
      <c r="A682" s="2">
        <v>703</v>
      </c>
      <c r="B682" s="34" t="s">
        <v>3664</v>
      </c>
      <c r="C682" t="s">
        <v>2808</v>
      </c>
      <c r="D682" s="2">
        <v>12</v>
      </c>
      <c r="E682" s="2" t="s">
        <v>785</v>
      </c>
      <c r="F682" s="2">
        <v>2413</v>
      </c>
      <c r="G682" s="2">
        <v>-2269</v>
      </c>
      <c r="H682" s="2">
        <v>114</v>
      </c>
      <c r="J682" t="str">
        <f>"{ name: "&amp;CHAR(34)&amp;B682&amp;CHAR(34)&amp;", landmark: "&amp;CHAR(34)&amp;IF(LEN(C682)=LEN(SUBSTITUTE(C682,"Transport","")),"Korok x1","Korok x2")&amp;CHAR(34)&amp;", type: "&amp;CHAR(34)&amp;C682&amp;CHAR(34)&amp;", region: "&amp;D682&amp;", level: "&amp;CHAR(34)&amp;E682&amp;CHAR(34)&amp;", x: "&amp;F682&amp;", y: "&amp;G682&amp;", z: "&amp;H682&amp;", details: "&amp;CHAR(34)&amp;I682&amp;CHAR(34)&amp;" },"</f>
        <v>{ name: "Mount Rozudo Korok #02", landmark: "Korok x1", type: "Complete the Rock Pattern", region: 12, level: "Surface", x: 2413, y: -2269, z: 114, details: "" },</v>
      </c>
    </row>
    <row r="683" spans="1:10" x14ac:dyDescent="0.2">
      <c r="A683" s="2">
        <v>667</v>
      </c>
      <c r="B683" s="34" t="s">
        <v>3665</v>
      </c>
      <c r="C683" t="s">
        <v>2817</v>
      </c>
      <c r="D683" s="2">
        <v>12</v>
      </c>
      <c r="E683" s="2" t="s">
        <v>785</v>
      </c>
      <c r="F683" s="2">
        <v>2579</v>
      </c>
      <c r="G683" s="2">
        <v>-2729</v>
      </c>
      <c r="H683" s="2">
        <v>260</v>
      </c>
      <c r="I683" t="s">
        <v>2707</v>
      </c>
      <c r="J683" t="str">
        <f>"{ name: "&amp;CHAR(34)&amp;B683&amp;CHAR(34)&amp;", landmark: "&amp;CHAR(34)&amp;IF(LEN(C683)=LEN(SUBSTITUTE(C683,"Transport","")),"Korok x1","Korok x2")&amp;CHAR(34)&amp;", type: "&amp;CHAR(34)&amp;C683&amp;CHAR(34)&amp;", region: "&amp;D683&amp;", level: "&amp;CHAR(34)&amp;E683&amp;CHAR(34)&amp;", x: "&amp;F683&amp;", y: "&amp;G683&amp;", z: "&amp;H683&amp;", details: "&amp;CHAR(34)&amp;I683&amp;CHAR(34)&amp;" },"</f>
        <v>{ name: "Mount Taran Korok", landmark: "Korok x1", type: "Reach the Target Ring", region: 12, level: "Surface", x: 2579, y: -2729, z: 260, details: "Starts at (2410, -2671, 258)" },</v>
      </c>
    </row>
    <row r="684" spans="1:10" x14ac:dyDescent="0.2">
      <c r="A684" s="2">
        <v>52</v>
      </c>
      <c r="B684" s="34" t="s">
        <v>3671</v>
      </c>
      <c r="C684" t="s">
        <v>2812</v>
      </c>
      <c r="D684" s="2">
        <v>12</v>
      </c>
      <c r="E684" s="2" t="s">
        <v>783</v>
      </c>
      <c r="F684" s="2">
        <v>2719</v>
      </c>
      <c r="G684" s="2">
        <v>-2740</v>
      </c>
      <c r="H684" s="2">
        <v>1223</v>
      </c>
      <c r="J684" t="str">
        <f>"{ name: "&amp;CHAR(34)&amp;B684&amp;CHAR(34)&amp;", landmark: "&amp;CHAR(34)&amp;IF(LEN(C684)=LEN(SUBSTITUTE(C684,"Transport","")),"Korok x1","Korok x2")&amp;CHAR(34)&amp;", type: "&amp;CHAR(34)&amp;C684&amp;CHAR(34)&amp;", region: "&amp;D684&amp;", level: "&amp;CHAR(34)&amp;E684&amp;CHAR(34)&amp;", x: "&amp;F684&amp;", y: "&amp;G684&amp;", z: "&amp;H684&amp;", details: "&amp;CHAR(34)&amp;I684&amp;CHAR(34)&amp;" },"</f>
        <v>{ name: "Necluda Sky Archipelago Korok #01", landmark: "Korok x1", type: "Lift the Rock", region: 12, level: "Sky", x: 2719, y: -2740, z: 1223, details: "" },</v>
      </c>
    </row>
    <row r="685" spans="1:10" x14ac:dyDescent="0.2">
      <c r="A685" s="2">
        <v>53</v>
      </c>
      <c r="B685" s="34" t="s">
        <v>3672</v>
      </c>
      <c r="C685" t="s">
        <v>2828</v>
      </c>
      <c r="D685" s="2">
        <v>12</v>
      </c>
      <c r="E685" s="2" t="s">
        <v>783</v>
      </c>
      <c r="F685" s="2">
        <v>2933</v>
      </c>
      <c r="G685" s="2">
        <v>-2992</v>
      </c>
      <c r="H685" s="2">
        <v>1259</v>
      </c>
      <c r="J685" t="str">
        <f>"{ name: "&amp;CHAR(34)&amp;B685&amp;CHAR(34)&amp;", landmark: "&amp;CHAR(34)&amp;IF(LEN(C685)=LEN(SUBSTITUTE(C685,"Transport","")),"Korok x1","Korok x2")&amp;CHAR(34)&amp;", type: "&amp;CHAR(34)&amp;C685&amp;CHAR(34)&amp;", region: "&amp;D685&amp;", level: "&amp;CHAR(34)&amp;E685&amp;CHAR(34)&amp;", x: "&amp;F685&amp;", y: "&amp;G685&amp;", z: "&amp;H685&amp;", details: "&amp;CHAR(34)&amp;I685&amp;CHAR(34)&amp;" },"</f>
        <v>{ name: "Necluda Sky Archipelago Korok #02", landmark: "Korok x1", type: "Touch the Wallside Marker", region: 12, level: "Sky", x: 2933, y: -2992, z: 1259, details: "" },</v>
      </c>
    </row>
    <row r="686" spans="1:10" x14ac:dyDescent="0.2">
      <c r="A686" s="2">
        <v>672</v>
      </c>
      <c r="B686" s="34" t="s">
        <v>3701</v>
      </c>
      <c r="C686" t="s">
        <v>2814</v>
      </c>
      <c r="D686" s="2">
        <v>12</v>
      </c>
      <c r="E686" s="2" t="s">
        <v>785</v>
      </c>
      <c r="F686" s="2">
        <v>2725</v>
      </c>
      <c r="G686" s="2">
        <v>-2122</v>
      </c>
      <c r="H686" s="2">
        <v>151</v>
      </c>
      <c r="J686" t="str">
        <f>"{ name: "&amp;CHAR(34)&amp;B686&amp;CHAR(34)&amp;", landmark: "&amp;CHAR(34)&amp;IF(LEN(C686)=LEN(SUBSTITUTE(C686,"Transport","")),"Korok x1","Korok x2")&amp;CHAR(34)&amp;", type: "&amp;CHAR(34)&amp;C686&amp;CHAR(34)&amp;", region: "&amp;D686&amp;", level: "&amp;CHAR(34)&amp;E686&amp;CHAR(34)&amp;", x: "&amp;F686&amp;", y: "&amp;G686&amp;", z: "&amp;H686&amp;", details: "&amp;CHAR(34)&amp;I686&amp;CHAR(34)&amp;" },"</f>
        <v>{ name: "North of Marblod Plain Korok", landmark: "Korok x1", type: "Make Offering to Statue", region: 12, level: "Surface", x: 2725, y: -2122, z: 151, details: "" },</v>
      </c>
    </row>
    <row r="687" spans="1:10" x14ac:dyDescent="0.2">
      <c r="A687" s="2">
        <v>686</v>
      </c>
      <c r="B687" s="34" t="s">
        <v>3733</v>
      </c>
      <c r="C687" t="s">
        <v>2802</v>
      </c>
      <c r="D687" s="2">
        <v>12</v>
      </c>
      <c r="E687" s="2" t="s">
        <v>785</v>
      </c>
      <c r="F687" s="2">
        <v>3600</v>
      </c>
      <c r="G687" s="2">
        <v>-3780</v>
      </c>
      <c r="H687" s="2">
        <v>2</v>
      </c>
      <c r="I687" t="s">
        <v>2717</v>
      </c>
      <c r="J687" t="str">
        <f>"{ name: "&amp;CHAR(34)&amp;B687&amp;CHAR(34)&amp;", landmark: "&amp;CHAR(34)&amp;IF(LEN(C687)=LEN(SUBSTITUTE(C687,"Transport","")),"Korok x1","Korok x2")&amp;CHAR(34)&amp;", type: "&amp;CHAR(34)&amp;C687&amp;CHAR(34)&amp;", region: "&amp;D687&amp;", level: "&amp;CHAR(34)&amp;E687&amp;CHAR(34)&amp;", x: "&amp;F687&amp;", y: "&amp;G687&amp;", z: "&amp;H687&amp;", details: "&amp;CHAR(34)&amp;I687&amp;CHAR(34)&amp;" },"</f>
        <v>{ name: "Palmorae Beach Korok", landmark: "Korok x2", type: "Transport to Friend", region: 12, level: "Surface", x: 3600, y: -3780, z: 2, details: "Starts at (3542, -3458, 1)" },</v>
      </c>
    </row>
    <row r="688" spans="1:10" x14ac:dyDescent="0.2">
      <c r="A688" s="2">
        <v>684</v>
      </c>
      <c r="B688" s="34" t="s">
        <v>3734</v>
      </c>
      <c r="C688" t="s">
        <v>2823</v>
      </c>
      <c r="D688" s="2">
        <v>12</v>
      </c>
      <c r="E688" s="2" t="s">
        <v>785</v>
      </c>
      <c r="F688" s="2">
        <v>3432</v>
      </c>
      <c r="G688" s="2">
        <v>-3325</v>
      </c>
      <c r="H688" s="2">
        <v>23</v>
      </c>
      <c r="J688" t="str">
        <f>"{ name: "&amp;CHAR(34)&amp;B688&amp;CHAR(34)&amp;", landmark: "&amp;CHAR(34)&amp;IF(LEN(C688)=LEN(SUBSTITUTE(C688,"Transport","")),"Korok x1","Korok x2")&amp;CHAR(34)&amp;", type: "&amp;CHAR(34)&amp;C688&amp;CHAR(34)&amp;", region: "&amp;D688&amp;", level: "&amp;CHAR(34)&amp;E688&amp;CHAR(34)&amp;", x: "&amp;F688&amp;", y: "&amp;G688&amp;", z: "&amp;H688&amp;", details: "&amp;CHAR(34)&amp;I688&amp;CHAR(34)&amp;" },"</f>
        <v>{ name: "Palmorae Ruins Korok", landmark: "Korok x1", type: "Examine Fairy Lights", region: 12, level: "Surface", x: 3432, y: -3325, z: 23, details: "" },</v>
      </c>
    </row>
    <row r="689" spans="1:10" x14ac:dyDescent="0.2">
      <c r="A689" s="2">
        <v>668</v>
      </c>
      <c r="B689" s="34" t="s">
        <v>3764</v>
      </c>
      <c r="C689" t="s">
        <v>2802</v>
      </c>
      <c r="D689" s="2">
        <v>12</v>
      </c>
      <c r="E689" s="2" t="s">
        <v>785</v>
      </c>
      <c r="F689" s="2">
        <v>2919</v>
      </c>
      <c r="G689" s="2">
        <v>-3083</v>
      </c>
      <c r="H689" s="2">
        <v>147</v>
      </c>
      <c r="I689" t="s">
        <v>2708</v>
      </c>
      <c r="J689" t="str">
        <f>"{ name: "&amp;CHAR(34)&amp;B689&amp;CHAR(34)&amp;", landmark: "&amp;CHAR(34)&amp;IF(LEN(C689)=LEN(SUBSTITUTE(C689,"Transport","")),"Korok x1","Korok x2")&amp;CHAR(34)&amp;", type: "&amp;CHAR(34)&amp;C689&amp;CHAR(34)&amp;", region: "&amp;D689&amp;", level: "&amp;CHAR(34)&amp;E689&amp;CHAR(34)&amp;", x: "&amp;F689&amp;", y: "&amp;G689&amp;", z: "&amp;H689&amp;", details: "&amp;CHAR(34)&amp;I689&amp;CHAR(34)&amp;" },"</f>
        <v>{ name: "Rabella Wetlands Korok", landmark: "Korok x2", type: "Transport to Friend", region: 12, level: "Surface", x: 2919, y: -3083, z: 147, details: "Starts at (2453, -2912, 221)" },</v>
      </c>
    </row>
    <row r="690" spans="1:10" x14ac:dyDescent="0.2">
      <c r="A690" s="2">
        <v>683</v>
      </c>
      <c r="B690" s="34" t="s">
        <v>3783</v>
      </c>
      <c r="C690" t="s">
        <v>2804</v>
      </c>
      <c r="D690" s="2">
        <v>12</v>
      </c>
      <c r="E690" s="2" t="s">
        <v>785</v>
      </c>
      <c r="F690" s="2">
        <v>3119</v>
      </c>
      <c r="G690" s="2">
        <v>-3720</v>
      </c>
      <c r="H690" s="2">
        <v>2</v>
      </c>
      <c r="J690" t="str">
        <f>"{ name: "&amp;CHAR(34)&amp;B690&amp;CHAR(34)&amp;", landmark: "&amp;CHAR(34)&amp;IF(LEN(C690)=LEN(SUBSTITUTE(C690,"Transport","")),"Korok x1","Korok x2")&amp;CHAR(34)&amp;", type: "&amp;CHAR(34)&amp;C690&amp;CHAR(34)&amp;", region: "&amp;D690&amp;", level: "&amp;CHAR(34)&amp;E690&amp;CHAR(34)&amp;", x: "&amp;F690&amp;", y: "&amp;G690&amp;", z: "&amp;H690&amp;", details: "&amp;CHAR(34)&amp;I690&amp;CHAR(34)&amp;" },"</f>
        <v>{ name: "Rimba Beach Korok", landmark: "Korok x1", type: "Burn the Leaves", region: 12, level: "Surface", x: 3119, y: -3720, z: 2, details: "" },</v>
      </c>
    </row>
    <row r="691" spans="1:10" x14ac:dyDescent="0.2">
      <c r="A691" s="2">
        <v>691</v>
      </c>
      <c r="B691" s="34" t="s">
        <v>3858</v>
      </c>
      <c r="C691" t="s">
        <v>2825</v>
      </c>
      <c r="D691" s="2">
        <v>12</v>
      </c>
      <c r="E691" s="2" t="s">
        <v>785</v>
      </c>
      <c r="F691" s="2">
        <v>3797</v>
      </c>
      <c r="G691" s="2">
        <v>-3615</v>
      </c>
      <c r="H691" s="2">
        <v>20</v>
      </c>
      <c r="J691" t="str">
        <f>"{ name: "&amp;CHAR(34)&amp;B691&amp;CHAR(34)&amp;", landmark: "&amp;CHAR(34)&amp;IF(LEN(C691)=LEN(SUBSTITUTE(C691,"Transport","")),"Korok x1","Korok x2")&amp;CHAR(34)&amp;", type: "&amp;CHAR(34)&amp;C691&amp;CHAR(34)&amp;", region: "&amp;D691&amp;", level: "&amp;CHAR(34)&amp;E691&amp;CHAR(34)&amp;", x: "&amp;F691&amp;", y: "&amp;G691&amp;", z: "&amp;H691&amp;", details: "&amp;CHAR(34)&amp;I691&amp;CHAR(34)&amp;" },"</f>
        <v>{ name: "Soka Point Korok", landmark: "Korok x1", type: "Climb and Examine the Fairy Lights", region: 12, level: "Surface", x: 3797, y: -3615, z: 20, details: "" },</v>
      </c>
    </row>
    <row r="692" spans="1:10" x14ac:dyDescent="0.2">
      <c r="A692" s="2">
        <v>699</v>
      </c>
      <c r="B692" s="34" t="s">
        <v>3891</v>
      </c>
      <c r="C692" t="s">
        <v>2801</v>
      </c>
      <c r="D692" s="2">
        <v>12</v>
      </c>
      <c r="E692" s="2" t="s">
        <v>785</v>
      </c>
      <c r="F692" s="2">
        <v>1999</v>
      </c>
      <c r="G692" s="2">
        <v>-2282</v>
      </c>
      <c r="H692" s="2">
        <v>11</v>
      </c>
      <c r="J692" t="str">
        <f>"{ name: "&amp;CHAR(34)&amp;B692&amp;CHAR(34)&amp;", landmark: "&amp;CHAR(34)&amp;IF(LEN(C692)=LEN(SUBSTITUTE(C692,"Transport","")),"Korok x1","Korok x2")&amp;CHAR(34)&amp;", type: "&amp;CHAR(34)&amp;C692&amp;CHAR(34)&amp;", region: "&amp;D692&amp;", level: "&amp;CHAR(34)&amp;E692&amp;CHAR(34)&amp;", x: "&amp;F692&amp;", y: "&amp;G692&amp;", z: "&amp;H692&amp;", details: "&amp;CHAR(34)&amp;I692&amp;CHAR(34)&amp;" },"</f>
        <v>{ name: "Squabble River Korok #02", landmark: "Korok x1", type: "Break the Acorn Pot", region: 12, level: "Surface", x: 1999, y: -2282, z: 11, details: "" },</v>
      </c>
    </row>
    <row r="693" spans="1:10" x14ac:dyDescent="0.2">
      <c r="A693" s="2">
        <v>701</v>
      </c>
      <c r="B693" s="34" t="s">
        <v>3892</v>
      </c>
      <c r="C693" t="s">
        <v>2809</v>
      </c>
      <c r="D693" s="2">
        <v>12</v>
      </c>
      <c r="E693" s="2" t="s">
        <v>785</v>
      </c>
      <c r="F693" s="2">
        <v>2143</v>
      </c>
      <c r="G693" s="2">
        <v>-2220</v>
      </c>
      <c r="H693" s="2">
        <v>6</v>
      </c>
      <c r="J693" t="str">
        <f>"{ name: "&amp;CHAR(34)&amp;B693&amp;CHAR(34)&amp;", landmark: "&amp;CHAR(34)&amp;IF(LEN(C693)=LEN(SUBSTITUTE(C693,"Transport","")),"Korok x1","Korok x2")&amp;CHAR(34)&amp;", type: "&amp;CHAR(34)&amp;C693&amp;CHAR(34)&amp;", region: "&amp;D693&amp;", level: "&amp;CHAR(34)&amp;E693&amp;CHAR(34)&amp;", x: "&amp;F693&amp;", y: "&amp;G693&amp;", z: "&amp;H693&amp;", details: "&amp;CHAR(34)&amp;I693&amp;CHAR(34)&amp;" },"</f>
        <v>{ name: "Squabble River Korok #03", landmark: "Korok x1", type: "Dive into the Lily Ring", region: 12, level: "Surface", x: 2143, y: -2220, z: 6, details: "" },</v>
      </c>
    </row>
    <row r="694" spans="1:10" x14ac:dyDescent="0.2">
      <c r="A694" s="2">
        <v>674</v>
      </c>
      <c r="B694" s="34" t="s">
        <v>3895</v>
      </c>
      <c r="C694" t="s">
        <v>2816</v>
      </c>
      <c r="D694" s="2">
        <v>12</v>
      </c>
      <c r="E694" s="2" t="s">
        <v>785</v>
      </c>
      <c r="F694" s="2">
        <v>2878</v>
      </c>
      <c r="G694" s="2">
        <v>-2685</v>
      </c>
      <c r="H694" s="2">
        <v>193</v>
      </c>
      <c r="J694" t="str">
        <f>"{ name: "&amp;CHAR(34)&amp;B694&amp;CHAR(34)&amp;", landmark: "&amp;CHAR(34)&amp;IF(LEN(C694)=LEN(SUBSTITUTE(C694,"Transport","")),"Korok x1","Korok x2")&amp;CHAR(34)&amp;", type: "&amp;CHAR(34)&amp;C694&amp;CHAR(34)&amp;", region: "&amp;D694&amp;", level: "&amp;CHAR(34)&amp;E694&amp;CHAR(34)&amp;", x: "&amp;F694&amp;", y: "&amp;G694&amp;", z: "&amp;H694&amp;", details: "&amp;CHAR(34)&amp;I694&amp;CHAR(34)&amp;" },"</f>
        <v>{ name: "Stinger Cliffs Korok", landmark: "Korok x1", type: "Pull the Plug", region: 12, level: "Surface", x: 2878, y: -2685, z: 193, details: "" },</v>
      </c>
    </row>
    <row r="695" spans="1:10" x14ac:dyDescent="0.2">
      <c r="A695" s="2">
        <v>670</v>
      </c>
      <c r="B695" s="34" t="s">
        <v>3932</v>
      </c>
      <c r="C695" t="s">
        <v>2825</v>
      </c>
      <c r="D695" s="2">
        <v>12</v>
      </c>
      <c r="E695" s="2" t="s">
        <v>785</v>
      </c>
      <c r="F695" s="2">
        <v>2635</v>
      </c>
      <c r="G695" s="2">
        <v>-2855</v>
      </c>
      <c r="H695" s="2">
        <v>230</v>
      </c>
      <c r="J695" t="str">
        <f>"{ name: "&amp;CHAR(34)&amp;B695&amp;CHAR(34)&amp;", landmark: "&amp;CHAR(34)&amp;IF(LEN(C695)=LEN(SUBSTITUTE(C695,"Transport","")),"Korok x1","Korok x2")&amp;CHAR(34)&amp;", type: "&amp;CHAR(34)&amp;C695&amp;CHAR(34)&amp;", region: "&amp;D695&amp;", level: "&amp;CHAR(34)&amp;E695&amp;CHAR(34)&amp;", x: "&amp;F695&amp;", y: "&amp;G695&amp;", z: "&amp;H695&amp;", details: "&amp;CHAR(34)&amp;I695&amp;CHAR(34)&amp;" },"</f>
        <v>{ name: "Taran Pass Korok", landmark: "Korok x1", type: "Climb and Examine the Fairy Lights", region: 12, level: "Surface", x: 2635, y: -2855, z: 230, details: "" },</v>
      </c>
    </row>
    <row r="696" spans="1:10" x14ac:dyDescent="0.2">
      <c r="A696" s="2">
        <v>677</v>
      </c>
      <c r="B696" s="34" t="s">
        <v>3941</v>
      </c>
      <c r="C696" t="s">
        <v>2817</v>
      </c>
      <c r="D696" s="2">
        <v>12</v>
      </c>
      <c r="E696" s="2" t="s">
        <v>785</v>
      </c>
      <c r="F696" s="2">
        <v>2363</v>
      </c>
      <c r="G696" s="2">
        <v>-3438</v>
      </c>
      <c r="H696" s="2">
        <v>89</v>
      </c>
      <c r="I696" t="s">
        <v>2714</v>
      </c>
      <c r="J696" t="str">
        <f>"{ name: "&amp;CHAR(34)&amp;B696&amp;CHAR(34)&amp;", landmark: "&amp;CHAR(34)&amp;IF(LEN(C696)=LEN(SUBSTITUTE(C696,"Transport","")),"Korok x1","Korok x2")&amp;CHAR(34)&amp;", type: "&amp;CHAR(34)&amp;C696&amp;CHAR(34)&amp;", region: "&amp;D696&amp;", level: "&amp;CHAR(34)&amp;E696&amp;CHAR(34)&amp;", x: "&amp;F696&amp;", y: "&amp;G696&amp;", z: "&amp;H696&amp;", details: "&amp;CHAR(34)&amp;I696&amp;CHAR(34)&amp;" },"</f>
        <v>{ name: "Temto Hill Korok #01", landmark: "Korok x1", type: "Reach the Target Ring", region: 12, level: "Surface", x: 2363, y: -3438, z: 89, details: "Starts at (2199, -3493, 84)" },</v>
      </c>
    </row>
    <row r="697" spans="1:10" x14ac:dyDescent="0.2">
      <c r="A697" s="2">
        <v>680</v>
      </c>
      <c r="B697" s="34" t="s">
        <v>3942</v>
      </c>
      <c r="C697" t="s">
        <v>2808</v>
      </c>
      <c r="D697" s="2">
        <v>12</v>
      </c>
      <c r="E697" s="2" t="s">
        <v>785</v>
      </c>
      <c r="F697" s="2">
        <v>2425</v>
      </c>
      <c r="G697" s="2">
        <v>-3403</v>
      </c>
      <c r="H697" s="2">
        <v>80</v>
      </c>
      <c r="J697" t="str">
        <f>"{ name: "&amp;CHAR(34)&amp;B697&amp;CHAR(34)&amp;", landmark: "&amp;CHAR(34)&amp;IF(LEN(C697)=LEN(SUBSTITUTE(C697,"Transport","")),"Korok x1","Korok x2")&amp;CHAR(34)&amp;", type: "&amp;CHAR(34)&amp;C697&amp;CHAR(34)&amp;", region: "&amp;D697&amp;", level: "&amp;CHAR(34)&amp;E697&amp;CHAR(34)&amp;", x: "&amp;F697&amp;", y: "&amp;G697&amp;", z: "&amp;H697&amp;", details: "&amp;CHAR(34)&amp;I697&amp;CHAR(34)&amp;" },"</f>
        <v>{ name: "Temto Hill Korok #02", landmark: "Korok x1", type: "Complete the Rock Pattern", region: 12, level: "Surface", x: 2425, y: -3403, z: 80, details: "" },</v>
      </c>
    </row>
    <row r="698" spans="1:10" x14ac:dyDescent="0.2">
      <c r="A698" s="2">
        <v>900</v>
      </c>
      <c r="B698" s="34" t="s">
        <v>3965</v>
      </c>
      <c r="C698" t="s">
        <v>2821</v>
      </c>
      <c r="D698" s="2">
        <v>12</v>
      </c>
      <c r="E698" s="2" t="s">
        <v>785</v>
      </c>
      <c r="F698" s="2">
        <v>2563</v>
      </c>
      <c r="G698" s="2">
        <v>-3599</v>
      </c>
      <c r="H698" s="2">
        <v>241</v>
      </c>
      <c r="J698" t="str">
        <f>"{ name: "&amp;CHAR(34)&amp;B698&amp;CHAR(34)&amp;", landmark: "&amp;CHAR(34)&amp;IF(LEN(C698)=LEN(SUBSTITUTE(C698,"Transport","")),"Korok x1","Korok x2")&amp;CHAR(34)&amp;", type: "&amp;CHAR(34)&amp;C698&amp;CHAR(34)&amp;", region: "&amp;D698&amp;", level: "&amp;CHAR(34)&amp;E698&amp;CHAR(34)&amp;", x: "&amp;F698&amp;", y: "&amp;G698&amp;", z: "&amp;H698&amp;", details: "&amp;CHAR(34)&amp;I698&amp;CHAR(34)&amp;" },"</f>
        <v>{ name: "Tuft Mountain Korok", landmark: "Korok x1", type: "Shoot the Balloons", region: 12, level: "Surface", x: 2563, y: -3599, z: 241, details: "" },</v>
      </c>
    </row>
    <row r="699" spans="1:10" x14ac:dyDescent="0.2">
      <c r="A699" s="2">
        <v>671</v>
      </c>
      <c r="B699" s="34" t="s">
        <v>3985</v>
      </c>
      <c r="C699" t="s">
        <v>2823</v>
      </c>
      <c r="D699" s="2">
        <v>12</v>
      </c>
      <c r="E699" s="2" t="s">
        <v>785</v>
      </c>
      <c r="F699" s="2">
        <v>2713</v>
      </c>
      <c r="G699" s="2">
        <v>-2961</v>
      </c>
      <c r="H699" s="2">
        <v>192</v>
      </c>
      <c r="J699" t="str">
        <f>"{ name: "&amp;CHAR(34)&amp;B699&amp;CHAR(34)&amp;", landmark: "&amp;CHAR(34)&amp;IF(LEN(C699)=LEN(SUBSTITUTE(C699,"Transport","")),"Korok x1","Korok x2")&amp;CHAR(34)&amp;", type: "&amp;CHAR(34)&amp;C699&amp;CHAR(34)&amp;", region: "&amp;D699&amp;", level: "&amp;CHAR(34)&amp;E699&amp;CHAR(34)&amp;", x: "&amp;F699&amp;", y: "&amp;G699&amp;", z: "&amp;H699&amp;", details: "&amp;CHAR(34)&amp;I699&amp;CHAR(34)&amp;" },"</f>
        <v>{ name: "Uten Marsh Korok", landmark: "Korok x1", type: "Examine Fairy Lights", region: 12, level: "Surface", x: 2713, y: -2961, z: 192, details: "" },</v>
      </c>
    </row>
    <row r="700" spans="1:10" x14ac:dyDescent="0.2">
      <c r="A700" s="2">
        <v>710</v>
      </c>
      <c r="B700" s="34" t="s">
        <v>3184</v>
      </c>
      <c r="C700" t="s">
        <v>2815</v>
      </c>
      <c r="D700" s="2">
        <v>13</v>
      </c>
      <c r="E700" s="2" t="s">
        <v>785</v>
      </c>
      <c r="F700" s="2">
        <v>116</v>
      </c>
      <c r="G700" s="2">
        <v>-2961</v>
      </c>
      <c r="H700" s="2">
        <v>42</v>
      </c>
      <c r="J700" t="str">
        <f>"{ name: "&amp;CHAR(34)&amp;B700&amp;CHAR(34)&amp;", landmark: "&amp;CHAR(34)&amp;IF(LEN(C700)=LEN(SUBSTITUTE(C700,"Transport","")),"Korok x1","Korok x2")&amp;CHAR(34)&amp;", type: "&amp;CHAR(34)&amp;C700&amp;CHAR(34)&amp;", region: "&amp;D700&amp;", level: "&amp;CHAR(34)&amp;E700&amp;CHAR(34)&amp;", x: "&amp;F700&amp;", y: "&amp;G700&amp;", z: "&amp;H700&amp;", details: "&amp;CHAR(34)&amp;I700&amp;CHAR(34)&amp;" },"</f>
        <v>{ name: "Barula Plain Korok #01", landmark: "Korok x1", type: "Place the Boulder", region: 13, level: "Surface", x: 116, y: -2961, z: 42, details: "" },</v>
      </c>
    </row>
    <row r="701" spans="1:10" x14ac:dyDescent="0.2">
      <c r="A701" s="2">
        <v>722</v>
      </c>
      <c r="B701" s="34" t="s">
        <v>3185</v>
      </c>
      <c r="C701" t="s">
        <v>2812</v>
      </c>
      <c r="D701" s="2">
        <v>13</v>
      </c>
      <c r="E701" s="2" t="s">
        <v>785</v>
      </c>
      <c r="F701" s="2">
        <v>206</v>
      </c>
      <c r="G701" s="2">
        <v>-3313</v>
      </c>
      <c r="H701" s="2">
        <v>61</v>
      </c>
      <c r="J701" t="str">
        <f>"{ name: "&amp;CHAR(34)&amp;B701&amp;CHAR(34)&amp;", landmark: "&amp;CHAR(34)&amp;IF(LEN(C701)=LEN(SUBSTITUTE(C701,"Transport","")),"Korok x1","Korok x2")&amp;CHAR(34)&amp;", type: "&amp;CHAR(34)&amp;C701&amp;CHAR(34)&amp;", region: "&amp;D701&amp;", level: "&amp;CHAR(34)&amp;E701&amp;CHAR(34)&amp;", x: "&amp;F701&amp;", y: "&amp;G701&amp;", z: "&amp;H701&amp;", details: "&amp;CHAR(34)&amp;I701&amp;CHAR(34)&amp;" },"</f>
        <v>{ name: "Barula Plain Korok #02", landmark: "Korok x1", type: "Lift the Rock", region: 13, level: "Surface", x: 206, y: -3313, z: 61, details: "" },</v>
      </c>
    </row>
    <row r="702" spans="1:10" x14ac:dyDescent="0.2">
      <c r="A702" s="2">
        <v>754</v>
      </c>
      <c r="B702" s="34" t="s">
        <v>3186</v>
      </c>
      <c r="C702" t="s">
        <v>2595</v>
      </c>
      <c r="D702" s="2">
        <v>13</v>
      </c>
      <c r="E702" s="2" t="s">
        <v>785</v>
      </c>
      <c r="F702" s="2">
        <v>543</v>
      </c>
      <c r="G702" s="2">
        <v>-1266</v>
      </c>
      <c r="H702" s="2">
        <v>50</v>
      </c>
      <c r="J702" t="str">
        <f>"{ name: "&amp;CHAR(34)&amp;B702&amp;CHAR(34)&amp;", landmark: "&amp;CHAR(34)&amp;IF(LEN(C702)=LEN(SUBSTITUTE(C702,"Transport","")),"Korok x1","Korok x2")&amp;CHAR(34)&amp;", type: "&amp;CHAR(34)&amp;C702&amp;CHAR(34)&amp;", region: "&amp;D702&amp;", level: "&amp;CHAR(34)&amp;E702&amp;CHAR(34)&amp;", x: "&amp;F702&amp;", y: "&amp;G702&amp;", z: "&amp;H702&amp;", details: "&amp;CHAR(34)&amp;I702&amp;CHAR(34)&amp;" },"</f>
        <v>{ name: "Batrea Lake Korok #01", landmark: "Korok x1", type: "Attack and catch the dandelion", region: 13, level: "Surface", x: 543, y: -1266, z: 50, details: "" },</v>
      </c>
    </row>
    <row r="703" spans="1:10" x14ac:dyDescent="0.2">
      <c r="A703" s="2">
        <v>755</v>
      </c>
      <c r="B703" s="34" t="s">
        <v>3187</v>
      </c>
      <c r="C703" t="s">
        <v>2807</v>
      </c>
      <c r="D703" s="2">
        <v>13</v>
      </c>
      <c r="E703" s="2" t="s">
        <v>785</v>
      </c>
      <c r="F703" s="2">
        <v>589</v>
      </c>
      <c r="G703" s="2">
        <v>-1233</v>
      </c>
      <c r="H703" s="2">
        <v>12</v>
      </c>
      <c r="J703" t="str">
        <f>"{ name: "&amp;CHAR(34)&amp;B703&amp;CHAR(34)&amp;", landmark: "&amp;CHAR(34)&amp;IF(LEN(C703)=LEN(SUBSTITUTE(C703,"Transport","")),"Korok x1","Korok x2")&amp;CHAR(34)&amp;", type: "&amp;CHAR(34)&amp;C703&amp;CHAR(34)&amp;", region: "&amp;D703&amp;", level: "&amp;CHAR(34)&amp;E703&amp;CHAR(34)&amp;", x: "&amp;F703&amp;", y: "&amp;G703&amp;", z: "&amp;H703&amp;", details: "&amp;CHAR(34)&amp;I703&amp;CHAR(34)&amp;" },"</f>
        <v>{ name: "Batrea Lake Korok #02", landmark: "Korok x1", type: "Complete the Cube Puzzle", region: 13, level: "Surface", x: 589, y: -1233, z: 12, details: "" },</v>
      </c>
    </row>
    <row r="704" spans="1:10" x14ac:dyDescent="0.2">
      <c r="A704" s="2">
        <v>757</v>
      </c>
      <c r="B704" s="34" t="s">
        <v>3188</v>
      </c>
      <c r="C704" t="s">
        <v>2801</v>
      </c>
      <c r="D704" s="2">
        <v>13</v>
      </c>
      <c r="E704" s="2" t="s">
        <v>785</v>
      </c>
      <c r="F704" s="2">
        <v>628</v>
      </c>
      <c r="G704" s="2">
        <v>-1162</v>
      </c>
      <c r="H704" s="2">
        <v>15</v>
      </c>
      <c r="J704" t="str">
        <f>"{ name: "&amp;CHAR(34)&amp;B704&amp;CHAR(34)&amp;", landmark: "&amp;CHAR(34)&amp;IF(LEN(C704)=LEN(SUBSTITUTE(C704,"Transport","")),"Korok x1","Korok x2")&amp;CHAR(34)&amp;", type: "&amp;CHAR(34)&amp;C704&amp;CHAR(34)&amp;", region: "&amp;D704&amp;", level: "&amp;CHAR(34)&amp;E704&amp;CHAR(34)&amp;", x: "&amp;F704&amp;", y: "&amp;G704&amp;", z: "&amp;H704&amp;", details: "&amp;CHAR(34)&amp;I704&amp;CHAR(34)&amp;" },"</f>
        <v>{ name: "Batrea Lake Korok #03", landmark: "Korok x1", type: "Break the Acorn Pot", region: 13, level: "Surface", x: 628, y: -1162, z: 15, details: "" },</v>
      </c>
    </row>
    <row r="705" spans="1:10" x14ac:dyDescent="0.2">
      <c r="A705" s="2">
        <v>738</v>
      </c>
      <c r="B705" s="34" t="s">
        <v>3214</v>
      </c>
      <c r="C705" t="s">
        <v>2801</v>
      </c>
      <c r="D705" s="2">
        <v>13</v>
      </c>
      <c r="E705" s="2" t="s">
        <v>785</v>
      </c>
      <c r="F705" s="2">
        <v>-66</v>
      </c>
      <c r="G705" s="2">
        <v>-2441</v>
      </c>
      <c r="H705" s="2">
        <v>18</v>
      </c>
      <c r="J705" t="str">
        <f>"{ name: "&amp;CHAR(34)&amp;B705&amp;CHAR(34)&amp;", landmark: "&amp;CHAR(34)&amp;IF(LEN(C705)=LEN(SUBSTITUTE(C705,"Transport","")),"Korok x1","Korok x2")&amp;CHAR(34)&amp;", type: "&amp;CHAR(34)&amp;C705&amp;CHAR(34)&amp;", region: "&amp;D705&amp;", level: "&amp;CHAR(34)&amp;E705&amp;CHAR(34)&amp;", x: "&amp;F705&amp;", y: "&amp;G705&amp;", z: "&amp;H705&amp;", details: "&amp;CHAR(34)&amp;I705&amp;CHAR(34)&amp;" },"</f>
        <v>{ name: "Bridge of Hylia Korok #02", landmark: "Korok x1", type: "Break the Acorn Pot", region: 13, level: "Surface", x: -66, y: -2441, z: 18, details: "" },</v>
      </c>
    </row>
    <row r="706" spans="1:10" x14ac:dyDescent="0.2">
      <c r="A706" s="2">
        <v>739</v>
      </c>
      <c r="B706" s="34" t="s">
        <v>3215</v>
      </c>
      <c r="C706" t="s">
        <v>2823</v>
      </c>
      <c r="D706" s="2">
        <v>13</v>
      </c>
      <c r="E706" s="2" t="s">
        <v>785</v>
      </c>
      <c r="F706" s="2">
        <v>-10</v>
      </c>
      <c r="G706" s="2">
        <v>-2587</v>
      </c>
      <c r="H706" s="2">
        <v>8</v>
      </c>
      <c r="J706" t="str">
        <f>"{ name: "&amp;CHAR(34)&amp;B706&amp;CHAR(34)&amp;", landmark: "&amp;CHAR(34)&amp;IF(LEN(C706)=LEN(SUBSTITUTE(C706,"Transport","")),"Korok x1","Korok x2")&amp;CHAR(34)&amp;", type: "&amp;CHAR(34)&amp;C706&amp;CHAR(34)&amp;", region: "&amp;D706&amp;", level: "&amp;CHAR(34)&amp;E706&amp;CHAR(34)&amp;", x: "&amp;F706&amp;", y: "&amp;G706&amp;", z: "&amp;H706&amp;", details: "&amp;CHAR(34)&amp;I706&amp;CHAR(34)&amp;" },"</f>
        <v>{ name: "Bridge of Hylia Korok #03", landmark: "Korok x1", type: "Examine Fairy Lights", region: 13, level: "Surface", x: -10, y: -2587, z: 8, details: "" },</v>
      </c>
    </row>
    <row r="707" spans="1:10" x14ac:dyDescent="0.2">
      <c r="A707" s="2">
        <v>763</v>
      </c>
      <c r="B707" s="34" t="s">
        <v>3216</v>
      </c>
      <c r="C707" t="s">
        <v>2817</v>
      </c>
      <c r="D707" s="2">
        <v>13</v>
      </c>
      <c r="E707" s="2" t="s">
        <v>785</v>
      </c>
      <c r="F707" s="2">
        <v>25</v>
      </c>
      <c r="G707" s="2">
        <v>-2728</v>
      </c>
      <c r="H707" s="2">
        <v>83</v>
      </c>
      <c r="I707" t="s">
        <v>2725</v>
      </c>
      <c r="J707" t="str">
        <f>"{ name: "&amp;CHAR(34)&amp;B707&amp;CHAR(34)&amp;", landmark: "&amp;CHAR(34)&amp;IF(LEN(C707)=LEN(SUBSTITUTE(C707,"Transport","")),"Korok x1","Korok x2")&amp;CHAR(34)&amp;", type: "&amp;CHAR(34)&amp;C707&amp;CHAR(34)&amp;", region: "&amp;D707&amp;", level: "&amp;CHAR(34)&amp;E707&amp;CHAR(34)&amp;", x: "&amp;F707&amp;", y: "&amp;G707&amp;", z: "&amp;H707&amp;", details: "&amp;CHAR(34)&amp;I707&amp;CHAR(34)&amp;" },"</f>
        <v>{ name: "Bridge of Hylia Korok #04", landmark: "Korok x1", type: "Reach the Target Ring", region: 13, level: "Surface", x: 25, y: -2728, z: 83, details: "Starts at (50, -2719, 81)" },</v>
      </c>
    </row>
    <row r="708" spans="1:10" x14ac:dyDescent="0.2">
      <c r="A708" s="2">
        <v>781</v>
      </c>
      <c r="B708" s="34" t="s">
        <v>3218</v>
      </c>
      <c r="C708" t="s">
        <v>2812</v>
      </c>
      <c r="D708" s="2">
        <v>13</v>
      </c>
      <c r="E708" s="2" t="s">
        <v>785</v>
      </c>
      <c r="F708" s="2">
        <v>1476</v>
      </c>
      <c r="G708" s="2">
        <v>-3264</v>
      </c>
      <c r="H708" s="2">
        <v>87</v>
      </c>
      <c r="J708" t="str">
        <f>"{ name: "&amp;CHAR(34)&amp;B708&amp;CHAR(34)&amp;", landmark: "&amp;CHAR(34)&amp;IF(LEN(C708)=LEN(SUBSTITUTE(C708,"Transport","")),"Korok x1","Korok x2")&amp;CHAR(34)&amp;", type: "&amp;CHAR(34)&amp;C708&amp;CHAR(34)&amp;", region: "&amp;D708&amp;", level: "&amp;CHAR(34)&amp;E708&amp;CHAR(34)&amp;", x: "&amp;F708&amp;", y: "&amp;G708&amp;", z: "&amp;H708&amp;", details: "&amp;CHAR(34)&amp;I708&amp;CHAR(34)&amp;" },"</f>
        <v>{ name: "Bronas Forest Korok #01", landmark: "Korok x1", type: "Lift the Rock", region: 13, level: "Surface", x: 1476, y: -3264, z: 87, details: "" },</v>
      </c>
    </row>
    <row r="709" spans="1:10" x14ac:dyDescent="0.2">
      <c r="A709" s="2">
        <v>782</v>
      </c>
      <c r="B709" s="34" t="s">
        <v>3219</v>
      </c>
      <c r="C709" t="s">
        <v>2811</v>
      </c>
      <c r="D709" s="2">
        <v>13</v>
      </c>
      <c r="E709" s="2" t="s">
        <v>785</v>
      </c>
      <c r="F709" s="2">
        <v>1533</v>
      </c>
      <c r="G709" s="2">
        <v>-3261</v>
      </c>
      <c r="H709" s="2">
        <v>97</v>
      </c>
      <c r="I709" t="s">
        <v>2800</v>
      </c>
      <c r="J709" t="str">
        <f>"{ name: "&amp;CHAR(34)&amp;B709&amp;CHAR(34)&amp;", landmark: "&amp;CHAR(34)&amp;IF(LEN(C709)=LEN(SUBSTITUTE(C709,"Transport","")),"Korok x1","Korok x2")&amp;CHAR(34)&amp;", type: "&amp;CHAR(34)&amp;C709&amp;CHAR(34)&amp;", region: "&amp;D709&amp;", level: "&amp;CHAR(34)&amp;E709&amp;CHAR(34)&amp;", x: "&amp;F709&amp;", y: "&amp;G709&amp;", z: "&amp;H709&amp;", details: "&amp;CHAR(34)&amp;I709&amp;CHAR(34)&amp;" },"</f>
        <v>{ name: "Bronas Forest Korok #02", landmark: "Korok x1", type: "Follow the Yellow Flowers", region: 13, level: "Surface", x: 1533, y: -3261, z: 97, details: "Starts at (1539, -3239, 95)" },</v>
      </c>
    </row>
    <row r="710" spans="1:10" x14ac:dyDescent="0.2">
      <c r="A710" s="2">
        <v>709</v>
      </c>
      <c r="B710" s="34" t="s">
        <v>3239</v>
      </c>
      <c r="C710" t="s">
        <v>2811</v>
      </c>
      <c r="D710" s="2">
        <v>13</v>
      </c>
      <c r="E710" s="2" t="s">
        <v>785</v>
      </c>
      <c r="F710" s="2">
        <v>-18</v>
      </c>
      <c r="G710" s="2">
        <v>-2975</v>
      </c>
      <c r="H710" s="2">
        <v>117</v>
      </c>
      <c r="I710" t="s">
        <v>2766</v>
      </c>
      <c r="J710" t="str">
        <f>"{ name: "&amp;CHAR(34)&amp;B710&amp;CHAR(34)&amp;", landmark: "&amp;CHAR(34)&amp;IF(LEN(C710)=LEN(SUBSTITUTE(C710,"Transport","")),"Korok x1","Korok x2")&amp;CHAR(34)&amp;", type: "&amp;CHAR(34)&amp;C710&amp;CHAR(34)&amp;", region: "&amp;D710&amp;", level: "&amp;CHAR(34)&amp;E710&amp;CHAR(34)&amp;", x: "&amp;F710&amp;", y: "&amp;G710&amp;", z: "&amp;H710&amp;", details: "&amp;CHAR(34)&amp;I710&amp;CHAR(34)&amp;" },"</f>
        <v>{ name: "Cora Lake Korok #01", landmark: "Korok x1", type: "Follow the Yellow Flowers", region: 13, level: "Surface", x: -18, y: -2975, z: 117, details: "Starts at (-40, -2961, 113)" },</v>
      </c>
    </row>
    <row r="711" spans="1:10" x14ac:dyDescent="0.2">
      <c r="A711" s="2">
        <v>718</v>
      </c>
      <c r="B711" s="34" t="s">
        <v>3240</v>
      </c>
      <c r="C711" t="s">
        <v>2812</v>
      </c>
      <c r="D711" s="2">
        <v>13</v>
      </c>
      <c r="E711" s="2" t="s">
        <v>785</v>
      </c>
      <c r="F711" s="2">
        <v>-151</v>
      </c>
      <c r="G711" s="2">
        <v>-3068</v>
      </c>
      <c r="H711" s="2">
        <v>38</v>
      </c>
      <c r="J711" t="str">
        <f>"{ name: "&amp;CHAR(34)&amp;B711&amp;CHAR(34)&amp;", landmark: "&amp;CHAR(34)&amp;IF(LEN(C711)=LEN(SUBSTITUTE(C711,"Transport","")),"Korok x1","Korok x2")&amp;CHAR(34)&amp;", type: "&amp;CHAR(34)&amp;C711&amp;CHAR(34)&amp;", region: "&amp;D711&amp;", level: "&amp;CHAR(34)&amp;E711&amp;CHAR(34)&amp;", x: "&amp;F711&amp;", y: "&amp;G711&amp;", z: "&amp;H711&amp;", details: "&amp;CHAR(34)&amp;I711&amp;CHAR(34)&amp;" },"</f>
        <v>{ name: "Cora Lake Korok #02", landmark: "Korok x1", type: "Lift the Rock", region: 13, level: "Surface", x: -151, y: -3068, z: 38, details: "" },</v>
      </c>
    </row>
    <row r="712" spans="1:10" x14ac:dyDescent="0.2">
      <c r="A712" s="2">
        <v>712</v>
      </c>
      <c r="B712" s="34" t="s">
        <v>3255</v>
      </c>
      <c r="C712" t="s">
        <v>2809</v>
      </c>
      <c r="D712" s="2">
        <v>13</v>
      </c>
      <c r="E712" s="2" t="s">
        <v>785</v>
      </c>
      <c r="F712" s="2">
        <v>781</v>
      </c>
      <c r="G712" s="2">
        <v>-2763</v>
      </c>
      <c r="H712" s="2">
        <v>4</v>
      </c>
      <c r="J712" t="str">
        <f>"{ name: "&amp;CHAR(34)&amp;B712&amp;CHAR(34)&amp;", landmark: "&amp;CHAR(34)&amp;IF(LEN(C712)=LEN(SUBSTITUTE(C712,"Transport","")),"Korok x1","Korok x2")&amp;CHAR(34)&amp;", type: "&amp;CHAR(34)&amp;C712&amp;CHAR(34)&amp;", region: "&amp;D712&amp;", level: "&amp;CHAR(34)&amp;E712&amp;CHAR(34)&amp;", x: "&amp;F712&amp;", y: "&amp;G712&amp;", z: "&amp;H712&amp;", details: "&amp;CHAR(34)&amp;I712&amp;CHAR(34)&amp;" },"</f>
        <v>{ name: "Damel Forest Korok", landmark: "Korok x1", type: "Dive into the Lily Ring", region: 13, level: "Surface", x: 781, y: -2763, z: 4, details: "" },</v>
      </c>
    </row>
    <row r="713" spans="1:10" x14ac:dyDescent="0.2">
      <c r="A713" s="2">
        <v>770</v>
      </c>
      <c r="B713" s="34" t="s">
        <v>3267</v>
      </c>
      <c r="C713" t="s">
        <v>2802</v>
      </c>
      <c r="D713" s="2">
        <v>13</v>
      </c>
      <c r="E713" s="2" t="s">
        <v>785</v>
      </c>
      <c r="F713" s="2">
        <v>344</v>
      </c>
      <c r="G713" s="2">
        <v>-2183</v>
      </c>
      <c r="H713" s="2">
        <v>58</v>
      </c>
      <c r="I713" t="s">
        <v>2727</v>
      </c>
      <c r="J713" t="str">
        <f>"{ name: "&amp;CHAR(34)&amp;B713&amp;CHAR(34)&amp;", landmark: "&amp;CHAR(34)&amp;IF(LEN(C713)=LEN(SUBSTITUTE(C713,"Transport","")),"Korok x1","Korok x2")&amp;CHAR(34)&amp;", type: "&amp;CHAR(34)&amp;C713&amp;CHAR(34)&amp;", region: "&amp;D713&amp;", level: "&amp;CHAR(34)&amp;E713&amp;CHAR(34)&amp;", x: "&amp;F713&amp;", y: "&amp;G713&amp;", z: "&amp;H713&amp;", details: "&amp;CHAR(34)&amp;I713&amp;CHAR(34)&amp;" },"</f>
        <v>{ name: "Deya Lake Korok", landmark: "Korok x2", type: "Transport to Friend", region: 13, level: "Surface", x: 344, y: -2183, z: 58, details: "Starts at (523, -2196, 56)" },</v>
      </c>
    </row>
    <row r="714" spans="1:10" x14ac:dyDescent="0.2">
      <c r="A714" s="2">
        <v>749</v>
      </c>
      <c r="B714" s="34" t="s">
        <v>3268</v>
      </c>
      <c r="C714" t="s">
        <v>2804</v>
      </c>
      <c r="D714" s="2">
        <v>13</v>
      </c>
      <c r="E714" s="2" t="s">
        <v>785</v>
      </c>
      <c r="F714" s="2">
        <v>297</v>
      </c>
      <c r="G714" s="2">
        <v>-1834</v>
      </c>
      <c r="H714" s="2">
        <v>18</v>
      </c>
      <c r="J714" t="str">
        <f>"{ name: "&amp;CHAR(34)&amp;B714&amp;CHAR(34)&amp;", landmark: "&amp;CHAR(34)&amp;IF(LEN(C714)=LEN(SUBSTITUTE(C714,"Transport","")),"Korok x1","Korok x2")&amp;CHAR(34)&amp;", type: "&amp;CHAR(34)&amp;C714&amp;CHAR(34)&amp;", region: "&amp;D714&amp;", level: "&amp;CHAR(34)&amp;E714&amp;CHAR(34)&amp;", x: "&amp;F714&amp;", y: "&amp;G714&amp;", z: "&amp;H714&amp;", details: "&amp;CHAR(34)&amp;I714&amp;CHAR(34)&amp;" },"</f>
        <v>{ name: "Deya Village Ruins Korok #01", landmark: "Korok x1", type: "Burn the Leaves", region: 13, level: "Surface", x: 297, y: -1834, z: 18, details: "" },</v>
      </c>
    </row>
    <row r="715" spans="1:10" x14ac:dyDescent="0.2">
      <c r="A715" s="2">
        <v>768</v>
      </c>
      <c r="B715" s="34" t="s">
        <v>3269</v>
      </c>
      <c r="C715" t="s">
        <v>2824</v>
      </c>
      <c r="D715" s="2">
        <v>13</v>
      </c>
      <c r="E715" s="2" t="s">
        <v>785</v>
      </c>
      <c r="F715" s="2">
        <v>352</v>
      </c>
      <c r="G715" s="2">
        <v>-2000</v>
      </c>
      <c r="H715" s="2">
        <v>9</v>
      </c>
      <c r="J715" t="str">
        <f>"{ name: "&amp;CHAR(34)&amp;B715&amp;CHAR(34)&amp;", landmark: "&amp;CHAR(34)&amp;IF(LEN(C715)=LEN(SUBSTITUTE(C715,"Transport","")),"Korok x1","Korok x2")&amp;CHAR(34)&amp;", type: "&amp;CHAR(34)&amp;C715&amp;CHAR(34)&amp;", region: "&amp;D715&amp;", level: "&amp;CHAR(34)&amp;E715&amp;CHAR(34)&amp;", x: "&amp;F715&amp;", y: "&amp;G715&amp;", z: "&amp;H715&amp;", details: "&amp;CHAR(34)&amp;I715&amp;CHAR(34)&amp;" },"</f>
        <v>{ name: "Deya Village Ruins Korok #02", landmark: "Korok x1", type: "Catch the Moving Sparkle", region: 13, level: "Surface", x: 352, y: -2000, z: 9, details: "" },</v>
      </c>
    </row>
    <row r="716" spans="1:10" x14ac:dyDescent="0.2">
      <c r="A716" s="2">
        <v>56</v>
      </c>
      <c r="B716" s="34" t="s">
        <v>3276</v>
      </c>
      <c r="C716" t="s">
        <v>2809</v>
      </c>
      <c r="D716" s="2">
        <v>13</v>
      </c>
      <c r="E716" s="2" t="s">
        <v>783</v>
      </c>
      <c r="F716" s="2">
        <v>1332</v>
      </c>
      <c r="G716" s="2">
        <v>-3408</v>
      </c>
      <c r="H716" s="2">
        <v>463</v>
      </c>
      <c r="J716" t="str">
        <f>"{ name: "&amp;CHAR(34)&amp;B716&amp;CHAR(34)&amp;", landmark: "&amp;CHAR(34)&amp;IF(LEN(C716)=LEN(SUBSTITUTE(C716,"Transport","")),"Korok x1","Korok x2")&amp;CHAR(34)&amp;", type: "&amp;CHAR(34)&amp;C716&amp;CHAR(34)&amp;", region: "&amp;D716&amp;", level: "&amp;CHAR(34)&amp;E716&amp;CHAR(34)&amp;", x: "&amp;F716&amp;", y: "&amp;G716&amp;", z: "&amp;H716&amp;", details: "&amp;CHAR(34)&amp;I716&amp;CHAR(34)&amp;" },"</f>
        <v>{ name: "Dragonhead Island Korok", landmark: "Korok x1", type: "Dive into the Lily Ring", region: 13, level: "Sky", x: 1332, y: -3408, z: 463, details: "" },</v>
      </c>
    </row>
    <row r="717" spans="1:10" x14ac:dyDescent="0.2">
      <c r="A717" s="2">
        <v>767</v>
      </c>
      <c r="B717" s="34" t="s">
        <v>3288</v>
      </c>
      <c r="C717" t="s">
        <v>2817</v>
      </c>
      <c r="D717" s="2">
        <v>13</v>
      </c>
      <c r="E717" s="2" t="s">
        <v>785</v>
      </c>
      <c r="F717" s="2">
        <v>459</v>
      </c>
      <c r="G717" s="2">
        <v>-2142</v>
      </c>
      <c r="H717" s="2">
        <v>13</v>
      </c>
      <c r="I717" t="s">
        <v>2726</v>
      </c>
      <c r="J717" t="str">
        <f>"{ name: "&amp;CHAR(34)&amp;B717&amp;CHAR(34)&amp;", landmark: "&amp;CHAR(34)&amp;IF(LEN(C717)=LEN(SUBSTITUTE(C717,"Transport","")),"Korok x1","Korok x2")&amp;CHAR(34)&amp;", type: "&amp;CHAR(34)&amp;C717&amp;CHAR(34)&amp;", region: "&amp;D717&amp;", level: "&amp;CHAR(34)&amp;E717&amp;CHAR(34)&amp;", x: "&amp;F717&amp;", y: "&amp;G717&amp;", z: "&amp;H717&amp;", details: "&amp;CHAR(34)&amp;I717&amp;CHAR(34)&amp;" },"</f>
        <v>{ name: "Dueling Peaks South Korok #05", landmark: "Korok x1", type: "Reach the Target Ring", region: 13, level: "Surface", x: 459, y: -2142, z: 13, details: "Starts at (350, -2158, 63)" },</v>
      </c>
    </row>
    <row r="718" spans="1:10" x14ac:dyDescent="0.2">
      <c r="A718" s="2">
        <v>758</v>
      </c>
      <c r="B718" s="34" t="s">
        <v>3311</v>
      </c>
      <c r="C718" t="s">
        <v>2815</v>
      </c>
      <c r="D718" s="2">
        <v>13</v>
      </c>
      <c r="E718" s="2" t="s">
        <v>785</v>
      </c>
      <c r="F718" s="2">
        <v>653</v>
      </c>
      <c r="G718" s="2">
        <v>-1770</v>
      </c>
      <c r="H718" s="2">
        <v>18</v>
      </c>
      <c r="J718" t="str">
        <f>"{ name: "&amp;CHAR(34)&amp;B718&amp;CHAR(34)&amp;", landmark: "&amp;CHAR(34)&amp;IF(LEN(C718)=LEN(SUBSTITUTE(C718,"Transport","")),"Korok x1","Korok x2")&amp;CHAR(34)&amp;", type: "&amp;CHAR(34)&amp;C718&amp;CHAR(34)&amp;", region: "&amp;D718&amp;", level: "&amp;CHAR(34)&amp;E718&amp;CHAR(34)&amp;", x: "&amp;F718&amp;", y: "&amp;G718&amp;", z: "&amp;H718&amp;", details: "&amp;CHAR(34)&amp;I718&amp;CHAR(34)&amp;" },"</f>
        <v>{ name: "East of Hills of Baumer Korok", landmark: "Korok x1", type: "Place the Boulder", region: 13, level: "Surface", x: 653, y: -1770, z: 18, details: "" },</v>
      </c>
    </row>
    <row r="719" spans="1:10" x14ac:dyDescent="0.2">
      <c r="A719" s="2">
        <v>790</v>
      </c>
      <c r="B719" s="34" t="s">
        <v>3320</v>
      </c>
      <c r="C719" t="s">
        <v>2814</v>
      </c>
      <c r="D719" s="2">
        <v>13</v>
      </c>
      <c r="E719" s="2" t="s">
        <v>785</v>
      </c>
      <c r="F719" s="2">
        <v>1847</v>
      </c>
      <c r="G719" s="2">
        <v>-3343</v>
      </c>
      <c r="H719" s="2">
        <v>59</v>
      </c>
      <c r="J719" t="str">
        <f>"{ name: "&amp;CHAR(34)&amp;B719&amp;CHAR(34)&amp;", landmark: "&amp;CHAR(34)&amp;IF(LEN(C719)=LEN(SUBSTITUTE(C719,"Transport","")),"Korok x1","Korok x2")&amp;CHAR(34)&amp;", type: "&amp;CHAR(34)&amp;C719&amp;CHAR(34)&amp;", region: "&amp;D719&amp;", level: "&amp;CHAR(34)&amp;E719&amp;CHAR(34)&amp;", x: "&amp;F719&amp;", y: "&amp;G719&amp;", z: "&amp;H719&amp;", details: "&amp;CHAR(34)&amp;I719&amp;CHAR(34)&amp;" },"</f>
        <v>{ name: "Ebara Forest Korok", landmark: "Korok x1", type: "Make Offering to Statue", region: 13, level: "Surface", x: 1847, y: -3343, z: 59, details: "" },</v>
      </c>
    </row>
    <row r="720" spans="1:10" x14ac:dyDescent="0.2">
      <c r="A720" s="2">
        <v>54</v>
      </c>
      <c r="B720" s="34" t="s">
        <v>3330</v>
      </c>
      <c r="C720" t="s">
        <v>2812</v>
      </c>
      <c r="D720" s="2">
        <v>13</v>
      </c>
      <c r="E720" s="2" t="s">
        <v>783</v>
      </c>
      <c r="F720" s="2">
        <v>126</v>
      </c>
      <c r="G720" s="2">
        <v>-2502</v>
      </c>
      <c r="H720" s="2">
        <v>692</v>
      </c>
      <c r="J720" t="str">
        <f>"{ name: "&amp;CHAR(34)&amp;B720&amp;CHAR(34)&amp;", landmark: "&amp;CHAR(34)&amp;IF(LEN(C720)=LEN(SUBSTITUTE(C720,"Transport","")),"Korok x1","Korok x2")&amp;CHAR(34)&amp;", type: "&amp;CHAR(34)&amp;C720&amp;CHAR(34)&amp;", region: "&amp;D720&amp;", level: "&amp;CHAR(34)&amp;E720&amp;CHAR(34)&amp;", x: "&amp;F720&amp;", y: "&amp;G720&amp;", z: "&amp;H720&amp;", details: "&amp;CHAR(34)&amp;I720&amp;CHAR(34)&amp;" },"</f>
        <v>{ name: "Faron Sky Archipelago Korok", landmark: "Korok x1", type: "Lift the Rock", region: 13, level: "Sky", x: 126, y: -2502, z: 692, details: "" },</v>
      </c>
    </row>
    <row r="721" spans="1:10" x14ac:dyDescent="0.2">
      <c r="A721" s="2">
        <v>766</v>
      </c>
      <c r="B721" s="34" t="s">
        <v>3331</v>
      </c>
      <c r="C721" t="s">
        <v>2815</v>
      </c>
      <c r="D721" s="2">
        <v>13</v>
      </c>
      <c r="E721" s="2" t="s">
        <v>785</v>
      </c>
      <c r="F721" s="2">
        <v>343</v>
      </c>
      <c r="G721" s="2">
        <v>-2380</v>
      </c>
      <c r="H721" s="2">
        <v>31</v>
      </c>
      <c r="J721" t="str">
        <f>"{ name: "&amp;CHAR(34)&amp;B721&amp;CHAR(34)&amp;", landmark: "&amp;CHAR(34)&amp;IF(LEN(C721)=LEN(SUBSTITUTE(C721,"Transport","")),"Korok x1","Korok x2")&amp;CHAR(34)&amp;", type: "&amp;CHAR(34)&amp;C721&amp;CHAR(34)&amp;", region: "&amp;D721&amp;", level: "&amp;CHAR(34)&amp;E721&amp;CHAR(34)&amp;", x: "&amp;F721&amp;", y: "&amp;G721&amp;", z: "&amp;H721&amp;", details: "&amp;CHAR(34)&amp;I721&amp;CHAR(34)&amp;" },"</f>
        <v>{ name: "Farosh Hills Korok #01", landmark: "Korok x1", type: "Place the Boulder", region: 13, level: "Surface", x: 343, y: -2380, z: 31, details: "" },</v>
      </c>
    </row>
    <row r="722" spans="1:10" x14ac:dyDescent="0.2">
      <c r="A722" s="2">
        <v>771</v>
      </c>
      <c r="B722" s="34" t="s">
        <v>3332</v>
      </c>
      <c r="C722" t="s">
        <v>2812</v>
      </c>
      <c r="D722" s="2">
        <v>13</v>
      </c>
      <c r="E722" s="2" t="s">
        <v>785</v>
      </c>
      <c r="F722" s="2">
        <v>567</v>
      </c>
      <c r="G722" s="2">
        <v>-2384</v>
      </c>
      <c r="H722" s="2">
        <v>113</v>
      </c>
      <c r="J722" t="str">
        <f>"{ name: "&amp;CHAR(34)&amp;B722&amp;CHAR(34)&amp;", landmark: "&amp;CHAR(34)&amp;IF(LEN(C722)=LEN(SUBSTITUTE(C722,"Transport","")),"Korok x1","Korok x2")&amp;CHAR(34)&amp;", type: "&amp;CHAR(34)&amp;C722&amp;CHAR(34)&amp;", region: "&amp;D722&amp;", level: "&amp;CHAR(34)&amp;E722&amp;CHAR(34)&amp;", x: "&amp;F722&amp;", y: "&amp;G722&amp;", z: "&amp;H722&amp;", details: "&amp;CHAR(34)&amp;I722&amp;CHAR(34)&amp;" },"</f>
        <v>{ name: "Farosh Hills Korok #02", landmark: "Korok x1", type: "Lift the Rock", region: 13, level: "Surface", x: 567, y: -2384, z: 113, details: "" },</v>
      </c>
    </row>
    <row r="723" spans="1:10" x14ac:dyDescent="0.2">
      <c r="A723" s="2">
        <v>764</v>
      </c>
      <c r="B723" s="34" t="s">
        <v>3333</v>
      </c>
      <c r="C723" t="s">
        <v>2815</v>
      </c>
      <c r="D723" s="2">
        <v>13</v>
      </c>
      <c r="E723" s="2" t="s">
        <v>785</v>
      </c>
      <c r="F723" s="2">
        <v>243</v>
      </c>
      <c r="G723" s="2">
        <v>-2875</v>
      </c>
      <c r="H723" s="2">
        <v>38</v>
      </c>
      <c r="J723" t="str">
        <f>"{ name: "&amp;CHAR(34)&amp;B723&amp;CHAR(34)&amp;", landmark: "&amp;CHAR(34)&amp;IF(LEN(C723)=LEN(SUBSTITUTE(C723,"Transport","")),"Korok x1","Korok x2")&amp;CHAR(34)&amp;", type: "&amp;CHAR(34)&amp;C723&amp;CHAR(34)&amp;", region: "&amp;D723&amp;", level: "&amp;CHAR(34)&amp;E723&amp;CHAR(34)&amp;", x: "&amp;F723&amp;", y: "&amp;G723&amp;", z: "&amp;H723&amp;", details: "&amp;CHAR(34)&amp;I723&amp;CHAR(34)&amp;" },"</f>
        <v>{ name: "Finra Woods Korok #01", landmark: "Korok x1", type: "Place the Boulder", region: 13, level: "Surface", x: 243, y: -2875, z: 38, details: "" },</v>
      </c>
    </row>
    <row r="724" spans="1:10" x14ac:dyDescent="0.2">
      <c r="A724" s="2">
        <v>769</v>
      </c>
      <c r="B724" s="34" t="s">
        <v>3334</v>
      </c>
      <c r="C724" t="s">
        <v>2815</v>
      </c>
      <c r="D724" s="2">
        <v>13</v>
      </c>
      <c r="E724" s="2" t="s">
        <v>785</v>
      </c>
      <c r="F724" s="2">
        <v>423</v>
      </c>
      <c r="G724" s="2">
        <v>-2884</v>
      </c>
      <c r="H724" s="2">
        <v>31</v>
      </c>
      <c r="J724" t="str">
        <f>"{ name: "&amp;CHAR(34)&amp;B724&amp;CHAR(34)&amp;", landmark: "&amp;CHAR(34)&amp;IF(LEN(C724)=LEN(SUBSTITUTE(C724,"Transport","")),"Korok x1","Korok x2")&amp;CHAR(34)&amp;", type: "&amp;CHAR(34)&amp;C724&amp;CHAR(34)&amp;", region: "&amp;D724&amp;", level: "&amp;CHAR(34)&amp;E724&amp;CHAR(34)&amp;", x: "&amp;F724&amp;", y: "&amp;G724&amp;", z: "&amp;H724&amp;", details: "&amp;CHAR(34)&amp;I724&amp;CHAR(34)&amp;" },"</f>
        <v>{ name: "Finra Woods Korok #02", landmark: "Korok x1", type: "Place the Boulder", region: 13, level: "Surface", x: 423, y: -2884, z: 31, details: "" },</v>
      </c>
    </row>
    <row r="725" spans="1:10" x14ac:dyDescent="0.2">
      <c r="A725" s="2">
        <v>787</v>
      </c>
      <c r="B725" s="34" t="s">
        <v>3339</v>
      </c>
      <c r="C725" t="s">
        <v>2812</v>
      </c>
      <c r="D725" s="2">
        <v>13</v>
      </c>
      <c r="E725" s="2" t="s">
        <v>785</v>
      </c>
      <c r="F725" s="2">
        <v>1738</v>
      </c>
      <c r="G725" s="2">
        <v>-3468</v>
      </c>
      <c r="H725" s="2">
        <v>51</v>
      </c>
      <c r="J725" t="str">
        <f>"{ name: "&amp;CHAR(34)&amp;B725&amp;CHAR(34)&amp;", landmark: "&amp;CHAR(34)&amp;IF(LEN(C725)=LEN(SUBSTITUTE(C725,"Transport","")),"Korok x1","Korok x2")&amp;CHAR(34)&amp;", type: "&amp;CHAR(34)&amp;C725&amp;CHAR(34)&amp;", region: "&amp;D725&amp;", level: "&amp;CHAR(34)&amp;E725&amp;CHAR(34)&amp;", x: "&amp;F725&amp;", y: "&amp;G725&amp;", z: "&amp;H725&amp;", details: "&amp;CHAR(34)&amp;I725&amp;CHAR(34)&amp;" },"</f>
        <v>{ name: "Floria Bridge Korok", landmark: "Korok x1", type: "Lift the Rock", region: 13, level: "Surface", x: 1738, y: -3468, z: 51, details: "" },</v>
      </c>
    </row>
    <row r="726" spans="1:10" x14ac:dyDescent="0.2">
      <c r="A726" s="2">
        <v>786</v>
      </c>
      <c r="B726" s="34" t="s">
        <v>3340</v>
      </c>
      <c r="C726" t="s">
        <v>2807</v>
      </c>
      <c r="D726" s="2">
        <v>13</v>
      </c>
      <c r="E726" s="2" t="s">
        <v>785</v>
      </c>
      <c r="F726" s="2">
        <v>1692</v>
      </c>
      <c r="G726" s="2">
        <v>-3324</v>
      </c>
      <c r="H726" s="2">
        <v>67</v>
      </c>
      <c r="J726" t="str">
        <f>"{ name: "&amp;CHAR(34)&amp;B726&amp;CHAR(34)&amp;", landmark: "&amp;CHAR(34)&amp;IF(LEN(C726)=LEN(SUBSTITUTE(C726,"Transport","")),"Korok x1","Korok x2")&amp;CHAR(34)&amp;", type: "&amp;CHAR(34)&amp;C726&amp;CHAR(34)&amp;", region: "&amp;D726&amp;", level: "&amp;CHAR(34)&amp;E726&amp;CHAR(34)&amp;", x: "&amp;F726&amp;", y: "&amp;G726&amp;", z: "&amp;H726&amp;", details: "&amp;CHAR(34)&amp;I726&amp;CHAR(34)&amp;" },"</f>
        <v>{ name: "Floria Falls Korok", landmark: "Korok x1", type: "Complete the Cube Puzzle", region: 13, level: "Surface", x: 1692, y: -3324, z: 67, details: "" },</v>
      </c>
    </row>
    <row r="727" spans="1:10" x14ac:dyDescent="0.2">
      <c r="A727" s="2">
        <v>711</v>
      </c>
      <c r="B727" s="34" t="s">
        <v>3341</v>
      </c>
      <c r="C727" t="s">
        <v>2807</v>
      </c>
      <c r="D727" s="2">
        <v>13</v>
      </c>
      <c r="E727" s="2" t="s">
        <v>785</v>
      </c>
      <c r="F727" s="2">
        <v>700</v>
      </c>
      <c r="G727" s="2">
        <v>-2954</v>
      </c>
      <c r="H727" s="2">
        <v>17</v>
      </c>
      <c r="J727" t="str">
        <f>"{ name: "&amp;CHAR(34)&amp;B727&amp;CHAR(34)&amp;", landmark: "&amp;CHAR(34)&amp;IF(LEN(C727)=LEN(SUBSTITUTE(C727,"Transport","")),"Korok x1","Korok x2")&amp;CHAR(34)&amp;", type: "&amp;CHAR(34)&amp;C727&amp;CHAR(34)&amp;", region: "&amp;D727&amp;", level: "&amp;CHAR(34)&amp;E727&amp;CHAR(34)&amp;", x: "&amp;F727&amp;", y: "&amp;G727&amp;", z: "&amp;H727&amp;", details: "&amp;CHAR(34)&amp;I727&amp;CHAR(34)&amp;" },"</f>
        <v>{ name: "Floria River Korok", landmark: "Korok x1", type: "Complete the Cube Puzzle", region: 13, level: "Surface", x: 700, y: -2954, z: 17, details: "" },</v>
      </c>
    </row>
    <row r="728" spans="1:10" x14ac:dyDescent="0.2">
      <c r="A728" s="2">
        <v>730</v>
      </c>
      <c r="B728" s="34" t="s">
        <v>3425</v>
      </c>
      <c r="C728" t="s">
        <v>2821</v>
      </c>
      <c r="D728" s="2">
        <v>13</v>
      </c>
      <c r="E728" s="2" t="s">
        <v>785</v>
      </c>
      <c r="F728" s="2">
        <v>796</v>
      </c>
      <c r="G728" s="2">
        <v>-3346</v>
      </c>
      <c r="H728" s="2">
        <v>82</v>
      </c>
      <c r="J728" t="str">
        <f>"{ name: "&amp;CHAR(34)&amp;B728&amp;CHAR(34)&amp;", landmark: "&amp;CHAR(34)&amp;IF(LEN(C728)=LEN(SUBSTITUTE(C728,"Transport","")),"Korok x1","Korok x2")&amp;CHAR(34)&amp;", type: "&amp;CHAR(34)&amp;C728&amp;CHAR(34)&amp;", region: "&amp;D728&amp;", level: "&amp;CHAR(34)&amp;E728&amp;CHAR(34)&amp;", x: "&amp;F728&amp;", y: "&amp;G728&amp;", z: "&amp;H728&amp;", details: "&amp;CHAR(34)&amp;I728&amp;CHAR(34)&amp;" },"</f>
        <v>{ name: "Guchini Plain Korok", landmark: "Korok x1", type: "Shoot the Balloons", region: 13, level: "Surface", x: 796, y: -3346, z: 82, details: "" },</v>
      </c>
    </row>
    <row r="729" spans="1:10" x14ac:dyDescent="0.2">
      <c r="A729" s="2">
        <v>732</v>
      </c>
      <c r="B729" s="34" t="s">
        <v>3426</v>
      </c>
      <c r="C729" t="s">
        <v>2823</v>
      </c>
      <c r="D729" s="2">
        <v>13</v>
      </c>
      <c r="E729" s="2" t="s">
        <v>785</v>
      </c>
      <c r="F729" s="2">
        <v>954</v>
      </c>
      <c r="G729" s="2">
        <v>-3476</v>
      </c>
      <c r="H729" s="2">
        <v>23</v>
      </c>
      <c r="J729" t="str">
        <f>"{ name: "&amp;CHAR(34)&amp;B729&amp;CHAR(34)&amp;", landmark: "&amp;CHAR(34)&amp;IF(LEN(C729)=LEN(SUBSTITUTE(C729,"Transport","")),"Korok x1","Korok x2")&amp;CHAR(34)&amp;", type: "&amp;CHAR(34)&amp;C729&amp;CHAR(34)&amp;", region: "&amp;D729&amp;", level: "&amp;CHAR(34)&amp;E729&amp;CHAR(34)&amp;", x: "&amp;F729&amp;", y: "&amp;G729&amp;", z: "&amp;H729&amp;", details: "&amp;CHAR(34)&amp;I729&amp;CHAR(34)&amp;" },"</f>
        <v>{ name: "Guchini Plain Barrows Korok", landmark: "Korok x1", type: "Examine Fairy Lights", region: 13, level: "Surface", x: 954, y: -3476, z: 23, details: "" },</v>
      </c>
    </row>
    <row r="730" spans="1:10" x14ac:dyDescent="0.2">
      <c r="A730" s="2">
        <v>726</v>
      </c>
      <c r="B730" s="34" t="s">
        <v>3459</v>
      </c>
      <c r="C730" t="s">
        <v>2802</v>
      </c>
      <c r="D730" s="2">
        <v>13</v>
      </c>
      <c r="E730" s="2" t="s">
        <v>785</v>
      </c>
      <c r="F730" s="2">
        <v>517</v>
      </c>
      <c r="G730" s="2">
        <v>-3514</v>
      </c>
      <c r="H730" s="2">
        <v>72</v>
      </c>
      <c r="I730" t="s">
        <v>2657</v>
      </c>
      <c r="J730" t="str">
        <f>"{ name: "&amp;CHAR(34)&amp;B730&amp;CHAR(34)&amp;", landmark: "&amp;CHAR(34)&amp;IF(LEN(C730)=LEN(SUBSTITUTE(C730,"Transport","")),"Korok x1","Korok x2")&amp;CHAR(34)&amp;", type: "&amp;CHAR(34)&amp;C730&amp;CHAR(34)&amp;", region: "&amp;D730&amp;", level: "&amp;CHAR(34)&amp;E730&amp;CHAR(34)&amp;", x: "&amp;F730&amp;", y: "&amp;G730&amp;", z: "&amp;H730&amp;", details: "&amp;CHAR(34)&amp;I730&amp;CHAR(34)&amp;" },"</f>
        <v>{ name: "Highland Stable Korok", landmark: "Korok x2", type: "Transport to Friend", region: 13, level: "Surface", x: 517, y: -3514, z: 72, details: "Starts at (520, -3484, 50)" },</v>
      </c>
    </row>
    <row r="731" spans="1:10" x14ac:dyDescent="0.2">
      <c r="A731" s="2">
        <v>751</v>
      </c>
      <c r="B731" s="34" t="s">
        <v>3460</v>
      </c>
      <c r="C731" t="s">
        <v>2595</v>
      </c>
      <c r="D731" s="2">
        <v>13</v>
      </c>
      <c r="E731" s="2" t="s">
        <v>785</v>
      </c>
      <c r="F731" s="2">
        <v>313</v>
      </c>
      <c r="G731" s="2">
        <v>-1766</v>
      </c>
      <c r="H731" s="2">
        <v>75</v>
      </c>
      <c r="J731" t="str">
        <f>"{ name: "&amp;CHAR(34)&amp;B731&amp;CHAR(34)&amp;", landmark: "&amp;CHAR(34)&amp;IF(LEN(C731)=LEN(SUBSTITUTE(C731,"Transport","")),"Korok x1","Korok x2")&amp;CHAR(34)&amp;", type: "&amp;CHAR(34)&amp;C731&amp;CHAR(34)&amp;", region: "&amp;D731&amp;", level: "&amp;CHAR(34)&amp;E731&amp;CHAR(34)&amp;", x: "&amp;F731&amp;", y: "&amp;G731&amp;", z: "&amp;H731&amp;", details: "&amp;CHAR(34)&amp;I731&amp;CHAR(34)&amp;" },"</f>
        <v>{ name: "Hills of Baumer North Korok #01", landmark: "Korok x1", type: "Attack and catch the dandelion", region: 13, level: "Surface", x: 313, y: -1766, z: 75, details: "" },</v>
      </c>
    </row>
    <row r="732" spans="1:10" x14ac:dyDescent="0.2">
      <c r="A732" s="2">
        <v>753</v>
      </c>
      <c r="B732" s="34" t="s">
        <v>3461</v>
      </c>
      <c r="C732" t="s">
        <v>2811</v>
      </c>
      <c r="D732" s="2">
        <v>13</v>
      </c>
      <c r="E732" s="2" t="s">
        <v>785</v>
      </c>
      <c r="F732" s="2">
        <v>459</v>
      </c>
      <c r="G732" s="2">
        <v>-1699</v>
      </c>
      <c r="H732" s="2">
        <v>28</v>
      </c>
      <c r="I732" t="s">
        <v>2795</v>
      </c>
      <c r="J732" t="str">
        <f>"{ name: "&amp;CHAR(34)&amp;B732&amp;CHAR(34)&amp;", landmark: "&amp;CHAR(34)&amp;IF(LEN(C732)=LEN(SUBSTITUTE(C732,"Transport","")),"Korok x1","Korok x2")&amp;CHAR(34)&amp;", type: "&amp;CHAR(34)&amp;C732&amp;CHAR(34)&amp;", region: "&amp;D732&amp;", level: "&amp;CHAR(34)&amp;E732&amp;CHAR(34)&amp;", x: "&amp;F732&amp;", y: "&amp;G732&amp;", z: "&amp;H732&amp;", details: "&amp;CHAR(34)&amp;I732&amp;CHAR(34)&amp;" },"</f>
        <v>{ name: "Hills of Baumer North Korok #02", landmark: "Korok x1", type: "Follow the Yellow Flowers", region: 13, level: "Surface", x: 459, y: -1699, z: 28, details: "Starts at (514, -1791, 62)" },</v>
      </c>
    </row>
    <row r="733" spans="1:10" x14ac:dyDescent="0.2">
      <c r="A733" s="2">
        <v>748</v>
      </c>
      <c r="B733" s="34" t="s">
        <v>3462</v>
      </c>
      <c r="C733" t="s">
        <v>2814</v>
      </c>
      <c r="D733" s="2">
        <v>13</v>
      </c>
      <c r="E733" s="2" t="s">
        <v>785</v>
      </c>
      <c r="F733" s="2">
        <v>164</v>
      </c>
      <c r="G733" s="2">
        <v>-1940</v>
      </c>
      <c r="H733" s="2">
        <v>46</v>
      </c>
      <c r="J733" t="str">
        <f>"{ name: "&amp;CHAR(34)&amp;B733&amp;CHAR(34)&amp;", landmark: "&amp;CHAR(34)&amp;IF(LEN(C733)=LEN(SUBSTITUTE(C733,"Transport","")),"Korok x1","Korok x2")&amp;CHAR(34)&amp;", type: "&amp;CHAR(34)&amp;C733&amp;CHAR(34)&amp;", region: "&amp;D733&amp;", level: "&amp;CHAR(34)&amp;E733&amp;CHAR(34)&amp;", x: "&amp;F733&amp;", y: "&amp;G733&amp;", z: "&amp;H733&amp;", details: "&amp;CHAR(34)&amp;I733&amp;CHAR(34)&amp;" },"</f>
        <v>{ name: "Hills of Baumer South Korok #01", landmark: "Korok x1", type: "Make Offering to Statue", region: 13, level: "Surface", x: 164, y: -1940, z: 46, details: "" },</v>
      </c>
    </row>
    <row r="734" spans="1:10" x14ac:dyDescent="0.2">
      <c r="A734" s="2">
        <v>765</v>
      </c>
      <c r="B734" s="34" t="s">
        <v>3463</v>
      </c>
      <c r="C734" t="s">
        <v>2811</v>
      </c>
      <c r="D734" s="2">
        <v>13</v>
      </c>
      <c r="E734" s="2" t="s">
        <v>785</v>
      </c>
      <c r="F734" s="2">
        <v>268</v>
      </c>
      <c r="G734" s="2">
        <v>-2215</v>
      </c>
      <c r="H734" s="2">
        <v>39</v>
      </c>
      <c r="I734" t="s">
        <v>2798</v>
      </c>
      <c r="J734" t="str">
        <f>"{ name: "&amp;CHAR(34)&amp;B734&amp;CHAR(34)&amp;", landmark: "&amp;CHAR(34)&amp;IF(LEN(C734)=LEN(SUBSTITUTE(C734,"Transport","")),"Korok x1","Korok x2")&amp;CHAR(34)&amp;", type: "&amp;CHAR(34)&amp;C734&amp;CHAR(34)&amp;", region: "&amp;D734&amp;", level: "&amp;CHAR(34)&amp;E734&amp;CHAR(34)&amp;", x: "&amp;F734&amp;", y: "&amp;G734&amp;", z: "&amp;H734&amp;", details: "&amp;CHAR(34)&amp;I734&amp;CHAR(34)&amp;" },"</f>
        <v>{ name: "Hills of Baumer South Korok #02", landmark: "Korok x1", type: "Follow the Yellow Flowers", region: 13, level: "Surface", x: 268, y: -2215, z: 39, details: "Starts at (282, -2241, 37)" },</v>
      </c>
    </row>
    <row r="735" spans="1:10" x14ac:dyDescent="0.2">
      <c r="A735" s="2">
        <v>729</v>
      </c>
      <c r="B735" s="34" t="s">
        <v>3465</v>
      </c>
      <c r="C735" t="s">
        <v>2809</v>
      </c>
      <c r="D735" s="2">
        <v>13</v>
      </c>
      <c r="E735" s="2" t="s">
        <v>785</v>
      </c>
      <c r="F735" s="2">
        <v>589</v>
      </c>
      <c r="G735" s="2">
        <v>-3736</v>
      </c>
      <c r="H735" s="2">
        <v>27</v>
      </c>
      <c r="J735" t="str">
        <f>"{ name: "&amp;CHAR(34)&amp;B735&amp;CHAR(34)&amp;", landmark: "&amp;CHAR(34)&amp;IF(LEN(C735)=LEN(SUBSTITUTE(C735,"Transport","")),"Korok x1","Korok x2")&amp;CHAR(34)&amp;", type: "&amp;CHAR(34)&amp;C735&amp;CHAR(34)&amp;", region: "&amp;D735&amp;", level: "&amp;CHAR(34)&amp;E735&amp;CHAR(34)&amp;", x: "&amp;F735&amp;", y: "&amp;G735&amp;", z: "&amp;H735&amp;", details: "&amp;CHAR(34)&amp;I735&amp;CHAR(34)&amp;" },"</f>
        <v>{ name: "Horse God Bridge Korok", landmark: "Korok x1", type: "Dive into the Lily Ring", region: 13, level: "Surface", x: 589, y: -3736, z: 27, details: "" },</v>
      </c>
    </row>
    <row r="736" spans="1:10" x14ac:dyDescent="0.2">
      <c r="A736" s="2">
        <v>704</v>
      </c>
      <c r="B736" s="34" t="s">
        <v>3466</v>
      </c>
      <c r="C736" t="s">
        <v>2802</v>
      </c>
      <c r="D736" s="2">
        <v>13</v>
      </c>
      <c r="E736" s="2" t="s">
        <v>785</v>
      </c>
      <c r="F736" s="2">
        <v>1019</v>
      </c>
      <c r="G736" s="2">
        <v>-1185</v>
      </c>
      <c r="H736" s="2">
        <v>10</v>
      </c>
      <c r="I736" t="s">
        <v>2622</v>
      </c>
      <c r="J736" t="str">
        <f>"{ name: "&amp;CHAR(34)&amp;B736&amp;CHAR(34)&amp;", landmark: "&amp;CHAR(34)&amp;IF(LEN(C736)=LEN(SUBSTITUTE(C736,"Transport","")),"Korok x1","Korok x2")&amp;CHAR(34)&amp;", type: "&amp;CHAR(34)&amp;C736&amp;CHAR(34)&amp;", region: "&amp;D736&amp;", level: "&amp;CHAR(34)&amp;E736&amp;CHAR(34)&amp;", x: "&amp;F736&amp;", y: "&amp;G736&amp;", z: "&amp;H736&amp;", details: "&amp;CHAR(34)&amp;I736&amp;CHAR(34)&amp;" },"</f>
        <v>{ name: "Horwell Bridge Korok", landmark: "Korok x2", type: "Transport to Friend", region: 13, level: "Surface", x: 1019, y: -1185, z: 10, details: "Starts at (629, -965, 13)" },</v>
      </c>
    </row>
    <row r="737" spans="1:10" x14ac:dyDescent="0.2">
      <c r="A737" s="2">
        <v>737</v>
      </c>
      <c r="B737" s="34" t="s">
        <v>3467</v>
      </c>
      <c r="C737" t="s">
        <v>2825</v>
      </c>
      <c r="D737" s="2">
        <v>13</v>
      </c>
      <c r="E737" s="2" t="s">
        <v>785</v>
      </c>
      <c r="F737" s="2">
        <v>-398</v>
      </c>
      <c r="G737" s="2">
        <v>-2560</v>
      </c>
      <c r="H737" s="2">
        <v>-1</v>
      </c>
      <c r="J737" t="str">
        <f>"{ name: "&amp;CHAR(34)&amp;B737&amp;CHAR(34)&amp;", landmark: "&amp;CHAR(34)&amp;IF(LEN(C737)=LEN(SUBSTITUTE(C737,"Transport","")),"Korok x1","Korok x2")&amp;CHAR(34)&amp;", type: "&amp;CHAR(34)&amp;C737&amp;CHAR(34)&amp;", region: "&amp;D737&amp;", level: "&amp;CHAR(34)&amp;E737&amp;CHAR(34)&amp;", x: "&amp;F737&amp;", y: "&amp;G737&amp;", z: "&amp;H737&amp;", details: "&amp;CHAR(34)&amp;I737&amp;CHAR(34)&amp;" },"</f>
        <v>{ name: "Hylia Island Korok", landmark: "Korok x1", type: "Climb and Examine the Fairy Lights", region: 13, level: "Surface", x: -398, y: -2560, z: -1, details: "" },</v>
      </c>
    </row>
    <row r="738" spans="1:10" x14ac:dyDescent="0.2">
      <c r="A738" s="2">
        <v>750</v>
      </c>
      <c r="B738" s="34" t="s">
        <v>3473</v>
      </c>
      <c r="C738" t="s">
        <v>2819</v>
      </c>
      <c r="D738" s="2">
        <v>13</v>
      </c>
      <c r="E738" s="2" t="s">
        <v>785</v>
      </c>
      <c r="F738" s="2">
        <v>297</v>
      </c>
      <c r="G738" s="2">
        <v>-1497</v>
      </c>
      <c r="H738" s="2">
        <v>11</v>
      </c>
      <c r="J738" t="str">
        <f>"{ name: "&amp;CHAR(34)&amp;B738&amp;CHAR(34)&amp;", landmark: "&amp;CHAR(34)&amp;IF(LEN(C738)=LEN(SUBSTITUTE(C738,"Transport","")),"Korok x1","Korok x2")&amp;CHAR(34)&amp;", type: "&amp;CHAR(34)&amp;C738&amp;CHAR(34)&amp;", region: "&amp;D738&amp;", level: "&amp;CHAR(34)&amp;E738&amp;CHAR(34)&amp;", x: "&amp;F738&amp;", y: "&amp;G738&amp;", z: "&amp;H738&amp;", details: "&amp;CHAR(34)&amp;I738&amp;CHAR(34)&amp;" },"</f>
        <v>{ name: "Hylia River Korok #06", landmark: "Korok x1", type: "Repair the Roof", region: 13, level: "Surface", x: 297, y: -1497, z: 11, details: "" },</v>
      </c>
    </row>
    <row r="739" spans="1:10" x14ac:dyDescent="0.2">
      <c r="A739" s="2">
        <v>731</v>
      </c>
      <c r="B739" s="34" t="s">
        <v>3503</v>
      </c>
      <c r="C739" t="s">
        <v>2811</v>
      </c>
      <c r="D739" s="2">
        <v>13</v>
      </c>
      <c r="E739" s="2" t="s">
        <v>785</v>
      </c>
      <c r="F739" s="2">
        <v>814</v>
      </c>
      <c r="G739" s="2">
        <v>-3705</v>
      </c>
      <c r="H739" s="2">
        <v>106</v>
      </c>
      <c r="I739" t="s">
        <v>2767</v>
      </c>
      <c r="J739" t="str">
        <f>"{ name: "&amp;CHAR(34)&amp;B739&amp;CHAR(34)&amp;", landmark: "&amp;CHAR(34)&amp;IF(LEN(C739)=LEN(SUBSTITUTE(C739,"Transport","")),"Korok x1","Korok x2")&amp;CHAR(34)&amp;", type: "&amp;CHAR(34)&amp;C739&amp;CHAR(34)&amp;", region: "&amp;D739&amp;", level: "&amp;CHAR(34)&amp;E739&amp;CHAR(34)&amp;", x: "&amp;F739&amp;", y: "&amp;G739&amp;", z: "&amp;H739&amp;", details: "&amp;CHAR(34)&amp;I739&amp;CHAR(34)&amp;" },"</f>
        <v>{ name: "Ibara Butte Korok", landmark: "Korok x1", type: "Follow the Yellow Flowers", region: 13, level: "Surface", x: 814, y: -3705, z: 106, details: "Starts at (813, -3718, 108)" },</v>
      </c>
    </row>
    <row r="740" spans="1:10" x14ac:dyDescent="0.2">
      <c r="A740" s="2">
        <v>745</v>
      </c>
      <c r="B740" s="34" t="s">
        <v>3523</v>
      </c>
      <c r="C740" t="s">
        <v>2808</v>
      </c>
      <c r="D740" s="2">
        <v>13</v>
      </c>
      <c r="E740" s="2" t="s">
        <v>785</v>
      </c>
      <c r="F740" s="2">
        <v>1557</v>
      </c>
      <c r="G740" s="2">
        <v>-2899</v>
      </c>
      <c r="H740" s="2">
        <v>186</v>
      </c>
      <c r="J740" t="str">
        <f>"{ name: "&amp;CHAR(34)&amp;B740&amp;CHAR(34)&amp;", landmark: "&amp;CHAR(34)&amp;IF(LEN(C740)=LEN(SUBSTITUTE(C740,"Transport","")),"Korok x1","Korok x2")&amp;CHAR(34)&amp;", type: "&amp;CHAR(34)&amp;C740&amp;CHAR(34)&amp;", region: "&amp;D740&amp;", level: "&amp;CHAR(34)&amp;E740&amp;CHAR(34)&amp;", x: "&amp;F740&amp;", y: "&amp;G740&amp;", z: "&amp;H740&amp;", details: "&amp;CHAR(34)&amp;I740&amp;CHAR(34)&amp;" },"</f>
        <v>{ name: "Kamah Plateau Korok #01", landmark: "Korok x1", type: "Complete the Rock Pattern", region: 13, level: "Surface", x: 1557, y: -2899, z: 186, details: "" },</v>
      </c>
    </row>
    <row r="741" spans="1:10" x14ac:dyDescent="0.2">
      <c r="A741" s="2">
        <v>783</v>
      </c>
      <c r="B741" s="34" t="s">
        <v>3524</v>
      </c>
      <c r="C741" t="s">
        <v>2595</v>
      </c>
      <c r="D741" s="2">
        <v>13</v>
      </c>
      <c r="E741" s="2" t="s">
        <v>785</v>
      </c>
      <c r="F741" s="2">
        <v>1581</v>
      </c>
      <c r="G741" s="2">
        <v>-3034</v>
      </c>
      <c r="H741" s="2">
        <v>229</v>
      </c>
      <c r="J741" t="str">
        <f>"{ name: "&amp;CHAR(34)&amp;B741&amp;CHAR(34)&amp;", landmark: "&amp;CHAR(34)&amp;IF(LEN(C741)=LEN(SUBSTITUTE(C741,"Transport","")),"Korok x1","Korok x2")&amp;CHAR(34)&amp;", type: "&amp;CHAR(34)&amp;C741&amp;CHAR(34)&amp;", region: "&amp;D741&amp;", level: "&amp;CHAR(34)&amp;E741&amp;CHAR(34)&amp;", x: "&amp;F741&amp;", y: "&amp;G741&amp;", z: "&amp;H741&amp;", details: "&amp;CHAR(34)&amp;I741&amp;CHAR(34)&amp;" },"</f>
        <v>{ name: "Kamah Plateau Korok #02", landmark: "Korok x1", type: "Attack and catch the dandelion", region: 13, level: "Surface", x: 1581, y: -3034, z: 229, details: "" },</v>
      </c>
    </row>
    <row r="742" spans="1:10" x14ac:dyDescent="0.2">
      <c r="A742" s="2">
        <v>728</v>
      </c>
      <c r="B742" s="34" t="s">
        <v>3537</v>
      </c>
      <c r="C742" t="s">
        <v>2807</v>
      </c>
      <c r="D742" s="2">
        <v>13</v>
      </c>
      <c r="E742" s="2" t="s">
        <v>785</v>
      </c>
      <c r="F742" s="2">
        <v>573</v>
      </c>
      <c r="G742" s="2">
        <v>-3853</v>
      </c>
      <c r="H742" s="2">
        <v>35</v>
      </c>
      <c r="J742" t="str">
        <f>"{ name: "&amp;CHAR(34)&amp;B742&amp;CHAR(34)&amp;", landmark: "&amp;CHAR(34)&amp;IF(LEN(C742)=LEN(SUBSTITUTE(C742,"Transport","")),"Korok x1","Korok x2")&amp;CHAR(34)&amp;", type: "&amp;CHAR(34)&amp;C742&amp;CHAR(34)&amp;", region: "&amp;D742&amp;", level: "&amp;CHAR(34)&amp;E742&amp;CHAR(34)&amp;", x: "&amp;F742&amp;", y: "&amp;G742&amp;", z: "&amp;H742&amp;", details: "&amp;CHAR(34)&amp;I742&amp;CHAR(34)&amp;" },"</f>
        <v>{ name: "Komo Shoreline Korok", landmark: "Korok x1", type: "Complete the Cube Puzzle", region: 13, level: "Surface", x: 573, y: -3853, z: 35, details: "" },</v>
      </c>
    </row>
    <row r="743" spans="1:10" x14ac:dyDescent="0.2">
      <c r="A743" s="2">
        <v>789</v>
      </c>
      <c r="B743" s="34" t="s">
        <v>3543</v>
      </c>
      <c r="C743" t="s">
        <v>2823</v>
      </c>
      <c r="D743" s="2">
        <v>13</v>
      </c>
      <c r="E743" s="2" t="s">
        <v>785</v>
      </c>
      <c r="F743" s="2">
        <v>1794</v>
      </c>
      <c r="G743" s="2">
        <v>-3580</v>
      </c>
      <c r="H743" s="2">
        <v>30</v>
      </c>
      <c r="J743" t="str">
        <f>"{ name: "&amp;CHAR(34)&amp;B743&amp;CHAR(34)&amp;", landmark: "&amp;CHAR(34)&amp;IF(LEN(C743)=LEN(SUBSTITUTE(C743,"Transport","")),"Korok x1","Korok x2")&amp;CHAR(34)&amp;", type: "&amp;CHAR(34)&amp;C743&amp;CHAR(34)&amp;", region: "&amp;D743&amp;", level: "&amp;CHAR(34)&amp;E743&amp;CHAR(34)&amp;", x: "&amp;F743&amp;", y: "&amp;G743&amp;", z: "&amp;H743&amp;", details: "&amp;CHAR(34)&amp;I743&amp;CHAR(34)&amp;" },"</f>
        <v>{ name: "Lake Floria Korok", landmark: "Korok x1", type: "Examine Fairy Lights", region: 13, level: "Surface", x: 1794, y: -3580, z: 30, details: "" },</v>
      </c>
    </row>
    <row r="744" spans="1:10" x14ac:dyDescent="0.2">
      <c r="A744" s="2">
        <v>735</v>
      </c>
      <c r="B744" s="34" t="s">
        <v>3546</v>
      </c>
      <c r="C744" t="s">
        <v>2825</v>
      </c>
      <c r="D744" s="2">
        <v>13</v>
      </c>
      <c r="E744" s="2" t="s">
        <v>785</v>
      </c>
      <c r="F744" s="2">
        <v>-637</v>
      </c>
      <c r="G744" s="2">
        <v>-2382</v>
      </c>
      <c r="H744" s="2">
        <v>-9</v>
      </c>
      <c r="J744" t="str">
        <f>"{ name: "&amp;CHAR(34)&amp;B744&amp;CHAR(34)&amp;", landmark: "&amp;CHAR(34)&amp;IF(LEN(C744)=LEN(SUBSTITUTE(C744,"Transport","")),"Korok x1","Korok x2")&amp;CHAR(34)&amp;", type: "&amp;CHAR(34)&amp;C744&amp;CHAR(34)&amp;", region: "&amp;D744&amp;", level: "&amp;CHAR(34)&amp;E744&amp;CHAR(34)&amp;", x: "&amp;F744&amp;", y: "&amp;G744&amp;", z: "&amp;H744&amp;", details: "&amp;CHAR(34)&amp;I744&amp;CHAR(34)&amp;" },"</f>
        <v>{ name: "Lake Hylia Korok #03", landmark: "Korok x1", type: "Climb and Examine the Fairy Lights", region: 13, level: "Surface", x: -637, y: -2382, z: -9, details: "" },</v>
      </c>
    </row>
    <row r="745" spans="1:10" x14ac:dyDescent="0.2">
      <c r="A745" s="2">
        <v>736</v>
      </c>
      <c r="B745" s="34" t="s">
        <v>3547</v>
      </c>
      <c r="C745" t="s">
        <v>2807</v>
      </c>
      <c r="D745" s="2">
        <v>13</v>
      </c>
      <c r="E745" s="2" t="s">
        <v>785</v>
      </c>
      <c r="F745" s="2">
        <v>-468</v>
      </c>
      <c r="G745" s="2">
        <v>-2899</v>
      </c>
      <c r="H745" s="2">
        <v>-9</v>
      </c>
      <c r="J745" t="str">
        <f>"{ name: "&amp;CHAR(34)&amp;B745&amp;CHAR(34)&amp;", landmark: "&amp;CHAR(34)&amp;IF(LEN(C745)=LEN(SUBSTITUTE(C745,"Transport","")),"Korok x1","Korok x2")&amp;CHAR(34)&amp;", type: "&amp;CHAR(34)&amp;C745&amp;CHAR(34)&amp;", region: "&amp;D745&amp;", level: "&amp;CHAR(34)&amp;E745&amp;CHAR(34)&amp;", x: "&amp;F745&amp;", y: "&amp;G745&amp;", z: "&amp;H745&amp;", details: "&amp;CHAR(34)&amp;I745&amp;CHAR(34)&amp;" },"</f>
        <v>{ name: "Lake Hylia Korok #04", landmark: "Korok x1", type: "Complete the Cube Puzzle", region: 13, level: "Surface", x: -468, y: -2899, z: -9, details: "" },</v>
      </c>
    </row>
    <row r="746" spans="1:10" x14ac:dyDescent="0.2">
      <c r="A746" s="2">
        <v>740</v>
      </c>
      <c r="B746" s="34" t="s">
        <v>3548</v>
      </c>
      <c r="C746" t="s">
        <v>2821</v>
      </c>
      <c r="D746" s="2">
        <v>13</v>
      </c>
      <c r="E746" s="2" t="s">
        <v>785</v>
      </c>
      <c r="F746" s="2">
        <v>206</v>
      </c>
      <c r="G746" s="2">
        <v>-2639</v>
      </c>
      <c r="H746" s="2">
        <v>-9</v>
      </c>
      <c r="J746" t="str">
        <f>"{ name: "&amp;CHAR(34)&amp;B746&amp;CHAR(34)&amp;", landmark: "&amp;CHAR(34)&amp;IF(LEN(C746)=LEN(SUBSTITUTE(C746,"Transport","")),"Korok x1","Korok x2")&amp;CHAR(34)&amp;", type: "&amp;CHAR(34)&amp;C746&amp;CHAR(34)&amp;", region: "&amp;D746&amp;", level: "&amp;CHAR(34)&amp;E746&amp;CHAR(34)&amp;", x: "&amp;F746&amp;", y: "&amp;G746&amp;", z: "&amp;H746&amp;", details: "&amp;CHAR(34)&amp;I746&amp;CHAR(34)&amp;" },"</f>
        <v>{ name: "Lake Hylia Korok #05", landmark: "Korok x1", type: "Shoot the Balloons", region: 13, level: "Surface", x: 206, y: -2639, z: -9, details: "" },</v>
      </c>
    </row>
    <row r="747" spans="1:10" x14ac:dyDescent="0.2">
      <c r="A747" s="2">
        <v>742</v>
      </c>
      <c r="B747" s="34" t="s">
        <v>3550</v>
      </c>
      <c r="C747" t="s">
        <v>2812</v>
      </c>
      <c r="D747" s="2">
        <v>13</v>
      </c>
      <c r="E747" s="2" t="s">
        <v>785</v>
      </c>
      <c r="F747" s="2">
        <v>340</v>
      </c>
      <c r="G747" s="2">
        <v>-2833</v>
      </c>
      <c r="H747" s="2">
        <v>-14</v>
      </c>
      <c r="J747" t="str">
        <f>"{ name: "&amp;CHAR(34)&amp;B747&amp;CHAR(34)&amp;", landmark: "&amp;CHAR(34)&amp;IF(LEN(C747)=LEN(SUBSTITUTE(C747,"Transport","")),"Korok x1","Korok x2")&amp;CHAR(34)&amp;", type: "&amp;CHAR(34)&amp;C747&amp;CHAR(34)&amp;", region: "&amp;D747&amp;", level: "&amp;CHAR(34)&amp;E747&amp;CHAR(34)&amp;", x: "&amp;F747&amp;", y: "&amp;G747&amp;", z: "&amp;H747&amp;", details: "&amp;CHAR(34)&amp;I747&amp;CHAR(34)&amp;" },"</f>
        <v>{ name: "Lake Hylia Korok #07", landmark: "Korok x1", type: "Lift the Rock", region: 13, level: "Surface", x: 340, y: -2833, z: -14, details: "" },</v>
      </c>
    </row>
    <row r="748" spans="1:10" x14ac:dyDescent="0.2">
      <c r="A748" s="2">
        <v>784</v>
      </c>
      <c r="B748" s="34" t="s">
        <v>3576</v>
      </c>
      <c r="C748" t="s">
        <v>2802</v>
      </c>
      <c r="D748" s="2">
        <v>13</v>
      </c>
      <c r="E748" s="2" t="s">
        <v>785</v>
      </c>
      <c r="F748" s="2">
        <v>1979</v>
      </c>
      <c r="G748" s="2">
        <v>-3391</v>
      </c>
      <c r="H748" s="2">
        <v>50</v>
      </c>
      <c r="I748" t="s">
        <v>2729</v>
      </c>
      <c r="J748" t="str">
        <f>"{ name: "&amp;CHAR(34)&amp;B748&amp;CHAR(34)&amp;", landmark: "&amp;CHAR(34)&amp;IF(LEN(C748)=LEN(SUBSTITUTE(C748,"Transport","")),"Korok x1","Korok x2")&amp;CHAR(34)&amp;", type: "&amp;CHAR(34)&amp;C748&amp;CHAR(34)&amp;", region: "&amp;D748&amp;", level: "&amp;CHAR(34)&amp;E748&amp;CHAR(34)&amp;", x: "&amp;F748&amp;", y: "&amp;G748&amp;", z: "&amp;H748&amp;", details: "&amp;CHAR(34)&amp;I748&amp;CHAR(34)&amp;" },"</f>
        <v>{ name: "Lakeside Stable Korok", landmark: "Korok x2", type: "Transport to Friend", region: 13, level: "Surface", x: 1979, y: -3391, z: 50, details: "Starts at (1612, -3493, 62)" },</v>
      </c>
    </row>
    <row r="749" spans="1:10" x14ac:dyDescent="0.2">
      <c r="A749" s="2">
        <v>733</v>
      </c>
      <c r="B749" s="34" t="s">
        <v>3592</v>
      </c>
      <c r="C749" t="s">
        <v>2823</v>
      </c>
      <c r="D749" s="2">
        <v>13</v>
      </c>
      <c r="E749" s="2" t="s">
        <v>785</v>
      </c>
      <c r="F749" s="2">
        <v>-242</v>
      </c>
      <c r="G749" s="2">
        <v>-3919</v>
      </c>
      <c r="H749" s="2">
        <v>7</v>
      </c>
      <c r="J749" t="str">
        <f>"{ name: "&amp;CHAR(34)&amp;B749&amp;CHAR(34)&amp;", landmark: "&amp;CHAR(34)&amp;IF(LEN(C749)=LEN(SUBSTITUTE(C749,"Transport","")),"Korok x1","Korok x2")&amp;CHAR(34)&amp;", type: "&amp;CHAR(34)&amp;C749&amp;CHAR(34)&amp;", region: "&amp;D749&amp;", level: "&amp;CHAR(34)&amp;E749&amp;CHAR(34)&amp;", x: "&amp;F749&amp;", y: "&amp;G749&amp;", z: "&amp;H749&amp;", details: "&amp;CHAR(34)&amp;I749&amp;CHAR(34)&amp;" },"</f>
        <v>{ name: "Laverra Beach Korok", landmark: "Korok x1", type: "Examine Fairy Lights", region: 13, level: "Surface", x: -242, y: -3919, z: 7, details: "" },</v>
      </c>
    </row>
    <row r="750" spans="1:10" x14ac:dyDescent="0.2">
      <c r="A750" s="2">
        <v>734</v>
      </c>
      <c r="B750" s="34" t="s">
        <v>3624</v>
      </c>
      <c r="C750" t="s">
        <v>2812</v>
      </c>
      <c r="D750" s="2">
        <v>13</v>
      </c>
      <c r="E750" s="2" t="s">
        <v>785</v>
      </c>
      <c r="F750" s="2">
        <v>1096</v>
      </c>
      <c r="G750" s="2">
        <v>-3833</v>
      </c>
      <c r="H750" s="2">
        <v>3</v>
      </c>
      <c r="J750" t="str">
        <f>"{ name: "&amp;CHAR(34)&amp;B750&amp;CHAR(34)&amp;", landmark: "&amp;CHAR(34)&amp;IF(LEN(C750)=LEN(SUBSTITUTE(C750,"Transport","")),"Korok x1","Korok x2")&amp;CHAR(34)&amp;", type: "&amp;CHAR(34)&amp;C750&amp;CHAR(34)&amp;", region: "&amp;D750&amp;", level: "&amp;CHAR(34)&amp;E750&amp;CHAR(34)&amp;", x: "&amp;F750&amp;", y: "&amp;G750&amp;", z: "&amp;H750&amp;", details: "&amp;CHAR(34)&amp;I750&amp;CHAR(34)&amp;" },"</f>
        <v>{ name: "Martha's Landing Korok #01", landmark: "Korok x1", type: "Lift the Rock", region: 13, level: "Surface", x: 1096, y: -3833, z: 3, details: "" },</v>
      </c>
    </row>
    <row r="751" spans="1:10" x14ac:dyDescent="0.2">
      <c r="A751" s="2">
        <v>746</v>
      </c>
      <c r="B751" s="34" t="s">
        <v>3625</v>
      </c>
      <c r="C751" t="s">
        <v>2802</v>
      </c>
      <c r="D751" s="2">
        <v>13</v>
      </c>
      <c r="E751" s="2" t="s">
        <v>785</v>
      </c>
      <c r="F751" s="2">
        <v>995</v>
      </c>
      <c r="G751" s="2">
        <v>-3805</v>
      </c>
      <c r="H751" s="2">
        <v>2</v>
      </c>
      <c r="I751" t="s">
        <v>2713</v>
      </c>
      <c r="J751" t="str">
        <f>"{ name: "&amp;CHAR(34)&amp;B751&amp;CHAR(34)&amp;", landmark: "&amp;CHAR(34)&amp;IF(LEN(C751)=LEN(SUBSTITUTE(C751,"Transport","")),"Korok x1","Korok x2")&amp;CHAR(34)&amp;", type: "&amp;CHAR(34)&amp;C751&amp;CHAR(34)&amp;", region: "&amp;D751&amp;", level: "&amp;CHAR(34)&amp;E751&amp;CHAR(34)&amp;", x: "&amp;F751&amp;", y: "&amp;G751&amp;", z: "&amp;H751&amp;", details: "&amp;CHAR(34)&amp;I751&amp;CHAR(34)&amp;" },"</f>
        <v>{ name: "Martha's Landing Korok #02", landmark: "Korok x2", type: "Transport to Friend", region: 13, level: "Surface", x: 995, y: -3805, z: 2, details: "Starts at (1397, -3641, 2)" },</v>
      </c>
    </row>
    <row r="752" spans="1:10" x14ac:dyDescent="0.2">
      <c r="A752" s="2">
        <v>719</v>
      </c>
      <c r="B752" s="34" t="s">
        <v>3630</v>
      </c>
      <c r="C752" t="s">
        <v>2809</v>
      </c>
      <c r="D752" s="2">
        <v>13</v>
      </c>
      <c r="E752" s="2" t="s">
        <v>785</v>
      </c>
      <c r="F752" s="2">
        <v>-108</v>
      </c>
      <c r="G752" s="2">
        <v>-3436</v>
      </c>
      <c r="H752" s="2">
        <v>-3</v>
      </c>
      <c r="J752" t="str">
        <f>"{ name: "&amp;CHAR(34)&amp;B752&amp;CHAR(34)&amp;", landmark: "&amp;CHAR(34)&amp;IF(LEN(C752)=LEN(SUBSTITUTE(C752,"Transport","")),"Korok x1","Korok x2")&amp;CHAR(34)&amp;", type: "&amp;CHAR(34)&amp;C752&amp;CHAR(34)&amp;", region: "&amp;D752&amp;", level: "&amp;CHAR(34)&amp;E752&amp;CHAR(34)&amp;", x: "&amp;F752&amp;", y: "&amp;G752&amp;", z: "&amp;H752&amp;", details: "&amp;CHAR(34)&amp;I752&amp;CHAR(34)&amp;" },"</f>
        <v>{ name: "Menoat River Korok", landmark: "Korok x1", type: "Dive into the Lily Ring", region: 13, level: "Surface", x: -108, y: -3436, z: -3, details: "" },</v>
      </c>
    </row>
    <row r="753" spans="1:10" x14ac:dyDescent="0.2">
      <c r="A753" s="2">
        <v>707</v>
      </c>
      <c r="B753" s="34" t="s">
        <v>3648</v>
      </c>
      <c r="C753" t="s">
        <v>2808</v>
      </c>
      <c r="D753" s="2">
        <v>13</v>
      </c>
      <c r="E753" s="2" t="s">
        <v>785</v>
      </c>
      <c r="F753" s="2">
        <v>-1040</v>
      </c>
      <c r="G753" s="2">
        <v>-2397</v>
      </c>
      <c r="H753" s="2">
        <v>29</v>
      </c>
      <c r="J753" t="str">
        <f>"{ name: "&amp;CHAR(34)&amp;B753&amp;CHAR(34)&amp;", landmark: "&amp;CHAR(34)&amp;IF(LEN(C753)=LEN(SUBSTITUTE(C753,"Transport","")),"Korok x1","Korok x2")&amp;CHAR(34)&amp;", type: "&amp;CHAR(34)&amp;C753&amp;CHAR(34)&amp;", region: "&amp;D753&amp;", level: "&amp;CHAR(34)&amp;E753&amp;CHAR(34)&amp;", x: "&amp;F753&amp;", y: "&amp;G753&amp;", z: "&amp;H753&amp;", details: "&amp;CHAR(34)&amp;I753&amp;CHAR(34)&amp;" },"</f>
        <v>{ name: "Mount Faloraa Korok #01", landmark: "Korok x1", type: "Complete the Rock Pattern", region: 13, level: "Surface", x: -1040, y: -2397, z: 29, details: "" },</v>
      </c>
    </row>
    <row r="754" spans="1:10" x14ac:dyDescent="0.2">
      <c r="A754" s="2">
        <v>774</v>
      </c>
      <c r="B754" s="34" t="s">
        <v>3653</v>
      </c>
      <c r="C754" t="s">
        <v>2804</v>
      </c>
      <c r="D754" s="2">
        <v>13</v>
      </c>
      <c r="E754" s="2" t="s">
        <v>785</v>
      </c>
      <c r="F754" s="2">
        <v>1777</v>
      </c>
      <c r="G754" s="2">
        <v>-2991</v>
      </c>
      <c r="H754" s="2">
        <v>83</v>
      </c>
      <c r="J754" t="str">
        <f>"{ name: "&amp;CHAR(34)&amp;B754&amp;CHAR(34)&amp;", landmark: "&amp;CHAR(34)&amp;IF(LEN(C754)=LEN(SUBSTITUTE(C754,"Transport","")),"Korok x1","Korok x2")&amp;CHAR(34)&amp;", type: "&amp;CHAR(34)&amp;C754&amp;CHAR(34)&amp;", region: "&amp;D754&amp;", level: "&amp;CHAR(34)&amp;E754&amp;CHAR(34)&amp;", x: "&amp;F754&amp;", y: "&amp;G754&amp;", z: "&amp;H754&amp;", details: "&amp;CHAR(34)&amp;I754&amp;CHAR(34)&amp;" },"</f>
        <v>{ name: "Mount Floria Cave Korok", landmark: "Korok x1", type: "Burn the Leaves", region: 13, level: "Surface", x: 1777, y: -2991, z: 83, details: "" },</v>
      </c>
    </row>
    <row r="755" spans="1:10" x14ac:dyDescent="0.2">
      <c r="A755" s="2">
        <v>761</v>
      </c>
      <c r="B755" s="34" t="s">
        <v>3668</v>
      </c>
      <c r="C755" t="s">
        <v>2809</v>
      </c>
      <c r="D755" s="2">
        <v>13</v>
      </c>
      <c r="E755" s="2" t="s">
        <v>785</v>
      </c>
      <c r="F755" s="2">
        <v>1034</v>
      </c>
      <c r="G755" s="2">
        <v>-1310</v>
      </c>
      <c r="H755" s="2">
        <v>6</v>
      </c>
      <c r="J755" t="str">
        <f>"{ name: "&amp;CHAR(34)&amp;B755&amp;CHAR(34)&amp;", landmark: "&amp;CHAR(34)&amp;IF(LEN(C755)=LEN(SUBSTITUTE(C755,"Transport","")),"Korok x1","Korok x2")&amp;CHAR(34)&amp;", type: "&amp;CHAR(34)&amp;C755&amp;CHAR(34)&amp;", region: "&amp;D755&amp;", level: "&amp;CHAR(34)&amp;E755&amp;CHAR(34)&amp;", x: "&amp;F755&amp;", y: "&amp;G755&amp;", z: "&amp;H755&amp;", details: "&amp;CHAR(34)&amp;I755&amp;CHAR(34)&amp;" },"</f>
        <v>{ name: "Nabi Lake Korok #01", landmark: "Korok x1", type: "Dive into the Lily Ring", region: 13, level: "Surface", x: 1034, y: -1310, z: 6, details: "" },</v>
      </c>
    </row>
    <row r="756" spans="1:10" x14ac:dyDescent="0.2">
      <c r="A756" s="2">
        <v>762</v>
      </c>
      <c r="B756" s="34" t="s">
        <v>3669</v>
      </c>
      <c r="C756" t="s">
        <v>2817</v>
      </c>
      <c r="D756" s="2">
        <v>13</v>
      </c>
      <c r="E756" s="2" t="s">
        <v>785</v>
      </c>
      <c r="F756" s="2">
        <v>1041</v>
      </c>
      <c r="G756" s="2">
        <v>-1069</v>
      </c>
      <c r="H756" s="2">
        <v>14</v>
      </c>
      <c r="I756" t="s">
        <v>2722</v>
      </c>
      <c r="J756" t="str">
        <f>"{ name: "&amp;CHAR(34)&amp;B756&amp;CHAR(34)&amp;", landmark: "&amp;CHAR(34)&amp;IF(LEN(C756)=LEN(SUBSTITUTE(C756,"Transport","")),"Korok x1","Korok x2")&amp;CHAR(34)&amp;", type: "&amp;CHAR(34)&amp;C756&amp;CHAR(34)&amp;", region: "&amp;D756&amp;", level: "&amp;CHAR(34)&amp;E756&amp;CHAR(34)&amp;", x: "&amp;F756&amp;", y: "&amp;G756&amp;", z: "&amp;H756&amp;", details: "&amp;CHAR(34)&amp;I756&amp;CHAR(34)&amp;" },"</f>
        <v>{ name: "Nabi Lake Korok #02", landmark: "Korok x1", type: "Reach the Target Ring", region: 13, level: "Surface", x: 1041, y: -1069, z: 14, details: "Starts at (1087, -1048, 10)" },</v>
      </c>
    </row>
    <row r="757" spans="1:10" x14ac:dyDescent="0.2">
      <c r="A757" s="2">
        <v>723</v>
      </c>
      <c r="B757" s="34" t="s">
        <v>3677</v>
      </c>
      <c r="C757" t="s">
        <v>2802</v>
      </c>
      <c r="D757" s="2">
        <v>13</v>
      </c>
      <c r="E757" s="2" t="s">
        <v>785</v>
      </c>
      <c r="F757" s="2">
        <v>48</v>
      </c>
      <c r="G757" s="2">
        <v>-3393</v>
      </c>
      <c r="H757" s="2">
        <v>25</v>
      </c>
      <c r="I757" t="s">
        <v>2656</v>
      </c>
      <c r="J757" t="str">
        <f>"{ name: "&amp;CHAR(34)&amp;B757&amp;CHAR(34)&amp;", landmark: "&amp;CHAR(34)&amp;IF(LEN(C757)=LEN(SUBSTITUTE(C757,"Transport","")),"Korok x1","Korok x2")&amp;CHAR(34)&amp;", type: "&amp;CHAR(34)&amp;C757&amp;CHAR(34)&amp;", region: "&amp;D757&amp;", level: "&amp;CHAR(34)&amp;E757&amp;CHAR(34)&amp;", x: "&amp;F757&amp;", y: "&amp;G757&amp;", z: "&amp;H757&amp;", details: "&amp;CHAR(34)&amp;I757&amp;CHAR(34)&amp;" },"</f>
        <v>{ name: "Nette Plateau Korok #01", landmark: "Korok x2", type: "Transport to Friend", region: 13, level: "Surface", x: 48, y: -3393, z: 25, details: "Starts at (223, -3531, 70)" },</v>
      </c>
    </row>
    <row r="758" spans="1:10" x14ac:dyDescent="0.2">
      <c r="A758" s="2">
        <v>725</v>
      </c>
      <c r="B758" s="34" t="s">
        <v>3678</v>
      </c>
      <c r="C758" t="s">
        <v>2815</v>
      </c>
      <c r="D758" s="2">
        <v>13</v>
      </c>
      <c r="E758" s="2" t="s">
        <v>785</v>
      </c>
      <c r="F758" s="2">
        <v>390</v>
      </c>
      <c r="G758" s="2">
        <v>-3609</v>
      </c>
      <c r="H758" s="2">
        <v>80</v>
      </c>
      <c r="J758" t="str">
        <f>"{ name: "&amp;CHAR(34)&amp;B758&amp;CHAR(34)&amp;", landmark: "&amp;CHAR(34)&amp;IF(LEN(C758)=LEN(SUBSTITUTE(C758,"Transport","")),"Korok x1","Korok x2")&amp;CHAR(34)&amp;", type: "&amp;CHAR(34)&amp;C758&amp;CHAR(34)&amp;", region: "&amp;D758&amp;", level: "&amp;CHAR(34)&amp;E758&amp;CHAR(34)&amp;", x: "&amp;F758&amp;", y: "&amp;G758&amp;", z: "&amp;H758&amp;", details: "&amp;CHAR(34)&amp;I758&amp;CHAR(34)&amp;" },"</f>
        <v>{ name: "Nette Plateau Korok #02", landmark: "Korok x1", type: "Place the Boulder", region: 13, level: "Surface", x: 390, y: -3609, z: 80, details: "" },</v>
      </c>
    </row>
    <row r="759" spans="1:10" x14ac:dyDescent="0.2">
      <c r="A759" s="2">
        <v>727</v>
      </c>
      <c r="B759" s="34" t="s">
        <v>3679</v>
      </c>
      <c r="C759" t="s">
        <v>2815</v>
      </c>
      <c r="D759" s="2">
        <v>13</v>
      </c>
      <c r="E759" s="2" t="s">
        <v>785</v>
      </c>
      <c r="F759" s="2">
        <v>527</v>
      </c>
      <c r="G759" s="2">
        <v>-3666</v>
      </c>
      <c r="H759" s="2">
        <v>72</v>
      </c>
      <c r="J759" t="str">
        <f>"{ name: "&amp;CHAR(34)&amp;B759&amp;CHAR(34)&amp;", landmark: "&amp;CHAR(34)&amp;IF(LEN(C759)=LEN(SUBSTITUTE(C759,"Transport","")),"Korok x1","Korok x2")&amp;CHAR(34)&amp;", type: "&amp;CHAR(34)&amp;C759&amp;CHAR(34)&amp;", region: "&amp;D759&amp;", level: "&amp;CHAR(34)&amp;E759&amp;CHAR(34)&amp;", x: "&amp;F759&amp;", y: "&amp;G759&amp;", z: "&amp;H759&amp;", details: "&amp;CHAR(34)&amp;I759&amp;CHAR(34)&amp;" },"</f>
        <v>{ name: "Nette Plateau Korok #03", landmark: "Korok x1", type: "Place the Boulder", region: 13, level: "Surface", x: 527, y: -3666, z: 72, details: "" },</v>
      </c>
    </row>
    <row r="760" spans="1:10" x14ac:dyDescent="0.2">
      <c r="A760" s="2">
        <v>743</v>
      </c>
      <c r="B760" s="34" t="s">
        <v>3718</v>
      </c>
      <c r="C760" t="s">
        <v>2801</v>
      </c>
      <c r="D760" s="2">
        <v>13</v>
      </c>
      <c r="E760" s="2" t="s">
        <v>785</v>
      </c>
      <c r="F760" s="2">
        <v>-801</v>
      </c>
      <c r="G760" s="2">
        <v>-3258</v>
      </c>
      <c r="H760" s="2">
        <v>94</v>
      </c>
      <c r="J760" t="str">
        <f>"{ name: "&amp;CHAR(34)&amp;B760&amp;CHAR(34)&amp;", landmark: "&amp;CHAR(34)&amp;IF(LEN(C760)=LEN(SUBSTITUTE(C760,"Transport","")),"Korok x1","Korok x2")&amp;CHAR(34)&amp;", type: "&amp;CHAR(34)&amp;C760&amp;CHAR(34)&amp;", region: "&amp;D760&amp;", level: "&amp;CHAR(34)&amp;E760&amp;CHAR(34)&amp;", x: "&amp;F760&amp;", y: "&amp;G760&amp;", z: "&amp;H760&amp;", details: "&amp;CHAR(34)&amp;I760&amp;CHAR(34)&amp;" },"</f>
        <v>{ name: "Oseira Plains Korok #01", landmark: "Korok x1", type: "Break the Acorn Pot", region: 13, level: "Surface", x: -801, y: -3258, z: 94, details: "" },</v>
      </c>
    </row>
    <row r="761" spans="1:10" x14ac:dyDescent="0.2">
      <c r="A761" s="2">
        <v>715</v>
      </c>
      <c r="B761" s="34" t="s">
        <v>3736</v>
      </c>
      <c r="C761" t="s">
        <v>2824</v>
      </c>
      <c r="D761" s="2">
        <v>13</v>
      </c>
      <c r="E761" s="2" t="s">
        <v>785</v>
      </c>
      <c r="F761" s="2">
        <v>-415</v>
      </c>
      <c r="G761" s="2">
        <v>-3374</v>
      </c>
      <c r="H761" s="2">
        <v>33</v>
      </c>
      <c r="J761" t="str">
        <f>"{ name: "&amp;CHAR(34)&amp;B761&amp;CHAR(34)&amp;", landmark: "&amp;CHAR(34)&amp;IF(LEN(C761)=LEN(SUBSTITUTE(C761,"Transport","")),"Korok x1","Korok x2")&amp;CHAR(34)&amp;", type: "&amp;CHAR(34)&amp;C761&amp;CHAR(34)&amp;", region: "&amp;D761&amp;", level: "&amp;CHAR(34)&amp;E761&amp;CHAR(34)&amp;", x: "&amp;F761&amp;", y: "&amp;G761&amp;", z: "&amp;H761&amp;", details: "&amp;CHAR(34)&amp;I761&amp;CHAR(34)&amp;" },"</f>
        <v>{ name: "Parache Plains Korok #01", landmark: "Korok x1", type: "Catch the Moving Sparkle", region: 13, level: "Surface", x: -415, y: -3374, z: 33, details: "" },</v>
      </c>
    </row>
    <row r="762" spans="1:10" x14ac:dyDescent="0.2">
      <c r="A762" s="2">
        <v>716</v>
      </c>
      <c r="B762" s="34" t="s">
        <v>3737</v>
      </c>
      <c r="C762" t="s">
        <v>2802</v>
      </c>
      <c r="D762" s="2">
        <v>13</v>
      </c>
      <c r="E762" s="2" t="s">
        <v>785</v>
      </c>
      <c r="F762" s="2">
        <v>-594</v>
      </c>
      <c r="G762" s="2">
        <v>-3336</v>
      </c>
      <c r="H762" s="2">
        <v>139</v>
      </c>
      <c r="I762" t="s">
        <v>2654</v>
      </c>
      <c r="J762" t="str">
        <f>"{ name: "&amp;CHAR(34)&amp;B762&amp;CHAR(34)&amp;", landmark: "&amp;CHAR(34)&amp;IF(LEN(C762)=LEN(SUBSTITUTE(C762,"Transport","")),"Korok x1","Korok x2")&amp;CHAR(34)&amp;", type: "&amp;CHAR(34)&amp;C762&amp;CHAR(34)&amp;", region: "&amp;D762&amp;", level: "&amp;CHAR(34)&amp;E762&amp;CHAR(34)&amp;", x: "&amp;F762&amp;", y: "&amp;G762&amp;", z: "&amp;H762&amp;", details: "&amp;CHAR(34)&amp;I762&amp;CHAR(34)&amp;" },"</f>
        <v>{ name: "Parache Plains Korok #02", landmark: "Korok x2", type: "Transport to Friend", region: 13, level: "Surface", x: -594, y: -3336, z: 139, details: "Starts at (-307, -3290, 25)" },</v>
      </c>
    </row>
    <row r="763" spans="1:10" x14ac:dyDescent="0.2">
      <c r="A763" s="2">
        <v>717</v>
      </c>
      <c r="B763" s="34" t="s">
        <v>3738</v>
      </c>
      <c r="C763" t="s">
        <v>2812</v>
      </c>
      <c r="D763" s="2">
        <v>13</v>
      </c>
      <c r="E763" s="2" t="s">
        <v>785</v>
      </c>
      <c r="F763" s="2">
        <v>-225</v>
      </c>
      <c r="G763" s="2">
        <v>-3341</v>
      </c>
      <c r="H763" s="2">
        <v>72</v>
      </c>
      <c r="J763" t="str">
        <f>"{ name: "&amp;CHAR(34)&amp;B763&amp;CHAR(34)&amp;", landmark: "&amp;CHAR(34)&amp;IF(LEN(C763)=LEN(SUBSTITUTE(C763,"Transport","")),"Korok x1","Korok x2")&amp;CHAR(34)&amp;", type: "&amp;CHAR(34)&amp;C763&amp;CHAR(34)&amp;", region: "&amp;D763&amp;", level: "&amp;CHAR(34)&amp;E763&amp;CHAR(34)&amp;", x: "&amp;F763&amp;", y: "&amp;G763&amp;", z: "&amp;H763&amp;", details: "&amp;CHAR(34)&amp;I763&amp;CHAR(34)&amp;" },"</f>
        <v>{ name: "Parache Plains Korok #03", landmark: "Korok x1", type: "Lift the Rock", region: 13, level: "Surface", x: -225, y: -3341, z: 72, details: "" },</v>
      </c>
    </row>
    <row r="764" spans="1:10" x14ac:dyDescent="0.2">
      <c r="A764" s="2">
        <v>714</v>
      </c>
      <c r="B764" s="34" t="s">
        <v>3754</v>
      </c>
      <c r="C764" t="s">
        <v>2815</v>
      </c>
      <c r="D764" s="2">
        <v>13</v>
      </c>
      <c r="E764" s="2" t="s">
        <v>785</v>
      </c>
      <c r="F764" s="2">
        <v>895</v>
      </c>
      <c r="G764" s="2">
        <v>-2218</v>
      </c>
      <c r="H764" s="2">
        <v>154</v>
      </c>
      <c r="J764" t="str">
        <f>"{ name: "&amp;CHAR(34)&amp;B764&amp;CHAR(34)&amp;", landmark: "&amp;CHAR(34)&amp;IF(LEN(C764)=LEN(SUBSTITUTE(C764,"Transport","")),"Korok x1","Korok x2")&amp;CHAR(34)&amp;", type: "&amp;CHAR(34)&amp;C764&amp;CHAR(34)&amp;", region: "&amp;D764&amp;", level: "&amp;CHAR(34)&amp;E764&amp;CHAR(34)&amp;", x: "&amp;F764&amp;", y: "&amp;G764&amp;", z: "&amp;H764&amp;", details: "&amp;CHAR(34)&amp;I764&amp;CHAR(34)&amp;" },"</f>
        <v>{ name: "Popla Foothills Korok #02", landmark: "Korok x1", type: "Place the Boulder", region: 13, level: "Surface", x: 895, y: -2218, z: 154, details: "" },</v>
      </c>
    </row>
    <row r="765" spans="1:10" x14ac:dyDescent="0.2">
      <c r="A765" s="2">
        <v>772</v>
      </c>
      <c r="B765" s="34" t="s">
        <v>3755</v>
      </c>
      <c r="C765" t="s">
        <v>2814</v>
      </c>
      <c r="D765" s="2">
        <v>13</v>
      </c>
      <c r="E765" s="2" t="s">
        <v>785</v>
      </c>
      <c r="F765" s="2">
        <v>637</v>
      </c>
      <c r="G765" s="2">
        <v>-2315</v>
      </c>
      <c r="H765" s="2">
        <v>61</v>
      </c>
      <c r="J765" t="str">
        <f>"{ name: "&amp;CHAR(34)&amp;B765&amp;CHAR(34)&amp;", landmark: "&amp;CHAR(34)&amp;IF(LEN(C765)=LEN(SUBSTITUTE(C765,"Transport","")),"Korok x1","Korok x2")&amp;CHAR(34)&amp;", type: "&amp;CHAR(34)&amp;C765&amp;CHAR(34)&amp;", region: "&amp;D765&amp;", level: "&amp;CHAR(34)&amp;E765&amp;CHAR(34)&amp;", x: "&amp;F765&amp;", y: "&amp;G765&amp;", z: "&amp;H765&amp;", details: "&amp;CHAR(34)&amp;I765&amp;CHAR(34)&amp;" },"</f>
        <v>{ name: "Popla Foothills Korok #03", landmark: "Korok x1", type: "Make Offering to Statue", region: 13, level: "Surface", x: 637, y: -2315, z: 61, details: "" },</v>
      </c>
    </row>
    <row r="766" spans="1:10" x14ac:dyDescent="0.2">
      <c r="A766" s="2">
        <v>720</v>
      </c>
      <c r="B766" s="34" t="s">
        <v>3758</v>
      </c>
      <c r="C766" t="s">
        <v>2802</v>
      </c>
      <c r="D766" s="2">
        <v>13</v>
      </c>
      <c r="E766" s="2" t="s">
        <v>785</v>
      </c>
      <c r="F766" s="2">
        <v>398</v>
      </c>
      <c r="G766" s="2">
        <v>-3862</v>
      </c>
      <c r="H766" s="2">
        <v>1</v>
      </c>
      <c r="I766" t="s">
        <v>2655</v>
      </c>
      <c r="J766" t="str">
        <f>"{ name: "&amp;CHAR(34)&amp;B766&amp;CHAR(34)&amp;", landmark: "&amp;CHAR(34)&amp;IF(LEN(C766)=LEN(SUBSTITUTE(C766,"Transport","")),"Korok x1","Korok x2")&amp;CHAR(34)&amp;", type: "&amp;CHAR(34)&amp;C766&amp;CHAR(34)&amp;", region: "&amp;D766&amp;", level: "&amp;CHAR(34)&amp;E766&amp;CHAR(34)&amp;", x: "&amp;F766&amp;", y: "&amp;G766&amp;", z: "&amp;H766&amp;", details: "&amp;CHAR(34)&amp;I766&amp;CHAR(34)&amp;" },"</f>
        <v>{ name: "Puffer Beach Korok #01", landmark: "Korok x2", type: "Transport to Friend", region: 13, level: "Surface", x: 398, y: -3862, z: 1, details: "Starts at (67, -3762, 6)" },</v>
      </c>
    </row>
    <row r="767" spans="1:10" x14ac:dyDescent="0.2">
      <c r="A767" s="2">
        <v>721</v>
      </c>
      <c r="B767" s="34" t="s">
        <v>3759</v>
      </c>
      <c r="C767" t="s">
        <v>2816</v>
      </c>
      <c r="D767" s="2">
        <v>13</v>
      </c>
      <c r="E767" s="2" t="s">
        <v>785</v>
      </c>
      <c r="F767" s="2">
        <v>101</v>
      </c>
      <c r="G767" s="2">
        <v>-3842</v>
      </c>
      <c r="H767" s="2">
        <v>33</v>
      </c>
      <c r="J767" t="str">
        <f>"{ name: "&amp;CHAR(34)&amp;B767&amp;CHAR(34)&amp;", landmark: "&amp;CHAR(34)&amp;IF(LEN(C767)=LEN(SUBSTITUTE(C767,"Transport","")),"Korok x1","Korok x2")&amp;CHAR(34)&amp;", type: "&amp;CHAR(34)&amp;C767&amp;CHAR(34)&amp;", region: "&amp;D767&amp;", level: "&amp;CHAR(34)&amp;E767&amp;CHAR(34)&amp;", x: "&amp;F767&amp;", y: "&amp;G767&amp;", z: "&amp;H767&amp;", details: "&amp;CHAR(34)&amp;I767&amp;CHAR(34)&amp;" },"</f>
        <v>{ name: "Puffer Beach Korok #02", landmark: "Korok x1", type: "Pull the Plug", region: 13, level: "Surface", x: 101, y: -3842, z: 33, details: "" },</v>
      </c>
    </row>
    <row r="768" spans="1:10" x14ac:dyDescent="0.2">
      <c r="A768" s="2">
        <v>724</v>
      </c>
      <c r="B768" s="34" t="s">
        <v>3760</v>
      </c>
      <c r="C768" t="s">
        <v>2801</v>
      </c>
      <c r="D768" s="2">
        <v>13</v>
      </c>
      <c r="E768" s="2" t="s">
        <v>785</v>
      </c>
      <c r="F768" s="2">
        <v>272</v>
      </c>
      <c r="G768" s="2">
        <v>-3906</v>
      </c>
      <c r="H768" s="2">
        <v>5</v>
      </c>
      <c r="J768" t="str">
        <f>"{ name: "&amp;CHAR(34)&amp;B768&amp;CHAR(34)&amp;", landmark: "&amp;CHAR(34)&amp;IF(LEN(C768)=LEN(SUBSTITUTE(C768,"Transport","")),"Korok x1","Korok x2")&amp;CHAR(34)&amp;", type: "&amp;CHAR(34)&amp;C768&amp;CHAR(34)&amp;", region: "&amp;D768&amp;", level: "&amp;CHAR(34)&amp;E768&amp;CHAR(34)&amp;", x: "&amp;F768&amp;", y: "&amp;G768&amp;", z: "&amp;H768&amp;", details: "&amp;CHAR(34)&amp;I768&amp;CHAR(34)&amp;" },"</f>
        <v>{ name: "Puffer Beach Korok #03", landmark: "Korok x1", type: "Break the Acorn Pot", region: 13, level: "Surface", x: 272, y: -3906, z: 5, details: "" },</v>
      </c>
    </row>
    <row r="769" spans="1:10" x14ac:dyDescent="0.2">
      <c r="A769" s="2">
        <v>773</v>
      </c>
      <c r="B769" s="34" t="s">
        <v>3784</v>
      </c>
      <c r="C769" t="s">
        <v>2818</v>
      </c>
      <c r="D769" s="2">
        <v>13</v>
      </c>
      <c r="E769" s="2" t="s">
        <v>785</v>
      </c>
      <c r="F769" s="2">
        <v>1775</v>
      </c>
      <c r="G769" s="2">
        <v>-2933</v>
      </c>
      <c r="H769" s="2">
        <v>240</v>
      </c>
      <c r="J769" t="str">
        <f>"{ name: "&amp;CHAR(34)&amp;B769&amp;CHAR(34)&amp;", landmark: "&amp;CHAR(34)&amp;IF(LEN(C769)=LEN(SUBSTITUTE(C769,"Transport","")),"Korok x1","Korok x2")&amp;CHAR(34)&amp;", type: "&amp;CHAR(34)&amp;C769&amp;CHAR(34)&amp;", region: "&amp;D769&amp;", level: "&amp;CHAR(34)&amp;E769&amp;CHAR(34)&amp;", x: "&amp;F769&amp;", y: "&amp;G769&amp;", z: "&amp;H769&amp;", details: "&amp;CHAR(34)&amp;I769&amp;CHAR(34)&amp;" },"</f>
        <v>{ name: "Riola Spring Korok", landmark: "Korok x1", type: "Remove the Boulder", region: 13, level: "Surface", x: 1775, y: -2933, z: 240, details: "" },</v>
      </c>
    </row>
    <row r="770" spans="1:10" x14ac:dyDescent="0.2">
      <c r="A770" s="2">
        <v>706</v>
      </c>
      <c r="B770" s="34" t="s">
        <v>3799</v>
      </c>
      <c r="C770" t="s">
        <v>2802</v>
      </c>
      <c r="D770" s="2">
        <v>13</v>
      </c>
      <c r="E770" s="2" t="s">
        <v>785</v>
      </c>
      <c r="F770" s="2">
        <v>342</v>
      </c>
      <c r="G770" s="2">
        <v>-1662</v>
      </c>
      <c r="H770" s="2">
        <v>19</v>
      </c>
      <c r="I770" t="s">
        <v>2631</v>
      </c>
      <c r="J770" t="str">
        <f>"{ name: "&amp;CHAR(34)&amp;B770&amp;CHAR(34)&amp;", landmark: "&amp;CHAR(34)&amp;IF(LEN(C770)=LEN(SUBSTITUTE(C770,"Transport","")),"Korok x1","Korok x2")&amp;CHAR(34)&amp;", type: "&amp;CHAR(34)&amp;C770&amp;CHAR(34)&amp;", region: "&amp;D770&amp;", level: "&amp;CHAR(34)&amp;E770&amp;CHAR(34)&amp;", x: "&amp;F770&amp;", y: "&amp;G770&amp;", z: "&amp;H770&amp;", details: "&amp;CHAR(34)&amp;I770&amp;CHAR(34)&amp;" },"</f>
        <v>{ name: "Riverside Stable Korok", landmark: "Korok x2", type: "Transport to Friend", region: 13, level: "Surface", x: 342, y: -1662, z: 19, details: "Starts at (290, -1205, 28)" },</v>
      </c>
    </row>
    <row r="771" spans="1:10" x14ac:dyDescent="0.2">
      <c r="A771" s="2">
        <v>788</v>
      </c>
      <c r="B771" s="34" t="s">
        <v>3801</v>
      </c>
      <c r="C771" t="s">
        <v>2809</v>
      </c>
      <c r="D771" s="2">
        <v>13</v>
      </c>
      <c r="E771" s="2" t="s">
        <v>785</v>
      </c>
      <c r="F771" s="2">
        <v>1797</v>
      </c>
      <c r="G771" s="2">
        <v>-3178</v>
      </c>
      <c r="H771" s="2">
        <v>73</v>
      </c>
      <c r="J771" t="str">
        <f>"{ name: "&amp;CHAR(34)&amp;B771&amp;CHAR(34)&amp;", landmark: "&amp;CHAR(34)&amp;IF(LEN(C771)=LEN(SUBSTITUTE(C771,"Transport","")),"Korok x1","Korok x2")&amp;CHAR(34)&amp;", type: "&amp;CHAR(34)&amp;C771&amp;CHAR(34)&amp;", region: "&amp;D771&amp;", level: "&amp;CHAR(34)&amp;E771&amp;CHAR(34)&amp;", x: "&amp;F771&amp;", y: "&amp;G771&amp;", z: "&amp;H771&amp;", details: "&amp;CHAR(34)&amp;I771&amp;CHAR(34)&amp;" },"</f>
        <v>{ name: "Rodai Lake Korok", landmark: "Korok x1", type: "Dive into the Lily Ring", region: 13, level: "Surface", x: 1797, y: -3178, z: 73, details: "" },</v>
      </c>
    </row>
    <row r="772" spans="1:10" x14ac:dyDescent="0.2">
      <c r="A772" s="2">
        <v>775</v>
      </c>
      <c r="B772" s="34" t="s">
        <v>3831</v>
      </c>
      <c r="C772" t="s">
        <v>2822</v>
      </c>
      <c r="D772" s="2">
        <v>13</v>
      </c>
      <c r="E772" s="2" t="s">
        <v>785</v>
      </c>
      <c r="F772" s="2">
        <v>1023</v>
      </c>
      <c r="G772" s="2">
        <v>-3228</v>
      </c>
      <c r="H772" s="2">
        <v>17</v>
      </c>
      <c r="J772" t="str">
        <f>"{ name: "&amp;CHAR(34)&amp;B772&amp;CHAR(34)&amp;", landmark: "&amp;CHAR(34)&amp;IF(LEN(C772)=LEN(SUBSTITUTE(C772,"Transport","")),"Korok x1","Korok x2")&amp;CHAR(34)&amp;", type: "&amp;CHAR(34)&amp;C772&amp;CHAR(34)&amp;", region: "&amp;D772&amp;", level: "&amp;CHAR(34)&amp;E772&amp;CHAR(34)&amp;", x: "&amp;F772&amp;", y: "&amp;G772&amp;", z: "&amp;H772&amp;", details: "&amp;CHAR(34)&amp;I772&amp;CHAR(34)&amp;" },"</f>
        <v>{ name: "Sarjon Bridge Korok", landmark: "Korok x1", type: "Shoot the Hidden Balloon", region: 13, level: "Surface", x: 1023, y: -3228, z: 17, details: "" },</v>
      </c>
    </row>
    <row r="773" spans="1:10" x14ac:dyDescent="0.2">
      <c r="A773" s="2">
        <v>776</v>
      </c>
      <c r="B773" s="34" t="s">
        <v>3832</v>
      </c>
      <c r="C773" t="s">
        <v>2826</v>
      </c>
      <c r="D773" s="2">
        <v>13</v>
      </c>
      <c r="E773" s="2" t="s">
        <v>785</v>
      </c>
      <c r="F773" s="2">
        <v>1235</v>
      </c>
      <c r="G773" s="2">
        <v>-3217</v>
      </c>
      <c r="H773" s="2">
        <v>53</v>
      </c>
      <c r="J773" t="str">
        <f>"{ name: "&amp;CHAR(34)&amp;B773&amp;CHAR(34)&amp;", landmark: "&amp;CHAR(34)&amp;IF(LEN(C773)=LEN(SUBSTITUTE(C773,"Transport","")),"Korok x1","Korok x2")&amp;CHAR(34)&amp;", type: "&amp;CHAR(34)&amp;C773&amp;CHAR(34)&amp;", region: "&amp;D773&amp;", level: "&amp;CHAR(34)&amp;E773&amp;CHAR(34)&amp;", x: "&amp;F773&amp;", y: "&amp;G773&amp;", z: "&amp;H773&amp;", details: "&amp;CHAR(34)&amp;I773&amp;CHAR(34)&amp;" },"</f>
        <v>{ name: "Sarjon Woods Korok #01", landmark: "Korok x1", type: "Ascend Through the Marker", region: 13, level: "Surface", x: 1235, y: -3217, z: 53, details: "" },</v>
      </c>
    </row>
    <row r="774" spans="1:10" x14ac:dyDescent="0.2">
      <c r="A774" s="2">
        <v>777</v>
      </c>
      <c r="B774" s="34" t="s">
        <v>3833</v>
      </c>
      <c r="C774" t="s">
        <v>2595</v>
      </c>
      <c r="D774" s="2">
        <v>13</v>
      </c>
      <c r="E774" s="2" t="s">
        <v>785</v>
      </c>
      <c r="F774" s="2">
        <v>1274</v>
      </c>
      <c r="G774" s="2">
        <v>-3191</v>
      </c>
      <c r="H774" s="2">
        <v>105</v>
      </c>
      <c r="J774" t="str">
        <f>"{ name: "&amp;CHAR(34)&amp;B774&amp;CHAR(34)&amp;", landmark: "&amp;CHAR(34)&amp;IF(LEN(C774)=LEN(SUBSTITUTE(C774,"Transport","")),"Korok x1","Korok x2")&amp;CHAR(34)&amp;", type: "&amp;CHAR(34)&amp;C774&amp;CHAR(34)&amp;", region: "&amp;D774&amp;", level: "&amp;CHAR(34)&amp;E774&amp;CHAR(34)&amp;", x: "&amp;F774&amp;", y: "&amp;G774&amp;", z: "&amp;H774&amp;", details: "&amp;CHAR(34)&amp;I774&amp;CHAR(34)&amp;" },"</f>
        <v>{ name: "Sarjon Woods Korok #02", landmark: "Korok x1", type: "Attack and catch the dandelion", region: 13, level: "Surface", x: 1274, y: -3191, z: 105, details: "" },</v>
      </c>
    </row>
    <row r="775" spans="1:10" x14ac:dyDescent="0.2">
      <c r="A775" s="2">
        <v>778</v>
      </c>
      <c r="B775" s="34" t="s">
        <v>3834</v>
      </c>
      <c r="C775" t="s">
        <v>2807</v>
      </c>
      <c r="D775" s="2">
        <v>13</v>
      </c>
      <c r="E775" s="2" t="s">
        <v>785</v>
      </c>
      <c r="F775" s="2">
        <v>1328</v>
      </c>
      <c r="G775" s="2">
        <v>-3275</v>
      </c>
      <c r="H775" s="2">
        <v>94</v>
      </c>
      <c r="J775" t="str">
        <f>"{ name: "&amp;CHAR(34)&amp;B775&amp;CHAR(34)&amp;", landmark: "&amp;CHAR(34)&amp;IF(LEN(C775)=LEN(SUBSTITUTE(C775,"Transport","")),"Korok x1","Korok x2")&amp;CHAR(34)&amp;", type: "&amp;CHAR(34)&amp;C775&amp;CHAR(34)&amp;", region: "&amp;D775&amp;", level: "&amp;CHAR(34)&amp;E775&amp;CHAR(34)&amp;", x: "&amp;F775&amp;", y: "&amp;G775&amp;", z: "&amp;H775&amp;", details: "&amp;CHAR(34)&amp;I775&amp;CHAR(34)&amp;" },"</f>
        <v>{ name: "Sarjon Woods Korok #03", landmark: "Korok x1", type: "Complete the Cube Puzzle", region: 13, level: "Surface", x: 1328, y: -3275, z: 94, details: "" },</v>
      </c>
    </row>
    <row r="776" spans="1:10" x14ac:dyDescent="0.2">
      <c r="A776" s="2">
        <v>705</v>
      </c>
      <c r="B776" s="34" t="s">
        <v>3846</v>
      </c>
      <c r="C776" t="s">
        <v>2802</v>
      </c>
      <c r="D776" s="2">
        <v>13</v>
      </c>
      <c r="E776" s="2" t="s">
        <v>785</v>
      </c>
      <c r="F776" s="2">
        <v>588</v>
      </c>
      <c r="G776" s="2">
        <v>-1581</v>
      </c>
      <c r="H776" s="2">
        <v>12</v>
      </c>
      <c r="I776" t="s">
        <v>2630</v>
      </c>
      <c r="J776" t="str">
        <f>"{ name: "&amp;CHAR(34)&amp;B776&amp;CHAR(34)&amp;", landmark: "&amp;CHAR(34)&amp;IF(LEN(C776)=LEN(SUBSTITUTE(C776,"Transport","")),"Korok x1","Korok x2")&amp;CHAR(34)&amp;", type: "&amp;CHAR(34)&amp;C776&amp;CHAR(34)&amp;", region: "&amp;D776&amp;", level: "&amp;CHAR(34)&amp;E776&amp;CHAR(34)&amp;", x: "&amp;F776&amp;", y: "&amp;G776&amp;", z: "&amp;H776&amp;", details: "&amp;CHAR(34)&amp;I776&amp;CHAR(34)&amp;" },"</f>
        <v>{ name: "Scout's Hill Korok #03", landmark: "Korok x2", type: "Transport to Friend", region: 13, level: "Surface", x: 588, y: -1581, z: 12, details: "Starts at (48, -1694, 59)" },</v>
      </c>
    </row>
    <row r="777" spans="1:10" x14ac:dyDescent="0.2">
      <c r="A777" s="2">
        <v>759</v>
      </c>
      <c r="B777" s="34" t="s">
        <v>3871</v>
      </c>
      <c r="C777" t="s">
        <v>2801</v>
      </c>
      <c r="D777" s="2">
        <v>13</v>
      </c>
      <c r="E777" s="2" t="s">
        <v>785</v>
      </c>
      <c r="F777" s="2">
        <v>735</v>
      </c>
      <c r="G777" s="2">
        <v>-1504</v>
      </c>
      <c r="H777" s="2">
        <v>44</v>
      </c>
      <c r="J777" t="str">
        <f>"{ name: "&amp;CHAR(34)&amp;B777&amp;CHAR(34)&amp;", landmark: "&amp;CHAR(34)&amp;IF(LEN(C777)=LEN(SUBSTITUTE(C777,"Transport","")),"Korok x1","Korok x2")&amp;CHAR(34)&amp;", type: "&amp;CHAR(34)&amp;C777&amp;CHAR(34)&amp;", region: "&amp;D777&amp;", level: "&amp;CHAR(34)&amp;E777&amp;CHAR(34)&amp;", x: "&amp;F777&amp;", y: "&amp;G777&amp;", z: "&amp;H777&amp;", details: "&amp;CHAR(34)&amp;I777&amp;CHAR(34)&amp;" },"</f>
        <v>{ name: "South Nabi Lake Korok", landmark: "Korok x1", type: "Break the Acorn Pot", region: 13, level: "Surface", x: 735, y: -1504, z: 44, details: "" },</v>
      </c>
    </row>
    <row r="778" spans="1:10" x14ac:dyDescent="0.2">
      <c r="A778" s="2">
        <v>756</v>
      </c>
      <c r="B778" s="34" t="s">
        <v>3872</v>
      </c>
      <c r="C778" t="s">
        <v>2815</v>
      </c>
      <c r="D778" s="2">
        <v>13</v>
      </c>
      <c r="E778" s="2" t="s">
        <v>785</v>
      </c>
      <c r="F778" s="2">
        <v>609</v>
      </c>
      <c r="G778" s="2">
        <v>-1468</v>
      </c>
      <c r="H778" s="2">
        <v>55</v>
      </c>
      <c r="J778" t="str">
        <f>"{ name: "&amp;CHAR(34)&amp;B778&amp;CHAR(34)&amp;", landmark: "&amp;CHAR(34)&amp;IF(LEN(C778)=LEN(SUBSTITUTE(C778,"Transport","")),"Korok x1","Korok x2")&amp;CHAR(34)&amp;", type: "&amp;CHAR(34)&amp;C778&amp;CHAR(34)&amp;", region: "&amp;D778&amp;", level: "&amp;CHAR(34)&amp;E778&amp;CHAR(34)&amp;", x: "&amp;F778&amp;", y: "&amp;G778&amp;", z: "&amp;H778&amp;", details: "&amp;CHAR(34)&amp;I778&amp;CHAR(34)&amp;" },"</f>
        <v>{ name: "South of Baltrea Lake Korok", landmark: "Korok x1", type: "Place the Boulder", region: 13, level: "Surface", x: 609, y: -1468, z: 55, details: "" },</v>
      </c>
    </row>
    <row r="779" spans="1:10" x14ac:dyDescent="0.2">
      <c r="A779" s="2">
        <v>713</v>
      </c>
      <c r="B779" s="34" t="s">
        <v>3888</v>
      </c>
      <c r="C779" t="s">
        <v>2817</v>
      </c>
      <c r="D779" s="2">
        <v>13</v>
      </c>
      <c r="E779" s="2" t="s">
        <v>785</v>
      </c>
      <c r="F779" s="2">
        <v>889</v>
      </c>
      <c r="G779" s="2">
        <v>-2394</v>
      </c>
      <c r="H779" s="2">
        <v>79</v>
      </c>
      <c r="I779" t="s">
        <v>2653</v>
      </c>
      <c r="J779" t="str">
        <f>"{ name: "&amp;CHAR(34)&amp;B779&amp;CHAR(34)&amp;", landmark: "&amp;CHAR(34)&amp;IF(LEN(C779)=LEN(SUBSTITUTE(C779,"Transport","")),"Korok x1","Korok x2")&amp;CHAR(34)&amp;", type: "&amp;CHAR(34)&amp;C779&amp;CHAR(34)&amp;", region: "&amp;D779&amp;", level: "&amp;CHAR(34)&amp;E779&amp;CHAR(34)&amp;", x: "&amp;F779&amp;", y: "&amp;G779&amp;", z: "&amp;H779&amp;", details: "&amp;CHAR(34)&amp;I779&amp;CHAR(34)&amp;" },"</f>
        <v>{ name: "Spring of Courage Korok", landmark: "Korok x1", type: "Reach the Target Ring", region: 13, level: "Surface", x: 889, y: -2394, z: 79, details: "Starts at (885, -2425, 65)" },</v>
      </c>
    </row>
    <row r="780" spans="1:10" x14ac:dyDescent="0.2">
      <c r="A780" s="2">
        <v>55</v>
      </c>
      <c r="B780" s="34" t="s">
        <v>3947</v>
      </c>
      <c r="C780" t="s">
        <v>2812</v>
      </c>
      <c r="D780" s="2">
        <v>13</v>
      </c>
      <c r="E780" s="2" t="s">
        <v>783</v>
      </c>
      <c r="F780" s="2">
        <v>967</v>
      </c>
      <c r="G780" s="2">
        <v>-3185</v>
      </c>
      <c r="H780" s="2">
        <v>716</v>
      </c>
      <c r="J780" t="str">
        <f>"{ name: "&amp;CHAR(34)&amp;B780&amp;CHAR(34)&amp;", landmark: "&amp;CHAR(34)&amp;IF(LEN(C780)=LEN(SUBSTITUTE(C780,"Transport","")),"Korok x1","Korok x2")&amp;CHAR(34)&amp;", type: "&amp;CHAR(34)&amp;C780&amp;CHAR(34)&amp;", region: "&amp;D780&amp;", level: "&amp;CHAR(34)&amp;E780&amp;CHAR(34)&amp;", x: "&amp;F780&amp;", y: "&amp;G780&amp;", z: "&amp;H780&amp;", details: "&amp;CHAR(34)&amp;I780&amp;CHAR(34)&amp;" },"</f>
        <v>{ name: "Thunderhead Isles Korok", landmark: "Korok x1", type: "Lift the Rock", region: 13, level: "Sky", x: 967, y: -3185, z: 716, details: "" },</v>
      </c>
    </row>
    <row r="781" spans="1:10" x14ac:dyDescent="0.2">
      <c r="A781" s="2">
        <v>744</v>
      </c>
      <c r="B781" s="34" t="s">
        <v>3957</v>
      </c>
      <c r="C781" t="s">
        <v>2826</v>
      </c>
      <c r="D781" s="2">
        <v>13</v>
      </c>
      <c r="E781" s="2" t="s">
        <v>785</v>
      </c>
      <c r="F781" s="2">
        <v>1372</v>
      </c>
      <c r="G781" s="2">
        <v>-2764</v>
      </c>
      <c r="H781" s="2">
        <v>125</v>
      </c>
      <c r="J781" t="str">
        <f>"{ name: "&amp;CHAR(34)&amp;B781&amp;CHAR(34)&amp;", landmark: "&amp;CHAR(34)&amp;IF(LEN(C781)=LEN(SUBSTITUTE(C781,"Transport","")),"Korok x1","Korok x2")&amp;CHAR(34)&amp;", type: "&amp;CHAR(34)&amp;C781&amp;CHAR(34)&amp;", region: "&amp;D781&amp;", level: "&amp;CHAR(34)&amp;E781&amp;CHAR(34)&amp;", x: "&amp;F781&amp;", y: "&amp;G781&amp;", z: "&amp;H781&amp;", details: "&amp;CHAR(34)&amp;I781&amp;CHAR(34)&amp;" },"</f>
        <v>{ name: "Tobio's Hollow Korok", landmark: "Korok x1", type: "Ascend Through the Marker", region: 13, level: "Surface", x: 1372, y: -2764, z: 125, details: "" },</v>
      </c>
    </row>
    <row r="782" spans="1:10" x14ac:dyDescent="0.2">
      <c r="A782" s="2">
        <v>747</v>
      </c>
      <c r="B782" s="34" t="s">
        <v>3969</v>
      </c>
      <c r="C782" t="s">
        <v>2824</v>
      </c>
      <c r="D782" s="2">
        <v>13</v>
      </c>
      <c r="E782" s="2" t="s">
        <v>785</v>
      </c>
      <c r="F782" s="2">
        <v>1611</v>
      </c>
      <c r="G782" s="2">
        <v>-3802</v>
      </c>
      <c r="H782" s="2">
        <v>92</v>
      </c>
      <c r="J782" t="str">
        <f>"{ name: "&amp;CHAR(34)&amp;B782&amp;CHAR(34)&amp;", landmark: "&amp;CHAR(34)&amp;IF(LEN(C782)=LEN(SUBSTITUTE(C782,"Transport","")),"Korok x1","Korok x2")&amp;CHAR(34)&amp;", type: "&amp;CHAR(34)&amp;C782&amp;CHAR(34)&amp;", region: "&amp;D782&amp;", level: "&amp;CHAR(34)&amp;E782&amp;CHAR(34)&amp;", x: "&amp;F782&amp;", y: "&amp;G782&amp;", z: "&amp;H782&amp;", details: "&amp;CHAR(34)&amp;I782&amp;CHAR(34)&amp;" },"</f>
        <v>{ name: "Ubota Point Korok #01", landmark: "Korok x1", type: "Catch the Moving Sparkle", region: 13, level: "Surface", x: 1611, y: -3802, z: 92, details: "" },</v>
      </c>
    </row>
    <row r="783" spans="1:10" x14ac:dyDescent="0.2">
      <c r="A783" s="2">
        <v>779</v>
      </c>
      <c r="B783" s="34" t="s">
        <v>3970</v>
      </c>
      <c r="C783" t="s">
        <v>2595</v>
      </c>
      <c r="D783" s="2">
        <v>13</v>
      </c>
      <c r="E783" s="2" t="s">
        <v>785</v>
      </c>
      <c r="F783" s="2">
        <v>1373</v>
      </c>
      <c r="G783" s="2">
        <v>-3509</v>
      </c>
      <c r="H783" s="2">
        <v>173</v>
      </c>
      <c r="J783" t="str">
        <f>"{ name: "&amp;CHAR(34)&amp;B783&amp;CHAR(34)&amp;", landmark: "&amp;CHAR(34)&amp;IF(LEN(C783)=LEN(SUBSTITUTE(C783,"Transport","")),"Korok x1","Korok x2")&amp;CHAR(34)&amp;", type: "&amp;CHAR(34)&amp;C783&amp;CHAR(34)&amp;", region: "&amp;D783&amp;", level: "&amp;CHAR(34)&amp;E783&amp;CHAR(34)&amp;", x: "&amp;F783&amp;", y: "&amp;G783&amp;", z: "&amp;H783&amp;", details: "&amp;CHAR(34)&amp;I783&amp;CHAR(34)&amp;" },"</f>
        <v>{ name: "Ubota Point Korok #02", landmark: "Korok x1", type: "Attack and catch the dandelion", region: 13, level: "Surface", x: 1373, y: -3509, z: 173, details: "" },</v>
      </c>
    </row>
    <row r="784" spans="1:10" x14ac:dyDescent="0.2">
      <c r="A784" s="2">
        <v>780</v>
      </c>
      <c r="B784" s="34" t="s">
        <v>3971</v>
      </c>
      <c r="C784" t="s">
        <v>2824</v>
      </c>
      <c r="D784" s="2">
        <v>13</v>
      </c>
      <c r="E784" s="2" t="s">
        <v>785</v>
      </c>
      <c r="F784" s="2">
        <v>1449</v>
      </c>
      <c r="G784" s="2">
        <v>-3532</v>
      </c>
      <c r="H784" s="2">
        <v>118</v>
      </c>
      <c r="J784" t="str">
        <f>"{ name: "&amp;CHAR(34)&amp;B784&amp;CHAR(34)&amp;", landmark: "&amp;CHAR(34)&amp;IF(LEN(C784)=LEN(SUBSTITUTE(C784,"Transport","")),"Korok x1","Korok x2")&amp;CHAR(34)&amp;", type: "&amp;CHAR(34)&amp;C784&amp;CHAR(34)&amp;", region: "&amp;D784&amp;", level: "&amp;CHAR(34)&amp;E784&amp;CHAR(34)&amp;", x: "&amp;F784&amp;", y: "&amp;G784&amp;", z: "&amp;H784&amp;", details: "&amp;CHAR(34)&amp;I784&amp;CHAR(34)&amp;" },"</f>
        <v>{ name: "Ubota Point Korok #03", landmark: "Korok x1", type: "Catch the Moving Sparkle", region: 13, level: "Surface", x: 1449, y: -3532, z: 118, details: "" },</v>
      </c>
    </row>
    <row r="785" spans="1:10" x14ac:dyDescent="0.2">
      <c r="A785" s="2">
        <v>785</v>
      </c>
      <c r="B785" s="34" t="s">
        <v>3972</v>
      </c>
      <c r="C785" t="s">
        <v>2809</v>
      </c>
      <c r="D785" s="2">
        <v>13</v>
      </c>
      <c r="E785" s="2" t="s">
        <v>785</v>
      </c>
      <c r="F785" s="2">
        <v>1641</v>
      </c>
      <c r="G785" s="2">
        <v>-3675</v>
      </c>
      <c r="H785" s="2">
        <v>172</v>
      </c>
      <c r="J785" t="str">
        <f>"{ name: "&amp;CHAR(34)&amp;B785&amp;CHAR(34)&amp;", landmark: "&amp;CHAR(34)&amp;IF(LEN(C785)=LEN(SUBSTITUTE(C785,"Transport","")),"Korok x1","Korok x2")&amp;CHAR(34)&amp;", type: "&amp;CHAR(34)&amp;C785&amp;CHAR(34)&amp;", region: "&amp;D785&amp;", level: "&amp;CHAR(34)&amp;E785&amp;CHAR(34)&amp;", x: "&amp;F785&amp;", y: "&amp;G785&amp;", z: "&amp;H785&amp;", details: "&amp;CHAR(34)&amp;I785&amp;CHAR(34)&amp;" },"</f>
        <v>{ name: "Ubota Point Korok #04", landmark: "Korok x1", type: "Dive into the Lily Ring", region: 13, level: "Surface", x: 1641, y: -3675, z: 172, details: "" },</v>
      </c>
    </row>
    <row r="786" spans="1:10" x14ac:dyDescent="0.2">
      <c r="A786" s="2">
        <v>708</v>
      </c>
      <c r="B786" s="34" t="s">
        <v>4019</v>
      </c>
      <c r="C786" t="s">
        <v>2812</v>
      </c>
      <c r="D786" s="2">
        <v>13</v>
      </c>
      <c r="E786" s="2" t="s">
        <v>785</v>
      </c>
      <c r="F786" s="2">
        <v>-712</v>
      </c>
      <c r="G786" s="2">
        <v>-2625</v>
      </c>
      <c r="H786" s="2">
        <v>100</v>
      </c>
      <c r="J786" t="str">
        <f>"{ name: "&amp;CHAR(34)&amp;B786&amp;CHAR(34)&amp;", landmark: "&amp;CHAR(34)&amp;IF(LEN(C786)=LEN(SUBSTITUTE(C786,"Transport","")),"Korok x1","Korok x2")&amp;CHAR(34)&amp;", type: "&amp;CHAR(34)&amp;C786&amp;CHAR(34)&amp;", region: "&amp;D786&amp;", level: "&amp;CHAR(34)&amp;E786&amp;CHAR(34)&amp;", x: "&amp;F786&amp;", y: "&amp;G786&amp;", z: "&amp;H786&amp;", details: "&amp;CHAR(34)&amp;I786&amp;CHAR(34)&amp;" },"</f>
        <v>{ name: "West of Lake Hylia Korok", landmark: "Korok x1", type: "Lift the Rock", region: 13, level: "Surface", x: -712, y: -2625, z: 100, details: "" },</v>
      </c>
    </row>
    <row r="787" spans="1:10" x14ac:dyDescent="0.2">
      <c r="A787" s="2">
        <v>760</v>
      </c>
      <c r="B787" s="34" t="s">
        <v>4021</v>
      </c>
      <c r="C787" t="s">
        <v>2812</v>
      </c>
      <c r="D787" s="2">
        <v>13</v>
      </c>
      <c r="E787" s="2" t="s">
        <v>785</v>
      </c>
      <c r="F787" s="2">
        <v>843</v>
      </c>
      <c r="G787" s="2">
        <v>-1291</v>
      </c>
      <c r="H787" s="2">
        <v>27</v>
      </c>
      <c r="J787" t="str">
        <f>"{ name: "&amp;CHAR(34)&amp;B787&amp;CHAR(34)&amp;", landmark: "&amp;CHAR(34)&amp;IF(LEN(C787)=LEN(SUBSTITUTE(C787,"Transport","")),"Korok x1","Korok x2")&amp;CHAR(34)&amp;", type: "&amp;CHAR(34)&amp;C787&amp;CHAR(34)&amp;", region: "&amp;D787&amp;", level: "&amp;CHAR(34)&amp;E787&amp;CHAR(34)&amp;", x: "&amp;F787&amp;", y: "&amp;G787&amp;", z: "&amp;H787&amp;", details: "&amp;CHAR(34)&amp;I787&amp;CHAR(34)&amp;" },"</f>
        <v>{ name: "West of Nabi Lake Korok", landmark: "Korok x1", type: "Lift the Rock", region: 13, level: "Surface", x: 843, y: -1291, z: 27, details: "" },</v>
      </c>
    </row>
    <row r="788" spans="1:10" x14ac:dyDescent="0.2">
      <c r="A788" s="2">
        <v>832</v>
      </c>
      <c r="B788" s="34" t="s">
        <v>3233</v>
      </c>
      <c r="C788" t="s">
        <v>2812</v>
      </c>
      <c r="D788" s="2">
        <v>14</v>
      </c>
      <c r="E788" s="2" t="s">
        <v>785</v>
      </c>
      <c r="F788" s="2">
        <v>-1945</v>
      </c>
      <c r="G788" s="2">
        <v>-3185</v>
      </c>
      <c r="H788" s="2">
        <v>128</v>
      </c>
      <c r="J788" t="str">
        <f>"{ name: "&amp;CHAR(34)&amp;B788&amp;CHAR(34)&amp;", landmark: "&amp;CHAR(34)&amp;IF(LEN(C788)=LEN(SUBSTITUTE(C788,"Transport","")),"Korok x1","Korok x2")&amp;CHAR(34)&amp;", type: "&amp;CHAR(34)&amp;C788&amp;CHAR(34)&amp;", region: "&amp;D788&amp;", level: "&amp;CHAR(34)&amp;E788&amp;CHAR(34)&amp;", x: "&amp;F788&amp;", y: "&amp;G788&amp;", z: "&amp;H788&amp;", details: "&amp;CHAR(34)&amp;I788&amp;CHAR(34)&amp;" },"</f>
        <v>{ name: "Champion's Gate Korok", landmark: "Korok x1", type: "Lift the Rock", region: 14, level: "Surface", x: -1945, y: -3185, z: 128, details: "" },</v>
      </c>
    </row>
    <row r="789" spans="1:10" x14ac:dyDescent="0.2">
      <c r="A789" s="2">
        <v>835</v>
      </c>
      <c r="B789" s="34" t="s">
        <v>3259</v>
      </c>
      <c r="C789" t="s">
        <v>2807</v>
      </c>
      <c r="D789" s="2">
        <v>14</v>
      </c>
      <c r="E789" s="2" t="s">
        <v>785</v>
      </c>
      <c r="F789" s="2">
        <v>-1452</v>
      </c>
      <c r="G789" s="2">
        <v>-3638</v>
      </c>
      <c r="H789" s="2">
        <v>437</v>
      </c>
      <c r="J789" t="str">
        <f>"{ name: "&amp;CHAR(34)&amp;B789&amp;CHAR(34)&amp;", landmark: "&amp;CHAR(34)&amp;IF(LEN(C789)=LEN(SUBSTITUTE(C789,"Transport","")),"Korok x1","Korok x2")&amp;CHAR(34)&amp;", type: "&amp;CHAR(34)&amp;C789&amp;CHAR(34)&amp;", region: "&amp;D789&amp;", level: "&amp;CHAR(34)&amp;E789&amp;CHAR(34)&amp;", x: "&amp;F789&amp;", y: "&amp;G789&amp;", z: "&amp;H789&amp;", details: "&amp;CHAR(34)&amp;I789&amp;CHAR(34)&amp;" },"</f>
        <v>{ name: "Daval Peak Korok #01", landmark: "Korok x1", type: "Complete the Cube Puzzle", region: 14, level: "Surface", x: -1452, y: -3638, z: 437, details: "" },</v>
      </c>
    </row>
    <row r="790" spans="1:10" x14ac:dyDescent="0.2">
      <c r="A790" s="2">
        <v>838</v>
      </c>
      <c r="B790" s="34" t="s">
        <v>3260</v>
      </c>
      <c r="C790" t="s">
        <v>2808</v>
      </c>
      <c r="D790" s="2">
        <v>14</v>
      </c>
      <c r="E790" s="2" t="s">
        <v>785</v>
      </c>
      <c r="F790" s="2">
        <v>-1370</v>
      </c>
      <c r="G790" s="2">
        <v>-3724</v>
      </c>
      <c r="H790" s="2">
        <v>396</v>
      </c>
      <c r="J790" t="str">
        <f>"{ name: "&amp;CHAR(34)&amp;B790&amp;CHAR(34)&amp;", landmark: "&amp;CHAR(34)&amp;IF(LEN(C790)=LEN(SUBSTITUTE(C790,"Transport","")),"Korok x1","Korok x2")&amp;CHAR(34)&amp;", type: "&amp;CHAR(34)&amp;C790&amp;CHAR(34)&amp;", region: "&amp;D790&amp;", level: "&amp;CHAR(34)&amp;E790&amp;CHAR(34)&amp;", x: "&amp;F790&amp;", y: "&amp;G790&amp;", z: "&amp;H790&amp;", details: "&amp;CHAR(34)&amp;I790&amp;CHAR(34)&amp;" },"</f>
        <v>{ name: "Daval Peak Korok #02", landmark: "Korok x1", type: "Complete the Rock Pattern", region: 14, level: "Surface", x: -1370, y: -3724, z: 396, details: "" },</v>
      </c>
    </row>
    <row r="791" spans="1:10" x14ac:dyDescent="0.2">
      <c r="A791" s="2">
        <v>808</v>
      </c>
      <c r="B791" s="34" t="s">
        <v>3275</v>
      </c>
      <c r="C791" t="s">
        <v>2802</v>
      </c>
      <c r="D791" s="2">
        <v>14</v>
      </c>
      <c r="E791" s="2" t="s">
        <v>785</v>
      </c>
      <c r="F791" s="2">
        <v>-4877</v>
      </c>
      <c r="G791" s="2">
        <v>-3565</v>
      </c>
      <c r="H791" s="2">
        <v>40</v>
      </c>
      <c r="I791" t="s">
        <v>2661</v>
      </c>
      <c r="J791" t="str">
        <f>"{ name: "&amp;CHAR(34)&amp;B791&amp;CHAR(34)&amp;", landmark: "&amp;CHAR(34)&amp;IF(LEN(C791)=LEN(SUBSTITUTE(C791,"Transport","")),"Korok x1","Korok x2")&amp;CHAR(34)&amp;", type: "&amp;CHAR(34)&amp;C791&amp;CHAR(34)&amp;", region: "&amp;D791&amp;", level: "&amp;CHAR(34)&amp;E791&amp;CHAR(34)&amp;", x: "&amp;F791&amp;", y: "&amp;G791&amp;", z: "&amp;H791&amp;", details: "&amp;CHAR(34)&amp;I791&amp;CHAR(34)&amp;" },"</f>
        <v>{ name: "Dragon's Exile Korok", landmark: "Korok x2", type: "Transport to Friend", region: 14, level: "Surface", x: -4877, y: -3565, z: 40, details: "Starts at (-4614, -3197, 39)" },</v>
      </c>
    </row>
    <row r="792" spans="1:10" x14ac:dyDescent="0.2">
      <c r="A792" s="2">
        <v>812</v>
      </c>
      <c r="B792" s="34" t="s">
        <v>3295</v>
      </c>
      <c r="C792" t="s">
        <v>2595</v>
      </c>
      <c r="D792" s="2">
        <v>14</v>
      </c>
      <c r="E792" s="2" t="s">
        <v>785</v>
      </c>
      <c r="F792" s="2">
        <v>-2547</v>
      </c>
      <c r="G792" s="2">
        <v>-3953</v>
      </c>
      <c r="H792" s="2">
        <v>39</v>
      </c>
      <c r="J792" t="str">
        <f>"{ name: "&amp;CHAR(34)&amp;B792&amp;CHAR(34)&amp;", landmark: "&amp;CHAR(34)&amp;IF(LEN(C792)=LEN(SUBSTITUTE(C792,"Transport","")),"Korok x1","Korok x2")&amp;CHAR(34)&amp;", type: "&amp;CHAR(34)&amp;C792&amp;CHAR(34)&amp;", region: "&amp;D792&amp;", level: "&amp;CHAR(34)&amp;E792&amp;CHAR(34)&amp;", x: "&amp;F792&amp;", y: "&amp;G792&amp;", z: "&amp;H792&amp;", details: "&amp;CHAR(34)&amp;I792&amp;CHAR(34)&amp;" },"</f>
        <v>{ name: "East Barrens Korok #01", landmark: "Korok x1", type: "Attack and catch the dandelion", region: 14, level: "Surface", x: -2547, y: -3953, z: 39, details: "" },</v>
      </c>
    </row>
    <row r="793" spans="1:10" x14ac:dyDescent="0.2">
      <c r="A793" s="2">
        <v>813</v>
      </c>
      <c r="B793" s="34" t="s">
        <v>3296</v>
      </c>
      <c r="C793" t="s">
        <v>2802</v>
      </c>
      <c r="D793" s="2">
        <v>14</v>
      </c>
      <c r="E793" s="2" t="s">
        <v>785</v>
      </c>
      <c r="F793" s="2">
        <v>-2546</v>
      </c>
      <c r="G793" s="2">
        <v>-3931</v>
      </c>
      <c r="H793" s="2">
        <v>15</v>
      </c>
      <c r="I793" t="s">
        <v>2663</v>
      </c>
      <c r="J793" t="str">
        <f>"{ name: "&amp;CHAR(34)&amp;B793&amp;CHAR(34)&amp;", landmark: "&amp;CHAR(34)&amp;IF(LEN(C793)=LEN(SUBSTITUTE(C793,"Transport","")),"Korok x1","Korok x2")&amp;CHAR(34)&amp;", type: "&amp;CHAR(34)&amp;C793&amp;CHAR(34)&amp;", region: "&amp;D793&amp;", level: "&amp;CHAR(34)&amp;E793&amp;CHAR(34)&amp;", x: "&amp;F793&amp;", y: "&amp;G793&amp;", z: "&amp;H793&amp;", details: "&amp;CHAR(34)&amp;I793&amp;CHAR(34)&amp;" },"</f>
        <v>{ name: "East Barrens Korok #02", landmark: "Korok x2", type: "Transport to Friend", region: 14, level: "Surface", x: -2546, y: -3931, z: 15, details: "Starts at (-2494, -3348, 27)" },</v>
      </c>
    </row>
    <row r="794" spans="1:10" x14ac:dyDescent="0.2">
      <c r="A794" s="2">
        <v>814</v>
      </c>
      <c r="B794" s="34" t="s">
        <v>3297</v>
      </c>
      <c r="C794" t="s">
        <v>2824</v>
      </c>
      <c r="D794" s="2">
        <v>14</v>
      </c>
      <c r="E794" s="2" t="s">
        <v>785</v>
      </c>
      <c r="F794" s="2">
        <v>-2428</v>
      </c>
      <c r="G794" s="2">
        <v>-3264</v>
      </c>
      <c r="H794" s="2">
        <v>45</v>
      </c>
      <c r="J794" t="str">
        <f>"{ name: "&amp;CHAR(34)&amp;B794&amp;CHAR(34)&amp;", landmark: "&amp;CHAR(34)&amp;IF(LEN(C794)=LEN(SUBSTITUTE(C794,"Transport","")),"Korok x1","Korok x2")&amp;CHAR(34)&amp;", type: "&amp;CHAR(34)&amp;C794&amp;CHAR(34)&amp;", region: "&amp;D794&amp;", level: "&amp;CHAR(34)&amp;E794&amp;CHAR(34)&amp;", x: "&amp;F794&amp;", y: "&amp;G794&amp;", z: "&amp;H794&amp;", details: "&amp;CHAR(34)&amp;I794&amp;CHAR(34)&amp;" },"</f>
        <v>{ name: "East Barrens Korok #03", landmark: "Korok x1", type: "Catch the Moving Sparkle", region: 14, level: "Surface", x: -2428, y: -3264, z: 45, details: "" },</v>
      </c>
    </row>
    <row r="795" spans="1:10" x14ac:dyDescent="0.2">
      <c r="A795" s="2">
        <v>834</v>
      </c>
      <c r="B795" s="34" t="s">
        <v>3300</v>
      </c>
      <c r="C795" t="s">
        <v>2816</v>
      </c>
      <c r="D795" s="2">
        <v>14</v>
      </c>
      <c r="E795" s="2" t="s">
        <v>785</v>
      </c>
      <c r="F795" s="2">
        <v>-1610</v>
      </c>
      <c r="G795" s="2">
        <v>-3084</v>
      </c>
      <c r="H795" s="2">
        <v>204</v>
      </c>
      <c r="J795" t="str">
        <f>"{ name: "&amp;CHAR(34)&amp;B795&amp;CHAR(34)&amp;", landmark: "&amp;CHAR(34)&amp;IF(LEN(C795)=LEN(SUBSTITUTE(C795,"Transport","")),"Korok x1","Korok x2")&amp;CHAR(34)&amp;", type: "&amp;CHAR(34)&amp;C795&amp;CHAR(34)&amp;", region: "&amp;D795&amp;", level: "&amp;CHAR(34)&amp;E795&amp;CHAR(34)&amp;", x: "&amp;F795&amp;", y: "&amp;G795&amp;", z: "&amp;H795&amp;", details: "&amp;CHAR(34)&amp;I795&amp;CHAR(34)&amp;" },"</f>
        <v>{ name: "East Gerudo Mesa Korok #01", landmark: "Korok x1", type: "Pull the Plug", region: 14, level: "Surface", x: -1610, y: -3084, z: 204, details: "" },</v>
      </c>
    </row>
    <row r="796" spans="1:10" x14ac:dyDescent="0.2">
      <c r="A796" s="2">
        <v>836</v>
      </c>
      <c r="B796" s="34" t="s">
        <v>3301</v>
      </c>
      <c r="C796" t="s">
        <v>2826</v>
      </c>
      <c r="D796" s="2">
        <v>14</v>
      </c>
      <c r="E796" s="2" t="s">
        <v>785</v>
      </c>
      <c r="F796" s="2">
        <v>-1428</v>
      </c>
      <c r="G796" s="2">
        <v>-2976</v>
      </c>
      <c r="H796" s="2">
        <v>312</v>
      </c>
      <c r="J796" t="str">
        <f>"{ name: "&amp;CHAR(34)&amp;B796&amp;CHAR(34)&amp;", landmark: "&amp;CHAR(34)&amp;IF(LEN(C796)=LEN(SUBSTITUTE(C796,"Transport","")),"Korok x1","Korok x2")&amp;CHAR(34)&amp;", type: "&amp;CHAR(34)&amp;C796&amp;CHAR(34)&amp;", region: "&amp;D796&amp;", level: "&amp;CHAR(34)&amp;E796&amp;CHAR(34)&amp;", x: "&amp;F796&amp;", y: "&amp;G796&amp;", z: "&amp;H796&amp;", details: "&amp;CHAR(34)&amp;I796&amp;CHAR(34)&amp;" },"</f>
        <v>{ name: "East Gerudo Mesa Korok #02", landmark: "Korok x1", type: "Ascend Through the Marker", region: 14, level: "Surface", x: -1428, y: -2976, z: 312, details: "" },</v>
      </c>
    </row>
    <row r="797" spans="1:10" x14ac:dyDescent="0.2">
      <c r="A797" s="2">
        <v>806</v>
      </c>
      <c r="B797" s="34" t="s">
        <v>3302</v>
      </c>
      <c r="C797" t="s">
        <v>2817</v>
      </c>
      <c r="D797" s="2">
        <v>14</v>
      </c>
      <c r="E797" s="2" t="s">
        <v>785</v>
      </c>
      <c r="F797" s="2">
        <v>-2821</v>
      </c>
      <c r="G797" s="2">
        <v>-2832</v>
      </c>
      <c r="H797" s="2">
        <v>69</v>
      </c>
      <c r="I797" t="s">
        <v>2660</v>
      </c>
      <c r="J797" t="str">
        <f>"{ name: "&amp;CHAR(34)&amp;B797&amp;CHAR(34)&amp;", landmark: "&amp;CHAR(34)&amp;IF(LEN(C797)=LEN(SUBSTITUTE(C797,"Transport","")),"Korok x1","Korok x2")&amp;CHAR(34)&amp;", type: "&amp;CHAR(34)&amp;C797&amp;CHAR(34)&amp;", region: "&amp;D797&amp;", level: "&amp;CHAR(34)&amp;E797&amp;CHAR(34)&amp;", x: "&amp;F797&amp;", y: "&amp;G797&amp;", z: "&amp;H797&amp;", details: "&amp;CHAR(34)&amp;I797&amp;CHAR(34)&amp;" },"</f>
        <v>{ name: "East Gerudo Ruins Korok", landmark: "Korok x1", type: "Reach the Target Ring", region: 14, level: "Surface", x: -2821, y: -2832, z: 69, details: "Starts at (-2732, -2820, 36)" },</v>
      </c>
    </row>
    <row r="798" spans="1:10" x14ac:dyDescent="0.2">
      <c r="A798" s="2">
        <v>57</v>
      </c>
      <c r="B798" s="34" t="s">
        <v>3303</v>
      </c>
      <c r="C798" t="s">
        <v>2827</v>
      </c>
      <c r="D798" s="2">
        <v>14</v>
      </c>
      <c r="E798" s="2" t="s">
        <v>783</v>
      </c>
      <c r="F798" s="2">
        <v>-1929</v>
      </c>
      <c r="G798" s="2">
        <v>-1824</v>
      </c>
      <c r="H798" s="2">
        <v>1151</v>
      </c>
      <c r="I798" t="s">
        <v>2732</v>
      </c>
      <c r="J798" t="str">
        <f>"{ name: "&amp;CHAR(34)&amp;B798&amp;CHAR(34)&amp;", landmark: "&amp;CHAR(34)&amp;IF(LEN(C798)=LEN(SUBSTITUTE(C798,"Transport","")),"Korok x1","Korok x2")&amp;CHAR(34)&amp;", type: "&amp;CHAR(34)&amp;C798&amp;CHAR(34)&amp;", region: "&amp;D798&amp;", level: "&amp;CHAR(34)&amp;E798&amp;CHAR(34)&amp;", x: "&amp;F798&amp;", y: "&amp;G798&amp;", z: "&amp;H798&amp;", details: "&amp;CHAR(34)&amp;I798&amp;CHAR(34)&amp;" },"</f>
        <v>{ name: "East Gerudo Sky Archipelago Korok", landmark: "Korok x1", type: "Paraglide to the Goal", region: 14, level: "Sky", x: -1929, y: -1824, z: 1151, details: "Starts at (-1830, -1918, 1200)" },</v>
      </c>
    </row>
    <row r="799" spans="1:10" x14ac:dyDescent="0.2">
      <c r="A799" s="2">
        <v>803</v>
      </c>
      <c r="B799" s="34" t="s">
        <v>3308</v>
      </c>
      <c r="C799" t="s">
        <v>2595</v>
      </c>
      <c r="D799" s="2">
        <v>14</v>
      </c>
      <c r="E799" s="2" t="s">
        <v>785</v>
      </c>
      <c r="F799" s="2">
        <v>-3611</v>
      </c>
      <c r="G799" s="2">
        <v>-2844</v>
      </c>
      <c r="H799" s="2">
        <v>74</v>
      </c>
      <c r="J799" t="str">
        <f>"{ name: "&amp;CHAR(34)&amp;B799&amp;CHAR(34)&amp;", landmark: "&amp;CHAR(34)&amp;IF(LEN(C799)=LEN(SUBSTITUTE(C799,"Transport","")),"Korok x1","Korok x2")&amp;CHAR(34)&amp;", type: "&amp;CHAR(34)&amp;C799&amp;CHAR(34)&amp;", region: "&amp;D799&amp;", level: "&amp;CHAR(34)&amp;E799&amp;CHAR(34)&amp;", x: "&amp;F799&amp;", y: "&amp;G799&amp;", z: "&amp;H799&amp;", details: "&amp;CHAR(34)&amp;I799&amp;CHAR(34)&amp;" },"</f>
        <v>{ name: "East of Gerudo Town Korok #01", landmark: "Korok x1", type: "Attack and catch the dandelion", region: 14, level: "Surface", x: -3611, y: -2844, z: 74, details: "" },</v>
      </c>
    </row>
    <row r="800" spans="1:10" x14ac:dyDescent="0.2">
      <c r="A800" s="2">
        <v>809</v>
      </c>
      <c r="B800" s="34" t="s">
        <v>3309</v>
      </c>
      <c r="C800" t="s">
        <v>2811</v>
      </c>
      <c r="D800" s="2">
        <v>14</v>
      </c>
      <c r="E800" s="2" t="s">
        <v>785</v>
      </c>
      <c r="F800" s="2">
        <v>-3589</v>
      </c>
      <c r="G800" s="2">
        <v>-3030</v>
      </c>
      <c r="H800" s="2">
        <v>53</v>
      </c>
      <c r="I800" t="s">
        <v>2770</v>
      </c>
      <c r="J800" t="str">
        <f>"{ name: "&amp;CHAR(34)&amp;B800&amp;CHAR(34)&amp;", landmark: "&amp;CHAR(34)&amp;IF(LEN(C800)=LEN(SUBSTITUTE(C800,"Transport","")),"Korok x1","Korok x2")&amp;CHAR(34)&amp;", type: "&amp;CHAR(34)&amp;C800&amp;CHAR(34)&amp;", region: "&amp;D800&amp;", level: "&amp;CHAR(34)&amp;E800&amp;CHAR(34)&amp;", x: "&amp;F800&amp;", y: "&amp;G800&amp;", z: "&amp;H800&amp;", details: "&amp;CHAR(34)&amp;I800&amp;CHAR(34)&amp;" },"</f>
        <v>{ name: "East of Gerudo Town Korok #02", landmark: "Korok x1", type: "Follow the Yellow Flowers", region: 14, level: "Surface", x: -3589, y: -3030, z: 53, details: "Starts at (-3592, -3006, 36)" },</v>
      </c>
    </row>
    <row r="801" spans="1:10" x14ac:dyDescent="0.2">
      <c r="A801" s="2">
        <v>815</v>
      </c>
      <c r="B801" s="34" t="s">
        <v>3353</v>
      </c>
      <c r="C801" t="s">
        <v>2801</v>
      </c>
      <c r="D801" s="2">
        <v>14</v>
      </c>
      <c r="E801" s="2" t="s">
        <v>785</v>
      </c>
      <c r="F801" s="2">
        <v>-2329</v>
      </c>
      <c r="G801" s="2">
        <v>-1825</v>
      </c>
      <c r="H801" s="2">
        <v>140</v>
      </c>
      <c r="J801" t="str">
        <f>"{ name: "&amp;CHAR(34)&amp;B801&amp;CHAR(34)&amp;", landmark: "&amp;CHAR(34)&amp;IF(LEN(C801)=LEN(SUBSTITUTE(C801,"Transport","")),"Korok x1","Korok x2")&amp;CHAR(34)&amp;", type: "&amp;CHAR(34)&amp;C801&amp;CHAR(34)&amp;", region: "&amp;D801&amp;", level: "&amp;CHAR(34)&amp;E801&amp;CHAR(34)&amp;", x: "&amp;F801&amp;", y: "&amp;G801&amp;", z: "&amp;H801&amp;", details: "&amp;CHAR(34)&amp;I801&amp;CHAR(34)&amp;" },"</f>
        <v>{ name: "Gerudo Canyon Korok #01", landmark: "Korok x1", type: "Break the Acorn Pot", region: 14, level: "Surface", x: -2329, y: -1825, z: 140, details: "" },</v>
      </c>
    </row>
    <row r="802" spans="1:10" x14ac:dyDescent="0.2">
      <c r="A802" s="2">
        <v>816</v>
      </c>
      <c r="B802" s="34" t="s">
        <v>3354</v>
      </c>
      <c r="C802" t="s">
        <v>2812</v>
      </c>
      <c r="D802" s="2">
        <v>14</v>
      </c>
      <c r="E802" s="2" t="s">
        <v>785</v>
      </c>
      <c r="F802" s="2">
        <v>-2244</v>
      </c>
      <c r="G802" s="2">
        <v>-1740</v>
      </c>
      <c r="H802" s="2">
        <v>106</v>
      </c>
      <c r="J802" t="str">
        <f>"{ name: "&amp;CHAR(34)&amp;B802&amp;CHAR(34)&amp;", landmark: "&amp;CHAR(34)&amp;IF(LEN(C802)=LEN(SUBSTITUTE(C802,"Transport","")),"Korok x1","Korok x2")&amp;CHAR(34)&amp;", type: "&amp;CHAR(34)&amp;C802&amp;CHAR(34)&amp;", region: "&amp;D802&amp;", level: "&amp;CHAR(34)&amp;E802&amp;CHAR(34)&amp;", x: "&amp;F802&amp;", y: "&amp;G802&amp;", z: "&amp;H802&amp;", details: "&amp;CHAR(34)&amp;I802&amp;CHAR(34)&amp;" },"</f>
        <v>{ name: "Gerudo Canyon Korok #02", landmark: "Korok x1", type: "Lift the Rock", region: 14, level: "Surface", x: -2244, y: -1740, z: 106, details: "" },</v>
      </c>
    </row>
    <row r="803" spans="1:10" x14ac:dyDescent="0.2">
      <c r="A803" s="2">
        <v>817</v>
      </c>
      <c r="B803" s="34" t="s">
        <v>3355</v>
      </c>
      <c r="C803" t="s">
        <v>2812</v>
      </c>
      <c r="D803" s="2">
        <v>14</v>
      </c>
      <c r="E803" s="2" t="s">
        <v>785</v>
      </c>
      <c r="F803" s="2">
        <v>-2198</v>
      </c>
      <c r="G803" s="2">
        <v>-1680</v>
      </c>
      <c r="H803" s="2">
        <v>62</v>
      </c>
      <c r="J803" t="str">
        <f>"{ name: "&amp;CHAR(34)&amp;B803&amp;CHAR(34)&amp;", landmark: "&amp;CHAR(34)&amp;IF(LEN(C803)=LEN(SUBSTITUTE(C803,"Transport","")),"Korok x1","Korok x2")&amp;CHAR(34)&amp;", type: "&amp;CHAR(34)&amp;C803&amp;CHAR(34)&amp;", region: "&amp;D803&amp;", level: "&amp;CHAR(34)&amp;E803&amp;CHAR(34)&amp;", x: "&amp;F803&amp;", y: "&amp;G803&amp;", z: "&amp;H803&amp;", details: "&amp;CHAR(34)&amp;I803&amp;CHAR(34)&amp;" },"</f>
        <v>{ name: "Gerudo Canyon Korok #03", landmark: "Korok x1", type: "Lift the Rock", region: 14, level: "Surface", x: -2198, y: -1680, z: 62, details: "" },</v>
      </c>
    </row>
    <row r="804" spans="1:10" x14ac:dyDescent="0.2">
      <c r="A804" s="2">
        <v>818</v>
      </c>
      <c r="B804" s="34" t="s">
        <v>3356</v>
      </c>
      <c r="C804" t="s">
        <v>2801</v>
      </c>
      <c r="D804" s="2">
        <v>14</v>
      </c>
      <c r="E804" s="2" t="s">
        <v>785</v>
      </c>
      <c r="F804" s="2">
        <v>-2713</v>
      </c>
      <c r="G804" s="2">
        <v>-2356</v>
      </c>
      <c r="H804" s="2">
        <v>130</v>
      </c>
      <c r="J804" t="str">
        <f>"{ name: "&amp;CHAR(34)&amp;B804&amp;CHAR(34)&amp;", landmark: "&amp;CHAR(34)&amp;IF(LEN(C804)=LEN(SUBSTITUTE(C804,"Transport","")),"Korok x1","Korok x2")&amp;CHAR(34)&amp;", type: "&amp;CHAR(34)&amp;C804&amp;CHAR(34)&amp;", region: "&amp;D804&amp;", level: "&amp;CHAR(34)&amp;E804&amp;CHAR(34)&amp;", x: "&amp;F804&amp;", y: "&amp;G804&amp;", z: "&amp;H804&amp;", details: "&amp;CHAR(34)&amp;I804&amp;CHAR(34)&amp;" },"</f>
        <v>{ name: "Gerudo Canyon Korok #04", landmark: "Korok x1", type: "Break the Acorn Pot", region: 14, level: "Surface", x: -2713, y: -2356, z: 130, details: "" },</v>
      </c>
    </row>
    <row r="805" spans="1:10" x14ac:dyDescent="0.2">
      <c r="A805" s="2">
        <v>819</v>
      </c>
      <c r="B805" s="34" t="s">
        <v>3357</v>
      </c>
      <c r="C805" t="s">
        <v>2823</v>
      </c>
      <c r="D805" s="2">
        <v>14</v>
      </c>
      <c r="E805" s="2" t="s">
        <v>785</v>
      </c>
      <c r="F805" s="2">
        <v>-2620</v>
      </c>
      <c r="G805" s="2">
        <v>-2198</v>
      </c>
      <c r="H805" s="2">
        <v>68</v>
      </c>
      <c r="J805" t="str">
        <f>"{ name: "&amp;CHAR(34)&amp;B805&amp;CHAR(34)&amp;", landmark: "&amp;CHAR(34)&amp;IF(LEN(C805)=LEN(SUBSTITUTE(C805,"Transport","")),"Korok x1","Korok x2")&amp;CHAR(34)&amp;", type: "&amp;CHAR(34)&amp;C805&amp;CHAR(34)&amp;", region: "&amp;D805&amp;", level: "&amp;CHAR(34)&amp;E805&amp;CHAR(34)&amp;", x: "&amp;F805&amp;", y: "&amp;G805&amp;", z: "&amp;H805&amp;", details: "&amp;CHAR(34)&amp;I805&amp;CHAR(34)&amp;" },"</f>
        <v>{ name: "Gerudo Canyon Korok #05", landmark: "Korok x1", type: "Examine Fairy Lights", region: 14, level: "Surface", x: -2620, y: -2198, z: 68, details: "" },</v>
      </c>
    </row>
    <row r="806" spans="1:10" x14ac:dyDescent="0.2">
      <c r="A806" s="2">
        <v>820</v>
      </c>
      <c r="B806" s="34" t="s">
        <v>3358</v>
      </c>
      <c r="C806" t="s">
        <v>2812</v>
      </c>
      <c r="D806" s="2">
        <v>14</v>
      </c>
      <c r="E806" s="2" t="s">
        <v>785</v>
      </c>
      <c r="F806" s="2">
        <v>-2486</v>
      </c>
      <c r="G806" s="2">
        <v>-2055</v>
      </c>
      <c r="H806" s="2">
        <v>122</v>
      </c>
      <c r="J806" t="str">
        <f>"{ name: "&amp;CHAR(34)&amp;B806&amp;CHAR(34)&amp;", landmark: "&amp;CHAR(34)&amp;IF(LEN(C806)=LEN(SUBSTITUTE(C806,"Transport","")),"Korok x1","Korok x2")&amp;CHAR(34)&amp;", type: "&amp;CHAR(34)&amp;C806&amp;CHAR(34)&amp;", region: "&amp;D806&amp;", level: "&amp;CHAR(34)&amp;E806&amp;CHAR(34)&amp;", x: "&amp;F806&amp;", y: "&amp;G806&amp;", z: "&amp;H806&amp;", details: "&amp;CHAR(34)&amp;I806&amp;CHAR(34)&amp;" },"</f>
        <v>{ name: "Gerudo Canyon Korok #06", landmark: "Korok x1", type: "Lift the Rock", region: 14, level: "Surface", x: -2486, y: -2055, z: 122, details: "" },</v>
      </c>
    </row>
    <row r="807" spans="1:10" x14ac:dyDescent="0.2">
      <c r="A807" s="2">
        <v>826</v>
      </c>
      <c r="B807" s="34" t="s">
        <v>3359</v>
      </c>
      <c r="C807" t="s">
        <v>2802</v>
      </c>
      <c r="D807" s="2">
        <v>14</v>
      </c>
      <c r="E807" s="2" t="s">
        <v>785</v>
      </c>
      <c r="F807" s="2">
        <v>-2051</v>
      </c>
      <c r="G807" s="2">
        <v>-1995</v>
      </c>
      <c r="H807" s="2">
        <v>42</v>
      </c>
      <c r="I807" t="s">
        <v>2673</v>
      </c>
      <c r="J807" t="str">
        <f>"{ name: "&amp;CHAR(34)&amp;B807&amp;CHAR(34)&amp;", landmark: "&amp;CHAR(34)&amp;IF(LEN(C807)=LEN(SUBSTITUTE(C807,"Transport","")),"Korok x1","Korok x2")&amp;CHAR(34)&amp;", type: "&amp;CHAR(34)&amp;C807&amp;CHAR(34)&amp;", region: "&amp;D807&amp;", level: "&amp;CHAR(34)&amp;E807&amp;CHAR(34)&amp;", x: "&amp;F807&amp;", y: "&amp;G807&amp;", z: "&amp;H807&amp;", details: "&amp;CHAR(34)&amp;I807&amp;CHAR(34)&amp;" },"</f>
        <v>{ name: "Gerudo Canyon Korok #07", landmark: "Korok x2", type: "Transport to Friend", region: 14, level: "Surface", x: -2051, y: -1995, z: 42, details: "Starts at (-1984, -2079, 34)" },</v>
      </c>
    </row>
    <row r="808" spans="1:10" x14ac:dyDescent="0.2">
      <c r="A808" s="2">
        <v>827</v>
      </c>
      <c r="B808" s="34" t="s">
        <v>3360</v>
      </c>
      <c r="C808" t="s">
        <v>2808</v>
      </c>
      <c r="D808" s="2">
        <v>14</v>
      </c>
      <c r="E808" s="2" t="s">
        <v>785</v>
      </c>
      <c r="F808" s="2">
        <v>-1943</v>
      </c>
      <c r="G808" s="2">
        <v>-2131</v>
      </c>
      <c r="H808" s="2">
        <v>82</v>
      </c>
      <c r="J808" t="str">
        <f>"{ name: "&amp;CHAR(34)&amp;B808&amp;CHAR(34)&amp;", landmark: "&amp;CHAR(34)&amp;IF(LEN(C808)=LEN(SUBSTITUTE(C808,"Transport","")),"Korok x1","Korok x2")&amp;CHAR(34)&amp;", type: "&amp;CHAR(34)&amp;C808&amp;CHAR(34)&amp;", region: "&amp;D808&amp;", level: "&amp;CHAR(34)&amp;E808&amp;CHAR(34)&amp;", x: "&amp;F808&amp;", y: "&amp;G808&amp;", z: "&amp;H808&amp;", details: "&amp;CHAR(34)&amp;I808&amp;CHAR(34)&amp;" },"</f>
        <v>{ name: "Gerudo Canyon Korok #08", landmark: "Korok x1", type: "Complete the Rock Pattern", region: 14, level: "Surface", x: -1943, y: -2131, z: 82, details: "" },</v>
      </c>
    </row>
    <row r="809" spans="1:10" x14ac:dyDescent="0.2">
      <c r="A809" s="2">
        <v>829</v>
      </c>
      <c r="B809" s="34" t="s">
        <v>3361</v>
      </c>
      <c r="C809" t="s">
        <v>2802</v>
      </c>
      <c r="D809" s="2">
        <v>14</v>
      </c>
      <c r="E809" s="2" t="s">
        <v>785</v>
      </c>
      <c r="F809" s="2">
        <v>-1641</v>
      </c>
      <c r="G809" s="2">
        <v>-2359</v>
      </c>
      <c r="H809" s="2">
        <v>8</v>
      </c>
      <c r="I809" t="s">
        <v>2674</v>
      </c>
      <c r="J809" t="str">
        <f>"{ name: "&amp;CHAR(34)&amp;B809&amp;CHAR(34)&amp;", landmark: "&amp;CHAR(34)&amp;IF(LEN(C809)=LEN(SUBSTITUTE(C809,"Transport","")),"Korok x1","Korok x2")&amp;CHAR(34)&amp;", type: "&amp;CHAR(34)&amp;C809&amp;CHAR(34)&amp;", region: "&amp;D809&amp;", level: "&amp;CHAR(34)&amp;E809&amp;CHAR(34)&amp;", x: "&amp;F809&amp;", y: "&amp;G809&amp;", z: "&amp;H809&amp;", details: "&amp;CHAR(34)&amp;I809&amp;CHAR(34)&amp;" },"</f>
        <v>{ name: "Gerudo Canyon Korok #09", landmark: "Korok x2", type: "Transport to Friend", region: 14, level: "Surface", x: -1641, y: -2359, z: 8, details: "Starts at (-1708, -2341, -14)" },</v>
      </c>
    </row>
    <row r="810" spans="1:10" x14ac:dyDescent="0.2">
      <c r="A810" s="2">
        <v>805</v>
      </c>
      <c r="B810" s="34" t="s">
        <v>3362</v>
      </c>
      <c r="C810" t="s">
        <v>2802</v>
      </c>
      <c r="D810" s="2">
        <v>14</v>
      </c>
      <c r="E810" s="2" t="s">
        <v>785</v>
      </c>
      <c r="F810" s="2">
        <v>-3316</v>
      </c>
      <c r="G810" s="2">
        <v>-2462</v>
      </c>
      <c r="H810" s="2">
        <v>30</v>
      </c>
      <c r="I810" t="s">
        <v>2659</v>
      </c>
      <c r="J810" t="str">
        <f>"{ name: "&amp;CHAR(34)&amp;B810&amp;CHAR(34)&amp;", landmark: "&amp;CHAR(34)&amp;IF(LEN(C810)=LEN(SUBSTITUTE(C810,"Transport","")),"Korok x1","Korok x2")&amp;CHAR(34)&amp;", type: "&amp;CHAR(34)&amp;C810&amp;CHAR(34)&amp;", region: "&amp;D810&amp;", level: "&amp;CHAR(34)&amp;E810&amp;CHAR(34)&amp;", x: "&amp;F810&amp;", y: "&amp;G810&amp;", z: "&amp;H810&amp;", details: "&amp;CHAR(34)&amp;I810&amp;CHAR(34)&amp;" },"</f>
        <v>{ name: "Gerudo Desert Gateway Korok #01", landmark: "Korok x2", type: "Transport to Friend", region: 14, level: "Surface", x: -3316, y: -2462, z: 30, details: "Starts at (-2985, -2326, 26)" },</v>
      </c>
    </row>
    <row r="811" spans="1:10" x14ac:dyDescent="0.2">
      <c r="A811" s="2">
        <v>807</v>
      </c>
      <c r="B811" s="34" t="s">
        <v>3364</v>
      </c>
      <c r="C811" t="s">
        <v>2804</v>
      </c>
      <c r="D811" s="2">
        <v>14</v>
      </c>
      <c r="E811" s="2" t="s">
        <v>785</v>
      </c>
      <c r="F811" s="2">
        <v>-4910</v>
      </c>
      <c r="G811" s="2">
        <v>-3778</v>
      </c>
      <c r="H811" s="2">
        <v>-30</v>
      </c>
      <c r="J811" t="str">
        <f>"{ name: "&amp;CHAR(34)&amp;B811&amp;CHAR(34)&amp;", landmark: "&amp;CHAR(34)&amp;IF(LEN(C811)=LEN(SUBSTITUTE(C811,"Transport","")),"Korok x1","Korok x2")&amp;CHAR(34)&amp;", type: "&amp;CHAR(34)&amp;C811&amp;CHAR(34)&amp;", region: "&amp;D811&amp;", level: "&amp;CHAR(34)&amp;E811&amp;CHAR(34)&amp;", x: "&amp;F811&amp;", y: "&amp;G811&amp;", z: "&amp;H811&amp;", details: "&amp;CHAR(34)&amp;I811&amp;CHAR(34)&amp;" },"</f>
        <v>{ name: "Gerudo Great Skeleton Korok", landmark: "Korok x1", type: "Burn the Leaves", region: 14, level: "Surface", x: -4910, y: -3778, z: -30, details: "" },</v>
      </c>
    </row>
    <row r="812" spans="1:10" x14ac:dyDescent="0.2">
      <c r="A812" s="2">
        <v>798</v>
      </c>
      <c r="B812" s="34" t="s">
        <v>3371</v>
      </c>
      <c r="C812" t="s">
        <v>2817</v>
      </c>
      <c r="D812" s="2">
        <v>14</v>
      </c>
      <c r="E812" s="2" t="s">
        <v>785</v>
      </c>
      <c r="F812" s="2">
        <v>-3935</v>
      </c>
      <c r="G812" s="2">
        <v>-2941</v>
      </c>
      <c r="H812" s="2">
        <v>87</v>
      </c>
      <c r="I812" t="s">
        <v>2658</v>
      </c>
      <c r="J812" t="str">
        <f>"{ name: "&amp;CHAR(34)&amp;B812&amp;CHAR(34)&amp;", landmark: "&amp;CHAR(34)&amp;IF(LEN(C812)=LEN(SUBSTITUTE(C812,"Transport","")),"Korok x1","Korok x2")&amp;CHAR(34)&amp;", type: "&amp;CHAR(34)&amp;C812&amp;CHAR(34)&amp;", region: "&amp;D812&amp;", level: "&amp;CHAR(34)&amp;E812&amp;CHAR(34)&amp;", x: "&amp;F812&amp;", y: "&amp;G812&amp;", z: "&amp;H812&amp;", details: "&amp;CHAR(34)&amp;I812&amp;CHAR(34)&amp;" },"</f>
        <v>{ name: "Gerudo Town Korok #01", landmark: "Korok x1", type: "Reach the Target Ring", region: 14, level: "Surface", x: -3935, y: -2941, z: 87, details: "Starts at (-3859, -3018, 85)" },</v>
      </c>
    </row>
    <row r="813" spans="1:10" x14ac:dyDescent="0.2">
      <c r="A813" s="2">
        <v>799</v>
      </c>
      <c r="B813" s="34" t="s">
        <v>3372</v>
      </c>
      <c r="C813" t="s">
        <v>2825</v>
      </c>
      <c r="D813" s="2">
        <v>14</v>
      </c>
      <c r="E813" s="2" t="s">
        <v>785</v>
      </c>
      <c r="F813" s="2">
        <v>-3853</v>
      </c>
      <c r="G813" s="2">
        <v>-2864</v>
      </c>
      <c r="H813" s="2">
        <v>62</v>
      </c>
      <c r="J813" t="str">
        <f>"{ name: "&amp;CHAR(34)&amp;B813&amp;CHAR(34)&amp;", landmark: "&amp;CHAR(34)&amp;IF(LEN(C813)=LEN(SUBSTITUTE(C813,"Transport","")),"Korok x1","Korok x2")&amp;CHAR(34)&amp;", type: "&amp;CHAR(34)&amp;C813&amp;CHAR(34)&amp;", region: "&amp;D813&amp;", level: "&amp;CHAR(34)&amp;E813&amp;CHAR(34)&amp;", x: "&amp;F813&amp;", y: "&amp;G813&amp;", z: "&amp;H813&amp;", details: "&amp;CHAR(34)&amp;I813&amp;CHAR(34)&amp;" },"</f>
        <v>{ name: "Gerudo Town Korok #02", landmark: "Korok x1", type: "Climb and Examine the Fairy Lights", region: 14, level: "Surface", x: -3853, y: -2864, z: 62, details: "" },</v>
      </c>
    </row>
    <row r="814" spans="1:10" x14ac:dyDescent="0.2">
      <c r="A814" s="2">
        <v>800</v>
      </c>
      <c r="B814" s="34" t="s">
        <v>3373</v>
      </c>
      <c r="C814" t="s">
        <v>2826</v>
      </c>
      <c r="D814" s="2">
        <v>14</v>
      </c>
      <c r="E814" s="2" t="s">
        <v>785</v>
      </c>
      <c r="F814" s="2">
        <v>-3827</v>
      </c>
      <c r="G814" s="2">
        <v>-2860</v>
      </c>
      <c r="H814" s="2">
        <v>52</v>
      </c>
      <c r="J814" t="str">
        <f>"{ name: "&amp;CHAR(34)&amp;B814&amp;CHAR(34)&amp;", landmark: "&amp;CHAR(34)&amp;IF(LEN(C814)=LEN(SUBSTITUTE(C814,"Transport","")),"Korok x1","Korok x2")&amp;CHAR(34)&amp;", type: "&amp;CHAR(34)&amp;C814&amp;CHAR(34)&amp;", region: "&amp;D814&amp;", level: "&amp;CHAR(34)&amp;E814&amp;CHAR(34)&amp;", x: "&amp;F814&amp;", y: "&amp;G814&amp;", z: "&amp;H814&amp;", details: "&amp;CHAR(34)&amp;I814&amp;CHAR(34)&amp;" },"</f>
        <v>{ name: "Gerudo Town Korok #03", landmark: "Korok x1", type: "Ascend Through the Marker", region: 14, level: "Surface", x: -3827, y: -2860, z: 52, details: "" },</v>
      </c>
    </row>
    <row r="815" spans="1:10" x14ac:dyDescent="0.2">
      <c r="A815" s="2">
        <v>811</v>
      </c>
      <c r="B815" s="34" t="s">
        <v>3374</v>
      </c>
      <c r="C815" t="s">
        <v>2802</v>
      </c>
      <c r="D815" s="2">
        <v>14</v>
      </c>
      <c r="E815" s="2" t="s">
        <v>785</v>
      </c>
      <c r="F815" s="2">
        <v>-3742</v>
      </c>
      <c r="G815" s="2">
        <v>-3478</v>
      </c>
      <c r="H815" s="2">
        <v>17</v>
      </c>
      <c r="I815" t="s">
        <v>2662</v>
      </c>
      <c r="J815" t="str">
        <f>"{ name: "&amp;CHAR(34)&amp;B815&amp;CHAR(34)&amp;", landmark: "&amp;CHAR(34)&amp;IF(LEN(C815)=LEN(SUBSTITUTE(C815,"Transport","")),"Korok x1","Korok x2")&amp;CHAR(34)&amp;", type: "&amp;CHAR(34)&amp;C815&amp;CHAR(34)&amp;", region: "&amp;D815&amp;", level: "&amp;CHAR(34)&amp;E815&amp;CHAR(34)&amp;", x: "&amp;F815&amp;", y: "&amp;G815&amp;", z: "&amp;H815&amp;", details: "&amp;CHAR(34)&amp;I815&amp;CHAR(34)&amp;" },"</f>
        <v>{ name: "Gerudo Town Korok #04", landmark: "Korok x2", type: "Transport to Friend", region: 14, level: "Surface", x: -3742, y: -3478, z: 17, details: "Starts at (-3820, -3126, 52)" },</v>
      </c>
    </row>
    <row r="816" spans="1:10" x14ac:dyDescent="0.2">
      <c r="A816" s="2">
        <v>804</v>
      </c>
      <c r="B816" s="34" t="s">
        <v>3526</v>
      </c>
      <c r="C816" t="s">
        <v>2825</v>
      </c>
      <c r="D816" s="2">
        <v>14</v>
      </c>
      <c r="E816" s="2" t="s">
        <v>785</v>
      </c>
      <c r="F816" s="2">
        <v>-3268</v>
      </c>
      <c r="G816" s="2">
        <v>-2609</v>
      </c>
      <c r="H816" s="2">
        <v>123</v>
      </c>
      <c r="J816" t="str">
        <f>"{ name: "&amp;CHAR(34)&amp;B816&amp;CHAR(34)&amp;", landmark: "&amp;CHAR(34)&amp;IF(LEN(C816)=LEN(SUBSTITUTE(C816,"Transport","")),"Korok x1","Korok x2")&amp;CHAR(34)&amp;", type: "&amp;CHAR(34)&amp;C816&amp;CHAR(34)&amp;", region: "&amp;D816&amp;", level: "&amp;CHAR(34)&amp;E816&amp;CHAR(34)&amp;", x: "&amp;F816&amp;", y: "&amp;G816&amp;", z: "&amp;H816&amp;", details: "&amp;CHAR(34)&amp;I816&amp;CHAR(34)&amp;" },"</f>
        <v>{ name: "Kara Kara Bazaar Korok", landmark: "Korok x1", type: "Climb and Examine the Fairy Lights", region: 14, level: "Surface", x: -3268, y: -2609, z: 123, details: "" },</v>
      </c>
    </row>
    <row r="817" spans="1:10" x14ac:dyDescent="0.2">
      <c r="A817" s="2">
        <v>810</v>
      </c>
      <c r="B817" s="34" t="s">
        <v>3607</v>
      </c>
      <c r="C817" t="s">
        <v>2827</v>
      </c>
      <c r="D817" s="2">
        <v>14</v>
      </c>
      <c r="E817" s="2" t="s">
        <v>785</v>
      </c>
      <c r="F817" s="2">
        <v>-3431</v>
      </c>
      <c r="G817" s="2">
        <v>-3128</v>
      </c>
      <c r="H817" s="2">
        <v>73</v>
      </c>
      <c r="I817" t="s">
        <v>2771</v>
      </c>
      <c r="J817" t="str">
        <f>"{ name: "&amp;CHAR(34)&amp;B817&amp;CHAR(34)&amp;", landmark: "&amp;CHAR(34)&amp;IF(LEN(C817)=LEN(SUBSTITUTE(C817,"Transport","")),"Korok x1","Korok x2")&amp;CHAR(34)&amp;", type: "&amp;CHAR(34)&amp;C817&amp;CHAR(34)&amp;", region: "&amp;D817&amp;", level: "&amp;CHAR(34)&amp;E817&amp;CHAR(34)&amp;", x: "&amp;F817&amp;", y: "&amp;G817&amp;", z: "&amp;H817&amp;", details: "&amp;CHAR(34)&amp;I817&amp;CHAR(34)&amp;" },"</f>
        <v>{ name: "Lookout post Korok", landmark: "Korok x1", type: "Paraglide to the Goal", region: 14, level: "Surface", x: -3431, y: -3128, z: 73, details: "Starts at (-3422, -3119, 85)" },</v>
      </c>
    </row>
    <row r="818" spans="1:10" x14ac:dyDescent="0.2">
      <c r="A818" s="2">
        <v>791</v>
      </c>
      <c r="B818" s="34" t="s">
        <v>3649</v>
      </c>
      <c r="C818" t="s">
        <v>2802</v>
      </c>
      <c r="D818" s="2">
        <v>14</v>
      </c>
      <c r="E818" s="2" t="s">
        <v>785</v>
      </c>
      <c r="F818" s="2">
        <v>-1374</v>
      </c>
      <c r="G818" s="2">
        <v>-2444</v>
      </c>
      <c r="H818" s="2">
        <v>106</v>
      </c>
      <c r="I818" t="s">
        <v>2652</v>
      </c>
      <c r="J818" t="str">
        <f>"{ name: "&amp;CHAR(34)&amp;B818&amp;CHAR(34)&amp;", landmark: "&amp;CHAR(34)&amp;IF(LEN(C818)=LEN(SUBSTITUTE(C818,"Transport","")),"Korok x1","Korok x2")&amp;CHAR(34)&amp;", type: "&amp;CHAR(34)&amp;C818&amp;CHAR(34)&amp;", region: "&amp;D818&amp;", level: "&amp;CHAR(34)&amp;E818&amp;CHAR(34)&amp;", x: "&amp;F818&amp;", y: "&amp;G818&amp;", z: "&amp;H818&amp;", details: "&amp;CHAR(34)&amp;I818&amp;CHAR(34)&amp;" },"</f>
        <v>{ name: "Mount Faloraa Korok #02", landmark: "Korok x2", type: "Transport to Friend", region: 14, level: "Surface", x: -1374, y: -2444, z: 106, details: "Starts at (-1018, -2633, 201)" },</v>
      </c>
    </row>
    <row r="819" spans="1:10" x14ac:dyDescent="0.2">
      <c r="A819" s="2">
        <v>837</v>
      </c>
      <c r="B819" s="34" t="s">
        <v>3654</v>
      </c>
      <c r="C819" t="s">
        <v>2812</v>
      </c>
      <c r="D819" s="2">
        <v>14</v>
      </c>
      <c r="E819" s="2" t="s">
        <v>785</v>
      </c>
      <c r="F819" s="2">
        <v>-1385</v>
      </c>
      <c r="G819" s="2">
        <v>-3493</v>
      </c>
      <c r="H819" s="2">
        <v>435</v>
      </c>
      <c r="J819" t="str">
        <f>"{ name: "&amp;CHAR(34)&amp;B819&amp;CHAR(34)&amp;", landmark: "&amp;CHAR(34)&amp;IF(LEN(C819)=LEN(SUBSTITUTE(C819,"Transport","")),"Korok x1","Korok x2")&amp;CHAR(34)&amp;", type: "&amp;CHAR(34)&amp;C819&amp;CHAR(34)&amp;", region: "&amp;D819&amp;", level: "&amp;CHAR(34)&amp;E819&amp;CHAR(34)&amp;", x: "&amp;F819&amp;", y: "&amp;G819&amp;", z: "&amp;H819&amp;", details: "&amp;CHAR(34)&amp;I819&amp;CHAR(34)&amp;" },"</f>
        <v>{ name: "Mount Granajh Korok", landmark: "Korok x1", type: "Lift the Rock", region: 14, level: "Surface", x: -1385, y: -3493, z: 435, details: "" },</v>
      </c>
    </row>
    <row r="820" spans="1:10" x14ac:dyDescent="0.2">
      <c r="A820" s="2">
        <v>801</v>
      </c>
      <c r="B820" s="34" t="s">
        <v>3687</v>
      </c>
      <c r="C820" t="s">
        <v>2826</v>
      </c>
      <c r="D820" s="2">
        <v>14</v>
      </c>
      <c r="E820" s="2" t="s">
        <v>785</v>
      </c>
      <c r="F820" s="2">
        <v>-3757</v>
      </c>
      <c r="G820" s="2">
        <v>-2443</v>
      </c>
      <c r="H820" s="2">
        <v>59</v>
      </c>
      <c r="J820" t="str">
        <f>"{ name: "&amp;CHAR(34)&amp;B820&amp;CHAR(34)&amp;", landmark: "&amp;CHAR(34)&amp;IF(LEN(C820)=LEN(SUBSTITUTE(C820,"Transport","")),"Korok x1","Korok x2")&amp;CHAR(34)&amp;", type: "&amp;CHAR(34)&amp;C820&amp;CHAR(34)&amp;", region: "&amp;D820&amp;", level: "&amp;CHAR(34)&amp;E820&amp;CHAR(34)&amp;", x: "&amp;F820&amp;", y: "&amp;G820&amp;", z: "&amp;H820&amp;", details: "&amp;CHAR(34)&amp;I820&amp;CHAR(34)&amp;" },"</f>
        <v>{ name: "North Gerudo Ruins Korok", landmark: "Korok x1", type: "Ascend Through the Marker", region: 14, level: "Surface", x: -3757, y: -2443, z: 59, details: "" },</v>
      </c>
    </row>
    <row r="821" spans="1:10" x14ac:dyDescent="0.2">
      <c r="A821" s="2">
        <v>802</v>
      </c>
      <c r="B821" s="34" t="s">
        <v>3710</v>
      </c>
      <c r="C821" t="s">
        <v>2812</v>
      </c>
      <c r="D821" s="2">
        <v>14</v>
      </c>
      <c r="E821" s="2" t="s">
        <v>785</v>
      </c>
      <c r="F821" s="2">
        <v>-3749</v>
      </c>
      <c r="G821" s="2">
        <v>-2287</v>
      </c>
      <c r="H821" s="2">
        <v>79</v>
      </c>
      <c r="J821" t="str">
        <f>"{ name: "&amp;CHAR(34)&amp;B821&amp;CHAR(34)&amp;", landmark: "&amp;CHAR(34)&amp;IF(LEN(C821)=LEN(SUBSTITUTE(C821,"Transport","")),"Korok x1","Korok x2")&amp;CHAR(34)&amp;", type: "&amp;CHAR(34)&amp;C821&amp;CHAR(34)&amp;", region: "&amp;D821&amp;", level: "&amp;CHAR(34)&amp;E821&amp;CHAR(34)&amp;", x: "&amp;F821&amp;", y: "&amp;G821&amp;", z: "&amp;H821&amp;", details: "&amp;CHAR(34)&amp;I821&amp;CHAR(34)&amp;" },"</f>
        <v>{ name: "Northern Icehouse Korok", landmark: "Korok x1", type: "Lift the Rock", region: 14, level: "Surface", x: -3749, y: -2287, z: 79, details: "" },</v>
      </c>
    </row>
    <row r="822" spans="1:10" x14ac:dyDescent="0.2">
      <c r="A822" s="2">
        <v>839</v>
      </c>
      <c r="B822" s="34" t="s">
        <v>3719</v>
      </c>
      <c r="C822" t="s">
        <v>2823</v>
      </c>
      <c r="D822" s="2">
        <v>14</v>
      </c>
      <c r="E822" s="2" t="s">
        <v>785</v>
      </c>
      <c r="F822" s="2">
        <v>-1178</v>
      </c>
      <c r="G822" s="2">
        <v>-3511</v>
      </c>
      <c r="H822" s="2">
        <v>220</v>
      </c>
      <c r="J822" t="str">
        <f>"{ name: "&amp;CHAR(34)&amp;B822&amp;CHAR(34)&amp;", landmark: "&amp;CHAR(34)&amp;IF(LEN(C822)=LEN(SUBSTITUTE(C822,"Transport","")),"Korok x1","Korok x2")&amp;CHAR(34)&amp;", type: "&amp;CHAR(34)&amp;C822&amp;CHAR(34)&amp;", region: "&amp;D822&amp;", level: "&amp;CHAR(34)&amp;E822&amp;CHAR(34)&amp;", x: "&amp;F822&amp;", y: "&amp;G822&amp;", z: "&amp;H822&amp;", details: "&amp;CHAR(34)&amp;I822&amp;CHAR(34)&amp;" },"</f>
        <v>{ name: "Oseira Plains Korok #02", landmark: "Korok x1", type: "Examine Fairy Lights", region: 14, level: "Surface", x: -1178, y: -3511, z: 220, details: "" },</v>
      </c>
    </row>
    <row r="823" spans="1:10" x14ac:dyDescent="0.2">
      <c r="A823" s="2">
        <v>840</v>
      </c>
      <c r="B823" s="34" t="s">
        <v>3720</v>
      </c>
      <c r="C823" t="s">
        <v>2807</v>
      </c>
      <c r="D823" s="2">
        <v>14</v>
      </c>
      <c r="E823" s="2" t="s">
        <v>785</v>
      </c>
      <c r="F823" s="2">
        <v>-1153</v>
      </c>
      <c r="G823" s="2">
        <v>-3304</v>
      </c>
      <c r="H823" s="2">
        <v>277</v>
      </c>
      <c r="J823" t="str">
        <f>"{ name: "&amp;CHAR(34)&amp;B823&amp;CHAR(34)&amp;", landmark: "&amp;CHAR(34)&amp;IF(LEN(C823)=LEN(SUBSTITUTE(C823,"Transport","")),"Korok x1","Korok x2")&amp;CHAR(34)&amp;", type: "&amp;CHAR(34)&amp;C823&amp;CHAR(34)&amp;", region: "&amp;D823&amp;", level: "&amp;CHAR(34)&amp;E823&amp;CHAR(34)&amp;", x: "&amp;F823&amp;", y: "&amp;G823&amp;", z: "&amp;H823&amp;", details: "&amp;CHAR(34)&amp;I823&amp;CHAR(34)&amp;" },"</f>
        <v>{ name: "Oseira Plains Korok #03", landmark: "Korok x1", type: "Complete the Cube Puzzle", region: 14, level: "Surface", x: -1153, y: -3304, z: 277, details: "" },</v>
      </c>
    </row>
    <row r="824" spans="1:10" x14ac:dyDescent="0.2">
      <c r="A824" s="2">
        <v>841</v>
      </c>
      <c r="B824" s="34" t="s">
        <v>3721</v>
      </c>
      <c r="C824" t="s">
        <v>2811</v>
      </c>
      <c r="D824" s="2">
        <v>14</v>
      </c>
      <c r="E824" s="2" t="s">
        <v>785</v>
      </c>
      <c r="F824" s="2">
        <v>-995</v>
      </c>
      <c r="G824" s="2">
        <v>-3254</v>
      </c>
      <c r="H824" s="2">
        <v>252</v>
      </c>
      <c r="I824" t="s">
        <v>2774</v>
      </c>
      <c r="J824" t="str">
        <f>"{ name: "&amp;CHAR(34)&amp;B824&amp;CHAR(34)&amp;", landmark: "&amp;CHAR(34)&amp;IF(LEN(C824)=LEN(SUBSTITUTE(C824,"Transport","")),"Korok x1","Korok x2")&amp;CHAR(34)&amp;", type: "&amp;CHAR(34)&amp;C824&amp;CHAR(34)&amp;", region: "&amp;D824&amp;", level: "&amp;CHAR(34)&amp;E824&amp;CHAR(34)&amp;", x: "&amp;F824&amp;", y: "&amp;G824&amp;", z: "&amp;H824&amp;", details: "&amp;CHAR(34)&amp;I824&amp;CHAR(34)&amp;" },"</f>
        <v>{ name: "Oseira Plains Korok #04", landmark: "Korok x1", type: "Follow the Yellow Flowers", region: 14, level: "Surface", x: -995, y: -3254, z: 252, details: "Starts at (-967, -3232, 252)" },</v>
      </c>
    </row>
    <row r="825" spans="1:10" x14ac:dyDescent="0.2">
      <c r="A825" s="2">
        <v>831</v>
      </c>
      <c r="B825" s="34" t="s">
        <v>3735</v>
      </c>
      <c r="C825" t="s">
        <v>2802</v>
      </c>
      <c r="D825" s="2">
        <v>14</v>
      </c>
      <c r="E825" s="2" t="s">
        <v>785</v>
      </c>
      <c r="F825" s="2">
        <v>-3079</v>
      </c>
      <c r="G825" s="2">
        <v>-3045</v>
      </c>
      <c r="H825" s="2">
        <v>15</v>
      </c>
      <c r="I825" t="s">
        <v>2675</v>
      </c>
      <c r="J825" t="str">
        <f>"{ name: "&amp;CHAR(34)&amp;B825&amp;CHAR(34)&amp;", landmark: "&amp;CHAR(34)&amp;IF(LEN(C825)=LEN(SUBSTITUTE(C825,"Transport","")),"Korok x1","Korok x2")&amp;CHAR(34)&amp;", type: "&amp;CHAR(34)&amp;C825&amp;CHAR(34)&amp;", region: "&amp;D825&amp;", level: "&amp;CHAR(34)&amp;E825&amp;CHAR(34)&amp;", x: "&amp;F825&amp;", y: "&amp;G825&amp;", z: "&amp;H825&amp;", details: "&amp;CHAR(34)&amp;I825&amp;CHAR(34)&amp;" },"</f>
        <v>{ name: "Palu Wasteland Korok", landmark: "Korok x2", type: "Transport to Friend", region: 14, level: "Surface", x: -3079, y: -3045, z: 15, details: "Starts at (-3345, -3056, 42)" },</v>
      </c>
    </row>
    <row r="826" spans="1:10" x14ac:dyDescent="0.2">
      <c r="A826" s="2">
        <v>58</v>
      </c>
      <c r="B826" s="34" t="s">
        <v>3869</v>
      </c>
      <c r="C826" t="s">
        <v>2806</v>
      </c>
      <c r="D826" s="2">
        <v>14</v>
      </c>
      <c r="E826" s="2" t="s">
        <v>783</v>
      </c>
      <c r="F826" s="2">
        <v>-1714</v>
      </c>
      <c r="G826" s="2">
        <v>-3578</v>
      </c>
      <c r="H826" s="2">
        <v>1137</v>
      </c>
      <c r="J826" t="str">
        <f>"{ name: "&amp;CHAR(34)&amp;B826&amp;CHAR(34)&amp;", landmark: "&amp;CHAR(34)&amp;IF(LEN(C826)=LEN(SUBSTITUTE(C826,"Transport","")),"Korok x1","Korok x2")&amp;CHAR(34)&amp;", type: "&amp;CHAR(34)&amp;C826&amp;CHAR(34)&amp;", region: "&amp;D826&amp;", level: "&amp;CHAR(34)&amp;E826&amp;CHAR(34)&amp;", x: "&amp;F826&amp;", y: "&amp;G826&amp;", z: "&amp;H826&amp;", details: "&amp;CHAR(34)&amp;I826&amp;CHAR(34)&amp;" },"</f>
        <v>{ name: "South Lomei Castle Top Floor Korok", landmark: "Korok x1", type: "Catch the Dandelion", region: 14, level: "Sky", x: -1714, y: -3578, z: 1137, details: "" },</v>
      </c>
    </row>
    <row r="827" spans="1:10" x14ac:dyDescent="0.2">
      <c r="A827" s="2">
        <v>833</v>
      </c>
      <c r="B827" s="34" t="s">
        <v>3870</v>
      </c>
      <c r="C827" t="s">
        <v>2821</v>
      </c>
      <c r="D827" s="2">
        <v>14</v>
      </c>
      <c r="E827" s="2" t="s">
        <v>785</v>
      </c>
      <c r="F827" s="2">
        <v>-1795</v>
      </c>
      <c r="G827" s="2">
        <v>-3579</v>
      </c>
      <c r="H827" s="2">
        <v>124</v>
      </c>
      <c r="J827" t="str">
        <f>"{ name: "&amp;CHAR(34)&amp;B827&amp;CHAR(34)&amp;", landmark: "&amp;CHAR(34)&amp;IF(LEN(C827)=LEN(SUBSTITUTE(C827,"Transport","")),"Korok x1","Korok x2")&amp;CHAR(34)&amp;", type: "&amp;CHAR(34)&amp;C827&amp;CHAR(34)&amp;", region: "&amp;D827&amp;", level: "&amp;CHAR(34)&amp;E827&amp;CHAR(34)&amp;", x: "&amp;F827&amp;", y: "&amp;G827&amp;", z: "&amp;H827&amp;", details: "&amp;CHAR(34)&amp;I827&amp;CHAR(34)&amp;" },"</f>
        <v>{ name: "South Lomei Labyrinth Korok", landmark: "Korok x1", type: "Shoot the Balloons", region: 14, level: "Surface", x: -1795, y: -3579, z: 124, details: "" },</v>
      </c>
    </row>
    <row r="828" spans="1:10" x14ac:dyDescent="0.2">
      <c r="A828" s="2">
        <v>821</v>
      </c>
      <c r="B828" s="34" t="s">
        <v>3881</v>
      </c>
      <c r="C828" t="s">
        <v>2802</v>
      </c>
      <c r="D828" s="2">
        <v>14</v>
      </c>
      <c r="E828" s="2" t="s">
        <v>785</v>
      </c>
      <c r="F828" s="2">
        <v>-2440</v>
      </c>
      <c r="G828" s="2">
        <v>-2144</v>
      </c>
      <c r="H828" s="2">
        <v>265</v>
      </c>
      <c r="I828" t="s">
        <v>2671</v>
      </c>
      <c r="J828" t="str">
        <f>"{ name: "&amp;CHAR(34)&amp;B828&amp;CHAR(34)&amp;", landmark: "&amp;CHAR(34)&amp;IF(LEN(C828)=LEN(SUBSTITUTE(C828,"Transport","")),"Korok x1","Korok x2")&amp;CHAR(34)&amp;", type: "&amp;CHAR(34)&amp;C828&amp;CHAR(34)&amp;", region: "&amp;D828&amp;", level: "&amp;CHAR(34)&amp;E828&amp;CHAR(34)&amp;", x: "&amp;F828&amp;", y: "&amp;G828&amp;", z: "&amp;H828&amp;", details: "&amp;CHAR(34)&amp;I828&amp;CHAR(34)&amp;" },"</f>
        <v>{ name: "Spectacle Rock Korok #01", landmark: "Korok x2", type: "Transport to Friend", region: 14, level: "Surface", x: -2440, y: -2144, z: 265, details: "Starts at (-2434, -2119, 235)" },</v>
      </c>
    </row>
    <row r="829" spans="1:10" x14ac:dyDescent="0.2">
      <c r="A829" s="2">
        <v>822</v>
      </c>
      <c r="B829" s="34" t="s">
        <v>3882</v>
      </c>
      <c r="C829" t="s">
        <v>2804</v>
      </c>
      <c r="D829" s="2">
        <v>14</v>
      </c>
      <c r="E829" s="2" t="s">
        <v>785</v>
      </c>
      <c r="F829" s="2">
        <v>-2265</v>
      </c>
      <c r="G829" s="2">
        <v>-2163</v>
      </c>
      <c r="H829" s="2">
        <v>252</v>
      </c>
      <c r="J829" t="str">
        <f>"{ name: "&amp;CHAR(34)&amp;B829&amp;CHAR(34)&amp;", landmark: "&amp;CHAR(34)&amp;IF(LEN(C829)=LEN(SUBSTITUTE(C829,"Transport","")),"Korok x1","Korok x2")&amp;CHAR(34)&amp;", type: "&amp;CHAR(34)&amp;C829&amp;CHAR(34)&amp;", region: "&amp;D829&amp;", level: "&amp;CHAR(34)&amp;E829&amp;CHAR(34)&amp;", x: "&amp;F829&amp;", y: "&amp;G829&amp;", z: "&amp;H829&amp;", details: "&amp;CHAR(34)&amp;I829&amp;CHAR(34)&amp;" },"</f>
        <v>{ name: "Spectacle Rock Korok #02", landmark: "Korok x1", type: "Burn the Leaves", region: 14, level: "Surface", x: -2265, y: -2163, z: 252, details: "" },</v>
      </c>
    </row>
    <row r="830" spans="1:10" x14ac:dyDescent="0.2">
      <c r="A830" s="2">
        <v>823</v>
      </c>
      <c r="B830" s="34" t="s">
        <v>3883</v>
      </c>
      <c r="C830" t="s">
        <v>2817</v>
      </c>
      <c r="D830" s="2">
        <v>14</v>
      </c>
      <c r="E830" s="2" t="s">
        <v>785</v>
      </c>
      <c r="F830" s="2">
        <v>-2262</v>
      </c>
      <c r="G830" s="2">
        <v>-2341</v>
      </c>
      <c r="H830" s="2">
        <v>293</v>
      </c>
      <c r="I830" t="s">
        <v>2672</v>
      </c>
      <c r="J830" t="str">
        <f>"{ name: "&amp;CHAR(34)&amp;B830&amp;CHAR(34)&amp;", landmark: "&amp;CHAR(34)&amp;IF(LEN(C830)=LEN(SUBSTITUTE(C830,"Transport","")),"Korok x1","Korok x2")&amp;CHAR(34)&amp;", type: "&amp;CHAR(34)&amp;C830&amp;CHAR(34)&amp;", region: "&amp;D830&amp;", level: "&amp;CHAR(34)&amp;E830&amp;CHAR(34)&amp;", x: "&amp;F830&amp;", y: "&amp;G830&amp;", z: "&amp;H830&amp;", details: "&amp;CHAR(34)&amp;I830&amp;CHAR(34)&amp;" },"</f>
        <v>{ name: "Spectacle Rock Korok #03", landmark: "Korok x1", type: "Reach the Target Ring", region: 14, level: "Surface", x: -2262, y: -2341, z: 293, details: "Starts at (-2252, -2359, 276)" },</v>
      </c>
    </row>
    <row r="831" spans="1:10" x14ac:dyDescent="0.2">
      <c r="A831" s="2">
        <v>824</v>
      </c>
      <c r="B831" s="34" t="s">
        <v>3884</v>
      </c>
      <c r="C831" t="s">
        <v>2815</v>
      </c>
      <c r="D831" s="2">
        <v>14</v>
      </c>
      <c r="E831" s="2" t="s">
        <v>785</v>
      </c>
      <c r="F831" s="2">
        <v>-2244</v>
      </c>
      <c r="G831" s="2">
        <v>-2212</v>
      </c>
      <c r="H831" s="2">
        <v>260</v>
      </c>
      <c r="J831" t="str">
        <f>"{ name: "&amp;CHAR(34)&amp;B831&amp;CHAR(34)&amp;", landmark: "&amp;CHAR(34)&amp;IF(LEN(C831)=LEN(SUBSTITUTE(C831,"Transport","")),"Korok x1","Korok x2")&amp;CHAR(34)&amp;", type: "&amp;CHAR(34)&amp;C831&amp;CHAR(34)&amp;", region: "&amp;D831&amp;", level: "&amp;CHAR(34)&amp;E831&amp;CHAR(34)&amp;", x: "&amp;F831&amp;", y: "&amp;G831&amp;", z: "&amp;H831&amp;", details: "&amp;CHAR(34)&amp;I831&amp;CHAR(34)&amp;" },"</f>
        <v>{ name: "Spectacle Rock Korok #04", landmark: "Korok x1", type: "Place the Boulder", region: 14, level: "Surface", x: -2244, y: -2212, z: 260, details: "" },</v>
      </c>
    </row>
    <row r="832" spans="1:10" x14ac:dyDescent="0.2">
      <c r="A832" s="2">
        <v>825</v>
      </c>
      <c r="B832" s="34" t="s">
        <v>3885</v>
      </c>
      <c r="C832" t="s">
        <v>2801</v>
      </c>
      <c r="D832" s="2">
        <v>14</v>
      </c>
      <c r="E832" s="2" t="s">
        <v>785</v>
      </c>
      <c r="F832" s="2">
        <v>-2012</v>
      </c>
      <c r="G832" s="2">
        <v>-2470</v>
      </c>
      <c r="H832" s="2">
        <v>223</v>
      </c>
      <c r="J832" t="str">
        <f>"{ name: "&amp;CHAR(34)&amp;B832&amp;CHAR(34)&amp;", landmark: "&amp;CHAR(34)&amp;IF(LEN(C832)=LEN(SUBSTITUTE(C832,"Transport","")),"Korok x1","Korok x2")&amp;CHAR(34)&amp;", type: "&amp;CHAR(34)&amp;C832&amp;CHAR(34)&amp;", region: "&amp;D832&amp;", level: "&amp;CHAR(34)&amp;E832&amp;CHAR(34)&amp;", x: "&amp;F832&amp;", y: "&amp;G832&amp;", z: "&amp;H832&amp;", details: "&amp;CHAR(34)&amp;I832&amp;CHAR(34)&amp;" },"</f>
        <v>{ name: "Spectacle Rock Korok #05", landmark: "Korok x1", type: "Break the Acorn Pot", region: 14, level: "Surface", x: -2012, y: -2470, z: 223, details: "" },</v>
      </c>
    </row>
    <row r="833" spans="1:10" x14ac:dyDescent="0.2">
      <c r="A833" s="2">
        <v>830</v>
      </c>
      <c r="B833" s="34" t="s">
        <v>3893</v>
      </c>
      <c r="C833" t="s">
        <v>2808</v>
      </c>
      <c r="D833" s="2">
        <v>14</v>
      </c>
      <c r="E833" s="2" t="s">
        <v>785</v>
      </c>
      <c r="F833" s="2">
        <v>-1557</v>
      </c>
      <c r="G833" s="2">
        <v>-2626</v>
      </c>
      <c r="H833" s="2">
        <v>231</v>
      </c>
      <c r="J833" t="str">
        <f>"{ name: "&amp;CHAR(34)&amp;B833&amp;CHAR(34)&amp;", landmark: "&amp;CHAR(34)&amp;IF(LEN(C833)=LEN(SUBSTITUTE(C833,"Transport","")),"Korok x1","Korok x2")&amp;CHAR(34)&amp;", type: "&amp;CHAR(34)&amp;C833&amp;CHAR(34)&amp;", region: "&amp;D833&amp;", level: "&amp;CHAR(34)&amp;E833&amp;CHAR(34)&amp;", x: "&amp;F833&amp;", y: "&amp;G833&amp;", z: "&amp;H833&amp;", details: "&amp;CHAR(34)&amp;I833&amp;CHAR(34)&amp;" },"</f>
        <v>{ name: "Stalry Plateau Korok", landmark: "Korok x1", type: "Complete the Rock Pattern", region: 14, level: "Surface", x: -1557, y: -2626, z: 231, details: "" },</v>
      </c>
    </row>
    <row r="834" spans="1:10" x14ac:dyDescent="0.2">
      <c r="A834" s="2">
        <v>794</v>
      </c>
      <c r="B834" s="34" t="s">
        <v>4001</v>
      </c>
      <c r="C834" t="s">
        <v>2826</v>
      </c>
      <c r="D834" s="2">
        <v>14</v>
      </c>
      <c r="E834" s="2" t="s">
        <v>785</v>
      </c>
      <c r="F834" s="2">
        <v>-4592</v>
      </c>
      <c r="G834" s="2">
        <v>-2349</v>
      </c>
      <c r="H834" s="2">
        <v>52</v>
      </c>
      <c r="J834" t="str">
        <f>"{ name: "&amp;CHAR(34)&amp;B834&amp;CHAR(34)&amp;", landmark: "&amp;CHAR(34)&amp;IF(LEN(C834)=LEN(SUBSTITUTE(C834,"Transport","")),"Korok x1","Korok x2")&amp;CHAR(34)&amp;", type: "&amp;CHAR(34)&amp;C834&amp;CHAR(34)&amp;", region: "&amp;D834&amp;", level: "&amp;CHAR(34)&amp;E834&amp;CHAR(34)&amp;", x: "&amp;F834&amp;", y: "&amp;G834&amp;", z: "&amp;H834&amp;", details: "&amp;CHAR(34)&amp;I834&amp;CHAR(34)&amp;" },"</f>
        <v>{ name: "West Barrens Korok", landmark: "Korok x1", type: "Ascend Through the Marker", region: 14, level: "Surface", x: -4592, y: -2349, z: 52, details: "" },</v>
      </c>
    </row>
    <row r="835" spans="1:10" x14ac:dyDescent="0.2">
      <c r="A835" s="2">
        <v>792</v>
      </c>
      <c r="B835" s="34" t="s">
        <v>4003</v>
      </c>
      <c r="C835" t="s">
        <v>2821</v>
      </c>
      <c r="D835" s="2">
        <v>14</v>
      </c>
      <c r="E835" s="2" t="s">
        <v>785</v>
      </c>
      <c r="F835" s="2">
        <v>-4687</v>
      </c>
      <c r="G835" s="2">
        <v>-1962</v>
      </c>
      <c r="H835" s="2">
        <v>62</v>
      </c>
      <c r="J835" t="str">
        <f>"{ name: "&amp;CHAR(34)&amp;B835&amp;CHAR(34)&amp;", landmark: "&amp;CHAR(34)&amp;IF(LEN(C835)=LEN(SUBSTITUTE(C835,"Transport","")),"Korok x1","Korok x2")&amp;CHAR(34)&amp;", type: "&amp;CHAR(34)&amp;C835&amp;CHAR(34)&amp;", region: "&amp;D835&amp;", level: "&amp;CHAR(34)&amp;E835&amp;CHAR(34)&amp;", x: "&amp;F835&amp;", y: "&amp;G835&amp;", z: "&amp;H835&amp;", details: "&amp;CHAR(34)&amp;I835&amp;CHAR(34)&amp;" },"</f>
        <v>{ name: "West Gerudo Ruins Korok #01", landmark: "Korok x1", type: "Shoot the Balloons", region: 14, level: "Surface", x: -4687, y: -1962, z: 62, details: "" },</v>
      </c>
    </row>
    <row r="836" spans="1:10" x14ac:dyDescent="0.2">
      <c r="A836" s="2">
        <v>793</v>
      </c>
      <c r="B836" s="34" t="s">
        <v>4004</v>
      </c>
      <c r="C836" t="s">
        <v>2595</v>
      </c>
      <c r="D836" s="2">
        <v>14</v>
      </c>
      <c r="E836" s="2" t="s">
        <v>785</v>
      </c>
      <c r="F836" s="2">
        <v>-4710</v>
      </c>
      <c r="G836" s="2">
        <v>-2162</v>
      </c>
      <c r="H836" s="2">
        <v>103</v>
      </c>
      <c r="J836" t="str">
        <f>"{ name: "&amp;CHAR(34)&amp;B836&amp;CHAR(34)&amp;", landmark: "&amp;CHAR(34)&amp;IF(LEN(C836)=LEN(SUBSTITUTE(C836,"Transport","")),"Korok x1","Korok x2")&amp;CHAR(34)&amp;", type: "&amp;CHAR(34)&amp;C836&amp;CHAR(34)&amp;", region: "&amp;D836&amp;", level: "&amp;CHAR(34)&amp;E836&amp;CHAR(34)&amp;", x: "&amp;F836&amp;", y: "&amp;G836&amp;", z: "&amp;H836&amp;", details: "&amp;CHAR(34)&amp;I836&amp;CHAR(34)&amp;" },"</f>
        <v>{ name: "West Gerudo Ruins Korok #02", landmark: "Korok x1", type: "Attack and catch the dandelion", region: 14, level: "Surface", x: -4710, y: -2162, z: 103, details: "" },</v>
      </c>
    </row>
    <row r="837" spans="1:10" x14ac:dyDescent="0.2">
      <c r="A837" s="2">
        <v>795</v>
      </c>
      <c r="B837" s="34" t="s">
        <v>4005</v>
      </c>
      <c r="C837" t="s">
        <v>2827</v>
      </c>
      <c r="D837" s="2">
        <v>14</v>
      </c>
      <c r="E837" s="2" t="s">
        <v>785</v>
      </c>
      <c r="F837" s="2">
        <v>-4438</v>
      </c>
      <c r="G837" s="2">
        <v>-2114</v>
      </c>
      <c r="H837" s="2">
        <v>50</v>
      </c>
      <c r="I837" t="s">
        <v>2768</v>
      </c>
      <c r="J837" t="str">
        <f>"{ name: "&amp;CHAR(34)&amp;B837&amp;CHAR(34)&amp;", landmark: "&amp;CHAR(34)&amp;IF(LEN(C837)=LEN(SUBSTITUTE(C837,"Transport","")),"Korok x1","Korok x2")&amp;CHAR(34)&amp;", type: "&amp;CHAR(34)&amp;C837&amp;CHAR(34)&amp;", region: "&amp;D837&amp;", level: "&amp;CHAR(34)&amp;E837&amp;CHAR(34)&amp;", x: "&amp;F837&amp;", y: "&amp;G837&amp;", z: "&amp;H837&amp;", details: "&amp;CHAR(34)&amp;I837&amp;CHAR(34)&amp;" },"</f>
        <v>{ name: "West Gerudo Ruins Korok #03", landmark: "Korok x1", type: "Paraglide to the Goal", region: 14, level: "Surface", x: -4438, y: -2114, z: 50, details: "Starts at (-4482, -2134, 69)" },</v>
      </c>
    </row>
    <row r="838" spans="1:10" x14ac:dyDescent="0.2">
      <c r="A838" s="2">
        <v>796</v>
      </c>
      <c r="B838" s="34" t="s">
        <v>4006</v>
      </c>
      <c r="C838" t="s">
        <v>2811</v>
      </c>
      <c r="D838" s="2">
        <v>14</v>
      </c>
      <c r="E838" s="2" t="s">
        <v>785</v>
      </c>
      <c r="F838" s="2">
        <v>-4426</v>
      </c>
      <c r="G838" s="2">
        <v>-2262</v>
      </c>
      <c r="H838" s="2">
        <v>64</v>
      </c>
      <c r="I838" t="s">
        <v>2769</v>
      </c>
      <c r="J838" t="str">
        <f>"{ name: "&amp;CHAR(34)&amp;B838&amp;CHAR(34)&amp;", landmark: "&amp;CHAR(34)&amp;IF(LEN(C838)=LEN(SUBSTITUTE(C838,"Transport","")),"Korok x1","Korok x2")&amp;CHAR(34)&amp;", type: "&amp;CHAR(34)&amp;C838&amp;CHAR(34)&amp;", region: "&amp;D838&amp;", level: "&amp;CHAR(34)&amp;E838&amp;CHAR(34)&amp;", x: "&amp;F838&amp;", y: "&amp;G838&amp;", z: "&amp;H838&amp;", details: "&amp;CHAR(34)&amp;I838&amp;CHAR(34)&amp;" },"</f>
        <v>{ name: "West Gerudo Ruins Korok #04", landmark: "Korok x1", type: "Follow the Yellow Flowers", region: 14, level: "Surface", x: -4426, y: -2262, z: 64, details: "Starts at (-4443, -2274, 81)" },</v>
      </c>
    </row>
    <row r="839" spans="1:10" x14ac:dyDescent="0.2">
      <c r="A839" s="2">
        <v>797</v>
      </c>
      <c r="B839" s="34" t="s">
        <v>4022</v>
      </c>
      <c r="C839" t="s">
        <v>2824</v>
      </c>
      <c r="D839" s="2">
        <v>14</v>
      </c>
      <c r="E839" s="2" t="s">
        <v>785</v>
      </c>
      <c r="F839" s="2">
        <v>-4132</v>
      </c>
      <c r="G839" s="2">
        <v>-2593</v>
      </c>
      <c r="H839" s="2">
        <v>54</v>
      </c>
      <c r="J839" t="str">
        <f>"{ name: "&amp;CHAR(34)&amp;B839&amp;CHAR(34)&amp;", landmark: "&amp;CHAR(34)&amp;IF(LEN(C839)=LEN(SUBSTITUTE(C839,"Transport","")),"Korok x1","Korok x2")&amp;CHAR(34)&amp;", type: "&amp;CHAR(34)&amp;C839&amp;CHAR(34)&amp;", region: "&amp;D839&amp;", level: "&amp;CHAR(34)&amp;E839&amp;CHAR(34)&amp;", x: "&amp;F839&amp;", y: "&amp;G839&amp;", z: "&amp;H839&amp;", details: "&amp;CHAR(34)&amp;I839&amp;CHAR(34)&amp;" },"</f>
        <v>{ name: "West of North Gerudo Ruins Korok", landmark: "Korok x1", type: "Catch the Moving Sparkle", region: 14, level: "Surface", x: -4132, y: -2593, z: 54, details: "" },</v>
      </c>
    </row>
    <row r="840" spans="1:10" x14ac:dyDescent="0.2">
      <c r="A840" s="2">
        <v>828</v>
      </c>
      <c r="B840" s="34" t="s">
        <v>4034</v>
      </c>
      <c r="C840" t="s">
        <v>2807</v>
      </c>
      <c r="D840" s="2">
        <v>14</v>
      </c>
      <c r="E840" s="2" t="s">
        <v>785</v>
      </c>
      <c r="F840" s="2">
        <v>-1938</v>
      </c>
      <c r="G840" s="2">
        <v>-2822</v>
      </c>
      <c r="H840" s="2">
        <v>158</v>
      </c>
      <c r="J840" t="str">
        <f>"{ name: "&amp;CHAR(34)&amp;B840&amp;CHAR(34)&amp;", landmark: "&amp;CHAR(34)&amp;IF(LEN(C840)=LEN(SUBSTITUTE(C840,"Transport","")),"Korok x1","Korok x2")&amp;CHAR(34)&amp;", type: "&amp;CHAR(34)&amp;C840&amp;CHAR(34)&amp;", region: "&amp;D840&amp;", level: "&amp;CHAR(34)&amp;E840&amp;CHAR(34)&amp;", x: "&amp;F840&amp;", y: "&amp;G840&amp;", z: "&amp;H840&amp;", details: "&amp;CHAR(34)&amp;I840&amp;CHAR(34)&amp;" },"</f>
        <v>{ name: "Yarna Valley Korok", landmark: "Korok x1", type: "Complete the Cube Puzzle", region: 14, level: "Surface", x: -1938, y: -2822, z: 158, details: "" },</v>
      </c>
    </row>
    <row r="841" spans="1:10" x14ac:dyDescent="0.2">
      <c r="A841" s="2">
        <v>872</v>
      </c>
      <c r="B841" s="34" t="s">
        <v>3190</v>
      </c>
      <c r="C841" t="s">
        <v>2816</v>
      </c>
      <c r="D841" s="2">
        <v>15</v>
      </c>
      <c r="E841" s="2" t="s">
        <v>785</v>
      </c>
      <c r="F841" s="2">
        <v>-3584</v>
      </c>
      <c r="G841" s="2">
        <v>-1991</v>
      </c>
      <c r="H841" s="2">
        <v>247</v>
      </c>
      <c r="J841" t="str">
        <f>"{ name: "&amp;CHAR(34)&amp;B841&amp;CHAR(34)&amp;", landmark: "&amp;CHAR(34)&amp;IF(LEN(C841)=LEN(SUBSTITUTE(C841,"Transport","")),"Korok x1","Korok x2")&amp;CHAR(34)&amp;", type: "&amp;CHAR(34)&amp;C841&amp;CHAR(34)&amp;", region: "&amp;D841&amp;", level: "&amp;CHAR(34)&amp;E841&amp;CHAR(34)&amp;", x: "&amp;F841&amp;", y: "&amp;G841&amp;", z: "&amp;H841&amp;", details: "&amp;CHAR(34)&amp;I841&amp;CHAR(34)&amp;" },"</f>
        <v>{ name: "Birida Lookout Korok #01", landmark: "Korok x1", type: "Pull the Plug", region: 15, level: "Surface", x: -3584, y: -1991, z: 247, details: "" },</v>
      </c>
    </row>
    <row r="842" spans="1:10" x14ac:dyDescent="0.2">
      <c r="A842" s="2">
        <v>873</v>
      </c>
      <c r="B842" s="34" t="s">
        <v>3191</v>
      </c>
      <c r="C842" t="s">
        <v>2801</v>
      </c>
      <c r="D842" s="2">
        <v>15</v>
      </c>
      <c r="E842" s="2" t="s">
        <v>785</v>
      </c>
      <c r="F842" s="2">
        <v>-3582</v>
      </c>
      <c r="G842" s="2">
        <v>-1985</v>
      </c>
      <c r="H842" s="2">
        <v>206</v>
      </c>
      <c r="J842" t="str">
        <f>"{ name: "&amp;CHAR(34)&amp;B842&amp;CHAR(34)&amp;", landmark: "&amp;CHAR(34)&amp;IF(LEN(C842)=LEN(SUBSTITUTE(C842,"Transport","")),"Korok x1","Korok x2")&amp;CHAR(34)&amp;", type: "&amp;CHAR(34)&amp;C842&amp;CHAR(34)&amp;", region: "&amp;D842&amp;", level: "&amp;CHAR(34)&amp;E842&amp;CHAR(34)&amp;", x: "&amp;F842&amp;", y: "&amp;G842&amp;", z: "&amp;H842&amp;", details: "&amp;CHAR(34)&amp;I842&amp;CHAR(34)&amp;" },"</f>
        <v>{ name: "Birida Lookout Korok #02", landmark: "Korok x1", type: "Break the Acorn Pot", region: 15, level: "Surface", x: -3582, y: -1985, z: 206, details: "" },</v>
      </c>
    </row>
    <row r="843" spans="1:10" x14ac:dyDescent="0.2">
      <c r="A843" s="2">
        <v>874</v>
      </c>
      <c r="B843" s="34" t="s">
        <v>3192</v>
      </c>
      <c r="C843" t="s">
        <v>2821</v>
      </c>
      <c r="D843" s="2">
        <v>15</v>
      </c>
      <c r="E843" s="2" t="s">
        <v>785</v>
      </c>
      <c r="F843" s="2">
        <v>-3575</v>
      </c>
      <c r="G843" s="2">
        <v>-1852</v>
      </c>
      <c r="H843" s="2">
        <v>361</v>
      </c>
      <c r="J843" t="str">
        <f>"{ name: "&amp;CHAR(34)&amp;B843&amp;CHAR(34)&amp;", landmark: "&amp;CHAR(34)&amp;IF(LEN(C843)=LEN(SUBSTITUTE(C843,"Transport","")),"Korok x1","Korok x2")&amp;CHAR(34)&amp;", type: "&amp;CHAR(34)&amp;C843&amp;CHAR(34)&amp;", region: "&amp;D843&amp;", level: "&amp;CHAR(34)&amp;E843&amp;CHAR(34)&amp;", x: "&amp;F843&amp;", y: "&amp;G843&amp;", z: "&amp;H843&amp;", details: "&amp;CHAR(34)&amp;I843&amp;CHAR(34)&amp;" },"</f>
        <v>{ name: "Birida Lookout Korok #03", landmark: "Korok x1", type: "Shoot the Balloons", region: 15, level: "Surface", x: -3575, y: -1852, z: 361, details: "" },</v>
      </c>
    </row>
    <row r="844" spans="1:10" x14ac:dyDescent="0.2">
      <c r="A844" s="2">
        <v>893</v>
      </c>
      <c r="B844" s="34" t="s">
        <v>3363</v>
      </c>
      <c r="C844" t="s">
        <v>2811</v>
      </c>
      <c r="D844" s="2">
        <v>15</v>
      </c>
      <c r="E844" s="2" t="s">
        <v>785</v>
      </c>
      <c r="F844" s="2">
        <v>-2937</v>
      </c>
      <c r="G844" s="2">
        <v>-2214</v>
      </c>
      <c r="H844" s="2">
        <v>209</v>
      </c>
      <c r="I844" t="s">
        <v>2773</v>
      </c>
      <c r="J844" t="str">
        <f>"{ name: "&amp;CHAR(34)&amp;B844&amp;CHAR(34)&amp;", landmark: "&amp;CHAR(34)&amp;IF(LEN(C844)=LEN(SUBSTITUTE(C844,"Transport","")),"Korok x1","Korok x2")&amp;CHAR(34)&amp;", type: "&amp;CHAR(34)&amp;C844&amp;CHAR(34)&amp;", region: "&amp;D844&amp;", level: "&amp;CHAR(34)&amp;E844&amp;CHAR(34)&amp;", x: "&amp;F844&amp;", y: "&amp;G844&amp;", z: "&amp;H844&amp;", details: "&amp;CHAR(34)&amp;I844&amp;CHAR(34)&amp;" },"</f>
        <v>{ name: "Gerudo Desert Gateway Korok #02", landmark: "Korok x1", type: "Follow the Yellow Flowers", region: 15, level: "Surface", x: -2937, y: -2214, z: 209, details: "Starts at (-2931, -2217, 209)" },</v>
      </c>
    </row>
    <row r="845" spans="1:10" x14ac:dyDescent="0.2">
      <c r="A845" s="2">
        <v>849</v>
      </c>
      <c r="B845" s="34" t="s">
        <v>3365</v>
      </c>
      <c r="C845" t="s">
        <v>2812</v>
      </c>
      <c r="D845" s="2">
        <v>15</v>
      </c>
      <c r="E845" s="2" t="s">
        <v>785</v>
      </c>
      <c r="F845" s="2">
        <v>-4003</v>
      </c>
      <c r="G845" s="2">
        <v>-969</v>
      </c>
      <c r="H845" s="2">
        <v>715</v>
      </c>
      <c r="J845" t="str">
        <f>"{ name: "&amp;CHAR(34)&amp;B845&amp;CHAR(34)&amp;", landmark: "&amp;CHAR(34)&amp;IF(LEN(C845)=LEN(SUBSTITUTE(C845,"Transport","")),"Korok x1","Korok x2")&amp;CHAR(34)&amp;", type: "&amp;CHAR(34)&amp;C845&amp;CHAR(34)&amp;", region: "&amp;D845&amp;", level: "&amp;CHAR(34)&amp;E845&amp;CHAR(34)&amp;", x: "&amp;F845&amp;", y: "&amp;G845&amp;", z: "&amp;H845&amp;", details: "&amp;CHAR(34)&amp;I845&amp;CHAR(34)&amp;" },"</f>
        <v>{ name: "Gerudo Summit Korok #01", landmark: "Korok x1", type: "Lift the Rock", region: 15, level: "Surface", x: -4003, y: -969, z: 715, details: "" },</v>
      </c>
    </row>
    <row r="846" spans="1:10" x14ac:dyDescent="0.2">
      <c r="A846" s="2">
        <v>851</v>
      </c>
      <c r="B846" s="34" t="s">
        <v>3366</v>
      </c>
      <c r="C846" t="s">
        <v>2824</v>
      </c>
      <c r="D846" s="2">
        <v>15</v>
      </c>
      <c r="E846" s="2" t="s">
        <v>785</v>
      </c>
      <c r="F846" s="2">
        <v>-3964</v>
      </c>
      <c r="G846" s="2">
        <v>-609</v>
      </c>
      <c r="H846" s="2">
        <v>658</v>
      </c>
      <c r="J846" t="str">
        <f>"{ name: "&amp;CHAR(34)&amp;B846&amp;CHAR(34)&amp;", landmark: "&amp;CHAR(34)&amp;IF(LEN(C846)=LEN(SUBSTITUTE(C846,"Transport","")),"Korok x1","Korok x2")&amp;CHAR(34)&amp;", type: "&amp;CHAR(34)&amp;C846&amp;CHAR(34)&amp;", region: "&amp;D846&amp;", level: "&amp;CHAR(34)&amp;E846&amp;CHAR(34)&amp;", x: "&amp;F846&amp;", y: "&amp;G846&amp;", z: "&amp;H846&amp;", details: "&amp;CHAR(34)&amp;I846&amp;CHAR(34)&amp;" },"</f>
        <v>{ name: "Gerudo Summit Korok #02", landmark: "Korok x1", type: "Catch the Moving Sparkle", region: 15, level: "Surface", x: -3964, y: -609, z: 658, details: "" },</v>
      </c>
    </row>
    <row r="847" spans="1:10" x14ac:dyDescent="0.2">
      <c r="A847" s="2">
        <v>852</v>
      </c>
      <c r="B847" s="34" t="s">
        <v>3367</v>
      </c>
      <c r="C847" t="s">
        <v>2813</v>
      </c>
      <c r="D847" s="2">
        <v>15</v>
      </c>
      <c r="E847" s="2" t="s">
        <v>785</v>
      </c>
      <c r="F847" s="2">
        <v>-3812</v>
      </c>
      <c r="G847" s="2">
        <v>-790</v>
      </c>
      <c r="H847" s="2">
        <v>549</v>
      </c>
      <c r="J847" t="str">
        <f>"{ name: "&amp;CHAR(34)&amp;B847&amp;CHAR(34)&amp;", landmark: "&amp;CHAR(34)&amp;IF(LEN(C847)=LEN(SUBSTITUTE(C847,"Transport","")),"Korok x1","Korok x2")&amp;CHAR(34)&amp;", type: "&amp;CHAR(34)&amp;C847&amp;CHAR(34)&amp;", region: "&amp;D847&amp;", level: "&amp;CHAR(34)&amp;E847&amp;CHAR(34)&amp;", x: "&amp;F847&amp;", y: "&amp;G847&amp;", z: "&amp;H847&amp;", details: "&amp;CHAR(34)&amp;I847&amp;CHAR(34)&amp;" },"</f>
        <v>{ name: "Gerudo Summit Korok #03", landmark: "Korok x1", type: "Melt the Ice", region: 15, level: "Surface", x: -3812, y: -790, z: 549, details: "" },</v>
      </c>
    </row>
    <row r="848" spans="1:10" x14ac:dyDescent="0.2">
      <c r="A848" s="2">
        <v>853</v>
      </c>
      <c r="B848" s="34" t="s">
        <v>3368</v>
      </c>
      <c r="C848" t="s">
        <v>2817</v>
      </c>
      <c r="D848" s="2">
        <v>15</v>
      </c>
      <c r="E848" s="2" t="s">
        <v>785</v>
      </c>
      <c r="F848" s="2">
        <v>-3674</v>
      </c>
      <c r="G848" s="2">
        <v>-799</v>
      </c>
      <c r="H848" s="2">
        <v>635</v>
      </c>
      <c r="I848" t="s">
        <v>2664</v>
      </c>
      <c r="J848" t="str">
        <f>"{ name: "&amp;CHAR(34)&amp;B848&amp;CHAR(34)&amp;", landmark: "&amp;CHAR(34)&amp;IF(LEN(C848)=LEN(SUBSTITUTE(C848,"Transport","")),"Korok x1","Korok x2")&amp;CHAR(34)&amp;", type: "&amp;CHAR(34)&amp;C848&amp;CHAR(34)&amp;", region: "&amp;D848&amp;", level: "&amp;CHAR(34)&amp;E848&amp;CHAR(34)&amp;", x: "&amp;F848&amp;", y: "&amp;G848&amp;", z: "&amp;H848&amp;", details: "&amp;CHAR(34)&amp;I848&amp;CHAR(34)&amp;" },"</f>
        <v>{ name: "Gerudo Summit East Korok #01", landmark: "Korok x1", type: "Reach the Target Ring", region: 15, level: "Surface", x: -3674, y: -799, z: 635, details: "Starts at (-3722, -803, 642)" },</v>
      </c>
    </row>
    <row r="849" spans="1:10" x14ac:dyDescent="0.2">
      <c r="A849" s="2">
        <v>856</v>
      </c>
      <c r="B849" s="34" t="s">
        <v>3369</v>
      </c>
      <c r="C849" t="s">
        <v>2808</v>
      </c>
      <c r="D849" s="2">
        <v>15</v>
      </c>
      <c r="E849" s="2" t="s">
        <v>785</v>
      </c>
      <c r="F849" s="2">
        <v>-3565</v>
      </c>
      <c r="G849" s="2">
        <v>-733</v>
      </c>
      <c r="H849" s="2">
        <v>557</v>
      </c>
      <c r="J849" t="str">
        <f>"{ name: "&amp;CHAR(34)&amp;B849&amp;CHAR(34)&amp;", landmark: "&amp;CHAR(34)&amp;IF(LEN(C849)=LEN(SUBSTITUTE(C849,"Transport","")),"Korok x1","Korok x2")&amp;CHAR(34)&amp;", type: "&amp;CHAR(34)&amp;C849&amp;CHAR(34)&amp;", region: "&amp;D849&amp;", level: "&amp;CHAR(34)&amp;E849&amp;CHAR(34)&amp;", x: "&amp;F849&amp;", y: "&amp;G849&amp;", z: "&amp;H849&amp;", details: "&amp;CHAR(34)&amp;I849&amp;CHAR(34)&amp;" },"</f>
        <v>{ name: "Gerudo Summit East Korok #02", landmark: "Korok x1", type: "Complete the Rock Pattern", region: 15, level: "Surface", x: -3565, y: -733, z: 557, details: "" },</v>
      </c>
    </row>
    <row r="850" spans="1:10" x14ac:dyDescent="0.2">
      <c r="A850" s="2">
        <v>857</v>
      </c>
      <c r="B850" s="34" t="s">
        <v>3370</v>
      </c>
      <c r="C850" t="s">
        <v>2825</v>
      </c>
      <c r="D850" s="2">
        <v>15</v>
      </c>
      <c r="E850" s="2" t="s">
        <v>785</v>
      </c>
      <c r="F850" s="2">
        <v>-3493</v>
      </c>
      <c r="G850" s="2">
        <v>-985</v>
      </c>
      <c r="H850" s="2">
        <v>617</v>
      </c>
      <c r="J850" t="str">
        <f>"{ name: "&amp;CHAR(34)&amp;B850&amp;CHAR(34)&amp;", landmark: "&amp;CHAR(34)&amp;IF(LEN(C850)=LEN(SUBSTITUTE(C850,"Transport","")),"Korok x1","Korok x2")&amp;CHAR(34)&amp;", type: "&amp;CHAR(34)&amp;C850&amp;CHAR(34)&amp;", region: "&amp;D850&amp;", level: "&amp;CHAR(34)&amp;E850&amp;CHAR(34)&amp;", x: "&amp;F850&amp;", y: "&amp;G850&amp;", z: "&amp;H850&amp;", details: "&amp;CHAR(34)&amp;I850&amp;CHAR(34)&amp;" },"</f>
        <v>{ name: "Gerudo Summit East Korok #03", landmark: "Korok x1", type: "Climb and Examine the Fairy Lights", region: 15, level: "Surface", x: -3493, y: -985, z: 617, details: "" },</v>
      </c>
    </row>
    <row r="851" spans="1:10" x14ac:dyDescent="0.2">
      <c r="A851" s="2">
        <v>844</v>
      </c>
      <c r="B851" s="34" t="s">
        <v>3398</v>
      </c>
      <c r="C851" t="s">
        <v>2808</v>
      </c>
      <c r="D851" s="2">
        <v>15</v>
      </c>
      <c r="E851" s="2" t="s">
        <v>785</v>
      </c>
      <c r="F851" s="2">
        <v>-3320</v>
      </c>
      <c r="G851" s="2">
        <v>-2275</v>
      </c>
      <c r="H851" s="2">
        <v>77</v>
      </c>
      <c r="J851" t="str">
        <f>"{ name: "&amp;CHAR(34)&amp;B851&amp;CHAR(34)&amp;", landmark: "&amp;CHAR(34)&amp;IF(LEN(C851)=LEN(SUBSTITUTE(C851,"Transport","")),"Korok x1","Korok x2")&amp;CHAR(34)&amp;", type: "&amp;CHAR(34)&amp;C851&amp;CHAR(34)&amp;", region: "&amp;D851&amp;", level: "&amp;CHAR(34)&amp;E851&amp;CHAR(34)&amp;", x: "&amp;F851&amp;", y: "&amp;G851&amp;", z: "&amp;H851&amp;", details: "&amp;CHAR(34)&amp;I851&amp;CHAR(34)&amp;" },"</f>
        <v>{ name: "Great Cliffs Korok #01", landmark: "Korok x1", type: "Complete the Rock Pattern", region: 15, level: "Surface", x: -3320, y: -2275, z: 77, details: "" },</v>
      </c>
    </row>
    <row r="852" spans="1:10" x14ac:dyDescent="0.2">
      <c r="A852" s="2">
        <v>845</v>
      </c>
      <c r="B852" s="34" t="s">
        <v>3399</v>
      </c>
      <c r="C852" t="s">
        <v>2824</v>
      </c>
      <c r="D852" s="2">
        <v>15</v>
      </c>
      <c r="E852" s="2" t="s">
        <v>785</v>
      </c>
      <c r="F852" s="2">
        <v>-3316</v>
      </c>
      <c r="G852" s="2">
        <v>-2164</v>
      </c>
      <c r="H852" s="2">
        <v>50</v>
      </c>
      <c r="J852" t="str">
        <f>"{ name: "&amp;CHAR(34)&amp;B852&amp;CHAR(34)&amp;", landmark: "&amp;CHAR(34)&amp;IF(LEN(C852)=LEN(SUBSTITUTE(C852,"Transport","")),"Korok x1","Korok x2")&amp;CHAR(34)&amp;", type: "&amp;CHAR(34)&amp;C852&amp;CHAR(34)&amp;", region: "&amp;D852&amp;", level: "&amp;CHAR(34)&amp;E852&amp;CHAR(34)&amp;", x: "&amp;F852&amp;", y: "&amp;G852&amp;", z: "&amp;H852&amp;", details: "&amp;CHAR(34)&amp;I852&amp;CHAR(34)&amp;" },"</f>
        <v>{ name: "Great Cliffs Korok #02", landmark: "Korok x1", type: "Catch the Moving Sparkle", region: 15, level: "Surface", x: -3316, y: -2164, z: 50, details: "" },</v>
      </c>
    </row>
    <row r="853" spans="1:10" x14ac:dyDescent="0.2">
      <c r="A853" s="2">
        <v>878</v>
      </c>
      <c r="B853" s="34" t="s">
        <v>3400</v>
      </c>
      <c r="C853" t="s">
        <v>2807</v>
      </c>
      <c r="D853" s="2">
        <v>15</v>
      </c>
      <c r="E853" s="2" t="s">
        <v>785</v>
      </c>
      <c r="F853" s="2">
        <v>-3208</v>
      </c>
      <c r="G853" s="2">
        <v>-1855</v>
      </c>
      <c r="H853" s="2">
        <v>80</v>
      </c>
      <c r="J853" t="str">
        <f>"{ name: "&amp;CHAR(34)&amp;B853&amp;CHAR(34)&amp;", landmark: "&amp;CHAR(34)&amp;IF(LEN(C853)=LEN(SUBSTITUTE(C853,"Transport","")),"Korok x1","Korok x2")&amp;CHAR(34)&amp;", type: "&amp;CHAR(34)&amp;C853&amp;CHAR(34)&amp;", region: "&amp;D853&amp;", level: "&amp;CHAR(34)&amp;E853&amp;CHAR(34)&amp;", x: "&amp;F853&amp;", y: "&amp;G853&amp;", z: "&amp;H853&amp;", details: "&amp;CHAR(34)&amp;I853&amp;CHAR(34)&amp;" },"</f>
        <v>{ name: "Great Cliffs Korok #03", landmark: "Korok x1", type: "Complete the Cube Puzzle", region: 15, level: "Surface", x: -3208, y: -1855, z: 80, details: "" },</v>
      </c>
    </row>
    <row r="854" spans="1:10" x14ac:dyDescent="0.2">
      <c r="A854" s="2">
        <v>843</v>
      </c>
      <c r="B854" s="34" t="s">
        <v>3527</v>
      </c>
      <c r="C854" t="s">
        <v>2807</v>
      </c>
      <c r="D854" s="2">
        <v>15</v>
      </c>
      <c r="E854" s="2" t="s">
        <v>785</v>
      </c>
      <c r="F854" s="2">
        <v>-4394</v>
      </c>
      <c r="G854" s="2">
        <v>-2015</v>
      </c>
      <c r="H854" s="2">
        <v>102</v>
      </c>
      <c r="J854" t="str">
        <f>"{ name: "&amp;CHAR(34)&amp;B854&amp;CHAR(34)&amp;", landmark: "&amp;CHAR(34)&amp;IF(LEN(C854)=LEN(SUBSTITUTE(C854,"Transport","")),"Korok x1","Korok x2")&amp;CHAR(34)&amp;", type: "&amp;CHAR(34)&amp;C854&amp;CHAR(34)&amp;", region: "&amp;D854&amp;", level: "&amp;CHAR(34)&amp;E854&amp;CHAR(34)&amp;", x: "&amp;F854&amp;", y: "&amp;G854&amp;", z: "&amp;H854&amp;", details: "&amp;CHAR(34)&amp;I854&amp;CHAR(34)&amp;" },"</f>
        <v>{ name: "Karusa Valley Korok #01", landmark: "Korok x1", type: "Complete the Cube Puzzle", region: 15, level: "Surface", x: -4394, y: -2015, z: 102, details: "" },</v>
      </c>
    </row>
    <row r="855" spans="1:10" x14ac:dyDescent="0.2">
      <c r="A855" s="2">
        <v>862</v>
      </c>
      <c r="B855" s="34" t="s">
        <v>3528</v>
      </c>
      <c r="C855" t="s">
        <v>2801</v>
      </c>
      <c r="D855" s="2">
        <v>15</v>
      </c>
      <c r="E855" s="2" t="s">
        <v>785</v>
      </c>
      <c r="F855" s="2">
        <v>-4363</v>
      </c>
      <c r="G855" s="2">
        <v>-1846</v>
      </c>
      <c r="H855" s="2">
        <v>97</v>
      </c>
      <c r="J855" t="str">
        <f>"{ name: "&amp;CHAR(34)&amp;B855&amp;CHAR(34)&amp;", landmark: "&amp;CHAR(34)&amp;IF(LEN(C855)=LEN(SUBSTITUTE(C855,"Transport","")),"Korok x1","Korok x2")&amp;CHAR(34)&amp;", type: "&amp;CHAR(34)&amp;C855&amp;CHAR(34)&amp;", region: "&amp;D855&amp;", level: "&amp;CHAR(34)&amp;E855&amp;CHAR(34)&amp;", x: "&amp;F855&amp;", y: "&amp;G855&amp;", z: "&amp;H855&amp;", details: "&amp;CHAR(34)&amp;I855&amp;CHAR(34)&amp;" },"</f>
        <v>{ name: "Karusa Valley Korok #02", landmark: "Korok x1", type: "Break the Acorn Pot", region: 15, level: "Surface", x: -4363, y: -1846, z: 97, details: "" },</v>
      </c>
    </row>
    <row r="856" spans="1:10" x14ac:dyDescent="0.2">
      <c r="A856" s="2">
        <v>864</v>
      </c>
      <c r="B856" s="34" t="s">
        <v>3529</v>
      </c>
      <c r="C856" t="s">
        <v>2812</v>
      </c>
      <c r="D856" s="2">
        <v>15</v>
      </c>
      <c r="E856" s="2" t="s">
        <v>785</v>
      </c>
      <c r="F856" s="2">
        <v>-4148</v>
      </c>
      <c r="G856" s="2">
        <v>-1932</v>
      </c>
      <c r="H856" s="2">
        <v>103</v>
      </c>
      <c r="J856" t="str">
        <f>"{ name: "&amp;CHAR(34)&amp;B856&amp;CHAR(34)&amp;", landmark: "&amp;CHAR(34)&amp;IF(LEN(C856)=LEN(SUBSTITUTE(C856,"Transport","")),"Korok x1","Korok x2")&amp;CHAR(34)&amp;", type: "&amp;CHAR(34)&amp;C856&amp;CHAR(34)&amp;", region: "&amp;D856&amp;", level: "&amp;CHAR(34)&amp;E856&amp;CHAR(34)&amp;", x: "&amp;F856&amp;", y: "&amp;G856&amp;", z: "&amp;H856&amp;", details: "&amp;CHAR(34)&amp;I856&amp;CHAR(34)&amp;" },"</f>
        <v>{ name: "Karusa Valley Korok #03", landmark: "Korok x1", type: "Lift the Rock", region: 15, level: "Surface", x: -4148, y: -1932, z: 103, details: "" },</v>
      </c>
    </row>
    <row r="857" spans="1:10" x14ac:dyDescent="0.2">
      <c r="A857" s="2">
        <v>865</v>
      </c>
      <c r="B857" s="34" t="s">
        <v>3530</v>
      </c>
      <c r="C857" t="s">
        <v>2814</v>
      </c>
      <c r="D857" s="2">
        <v>15</v>
      </c>
      <c r="E857" s="2" t="s">
        <v>785</v>
      </c>
      <c r="F857" s="2">
        <v>-3921</v>
      </c>
      <c r="G857" s="2">
        <v>-1591</v>
      </c>
      <c r="H857" s="2">
        <v>243</v>
      </c>
      <c r="J857" t="str">
        <f>"{ name: "&amp;CHAR(34)&amp;B857&amp;CHAR(34)&amp;", landmark: "&amp;CHAR(34)&amp;IF(LEN(C857)=LEN(SUBSTITUTE(C857,"Transport","")),"Korok x1","Korok x2")&amp;CHAR(34)&amp;", type: "&amp;CHAR(34)&amp;C857&amp;CHAR(34)&amp;", region: "&amp;D857&amp;", level: "&amp;CHAR(34)&amp;E857&amp;CHAR(34)&amp;", x: "&amp;F857&amp;", y: "&amp;G857&amp;", z: "&amp;H857&amp;", details: "&amp;CHAR(34)&amp;I857&amp;CHAR(34)&amp;" },"</f>
        <v>{ name: "Karusa Valley Korok #04", landmark: "Korok x1", type: "Make Offering to Statue", region: 15, level: "Surface", x: -3921, y: -1591, z: 243, details: "" },</v>
      </c>
    </row>
    <row r="858" spans="1:10" x14ac:dyDescent="0.2">
      <c r="A858" s="2">
        <v>866</v>
      </c>
      <c r="B858" s="34" t="s">
        <v>3531</v>
      </c>
      <c r="C858" t="s">
        <v>2807</v>
      </c>
      <c r="D858" s="2">
        <v>15</v>
      </c>
      <c r="E858" s="2" t="s">
        <v>785</v>
      </c>
      <c r="F858" s="2">
        <v>-3899</v>
      </c>
      <c r="G858" s="2">
        <v>-1644</v>
      </c>
      <c r="H858" s="2">
        <v>295</v>
      </c>
      <c r="J858" t="str">
        <f>"{ name: "&amp;CHAR(34)&amp;B858&amp;CHAR(34)&amp;", landmark: "&amp;CHAR(34)&amp;IF(LEN(C858)=LEN(SUBSTITUTE(C858,"Transport","")),"Korok x1","Korok x2")&amp;CHAR(34)&amp;", type: "&amp;CHAR(34)&amp;C858&amp;CHAR(34)&amp;", region: "&amp;D858&amp;", level: "&amp;CHAR(34)&amp;E858&amp;CHAR(34)&amp;", x: "&amp;F858&amp;", y: "&amp;G858&amp;", z: "&amp;H858&amp;", details: "&amp;CHAR(34)&amp;I858&amp;CHAR(34)&amp;" },"</f>
        <v>{ name: "Karusa Valley Korok #05", landmark: "Korok x1", type: "Complete the Cube Puzzle", region: 15, level: "Surface", x: -3899, y: -1644, z: 295, details: "" },</v>
      </c>
    </row>
    <row r="859" spans="1:10" x14ac:dyDescent="0.2">
      <c r="A859" s="2">
        <v>868</v>
      </c>
      <c r="B859" s="34" t="s">
        <v>3532</v>
      </c>
      <c r="C859" t="s">
        <v>2817</v>
      </c>
      <c r="D859" s="2">
        <v>15</v>
      </c>
      <c r="E859" s="2" t="s">
        <v>785</v>
      </c>
      <c r="F859" s="2">
        <v>-3806</v>
      </c>
      <c r="G859" s="2">
        <v>-1475</v>
      </c>
      <c r="H859" s="2">
        <v>318</v>
      </c>
      <c r="I859" t="s">
        <v>2668</v>
      </c>
      <c r="J859" t="str">
        <f>"{ name: "&amp;CHAR(34)&amp;B859&amp;CHAR(34)&amp;", landmark: "&amp;CHAR(34)&amp;IF(LEN(C859)=LEN(SUBSTITUTE(C859,"Transport","")),"Korok x1","Korok x2")&amp;CHAR(34)&amp;", type: "&amp;CHAR(34)&amp;C859&amp;CHAR(34)&amp;", region: "&amp;D859&amp;", level: "&amp;CHAR(34)&amp;E859&amp;CHAR(34)&amp;", x: "&amp;F859&amp;", y: "&amp;G859&amp;", z: "&amp;H859&amp;", details: "&amp;CHAR(34)&amp;I859&amp;CHAR(34)&amp;" },"</f>
        <v>{ name: "Karusa Valley Korok #06", landmark: "Korok x1", type: "Reach the Target Ring", region: 15, level: "Surface", x: -3806, y: -1475, z: 318, details: "Starts at (-3846, -1465, 366)" },</v>
      </c>
    </row>
    <row r="860" spans="1:10" x14ac:dyDescent="0.2">
      <c r="A860" s="2">
        <v>892</v>
      </c>
      <c r="B860" s="34" t="s">
        <v>3533</v>
      </c>
      <c r="C860" t="s">
        <v>2802</v>
      </c>
      <c r="D860" s="2">
        <v>15</v>
      </c>
      <c r="E860" s="2" t="s">
        <v>785</v>
      </c>
      <c r="F860" s="2">
        <v>-4321</v>
      </c>
      <c r="G860" s="2">
        <v>-1861</v>
      </c>
      <c r="H860" s="2">
        <v>66</v>
      </c>
      <c r="I860" t="s">
        <v>2670</v>
      </c>
      <c r="J860" t="str">
        <f>"{ name: "&amp;CHAR(34)&amp;B860&amp;CHAR(34)&amp;", landmark: "&amp;CHAR(34)&amp;IF(LEN(C860)=LEN(SUBSTITUTE(C860,"Transport","")),"Korok x1","Korok x2")&amp;CHAR(34)&amp;", type: "&amp;CHAR(34)&amp;C860&amp;CHAR(34)&amp;", region: "&amp;D860&amp;", level: "&amp;CHAR(34)&amp;E860&amp;CHAR(34)&amp;", x: "&amp;F860&amp;", y: "&amp;G860&amp;", z: "&amp;H860&amp;", details: "&amp;CHAR(34)&amp;I860&amp;CHAR(34)&amp;" },"</f>
        <v>{ name: "Karusa Valley Korok #07", landmark: "Korok x2", type: "Transport to Friend", region: 15, level: "Surface", x: -4321, y: -1861, z: 66, details: "Starts at (-4136, -2260, 46)" },</v>
      </c>
    </row>
    <row r="861" spans="1:10" x14ac:dyDescent="0.2">
      <c r="A861" s="2">
        <v>897</v>
      </c>
      <c r="B861" s="34" t="s">
        <v>3551</v>
      </c>
      <c r="C861" t="s">
        <v>2819</v>
      </c>
      <c r="D861" s="2">
        <v>15</v>
      </c>
      <c r="E861" s="2" t="s">
        <v>785</v>
      </c>
      <c r="F861" s="2">
        <v>-3468</v>
      </c>
      <c r="G861" s="2">
        <v>-168</v>
      </c>
      <c r="H861" s="2">
        <v>67</v>
      </c>
      <c r="J861" t="str">
        <f>"{ name: "&amp;CHAR(34)&amp;B861&amp;CHAR(34)&amp;", landmark: "&amp;CHAR(34)&amp;IF(LEN(C861)=LEN(SUBSTITUTE(C861,"Transport","")),"Korok x1","Korok x2")&amp;CHAR(34)&amp;", type: "&amp;CHAR(34)&amp;C861&amp;CHAR(34)&amp;", region: "&amp;D861&amp;", level: "&amp;CHAR(34)&amp;E861&amp;CHAR(34)&amp;", x: "&amp;F861&amp;", y: "&amp;G861&amp;", z: "&amp;H861&amp;", details: "&amp;CHAR(34)&amp;I861&amp;CHAR(34)&amp;" },"</f>
        <v>{ name: "Lake Illumeni Korok", landmark: "Korok x1", type: "Repair the Roof", region: 15, level: "Surface", x: -3468, y: -168, z: 67, details: "" },</v>
      </c>
    </row>
    <row r="862" spans="1:10" x14ac:dyDescent="0.2">
      <c r="A862" s="2">
        <v>881</v>
      </c>
      <c r="B862" s="34" t="s">
        <v>3588</v>
      </c>
      <c r="C862" t="s">
        <v>2803</v>
      </c>
      <c r="D862" s="2">
        <v>15</v>
      </c>
      <c r="E862" s="2" t="s">
        <v>785</v>
      </c>
      <c r="F862" s="2">
        <v>-3102</v>
      </c>
      <c r="G862" s="2">
        <v>-1033</v>
      </c>
      <c r="H862" s="2">
        <v>597</v>
      </c>
      <c r="J862" t="str">
        <f>"{ name: "&amp;CHAR(34)&amp;B862&amp;CHAR(34)&amp;", landmark: "&amp;CHAR(34)&amp;IF(LEN(C862)=LEN(SUBSTITUTE(C862,"Transport","")),"Korok x1","Korok x2")&amp;CHAR(34)&amp;", type: "&amp;CHAR(34)&amp;C862&amp;CHAR(34)&amp;", region: "&amp;D862&amp;", level: "&amp;CHAR(34)&amp;E862&amp;CHAR(34)&amp;", x: "&amp;F862&amp;", y: "&amp;G862&amp;", z: "&amp;H862&amp;", details: "&amp;CHAR(34)&amp;I862&amp;CHAR(34)&amp;" },"</f>
        <v>{ name: "Laparoh Mesa Korok #01", landmark: "Korok x1", type: "Build a Roof", region: 15, level: "Surface", x: -3102, y: -1033, z: 597, details: "" },</v>
      </c>
    </row>
    <row r="863" spans="1:10" x14ac:dyDescent="0.2">
      <c r="A863" s="2">
        <v>882</v>
      </c>
      <c r="B863" s="34" t="s">
        <v>3589</v>
      </c>
      <c r="C863" t="s">
        <v>2816</v>
      </c>
      <c r="D863" s="2">
        <v>15</v>
      </c>
      <c r="E863" s="2" t="s">
        <v>785</v>
      </c>
      <c r="F863" s="2">
        <v>-3060</v>
      </c>
      <c r="G863" s="2">
        <v>-1286</v>
      </c>
      <c r="H863" s="2">
        <v>501</v>
      </c>
      <c r="J863" t="str">
        <f>"{ name: "&amp;CHAR(34)&amp;B863&amp;CHAR(34)&amp;", landmark: "&amp;CHAR(34)&amp;IF(LEN(C863)=LEN(SUBSTITUTE(C863,"Transport","")),"Korok x1","Korok x2")&amp;CHAR(34)&amp;", type: "&amp;CHAR(34)&amp;C863&amp;CHAR(34)&amp;", region: "&amp;D863&amp;", level: "&amp;CHAR(34)&amp;E863&amp;CHAR(34)&amp;", x: "&amp;F863&amp;", y: "&amp;G863&amp;", z: "&amp;H863&amp;", details: "&amp;CHAR(34)&amp;I863&amp;CHAR(34)&amp;" },"</f>
        <v>{ name: "Laparoh Mesa Korok #02", landmark: "Korok x1", type: "Pull the Plug", region: 15, level: "Surface", x: -3060, y: -1286, z: 501, details: "" },</v>
      </c>
    </row>
    <row r="864" spans="1:10" x14ac:dyDescent="0.2">
      <c r="A864" s="2">
        <v>884</v>
      </c>
      <c r="B864" s="34" t="s">
        <v>3590</v>
      </c>
      <c r="C864" t="s">
        <v>2825</v>
      </c>
      <c r="D864" s="2">
        <v>15</v>
      </c>
      <c r="E864" s="2" t="s">
        <v>785</v>
      </c>
      <c r="F864" s="2">
        <v>-2868</v>
      </c>
      <c r="G864" s="2">
        <v>-1124</v>
      </c>
      <c r="H864" s="2">
        <v>414</v>
      </c>
      <c r="J864" t="str">
        <f>"{ name: "&amp;CHAR(34)&amp;B864&amp;CHAR(34)&amp;", landmark: "&amp;CHAR(34)&amp;IF(LEN(C864)=LEN(SUBSTITUTE(C864,"Transport","")),"Korok x1","Korok x2")&amp;CHAR(34)&amp;", type: "&amp;CHAR(34)&amp;C864&amp;CHAR(34)&amp;", region: "&amp;D864&amp;", level: "&amp;CHAR(34)&amp;E864&amp;CHAR(34)&amp;", x: "&amp;F864&amp;", y: "&amp;G864&amp;", z: "&amp;H864&amp;", details: "&amp;CHAR(34)&amp;I864&amp;CHAR(34)&amp;" },"</f>
        <v>{ name: "Laparoh Mesa Korok #03", landmark: "Korok x1", type: "Climb and Examine the Fairy Lights", region: 15, level: "Surface", x: -2868, y: -1124, z: 414, details: "" },</v>
      </c>
    </row>
    <row r="865" spans="1:10" x14ac:dyDescent="0.2">
      <c r="A865" s="2">
        <v>887</v>
      </c>
      <c r="B865" s="34" t="s">
        <v>3591</v>
      </c>
      <c r="C865" t="s">
        <v>2826</v>
      </c>
      <c r="D865" s="2">
        <v>15</v>
      </c>
      <c r="E865" s="2" t="s">
        <v>785</v>
      </c>
      <c r="F865" s="2">
        <v>-2672</v>
      </c>
      <c r="G865" s="2">
        <v>-1357</v>
      </c>
      <c r="H865" s="2">
        <v>536</v>
      </c>
      <c r="J865" t="str">
        <f>"{ name: "&amp;CHAR(34)&amp;B865&amp;CHAR(34)&amp;", landmark: "&amp;CHAR(34)&amp;IF(LEN(C865)=LEN(SUBSTITUTE(C865,"Transport","")),"Korok x1","Korok x2")&amp;CHAR(34)&amp;", type: "&amp;CHAR(34)&amp;C865&amp;CHAR(34)&amp;", region: "&amp;D865&amp;", level: "&amp;CHAR(34)&amp;E865&amp;CHAR(34)&amp;", x: "&amp;F865&amp;", y: "&amp;G865&amp;", z: "&amp;H865&amp;", details: "&amp;CHAR(34)&amp;I865&amp;CHAR(34)&amp;" },"</f>
        <v>{ name: "Laparoh Mesa Korok #04", landmark: "Korok x1", type: "Ascend Through the Marker", region: 15, level: "Surface", x: -2672, y: -1357, z: 536, details: "" },</v>
      </c>
    </row>
    <row r="866" spans="1:10" x14ac:dyDescent="0.2">
      <c r="A866" s="2">
        <v>850</v>
      </c>
      <c r="B866" s="34" t="s">
        <v>3666</v>
      </c>
      <c r="C866" t="s">
        <v>2803</v>
      </c>
      <c r="D866" s="2">
        <v>15</v>
      </c>
      <c r="E866" s="2" t="s">
        <v>785</v>
      </c>
      <c r="F866" s="2">
        <v>-3969</v>
      </c>
      <c r="G866" s="2">
        <v>-324</v>
      </c>
      <c r="H866" s="2">
        <v>447</v>
      </c>
      <c r="J866" t="str">
        <f>"{ name: "&amp;CHAR(34)&amp;B866&amp;CHAR(34)&amp;", landmark: "&amp;CHAR(34)&amp;IF(LEN(C866)=LEN(SUBSTITUTE(C866,"Transport","")),"Korok x1","Korok x2")&amp;CHAR(34)&amp;", type: "&amp;CHAR(34)&amp;C866&amp;CHAR(34)&amp;", region: "&amp;D866&amp;", level: "&amp;CHAR(34)&amp;E866&amp;CHAR(34)&amp;", x: "&amp;F866&amp;", y: "&amp;G866&amp;", z: "&amp;H866&amp;", details: "&amp;CHAR(34)&amp;I866&amp;CHAR(34)&amp;" },"</f>
        <v>{ name: "Mystathi's Shelf Korok #01", landmark: "Korok x1", type: "Build a Roof", region: 15, level: "Surface", x: -3969, y: -324, z: 447, details: "" },</v>
      </c>
    </row>
    <row r="867" spans="1:10" x14ac:dyDescent="0.2">
      <c r="A867" s="2">
        <v>854</v>
      </c>
      <c r="B867" s="34" t="s">
        <v>3667</v>
      </c>
      <c r="C867" t="s">
        <v>2817</v>
      </c>
      <c r="D867" s="2">
        <v>15</v>
      </c>
      <c r="E867" s="2" t="s">
        <v>785</v>
      </c>
      <c r="F867" s="2">
        <v>-3654</v>
      </c>
      <c r="G867" s="2">
        <v>-392</v>
      </c>
      <c r="H867" s="2">
        <v>277</v>
      </c>
      <c r="I867" t="s">
        <v>2665</v>
      </c>
      <c r="J867" t="str">
        <f>"{ name: "&amp;CHAR(34)&amp;B867&amp;CHAR(34)&amp;", landmark: "&amp;CHAR(34)&amp;IF(LEN(C867)=LEN(SUBSTITUTE(C867,"Transport","")),"Korok x1","Korok x2")&amp;CHAR(34)&amp;", type: "&amp;CHAR(34)&amp;C867&amp;CHAR(34)&amp;", region: "&amp;D867&amp;", level: "&amp;CHAR(34)&amp;E867&amp;CHAR(34)&amp;", x: "&amp;F867&amp;", y: "&amp;G867&amp;", z: "&amp;H867&amp;", details: "&amp;CHAR(34)&amp;I867&amp;CHAR(34)&amp;" },"</f>
        <v>{ name: "Mystathi's Shelf Korok #02", landmark: "Korok x1", type: "Reach the Target Ring", region: 15, level: "Surface", x: -3654, y: -392, z: 277, details: "Starts at (-3621, -403, 240)" },</v>
      </c>
    </row>
    <row r="868" spans="1:10" x14ac:dyDescent="0.2">
      <c r="A868" s="2">
        <v>890</v>
      </c>
      <c r="B868" s="34" t="s">
        <v>3673</v>
      </c>
      <c r="C868" t="s">
        <v>2812</v>
      </c>
      <c r="D868" s="2">
        <v>15</v>
      </c>
      <c r="E868" s="2" t="s">
        <v>785</v>
      </c>
      <c r="F868" s="2">
        <v>-2140</v>
      </c>
      <c r="G868" s="2">
        <v>-1486</v>
      </c>
      <c r="H868" s="2">
        <v>280</v>
      </c>
      <c r="J868" t="str">
        <f>"{ name: "&amp;CHAR(34)&amp;B868&amp;CHAR(34)&amp;", landmark: "&amp;CHAR(34)&amp;IF(LEN(C868)=LEN(SUBSTITUTE(C868,"Transport","")),"Korok x1","Korok x2")&amp;CHAR(34)&amp;", type: "&amp;CHAR(34)&amp;C868&amp;CHAR(34)&amp;", region: "&amp;D868&amp;", level: "&amp;CHAR(34)&amp;E868&amp;CHAR(34)&amp;", x: "&amp;F868&amp;", y: "&amp;G868&amp;", z: "&amp;H868&amp;", details: "&amp;CHAR(34)&amp;I868&amp;CHAR(34)&amp;" },"</f>
        <v>{ name: "Nephra Hill Korok #01", landmark: "Korok x1", type: "Lift the Rock", region: 15, level: "Surface", x: -2140, y: -1486, z: 280, details: "" },</v>
      </c>
    </row>
    <row r="869" spans="1:10" x14ac:dyDescent="0.2">
      <c r="A869" s="2">
        <v>891</v>
      </c>
      <c r="B869" s="34" t="s">
        <v>3674</v>
      </c>
      <c r="C869" t="s">
        <v>2821</v>
      </c>
      <c r="D869" s="2">
        <v>15</v>
      </c>
      <c r="E869" s="2" t="s">
        <v>785</v>
      </c>
      <c r="F869" s="2">
        <v>-1817</v>
      </c>
      <c r="G869" s="2">
        <v>-1535</v>
      </c>
      <c r="H869" s="2">
        <v>103</v>
      </c>
      <c r="J869" t="str">
        <f>"{ name: "&amp;CHAR(34)&amp;B869&amp;CHAR(34)&amp;", landmark: "&amp;CHAR(34)&amp;IF(LEN(C869)=LEN(SUBSTITUTE(C869,"Transport","")),"Korok x1","Korok x2")&amp;CHAR(34)&amp;", type: "&amp;CHAR(34)&amp;C869&amp;CHAR(34)&amp;", region: "&amp;D869&amp;", level: "&amp;CHAR(34)&amp;E869&amp;CHAR(34)&amp;", x: "&amp;F869&amp;", y: "&amp;G869&amp;", z: "&amp;H869&amp;", details: "&amp;CHAR(34)&amp;I869&amp;CHAR(34)&amp;" },"</f>
        <v>{ name: "Nephra Hill Korok #02", landmark: "Korok x1", type: "Shoot the Balloons", region: 15, level: "Surface", x: -1817, y: -1535, z: 103, details: "" },</v>
      </c>
    </row>
    <row r="870" spans="1:10" x14ac:dyDescent="0.2">
      <c r="A870" s="2">
        <v>59</v>
      </c>
      <c r="B870" s="34" t="s">
        <v>3688</v>
      </c>
      <c r="C870" t="s">
        <v>2827</v>
      </c>
      <c r="D870" s="2">
        <v>15</v>
      </c>
      <c r="E870" s="2" t="s">
        <v>783</v>
      </c>
      <c r="F870" s="2">
        <v>-3369</v>
      </c>
      <c r="G870" s="2">
        <v>-51</v>
      </c>
      <c r="H870" s="2">
        <v>2287</v>
      </c>
      <c r="I870" t="s">
        <v>2737</v>
      </c>
      <c r="J870" t="str">
        <f>"{ name: "&amp;CHAR(34)&amp;B870&amp;CHAR(34)&amp;", landmark: "&amp;CHAR(34)&amp;IF(LEN(C870)=LEN(SUBSTITUTE(C870,"Transport","")),"Korok x1","Korok x2")&amp;CHAR(34)&amp;", type: "&amp;CHAR(34)&amp;C870&amp;CHAR(34)&amp;", region: "&amp;D870&amp;", level: "&amp;CHAR(34)&amp;E870&amp;CHAR(34)&amp;", x: "&amp;F870&amp;", y: "&amp;G870&amp;", z: "&amp;H870&amp;", details: "&amp;CHAR(34)&amp;I870&amp;CHAR(34)&amp;" },"</f>
        <v>{ name: "North Gerudo Sky Archipelago Korok", landmark: "Korok x1", type: "Paraglide to the Goal", region: 15, level: "Sky", x: -3369, y: -51, z: 2287, details: "Starts at (-3374, 12, 2324)" },</v>
      </c>
    </row>
    <row r="871" spans="1:10" x14ac:dyDescent="0.2">
      <c r="A871" s="2">
        <v>846</v>
      </c>
      <c r="B871" s="34" t="s">
        <v>3787</v>
      </c>
      <c r="C871" t="s">
        <v>2815</v>
      </c>
      <c r="D871" s="2">
        <v>15</v>
      </c>
      <c r="E871" s="2" t="s">
        <v>785</v>
      </c>
      <c r="F871" s="2">
        <v>-4420</v>
      </c>
      <c r="G871" s="2">
        <v>-352</v>
      </c>
      <c r="H871" s="2">
        <v>523</v>
      </c>
      <c r="J871" t="str">
        <f>"{ name: "&amp;CHAR(34)&amp;B871&amp;CHAR(34)&amp;", landmark: "&amp;CHAR(34)&amp;IF(LEN(C871)=LEN(SUBSTITUTE(C871,"Transport","")),"Korok x1","Korok x2")&amp;CHAR(34)&amp;", type: "&amp;CHAR(34)&amp;C871&amp;CHAR(34)&amp;", region: "&amp;D871&amp;", level: "&amp;CHAR(34)&amp;E871&amp;CHAR(34)&amp;", x: "&amp;F871&amp;", y: "&amp;G871&amp;", z: "&amp;H871&amp;", details: "&amp;CHAR(34)&amp;I871&amp;CHAR(34)&amp;" },"</f>
        <v>{ name: "Risoka Snowfield Korok #01", landmark: "Korok x1", type: "Place the Boulder", region: 15, level: "Surface", x: -4420, y: -352, z: 523, details: "" },</v>
      </c>
    </row>
    <row r="872" spans="1:10" x14ac:dyDescent="0.2">
      <c r="A872" s="2">
        <v>847</v>
      </c>
      <c r="B872" s="34" t="s">
        <v>3788</v>
      </c>
      <c r="C872" t="s">
        <v>2822</v>
      </c>
      <c r="D872" s="2">
        <v>15</v>
      </c>
      <c r="E872" s="2" t="s">
        <v>785</v>
      </c>
      <c r="F872" s="2">
        <v>-4389</v>
      </c>
      <c r="G872" s="2">
        <v>-715</v>
      </c>
      <c r="H872" s="2">
        <v>567</v>
      </c>
      <c r="J872" t="str">
        <f>"{ name: "&amp;CHAR(34)&amp;B872&amp;CHAR(34)&amp;", landmark: "&amp;CHAR(34)&amp;IF(LEN(C872)=LEN(SUBSTITUTE(C872,"Transport","")),"Korok x1","Korok x2")&amp;CHAR(34)&amp;", type: "&amp;CHAR(34)&amp;C872&amp;CHAR(34)&amp;", region: "&amp;D872&amp;", level: "&amp;CHAR(34)&amp;E872&amp;CHAR(34)&amp;", x: "&amp;F872&amp;", y: "&amp;G872&amp;", z: "&amp;H872&amp;", details: "&amp;CHAR(34)&amp;I872&amp;CHAR(34)&amp;" },"</f>
        <v>{ name: "Risoka Snowfield Korok #02", landmark: "Korok x1", type: "Shoot the Hidden Balloon", region: 15, level: "Surface", x: -4389, y: -715, z: 567, details: "" },</v>
      </c>
    </row>
    <row r="873" spans="1:10" x14ac:dyDescent="0.2">
      <c r="A873" s="2">
        <v>860</v>
      </c>
      <c r="B873" s="34" t="s">
        <v>3789</v>
      </c>
      <c r="C873" t="s">
        <v>2823</v>
      </c>
      <c r="D873" s="2">
        <v>15</v>
      </c>
      <c r="E873" s="2" t="s">
        <v>785</v>
      </c>
      <c r="F873" s="2">
        <v>-4692</v>
      </c>
      <c r="G873" s="2">
        <v>-1236</v>
      </c>
      <c r="H873" s="2">
        <v>526</v>
      </c>
      <c r="J873" t="str">
        <f>"{ name: "&amp;CHAR(34)&amp;B873&amp;CHAR(34)&amp;", landmark: "&amp;CHAR(34)&amp;IF(LEN(C873)=LEN(SUBSTITUTE(C873,"Transport","")),"Korok x1","Korok x2")&amp;CHAR(34)&amp;", type: "&amp;CHAR(34)&amp;C873&amp;CHAR(34)&amp;", region: "&amp;D873&amp;", level: "&amp;CHAR(34)&amp;E873&amp;CHAR(34)&amp;", x: "&amp;F873&amp;", y: "&amp;G873&amp;", z: "&amp;H873&amp;", details: "&amp;CHAR(34)&amp;I873&amp;CHAR(34)&amp;" },"</f>
        <v>{ name: "Risoka Snowfield Korok #03", landmark: "Korok x1", type: "Examine Fairy Lights", region: 15, level: "Surface", x: -4692, y: -1236, z: 526, details: "" },</v>
      </c>
    </row>
    <row r="874" spans="1:10" x14ac:dyDescent="0.2">
      <c r="A874" s="2">
        <v>861</v>
      </c>
      <c r="B874" s="34" t="s">
        <v>3790</v>
      </c>
      <c r="C874" t="s">
        <v>2802</v>
      </c>
      <c r="D874" s="2">
        <v>15</v>
      </c>
      <c r="E874" s="2" t="s">
        <v>785</v>
      </c>
      <c r="F874" s="2">
        <v>-4508</v>
      </c>
      <c r="G874" s="2">
        <v>-590</v>
      </c>
      <c r="H874" s="2">
        <v>512</v>
      </c>
      <c r="I874" t="s">
        <v>2667</v>
      </c>
      <c r="J874" t="str">
        <f>"{ name: "&amp;CHAR(34)&amp;B874&amp;CHAR(34)&amp;", landmark: "&amp;CHAR(34)&amp;IF(LEN(C874)=LEN(SUBSTITUTE(C874,"Transport","")),"Korok x1","Korok x2")&amp;CHAR(34)&amp;", type: "&amp;CHAR(34)&amp;C874&amp;CHAR(34)&amp;", region: "&amp;D874&amp;", level: "&amp;CHAR(34)&amp;E874&amp;CHAR(34)&amp;", x: "&amp;F874&amp;", y: "&amp;G874&amp;", z: "&amp;H874&amp;", details: "&amp;CHAR(34)&amp;I874&amp;CHAR(34)&amp;" },"</f>
        <v>{ name: "Risoka Snowfield Korok #04", landmark: "Korok x2", type: "Transport to Friend", region: 15, level: "Surface", x: -4508, y: -590, z: 512, details: "Starts at (-4538, -1344, 529)" },</v>
      </c>
    </row>
    <row r="875" spans="1:10" x14ac:dyDescent="0.2">
      <c r="A875" s="2">
        <v>863</v>
      </c>
      <c r="B875" s="34" t="s">
        <v>3791</v>
      </c>
      <c r="C875" t="s">
        <v>2808</v>
      </c>
      <c r="D875" s="2">
        <v>15</v>
      </c>
      <c r="E875" s="2" t="s">
        <v>785</v>
      </c>
      <c r="F875" s="2">
        <v>-4323</v>
      </c>
      <c r="G875" s="2">
        <v>-1090</v>
      </c>
      <c r="H875" s="2">
        <v>524</v>
      </c>
      <c r="J875" t="str">
        <f>"{ name: "&amp;CHAR(34)&amp;B875&amp;CHAR(34)&amp;", landmark: "&amp;CHAR(34)&amp;IF(LEN(C875)=LEN(SUBSTITUTE(C875,"Transport","")),"Korok x1","Korok x2")&amp;CHAR(34)&amp;", type: "&amp;CHAR(34)&amp;C875&amp;CHAR(34)&amp;", region: "&amp;D875&amp;", level: "&amp;CHAR(34)&amp;E875&amp;CHAR(34)&amp;", x: "&amp;F875&amp;", y: "&amp;G875&amp;", z: "&amp;H875&amp;", details: "&amp;CHAR(34)&amp;I875&amp;CHAR(34)&amp;" },"</f>
        <v>{ name: "Risoka Snowfield Korok #05", landmark: "Korok x1", type: "Complete the Rock Pattern", region: 15, level: "Surface", x: -4323, y: -1090, z: 524, details: "" },</v>
      </c>
    </row>
    <row r="876" spans="1:10" x14ac:dyDescent="0.2">
      <c r="A876" s="2">
        <v>871</v>
      </c>
      <c r="B876" s="34" t="s">
        <v>3827</v>
      </c>
      <c r="C876" t="s">
        <v>2815</v>
      </c>
      <c r="D876" s="2">
        <v>15</v>
      </c>
      <c r="E876" s="2" t="s">
        <v>785</v>
      </c>
      <c r="F876" s="2">
        <v>-3666</v>
      </c>
      <c r="G876" s="2">
        <v>-1565</v>
      </c>
      <c r="H876" s="2">
        <v>472</v>
      </c>
      <c r="J876" t="str">
        <f>"{ name: "&amp;CHAR(34)&amp;B876&amp;CHAR(34)&amp;", landmark: "&amp;CHAR(34)&amp;IF(LEN(C876)=LEN(SUBSTITUTE(C876,"Transport","")),"Korok x1","Korok x2")&amp;CHAR(34)&amp;", type: "&amp;CHAR(34)&amp;C876&amp;CHAR(34)&amp;", region: "&amp;D876&amp;", level: "&amp;CHAR(34)&amp;E876&amp;CHAR(34)&amp;", x: "&amp;F876&amp;", y: "&amp;G876&amp;", z: "&amp;H876&amp;", details: "&amp;CHAR(34)&amp;I876&amp;CHAR(34)&amp;" },"</f>
        <v>{ name: "Sapphia's Table Korok #01", landmark: "Korok x1", type: "Place the Boulder", region: 15, level: "Surface", x: -3666, y: -1565, z: 472, details: "" },</v>
      </c>
    </row>
    <row r="877" spans="1:10" x14ac:dyDescent="0.2">
      <c r="A877" s="2">
        <v>875</v>
      </c>
      <c r="B877" s="34" t="s">
        <v>3828</v>
      </c>
      <c r="C877" t="s">
        <v>2808</v>
      </c>
      <c r="D877" s="2">
        <v>15</v>
      </c>
      <c r="E877" s="2" t="s">
        <v>785</v>
      </c>
      <c r="F877" s="2">
        <v>-3561</v>
      </c>
      <c r="G877" s="2">
        <v>-1559</v>
      </c>
      <c r="H877" s="2">
        <v>453</v>
      </c>
      <c r="J877" t="str">
        <f>"{ name: "&amp;CHAR(34)&amp;B877&amp;CHAR(34)&amp;", landmark: "&amp;CHAR(34)&amp;IF(LEN(C877)=LEN(SUBSTITUTE(C877,"Transport","")),"Korok x1","Korok x2")&amp;CHAR(34)&amp;", type: "&amp;CHAR(34)&amp;C877&amp;CHAR(34)&amp;", region: "&amp;D877&amp;", level: "&amp;CHAR(34)&amp;E877&amp;CHAR(34)&amp;", x: "&amp;F877&amp;", y: "&amp;G877&amp;", z: "&amp;H877&amp;", details: "&amp;CHAR(34)&amp;I877&amp;CHAR(34)&amp;" },"</f>
        <v>{ name: "Sapphia's Table Korok #02", landmark: "Korok x1", type: "Complete the Rock Pattern", region: 15, level: "Surface", x: -3561, y: -1559, z: 453, details: "" },</v>
      </c>
    </row>
    <row r="878" spans="1:10" x14ac:dyDescent="0.2">
      <c r="A878" s="2">
        <v>876</v>
      </c>
      <c r="B878" s="34" t="s">
        <v>3829</v>
      </c>
      <c r="C878" t="s">
        <v>2813</v>
      </c>
      <c r="D878" s="2">
        <v>15</v>
      </c>
      <c r="E878" s="2" t="s">
        <v>785</v>
      </c>
      <c r="F878" s="2">
        <v>-3249</v>
      </c>
      <c r="G878" s="2">
        <v>-1464</v>
      </c>
      <c r="H878" s="2">
        <v>402</v>
      </c>
      <c r="J878" t="str">
        <f>"{ name: "&amp;CHAR(34)&amp;B878&amp;CHAR(34)&amp;", landmark: "&amp;CHAR(34)&amp;IF(LEN(C878)=LEN(SUBSTITUTE(C878,"Transport","")),"Korok x1","Korok x2")&amp;CHAR(34)&amp;", type: "&amp;CHAR(34)&amp;C878&amp;CHAR(34)&amp;", region: "&amp;D878&amp;", level: "&amp;CHAR(34)&amp;E878&amp;CHAR(34)&amp;", x: "&amp;F878&amp;", y: "&amp;G878&amp;", z: "&amp;H878&amp;", details: "&amp;CHAR(34)&amp;I878&amp;CHAR(34)&amp;" },"</f>
        <v>{ name: "Sapphia's Table Korok #03", landmark: "Korok x1", type: "Melt the Ice", region: 15, level: "Surface", x: -3249, y: -1464, z: 402, details: "" },</v>
      </c>
    </row>
    <row r="879" spans="1:10" x14ac:dyDescent="0.2">
      <c r="A879" s="2">
        <v>883</v>
      </c>
      <c r="B879" s="34" t="s">
        <v>3830</v>
      </c>
      <c r="C879" t="s">
        <v>2813</v>
      </c>
      <c r="D879" s="2">
        <v>15</v>
      </c>
      <c r="E879" s="2" t="s">
        <v>785</v>
      </c>
      <c r="F879" s="2">
        <v>-3011</v>
      </c>
      <c r="G879" s="2">
        <v>-1501</v>
      </c>
      <c r="H879" s="2">
        <v>578</v>
      </c>
      <c r="J879" t="str">
        <f>"{ name: "&amp;CHAR(34)&amp;B879&amp;CHAR(34)&amp;", landmark: "&amp;CHAR(34)&amp;IF(LEN(C879)=LEN(SUBSTITUTE(C879,"Transport","")),"Korok x1","Korok x2")&amp;CHAR(34)&amp;", type: "&amp;CHAR(34)&amp;C879&amp;CHAR(34)&amp;", region: "&amp;D879&amp;", level: "&amp;CHAR(34)&amp;E879&amp;CHAR(34)&amp;", x: "&amp;F879&amp;", y: "&amp;G879&amp;", z: "&amp;H879&amp;", details: "&amp;CHAR(34)&amp;I879&amp;CHAR(34)&amp;" },"</f>
        <v>{ name: "Sapphia's Table Korok #04", landmark: "Korok x1", type: "Melt the Ice", region: 15, level: "Surface", x: -3011, y: -1501, z: 578, details: "" },</v>
      </c>
    </row>
    <row r="880" spans="1:10" x14ac:dyDescent="0.2">
      <c r="A880" s="2">
        <v>859</v>
      </c>
      <c r="B880" s="34" t="s">
        <v>3873</v>
      </c>
      <c r="C880" t="s">
        <v>2807</v>
      </c>
      <c r="D880" s="2">
        <v>15</v>
      </c>
      <c r="E880" s="2" t="s">
        <v>785</v>
      </c>
      <c r="F880" s="2">
        <v>-4911</v>
      </c>
      <c r="G880" s="2">
        <v>-1243</v>
      </c>
      <c r="H880" s="2">
        <v>457</v>
      </c>
      <c r="J880" t="str">
        <f>"{ name: "&amp;CHAR(34)&amp;B880&amp;CHAR(34)&amp;", landmark: "&amp;CHAR(34)&amp;IF(LEN(C880)=LEN(SUBSTITUTE(C880,"Transport","")),"Korok x1","Korok x2")&amp;CHAR(34)&amp;", type: "&amp;CHAR(34)&amp;C880&amp;CHAR(34)&amp;", region: "&amp;D880&amp;", level: "&amp;CHAR(34)&amp;E880&amp;CHAR(34)&amp;", x: "&amp;F880&amp;", y: "&amp;G880&amp;", z: "&amp;H880&amp;", details: "&amp;CHAR(34)&amp;I880&amp;CHAR(34)&amp;" },"</f>
        <v>{ name: "South of Mount Agaat Korok", landmark: "Korok x1", type: "Complete the Cube Puzzle", region: 15, level: "Surface", x: -4911, y: -1243, z: 457, details: "" },</v>
      </c>
    </row>
    <row r="881" spans="1:10" x14ac:dyDescent="0.2">
      <c r="A881" s="2">
        <v>879</v>
      </c>
      <c r="B881" s="34" t="s">
        <v>3874</v>
      </c>
      <c r="C881" t="s">
        <v>2801</v>
      </c>
      <c r="D881" s="2">
        <v>15</v>
      </c>
      <c r="E881" s="2" t="s">
        <v>785</v>
      </c>
      <c r="F881" s="2">
        <v>-3193</v>
      </c>
      <c r="G881" s="2">
        <v>-1745</v>
      </c>
      <c r="H881" s="2">
        <v>354</v>
      </c>
      <c r="J881" t="str">
        <f>"{ name: "&amp;CHAR(34)&amp;B881&amp;CHAR(34)&amp;", landmark: "&amp;CHAR(34)&amp;IF(LEN(C881)=LEN(SUBSTITUTE(C881,"Transport","")),"Korok x1","Korok x2")&amp;CHAR(34)&amp;", type: "&amp;CHAR(34)&amp;C881&amp;CHAR(34)&amp;", region: "&amp;D881&amp;", level: "&amp;CHAR(34)&amp;E881&amp;CHAR(34)&amp;", x: "&amp;F881&amp;", y: "&amp;G881&amp;", z: "&amp;H881&amp;", details: "&amp;CHAR(34)&amp;I881&amp;CHAR(34)&amp;" },"</f>
        <v>{ name: "South of Sapphia's Table Korok", landmark: "Korok x1", type: "Break the Acorn Pot", region: 15, level: "Surface", x: -3193, y: -1745, z: 354, details: "" },</v>
      </c>
    </row>
    <row r="882" spans="1:10" x14ac:dyDescent="0.2">
      <c r="A882" s="2">
        <v>848</v>
      </c>
      <c r="B882" s="34" t="s">
        <v>3894</v>
      </c>
      <c r="C882" t="s">
        <v>2812</v>
      </c>
      <c r="D882" s="2">
        <v>15</v>
      </c>
      <c r="E882" s="2" t="s">
        <v>785</v>
      </c>
      <c r="F882" s="2">
        <v>-4377</v>
      </c>
      <c r="G882" s="2">
        <v>-525</v>
      </c>
      <c r="H882" s="2">
        <v>452</v>
      </c>
      <c r="J882" t="str">
        <f>"{ name: "&amp;CHAR(34)&amp;B882&amp;CHAR(34)&amp;", landmark: "&amp;CHAR(34)&amp;IF(LEN(C882)=LEN(SUBSTITUTE(C882,"Transport","")),"Korok x1","Korok x2")&amp;CHAR(34)&amp;", type: "&amp;CHAR(34)&amp;C882&amp;CHAR(34)&amp;", region: "&amp;D882&amp;", level: "&amp;CHAR(34)&amp;E882&amp;CHAR(34)&amp;", x: "&amp;F882&amp;", y: "&amp;G882&amp;", z: "&amp;H882&amp;", details: "&amp;CHAR(34)&amp;I882&amp;CHAR(34)&amp;" },"</f>
        <v>{ name: "Statue of the Eighth Heroine Korok", landmark: "Korok x1", type: "Lift the Rock", region: 15, level: "Surface", x: -4377, y: -525, z: 452, details: "" },</v>
      </c>
    </row>
    <row r="883" spans="1:10" x14ac:dyDescent="0.2">
      <c r="A883" s="2">
        <v>885</v>
      </c>
      <c r="B883" s="34" t="s">
        <v>3900</v>
      </c>
      <c r="C883" t="s">
        <v>2816</v>
      </c>
      <c r="D883" s="2">
        <v>15</v>
      </c>
      <c r="E883" s="2" t="s">
        <v>785</v>
      </c>
      <c r="F883" s="2">
        <v>-2819</v>
      </c>
      <c r="G883" s="2">
        <v>-1652</v>
      </c>
      <c r="H883" s="2">
        <v>475</v>
      </c>
      <c r="J883" t="str">
        <f>"{ name: "&amp;CHAR(34)&amp;B883&amp;CHAR(34)&amp;", landmark: "&amp;CHAR(34)&amp;IF(LEN(C883)=LEN(SUBSTITUTE(C883,"Transport","")),"Korok x1","Korok x2")&amp;CHAR(34)&amp;", type: "&amp;CHAR(34)&amp;C883&amp;CHAR(34)&amp;", region: "&amp;D883&amp;", level: "&amp;CHAR(34)&amp;E883&amp;CHAR(34)&amp;", x: "&amp;F883&amp;", y: "&amp;G883&amp;", z: "&amp;H883&amp;", details: "&amp;CHAR(34)&amp;I883&amp;CHAR(34)&amp;" },"</f>
        <v>{ name: "Taafei Hill Korok", landmark: "Korok x1", type: "Pull the Plug", region: 15, level: "Surface", x: -2819, y: -1652, z: 475, details: "" },</v>
      </c>
    </row>
    <row r="884" spans="1:10" x14ac:dyDescent="0.2">
      <c r="A884" s="2">
        <v>842</v>
      </c>
      <c r="B884" s="34" t="s">
        <v>3921</v>
      </c>
      <c r="C884" t="s">
        <v>2827</v>
      </c>
      <c r="D884" s="2">
        <v>15</v>
      </c>
      <c r="E884" s="2" t="s">
        <v>785</v>
      </c>
      <c r="F884" s="2">
        <v>-2921</v>
      </c>
      <c r="G884" s="2">
        <v>-482</v>
      </c>
      <c r="H884" s="2">
        <v>16</v>
      </c>
      <c r="I884" t="s">
        <v>2759</v>
      </c>
      <c r="J884" t="str">
        <f>"{ name: "&amp;CHAR(34)&amp;B884&amp;CHAR(34)&amp;", landmark: "&amp;CHAR(34)&amp;IF(LEN(C884)=LEN(SUBSTITUTE(C884,"Transport","")),"Korok x1","Korok x2")&amp;CHAR(34)&amp;", type: "&amp;CHAR(34)&amp;C884&amp;CHAR(34)&amp;", region: "&amp;D884&amp;", level: "&amp;CHAR(34)&amp;E884&amp;CHAR(34)&amp;", x: "&amp;F884&amp;", y: "&amp;G884&amp;", z: "&amp;H884&amp;", details: "&amp;CHAR(34)&amp;I884&amp;CHAR(34)&amp;" },"</f>
        <v>{ name: "Tamio River Korok", landmark: "Korok x1", type: "Paraglide to the Goal", region: 15, level: "Surface", x: -2921, y: -482, z: 16, details: "Starts at (-2839, -437, 53)" },</v>
      </c>
    </row>
    <row r="885" spans="1:10" x14ac:dyDescent="0.2">
      <c r="A885" s="2">
        <v>894</v>
      </c>
      <c r="B885" s="34" t="s">
        <v>3929</v>
      </c>
      <c r="C885" t="s">
        <v>2807</v>
      </c>
      <c r="D885" s="2">
        <v>15</v>
      </c>
      <c r="E885" s="2" t="s">
        <v>785</v>
      </c>
      <c r="F885" s="2">
        <v>-3820</v>
      </c>
      <c r="G885" s="2">
        <v>178</v>
      </c>
      <c r="H885" s="2">
        <v>56</v>
      </c>
      <c r="J885" t="str">
        <f>"{ name: "&amp;CHAR(34)&amp;B885&amp;CHAR(34)&amp;", landmark: "&amp;CHAR(34)&amp;IF(LEN(C885)=LEN(SUBSTITUTE(C885,"Transport","")),"Korok x1","Korok x2")&amp;CHAR(34)&amp;", type: "&amp;CHAR(34)&amp;C885&amp;CHAR(34)&amp;", region: "&amp;D885&amp;", level: "&amp;CHAR(34)&amp;E885&amp;CHAR(34)&amp;", x: "&amp;F885&amp;", y: "&amp;G885&amp;", z: "&amp;H885&amp;", details: "&amp;CHAR(34)&amp;I885&amp;CHAR(34)&amp;" },"</f>
        <v>{ name: "Tanagar Canyon Korok #08", landmark: "Korok x1", type: "Complete the Cube Puzzle", region: 15, level: "Surface", x: -3820, y: 178, z: 56, details: "" },</v>
      </c>
    </row>
    <row r="886" spans="1:10" x14ac:dyDescent="0.2">
      <c r="A886" s="2">
        <v>895</v>
      </c>
      <c r="B886" s="34" t="s">
        <v>3930</v>
      </c>
      <c r="C886" t="s">
        <v>2826</v>
      </c>
      <c r="D886" s="2">
        <v>15</v>
      </c>
      <c r="E886" s="2" t="s">
        <v>785</v>
      </c>
      <c r="F886" s="2">
        <v>-3600</v>
      </c>
      <c r="G886" s="2">
        <v>111</v>
      </c>
      <c r="H886" s="2">
        <v>-59</v>
      </c>
      <c r="J886" t="str">
        <f>"{ name: "&amp;CHAR(34)&amp;B886&amp;CHAR(34)&amp;", landmark: "&amp;CHAR(34)&amp;IF(LEN(C886)=LEN(SUBSTITUTE(C886,"Transport","")),"Korok x1","Korok x2")&amp;CHAR(34)&amp;", type: "&amp;CHAR(34)&amp;C886&amp;CHAR(34)&amp;", region: "&amp;D886&amp;", level: "&amp;CHAR(34)&amp;E886&amp;CHAR(34)&amp;", x: "&amp;F886&amp;", y: "&amp;G886&amp;", z: "&amp;H886&amp;", details: "&amp;CHAR(34)&amp;I886&amp;CHAR(34)&amp;" },"</f>
        <v>{ name: "Tanagar Canyon Korok #09", landmark: "Korok x1", type: "Ascend Through the Marker", region: 15, level: "Surface", x: -3600, y: 111, z: -59, details: "" },</v>
      </c>
    </row>
    <row r="887" spans="1:10" x14ac:dyDescent="0.2">
      <c r="A887" s="2">
        <v>896</v>
      </c>
      <c r="B887" s="34" t="s">
        <v>3931</v>
      </c>
      <c r="C887" t="s">
        <v>2802</v>
      </c>
      <c r="D887" s="2">
        <v>15</v>
      </c>
      <c r="E887" s="2" t="s">
        <v>785</v>
      </c>
      <c r="F887" s="2">
        <v>-4075</v>
      </c>
      <c r="G887" s="2">
        <v>35</v>
      </c>
      <c r="H887" s="2">
        <v>58</v>
      </c>
      <c r="I887" t="s">
        <v>2688</v>
      </c>
      <c r="J887" t="str">
        <f>"{ name: "&amp;CHAR(34)&amp;B887&amp;CHAR(34)&amp;", landmark: "&amp;CHAR(34)&amp;IF(LEN(C887)=LEN(SUBSTITUTE(C887,"Transport","")),"Korok x1","Korok x2")&amp;CHAR(34)&amp;", type: "&amp;CHAR(34)&amp;C887&amp;CHAR(34)&amp;", region: "&amp;D887&amp;", level: "&amp;CHAR(34)&amp;E887&amp;CHAR(34)&amp;", x: "&amp;F887&amp;", y: "&amp;G887&amp;", z: "&amp;H887&amp;", details: "&amp;CHAR(34)&amp;I887&amp;CHAR(34)&amp;" },"</f>
        <v>{ name: "Tanagar Canyon Korok #10", landmark: "Korok x2", type: "Transport to Friend", region: 15, level: "Surface", x: -4075, y: 35, z: 58, details: "Starts at (-3584, 14, 71)" },</v>
      </c>
    </row>
    <row r="888" spans="1:10" x14ac:dyDescent="0.2">
      <c r="A888" s="2">
        <v>877</v>
      </c>
      <c r="B888" s="34" t="s">
        <v>3987</v>
      </c>
      <c r="C888" t="s">
        <v>2821</v>
      </c>
      <c r="D888" s="2">
        <v>15</v>
      </c>
      <c r="E888" s="2" t="s">
        <v>785</v>
      </c>
      <c r="F888" s="2">
        <v>-3246</v>
      </c>
      <c r="G888" s="2">
        <v>-1031</v>
      </c>
      <c r="H888" s="2">
        <v>573</v>
      </c>
      <c r="J888" t="str">
        <f>"{ name: "&amp;CHAR(34)&amp;B888&amp;CHAR(34)&amp;", landmark: "&amp;CHAR(34)&amp;IF(LEN(C888)=LEN(SUBSTITUTE(C888,"Transport","")),"Korok x1","Korok x2")&amp;CHAR(34)&amp;", type: "&amp;CHAR(34)&amp;C888&amp;CHAR(34)&amp;", region: "&amp;D888&amp;", level: "&amp;CHAR(34)&amp;E888&amp;CHAR(34)&amp;", x: "&amp;F888&amp;", y: "&amp;G888&amp;", z: "&amp;H888&amp;", details: "&amp;CHAR(34)&amp;I888&amp;CHAR(34)&amp;" },"</f>
        <v>{ name: "Vatorsa Mesa Korok", landmark: "Korok x1", type: "Shoot the Balloons", region: 15, level: "Surface", x: -3246, y: -1031, z: 573, details: "" },</v>
      </c>
    </row>
    <row r="889" spans="1:10" x14ac:dyDescent="0.2">
      <c r="A889" s="2">
        <v>855</v>
      </c>
      <c r="B889" s="34" t="s">
        <v>3988</v>
      </c>
      <c r="C889" t="s">
        <v>2812</v>
      </c>
      <c r="D889" s="2">
        <v>15</v>
      </c>
      <c r="E889" s="2" t="s">
        <v>785</v>
      </c>
      <c r="F889" s="2">
        <v>-3601</v>
      </c>
      <c r="G889" s="2">
        <v>-916</v>
      </c>
      <c r="H889" s="2">
        <v>507</v>
      </c>
      <c r="J889" t="str">
        <f>"{ name: "&amp;CHAR(34)&amp;B889&amp;CHAR(34)&amp;", landmark: "&amp;CHAR(34)&amp;IF(LEN(C889)=LEN(SUBSTITUTE(C889,"Transport","")),"Korok x1","Korok x2")&amp;CHAR(34)&amp;", type: "&amp;CHAR(34)&amp;C889&amp;CHAR(34)&amp;", region: "&amp;D889&amp;", level: "&amp;CHAR(34)&amp;E889&amp;CHAR(34)&amp;", x: "&amp;F889&amp;", y: "&amp;G889&amp;", z: "&amp;H889&amp;", details: "&amp;CHAR(34)&amp;I889&amp;CHAR(34)&amp;" },"</f>
        <v>{ name: "Vatorsa Snowfield Korok #01", landmark: "Korok x1", type: "Lift the Rock", region: 15, level: "Surface", x: -3601, y: -916, z: 507, details: "" },</v>
      </c>
    </row>
    <row r="890" spans="1:10" x14ac:dyDescent="0.2">
      <c r="A890" s="2">
        <v>858</v>
      </c>
      <c r="B890" s="34" t="s">
        <v>3989</v>
      </c>
      <c r="C890" t="s">
        <v>2802</v>
      </c>
      <c r="D890" s="2">
        <v>15</v>
      </c>
      <c r="E890" s="2" t="s">
        <v>785</v>
      </c>
      <c r="F890" s="2">
        <v>-3142</v>
      </c>
      <c r="G890" s="2">
        <v>-620</v>
      </c>
      <c r="H890" s="2">
        <v>200</v>
      </c>
      <c r="I890" t="s">
        <v>2666</v>
      </c>
      <c r="J890" t="str">
        <f>"{ name: "&amp;CHAR(34)&amp;B890&amp;CHAR(34)&amp;", landmark: "&amp;CHAR(34)&amp;IF(LEN(C890)=LEN(SUBSTITUTE(C890,"Transport","")),"Korok x1","Korok x2")&amp;CHAR(34)&amp;", type: "&amp;CHAR(34)&amp;C890&amp;CHAR(34)&amp;", region: "&amp;D890&amp;", level: "&amp;CHAR(34)&amp;E890&amp;CHAR(34)&amp;", x: "&amp;F890&amp;", y: "&amp;G890&amp;", z: "&amp;H890&amp;", details: "&amp;CHAR(34)&amp;I890&amp;CHAR(34)&amp;" },"</f>
        <v>{ name: "Vatorsa Snowfield Korok #02", landmark: "Korok x2", type: "Transport to Friend", region: 15, level: "Surface", x: -3142, y: -620, z: 200, details: "Starts at (-3197, -1170, 480)" },</v>
      </c>
    </row>
    <row r="891" spans="1:10" x14ac:dyDescent="0.2">
      <c r="A891" s="2">
        <v>867</v>
      </c>
      <c r="B891" s="34" t="s">
        <v>3990</v>
      </c>
      <c r="C891" t="s">
        <v>2807</v>
      </c>
      <c r="D891" s="2">
        <v>15</v>
      </c>
      <c r="E891" s="2" t="s">
        <v>785</v>
      </c>
      <c r="F891" s="2">
        <v>-3873</v>
      </c>
      <c r="G891" s="2">
        <v>-1177</v>
      </c>
      <c r="H891" s="2">
        <v>497</v>
      </c>
      <c r="J891" t="str">
        <f>"{ name: "&amp;CHAR(34)&amp;B891&amp;CHAR(34)&amp;", landmark: "&amp;CHAR(34)&amp;IF(LEN(C891)=LEN(SUBSTITUTE(C891,"Transport","")),"Korok x1","Korok x2")&amp;CHAR(34)&amp;", type: "&amp;CHAR(34)&amp;C891&amp;CHAR(34)&amp;", region: "&amp;D891&amp;", level: "&amp;CHAR(34)&amp;E891&amp;CHAR(34)&amp;", x: "&amp;F891&amp;", y: "&amp;G891&amp;", z: "&amp;H891&amp;", details: "&amp;CHAR(34)&amp;I891&amp;CHAR(34)&amp;" },"</f>
        <v>{ name: "Vatorsa Snowfield Korok #03", landmark: "Korok x1", type: "Complete the Cube Puzzle", region: 15, level: "Surface", x: -3873, y: -1177, z: 497, details: "" },</v>
      </c>
    </row>
    <row r="892" spans="1:10" x14ac:dyDescent="0.2">
      <c r="A892" s="2">
        <v>870</v>
      </c>
      <c r="B892" s="34" t="s">
        <v>3991</v>
      </c>
      <c r="C892" t="s">
        <v>2811</v>
      </c>
      <c r="D892" s="2">
        <v>15</v>
      </c>
      <c r="E892" s="2" t="s">
        <v>785</v>
      </c>
      <c r="F892" s="2">
        <v>-3737</v>
      </c>
      <c r="G892" s="2">
        <v>-996</v>
      </c>
      <c r="H892" s="2">
        <v>536</v>
      </c>
      <c r="I892" t="s">
        <v>2772</v>
      </c>
      <c r="J892" t="str">
        <f>"{ name: "&amp;CHAR(34)&amp;B892&amp;CHAR(34)&amp;", landmark: "&amp;CHAR(34)&amp;IF(LEN(C892)=LEN(SUBSTITUTE(C892,"Transport","")),"Korok x1","Korok x2")&amp;CHAR(34)&amp;", type: "&amp;CHAR(34)&amp;C892&amp;CHAR(34)&amp;", region: "&amp;D892&amp;", level: "&amp;CHAR(34)&amp;E892&amp;CHAR(34)&amp;", x: "&amp;F892&amp;", y: "&amp;G892&amp;", z: "&amp;H892&amp;", details: "&amp;CHAR(34)&amp;I892&amp;CHAR(34)&amp;" },"</f>
        <v>{ name: "Vatorsa Snowfield Korok #04", landmark: "Korok x1", type: "Follow the Yellow Flowers", region: 15, level: "Surface", x: -3737, y: -996, z: 536, details: "Starts at (-3752, -1081, 525)" },</v>
      </c>
    </row>
    <row r="893" spans="1:10" x14ac:dyDescent="0.2">
      <c r="A893" s="2">
        <v>880</v>
      </c>
      <c r="B893" s="34" t="s">
        <v>3992</v>
      </c>
      <c r="C893" t="s">
        <v>2826</v>
      </c>
      <c r="D893" s="2">
        <v>15</v>
      </c>
      <c r="E893" s="2" t="s">
        <v>785</v>
      </c>
      <c r="F893" s="2">
        <v>-3163</v>
      </c>
      <c r="G893" s="2">
        <v>-1038</v>
      </c>
      <c r="H893" s="2">
        <v>470</v>
      </c>
      <c r="J893" t="str">
        <f>"{ name: "&amp;CHAR(34)&amp;B893&amp;CHAR(34)&amp;", landmark: "&amp;CHAR(34)&amp;IF(LEN(C893)=LEN(SUBSTITUTE(C893,"Transport","")),"Korok x1","Korok x2")&amp;CHAR(34)&amp;", type: "&amp;CHAR(34)&amp;C893&amp;CHAR(34)&amp;", region: "&amp;D893&amp;", level: "&amp;CHAR(34)&amp;E893&amp;CHAR(34)&amp;", x: "&amp;F893&amp;", y: "&amp;G893&amp;", z: "&amp;H893&amp;", details: "&amp;CHAR(34)&amp;I893&amp;CHAR(34)&amp;" },"</f>
        <v>{ name: "Vatorsa Snowfield Korok #05", landmark: "Korok x1", type: "Ascend Through the Marker", region: 15, level: "Surface", x: -3163, y: -1038, z: 470, details: "" },</v>
      </c>
    </row>
    <row r="894" spans="1:10" x14ac:dyDescent="0.2">
      <c r="A894" s="2">
        <v>869</v>
      </c>
      <c r="B894" s="34" t="s">
        <v>4014</v>
      </c>
      <c r="C894" t="s">
        <v>2595</v>
      </c>
      <c r="D894" s="2">
        <v>15</v>
      </c>
      <c r="E894" s="2" t="s">
        <v>785</v>
      </c>
      <c r="F894" s="2">
        <v>-3845</v>
      </c>
      <c r="G894" s="2">
        <v>-1895</v>
      </c>
      <c r="H894" s="2">
        <v>309</v>
      </c>
      <c r="J894" t="str">
        <f>"{ name: "&amp;CHAR(34)&amp;B894&amp;CHAR(34)&amp;", landmark: "&amp;CHAR(34)&amp;IF(LEN(C894)=LEN(SUBSTITUTE(C894,"Transport","")),"Korok x1","Korok x2")&amp;CHAR(34)&amp;", type: "&amp;CHAR(34)&amp;C894&amp;CHAR(34)&amp;", region: "&amp;D894&amp;", level: "&amp;CHAR(34)&amp;E894&amp;CHAR(34)&amp;", x: "&amp;F894&amp;", y: "&amp;G894&amp;", z: "&amp;H894&amp;", details: "&amp;CHAR(34)&amp;I894&amp;CHAR(34)&amp;" },"</f>
        <v>{ name: "West of Biridia Lookout Korok", landmark: "Korok x1", type: "Attack and catch the dandelion", region: 15, level: "Surface", x: -3845, y: -1895, z: 309, details: "" },</v>
      </c>
    </row>
    <row r="895" spans="1:10" x14ac:dyDescent="0.2">
      <c r="A895" s="2">
        <v>886</v>
      </c>
      <c r="B895" s="34" t="s">
        <v>4039</v>
      </c>
      <c r="C895" t="s">
        <v>2817</v>
      </c>
      <c r="D895" s="2">
        <v>15</v>
      </c>
      <c r="E895" s="2" t="s">
        <v>785</v>
      </c>
      <c r="F895" s="2">
        <v>-2962</v>
      </c>
      <c r="G895" s="2">
        <v>-1400</v>
      </c>
      <c r="H895" s="2">
        <v>445</v>
      </c>
      <c r="I895" t="s">
        <v>2669</v>
      </c>
      <c r="J895" t="str">
        <f>"{ name: "&amp;CHAR(34)&amp;B895&amp;CHAR(34)&amp;", landmark: "&amp;CHAR(34)&amp;IF(LEN(C895)=LEN(SUBSTITUTE(C895,"Transport","")),"Korok x1","Korok x2")&amp;CHAR(34)&amp;", type: "&amp;CHAR(34)&amp;C895&amp;CHAR(34)&amp;", region: "&amp;D895&amp;", level: "&amp;CHAR(34)&amp;E895&amp;CHAR(34)&amp;", x: "&amp;F895&amp;", y: "&amp;G895&amp;", z: "&amp;H895&amp;", details: "&amp;CHAR(34)&amp;I895&amp;CHAR(34)&amp;" },"</f>
        <v>{ name: "Zirco Mesa Korok #01", landmark: "Korok x1", type: "Reach the Target Ring", region: 15, level: "Surface", x: -2962, y: -1400, z: 445, details: "Starts at (-2696, -1446, 543)" },</v>
      </c>
    </row>
    <row r="896" spans="1:10" x14ac:dyDescent="0.2">
      <c r="A896" s="2">
        <v>888</v>
      </c>
      <c r="B896" s="34" t="s">
        <v>4040</v>
      </c>
      <c r="C896" t="s">
        <v>2808</v>
      </c>
      <c r="D896" s="2">
        <v>15</v>
      </c>
      <c r="E896" s="2" t="s">
        <v>785</v>
      </c>
      <c r="F896" s="2">
        <v>-2644</v>
      </c>
      <c r="G896" s="2">
        <v>-1532</v>
      </c>
      <c r="H896" s="2">
        <v>583</v>
      </c>
      <c r="J896" t="str">
        <f>"{ name: "&amp;CHAR(34)&amp;B896&amp;CHAR(34)&amp;", landmark: "&amp;CHAR(34)&amp;IF(LEN(C896)=LEN(SUBSTITUTE(C896,"Transport","")),"Korok x1","Korok x2")&amp;CHAR(34)&amp;", type: "&amp;CHAR(34)&amp;C896&amp;CHAR(34)&amp;", region: "&amp;D896&amp;", level: "&amp;CHAR(34)&amp;E896&amp;CHAR(34)&amp;", x: "&amp;F896&amp;", y: "&amp;G896&amp;", z: "&amp;H896&amp;", details: "&amp;CHAR(34)&amp;I896&amp;CHAR(34)&amp;" },"</f>
        <v>{ name: "Zirco Mesa Korok #02", landmark: "Korok x1", type: "Complete the Rock Pattern", region: 15, level: "Surface", x: -2644, y: -1532, z: 583, details: "" },</v>
      </c>
    </row>
    <row r="897" spans="1:10" x14ac:dyDescent="0.2">
      <c r="A897" s="2">
        <v>889</v>
      </c>
      <c r="B897" s="34" t="s">
        <v>4041</v>
      </c>
      <c r="C897" t="s">
        <v>2803</v>
      </c>
      <c r="D897" s="2">
        <v>15</v>
      </c>
      <c r="E897" s="2" t="s">
        <v>785</v>
      </c>
      <c r="F897" s="2">
        <v>-2506</v>
      </c>
      <c r="G897" s="2">
        <v>-1590</v>
      </c>
      <c r="H897" s="2">
        <v>537</v>
      </c>
      <c r="J897" t="str">
        <f>"{ name: "&amp;CHAR(34)&amp;B897&amp;CHAR(34)&amp;", landmark: "&amp;CHAR(34)&amp;IF(LEN(C897)=LEN(SUBSTITUTE(C897,"Transport","")),"Korok x1","Korok x2")&amp;CHAR(34)&amp;", type: "&amp;CHAR(34)&amp;C897&amp;CHAR(34)&amp;", region: "&amp;D897&amp;", level: "&amp;CHAR(34)&amp;E897&amp;CHAR(34)&amp;", x: "&amp;F897&amp;", y: "&amp;G897&amp;", z: "&amp;H897&amp;", details: "&amp;CHAR(34)&amp;I897&amp;CHAR(34)&amp;" },"</f>
        <v>{ name: "Zirco Mesa Korok #03", landmark: "Korok x1", type: "Build a Roof", region: 15, level: "Surface", x: -2506, y: -1590, z: 537, details: "" },</v>
      </c>
    </row>
    <row r="898" spans="1:10" x14ac:dyDescent="0.2">
      <c r="A898" s="2">
        <v>613</v>
      </c>
      <c r="B898" s="34" t="s">
        <v>3456</v>
      </c>
      <c r="C898" t="s">
        <v>2801</v>
      </c>
      <c r="D898" s="2" t="s">
        <v>2547</v>
      </c>
      <c r="E898" s="2" t="s">
        <v>785</v>
      </c>
      <c r="F898" s="2">
        <v>399</v>
      </c>
      <c r="G898" s="2">
        <v>1174</v>
      </c>
      <c r="H898" s="2">
        <v>10</v>
      </c>
      <c r="J898" t="str">
        <f>"{ name: "&amp;CHAR(34)&amp;B898&amp;CHAR(34)&amp;", landmark: "&amp;CHAR(34)&amp;IF(LEN(C898)=LEN(SUBSTITUTE(C898,"Transport","")),"Korok x1","Korok x2")&amp;CHAR(34)&amp;", type: "&amp;CHAR(34)&amp;C898&amp;CHAR(34)&amp;", region: "&amp;D898&amp;", level: "&amp;CHAR(34)&amp;E898&amp;CHAR(34)&amp;", x: "&amp;F898&amp;", y: "&amp;G898&amp;", z: "&amp;H898&amp;", details: "&amp;CHAR(34)&amp;I898&amp;CHAR(34)&amp;" },"</f>
        <v>{ name: "Helmhead Bridge Korok", landmark: "Korok x1", type: "Break the Acorn Pot", region: [1,6], level: "Surface", x: 399, y: 1174, z: 10, details: "" },</v>
      </c>
    </row>
    <row r="899" spans="1:10" x14ac:dyDescent="0.2">
      <c r="A899" s="2">
        <v>660</v>
      </c>
      <c r="B899" s="34" t="s">
        <v>3292</v>
      </c>
      <c r="C899" t="s">
        <v>2816</v>
      </c>
      <c r="D899" s="2" t="s">
        <v>2551</v>
      </c>
      <c r="E899" s="2" t="s">
        <v>785</v>
      </c>
      <c r="F899" s="2">
        <v>959</v>
      </c>
      <c r="G899" s="2">
        <v>-944</v>
      </c>
      <c r="H899" s="2">
        <v>11</v>
      </c>
      <c r="J899" t="str">
        <f>"{ name: "&amp;CHAR(34)&amp;B899&amp;CHAR(34)&amp;", landmark: "&amp;CHAR(34)&amp;IF(LEN(C899)=LEN(SUBSTITUTE(C899,"Transport","")),"Korok x1","Korok x2")&amp;CHAR(34)&amp;", type: "&amp;CHAR(34)&amp;C899&amp;CHAR(34)&amp;", region: "&amp;D899&amp;", level: "&amp;CHAR(34)&amp;E899&amp;CHAR(34)&amp;", x: "&amp;F899&amp;", y: "&amp;G899&amp;", z: "&amp;H899&amp;", details: "&amp;CHAR(34)&amp;I899&amp;CHAR(34)&amp;" },"</f>
        <v>{ name: "Eagus Bridge Korok", landmark: "Korok x1", type: "Pull the Plug", region: [10,13], level: "Surface", x: 959, y: -944, z: 11, details: "" },</v>
      </c>
    </row>
    <row r="900" spans="1:10" x14ac:dyDescent="0.2">
      <c r="A900" s="2">
        <v>741</v>
      </c>
      <c r="B900" s="34" t="s">
        <v>3549</v>
      </c>
      <c r="C900" t="s">
        <v>2809</v>
      </c>
      <c r="D900" s="2" t="s">
        <v>2550</v>
      </c>
      <c r="E900" s="2" t="s">
        <v>785</v>
      </c>
      <c r="F900" s="2">
        <v>46</v>
      </c>
      <c r="G900" s="2">
        <v>-2138</v>
      </c>
      <c r="H900" s="2">
        <v>-19</v>
      </c>
      <c r="J900" t="str">
        <f>"{ name: "&amp;CHAR(34)&amp;B900&amp;CHAR(34)&amp;", landmark: "&amp;CHAR(34)&amp;IF(LEN(C900)=LEN(SUBSTITUTE(C900,"Transport","")),"Korok x1","Korok x2")&amp;CHAR(34)&amp;", type: "&amp;CHAR(34)&amp;C900&amp;CHAR(34)&amp;", region: "&amp;D900&amp;", level: "&amp;CHAR(34)&amp;E900&amp;CHAR(34)&amp;", x: "&amp;F900&amp;", y: "&amp;G900&amp;", z: "&amp;H900&amp;", details: "&amp;CHAR(34)&amp;I900&amp;CHAR(34)&amp;" },"</f>
        <v>{ name: "Lake Hylia Korok #06", landmark: "Korok x1", type: "Dive into the Lily Ring", region: [2,13], level: "Surface", x: 46, y: -2138, z: -19, details: "" },</v>
      </c>
    </row>
    <row r="901" spans="1:10" x14ac:dyDescent="0.2">
      <c r="A901" s="2">
        <v>752</v>
      </c>
      <c r="B901" s="34" t="s">
        <v>3732</v>
      </c>
      <c r="C901" t="s">
        <v>2812</v>
      </c>
      <c r="D901" s="2" t="s">
        <v>2550</v>
      </c>
      <c r="E901" s="2" t="s">
        <v>785</v>
      </c>
      <c r="F901" s="2">
        <v>333</v>
      </c>
      <c r="G901" s="2">
        <v>-1283</v>
      </c>
      <c r="H901" s="2">
        <v>10</v>
      </c>
      <c r="J901" t="str">
        <f>"{ name: "&amp;CHAR(34)&amp;B901&amp;CHAR(34)&amp;", landmark: "&amp;CHAR(34)&amp;IF(LEN(C901)=LEN(SUBSTITUTE(C901,"Transport","")),"Korok x1","Korok x2")&amp;CHAR(34)&amp;", type: "&amp;CHAR(34)&amp;C901&amp;CHAR(34)&amp;", region: "&amp;D901&amp;", level: "&amp;CHAR(34)&amp;E901&amp;CHAR(34)&amp;", x: "&amp;F901&amp;", y: "&amp;G901&amp;", z: "&amp;H901&amp;", details: "&amp;CHAR(34)&amp;I901&amp;CHAR(34)&amp;" },"</f>
        <v>{ name: "Owlan Bridge Korok", landmark: "Korok x1", type: "Lift the Rock", region: [2,13], level: "Surface", x: 333, y: -1283, z: 10, details: "" },</v>
      </c>
    </row>
  </sheetData>
  <autoFilter ref="A1:J901" xr:uid="{A1CDDB2E-485F-0D49-8A42-EA9B4A0D5D31}">
    <sortState xmlns:xlrd2="http://schemas.microsoft.com/office/spreadsheetml/2017/richdata2" ref="A2:J901">
      <sortCondition ref="D4:D901"/>
    </sortState>
  </autoFilter>
  <phoneticPr fontId="1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B8C7C-C45E-F947-B4ED-93BCBD79419E}">
  <sheetPr codeName="Sheet14">
    <tabColor theme="9"/>
  </sheetPr>
  <dimension ref="A1:I121"/>
  <sheetViews>
    <sheetView workbookViewId="0">
      <selection activeCell="H5" sqref="H5"/>
    </sheetView>
  </sheetViews>
  <sheetFormatPr baseColWidth="10" defaultRowHeight="16" x14ac:dyDescent="0.2"/>
  <cols>
    <col min="1" max="1" width="21.6640625" bestFit="1" customWidth="1"/>
    <col min="2" max="2" width="18.5" bestFit="1" customWidth="1"/>
    <col min="3" max="3" width="10.6640625" bestFit="1" customWidth="1"/>
    <col min="8" max="8" width="21.5" bestFit="1" customWidth="1"/>
  </cols>
  <sheetData>
    <row r="1" spans="1:9" s="6" customFormat="1" x14ac:dyDescent="0.2">
      <c r="A1" s="6" t="s">
        <v>781</v>
      </c>
      <c r="B1" s="6" t="s">
        <v>8</v>
      </c>
      <c r="C1" s="6" t="s">
        <v>2074</v>
      </c>
      <c r="D1" s="6" t="s">
        <v>777</v>
      </c>
      <c r="E1" s="6" t="s">
        <v>778</v>
      </c>
      <c r="F1" s="6" t="s">
        <v>779</v>
      </c>
      <c r="G1" s="6" t="s">
        <v>780</v>
      </c>
      <c r="H1" s="6" t="s">
        <v>2070</v>
      </c>
    </row>
    <row r="2" spans="1:9" x14ac:dyDescent="0.2">
      <c r="A2" s="1" t="s">
        <v>1813</v>
      </c>
      <c r="B2" t="s">
        <v>2064</v>
      </c>
      <c r="C2">
        <v>1</v>
      </c>
      <c r="D2" t="s">
        <v>994</v>
      </c>
      <c r="E2">
        <v>219</v>
      </c>
      <c r="F2">
        <v>1082</v>
      </c>
      <c r="G2">
        <v>-474</v>
      </c>
      <c r="H2" t="s">
        <v>1985</v>
      </c>
      <c r="I2" t="str">
        <f>"{ name: "&amp;CHAR(34)&amp;A2&amp;CHAR(34)&amp;", landmark: "&amp;CHAR(34)&amp;"Lightroot"&amp;CHAR(34)&amp;", type: "&amp;CHAR(34)&amp;""&amp;CHAR(34)&amp;", region: "&amp;C2&amp;", level: "&amp;CHAR(34)&amp;D2&amp;CHAR(34)&amp;", x: "&amp;E2&amp;", y: "&amp;F2&amp;", z: "&amp;G2&amp;", details: "&amp;CHAR(34)&amp;CHAR(34)&amp;" },"</f>
        <v>{ name: "Apapes Lightroot", landmark: "Lightroot", type: "", region: 1, level: "Depths", x: 219, y: 1082, z: -474, details: "" },</v>
      </c>
    </row>
    <row r="3" spans="1:9" x14ac:dyDescent="0.2">
      <c r="A3" s="1" t="s">
        <v>1814</v>
      </c>
      <c r="B3" t="s">
        <v>2064</v>
      </c>
      <c r="C3">
        <v>1</v>
      </c>
      <c r="D3" t="s">
        <v>994</v>
      </c>
      <c r="E3">
        <v>-180</v>
      </c>
      <c r="F3">
        <v>1170</v>
      </c>
      <c r="G3">
        <v>-515</v>
      </c>
      <c r="H3" t="s">
        <v>1982</v>
      </c>
      <c r="I3" t="s">
        <v>2088</v>
      </c>
    </row>
    <row r="4" spans="1:9" x14ac:dyDescent="0.2">
      <c r="A4" s="1" t="s">
        <v>1808</v>
      </c>
      <c r="B4" t="s">
        <v>2064</v>
      </c>
      <c r="C4">
        <v>1</v>
      </c>
      <c r="D4" t="s">
        <v>994</v>
      </c>
      <c r="E4">
        <v>-885</v>
      </c>
      <c r="F4">
        <v>418</v>
      </c>
      <c r="G4">
        <v>-497</v>
      </c>
      <c r="H4" t="s">
        <v>1960</v>
      </c>
      <c r="I4" t="s">
        <v>2089</v>
      </c>
    </row>
    <row r="5" spans="1:9" x14ac:dyDescent="0.2">
      <c r="A5" s="1" t="s">
        <v>1807</v>
      </c>
      <c r="B5" t="s">
        <v>2064</v>
      </c>
      <c r="C5">
        <v>1</v>
      </c>
      <c r="D5" t="s">
        <v>994</v>
      </c>
      <c r="E5">
        <v>-785</v>
      </c>
      <c r="F5">
        <v>-433</v>
      </c>
      <c r="G5">
        <v>-469</v>
      </c>
      <c r="H5" t="s">
        <v>1946</v>
      </c>
      <c r="I5" t="s">
        <v>2090</v>
      </c>
    </row>
    <row r="6" spans="1:9" x14ac:dyDescent="0.2">
      <c r="A6" s="1" t="s">
        <v>1806</v>
      </c>
      <c r="B6" t="s">
        <v>2064</v>
      </c>
      <c r="C6">
        <v>1</v>
      </c>
      <c r="D6" t="s">
        <v>994</v>
      </c>
      <c r="E6">
        <v>-240</v>
      </c>
      <c r="F6">
        <v>-374</v>
      </c>
      <c r="G6">
        <v>-478</v>
      </c>
      <c r="H6" t="s">
        <v>1959</v>
      </c>
      <c r="I6" t="s">
        <v>2091</v>
      </c>
    </row>
    <row r="7" spans="1:9" x14ac:dyDescent="0.2">
      <c r="A7" s="1" t="s">
        <v>1810</v>
      </c>
      <c r="B7" t="s">
        <v>2064</v>
      </c>
      <c r="C7">
        <v>1</v>
      </c>
      <c r="D7" t="s">
        <v>994</v>
      </c>
      <c r="E7">
        <v>333</v>
      </c>
      <c r="F7">
        <v>468</v>
      </c>
      <c r="G7">
        <v>-479</v>
      </c>
      <c r="H7" t="s">
        <v>1978</v>
      </c>
      <c r="I7" t="s">
        <v>2092</v>
      </c>
    </row>
    <row r="8" spans="1:9" x14ac:dyDescent="0.2">
      <c r="A8" s="1" t="s">
        <v>1809</v>
      </c>
      <c r="B8" t="s">
        <v>2064</v>
      </c>
      <c r="C8">
        <v>1</v>
      </c>
      <c r="D8" t="s">
        <v>994</v>
      </c>
      <c r="E8">
        <v>-205</v>
      </c>
      <c r="F8">
        <v>451</v>
      </c>
      <c r="G8">
        <v>-472</v>
      </c>
      <c r="H8" t="s">
        <v>1971</v>
      </c>
      <c r="I8" t="s">
        <v>2093</v>
      </c>
    </row>
    <row r="9" spans="1:9" x14ac:dyDescent="0.2">
      <c r="A9" s="1" t="s">
        <v>1799</v>
      </c>
      <c r="B9" t="s">
        <v>2065</v>
      </c>
      <c r="C9">
        <v>2</v>
      </c>
      <c r="D9" t="s">
        <v>994</v>
      </c>
      <c r="E9">
        <v>-1443</v>
      </c>
      <c r="F9">
        <v>-1616</v>
      </c>
      <c r="G9">
        <v>-538</v>
      </c>
      <c r="H9" t="s">
        <v>1918</v>
      </c>
      <c r="I9" t="s">
        <v>2094</v>
      </c>
    </row>
    <row r="10" spans="1:9" x14ac:dyDescent="0.2">
      <c r="A10" s="1" t="s">
        <v>1800</v>
      </c>
      <c r="B10" t="s">
        <v>2065</v>
      </c>
      <c r="C10">
        <v>2</v>
      </c>
      <c r="D10" t="s">
        <v>994</v>
      </c>
      <c r="E10">
        <v>-1082</v>
      </c>
      <c r="F10">
        <v>-2187</v>
      </c>
      <c r="G10">
        <v>-562</v>
      </c>
      <c r="H10" t="s">
        <v>1917</v>
      </c>
      <c r="I10" t="s">
        <v>2095</v>
      </c>
    </row>
    <row r="11" spans="1:9" x14ac:dyDescent="0.2">
      <c r="A11" s="1" t="s">
        <v>1798</v>
      </c>
      <c r="B11" t="s">
        <v>2065</v>
      </c>
      <c r="C11">
        <v>2</v>
      </c>
      <c r="D11" t="s">
        <v>994</v>
      </c>
      <c r="E11">
        <v>-1422</v>
      </c>
      <c r="F11">
        <v>-1350</v>
      </c>
      <c r="G11">
        <v>-517</v>
      </c>
      <c r="H11" t="s">
        <v>1922</v>
      </c>
      <c r="I11" t="s">
        <v>2096</v>
      </c>
    </row>
    <row r="12" spans="1:9" x14ac:dyDescent="0.2">
      <c r="A12" s="1" t="s">
        <v>1797</v>
      </c>
      <c r="B12" t="s">
        <v>2065</v>
      </c>
      <c r="C12">
        <v>2</v>
      </c>
      <c r="D12" t="s">
        <v>994</v>
      </c>
      <c r="E12">
        <v>-2140</v>
      </c>
      <c r="F12">
        <v>-873</v>
      </c>
      <c r="G12">
        <v>-542</v>
      </c>
      <c r="H12" t="s">
        <v>1919</v>
      </c>
      <c r="I12" t="s">
        <v>2097</v>
      </c>
    </row>
    <row r="13" spans="1:9" x14ac:dyDescent="0.2">
      <c r="A13" s="1" t="s">
        <v>1796</v>
      </c>
      <c r="B13" t="s">
        <v>2065</v>
      </c>
      <c r="C13">
        <v>2</v>
      </c>
      <c r="D13" t="s">
        <v>994</v>
      </c>
      <c r="E13">
        <v>-1921</v>
      </c>
      <c r="F13">
        <v>-356</v>
      </c>
      <c r="G13">
        <v>-635</v>
      </c>
      <c r="H13" t="s">
        <v>1927</v>
      </c>
      <c r="I13" t="s">
        <v>2098</v>
      </c>
    </row>
    <row r="14" spans="1:9" x14ac:dyDescent="0.2">
      <c r="A14" s="1" t="s">
        <v>1803</v>
      </c>
      <c r="B14" t="s">
        <v>2065</v>
      </c>
      <c r="C14">
        <v>2</v>
      </c>
      <c r="D14" t="s">
        <v>994</v>
      </c>
      <c r="E14">
        <v>-73</v>
      </c>
      <c r="F14">
        <v>-1115</v>
      </c>
      <c r="G14">
        <v>-471</v>
      </c>
      <c r="H14" t="s">
        <v>1947</v>
      </c>
      <c r="I14" t="s">
        <v>2099</v>
      </c>
    </row>
    <row r="15" spans="1:9" x14ac:dyDescent="0.2">
      <c r="A15" s="1" t="s">
        <v>1804</v>
      </c>
      <c r="B15" t="s">
        <v>2065</v>
      </c>
      <c r="C15">
        <v>2</v>
      </c>
      <c r="D15" t="s">
        <v>994</v>
      </c>
      <c r="E15">
        <v>-705</v>
      </c>
      <c r="F15">
        <v>-866</v>
      </c>
      <c r="G15">
        <v>-481</v>
      </c>
      <c r="H15" t="s">
        <v>1940</v>
      </c>
      <c r="I15" t="s">
        <v>2100</v>
      </c>
    </row>
    <row r="16" spans="1:9" x14ac:dyDescent="0.2">
      <c r="A16" s="1" t="s">
        <v>1801</v>
      </c>
      <c r="B16" t="s">
        <v>2065</v>
      </c>
      <c r="C16">
        <v>2</v>
      </c>
      <c r="D16" t="s">
        <v>994</v>
      </c>
      <c r="E16">
        <v>-710</v>
      </c>
      <c r="F16">
        <v>-1550</v>
      </c>
      <c r="G16">
        <v>-517</v>
      </c>
      <c r="H16" t="s">
        <v>1929</v>
      </c>
      <c r="I16" t="s">
        <v>2101</v>
      </c>
    </row>
    <row r="17" spans="1:9" x14ac:dyDescent="0.2">
      <c r="A17" s="1" t="s">
        <v>1802</v>
      </c>
      <c r="B17" t="s">
        <v>2065</v>
      </c>
      <c r="C17">
        <v>2</v>
      </c>
      <c r="D17" t="s">
        <v>994</v>
      </c>
      <c r="E17">
        <v>-176</v>
      </c>
      <c r="F17">
        <v>-1557</v>
      </c>
      <c r="G17">
        <v>-473</v>
      </c>
      <c r="H17" t="s">
        <v>1935</v>
      </c>
      <c r="I17" t="s">
        <v>2102</v>
      </c>
    </row>
    <row r="18" spans="1:9" x14ac:dyDescent="0.2">
      <c r="A18" s="1" t="s">
        <v>1805</v>
      </c>
      <c r="B18" t="s">
        <v>2065</v>
      </c>
      <c r="C18">
        <v>2</v>
      </c>
      <c r="D18" t="s">
        <v>994</v>
      </c>
      <c r="E18">
        <v>344</v>
      </c>
      <c r="F18">
        <v>-1007</v>
      </c>
      <c r="G18">
        <v>-468</v>
      </c>
      <c r="H18" t="s">
        <v>1955</v>
      </c>
      <c r="I18" t="s">
        <v>2103</v>
      </c>
    </row>
    <row r="19" spans="1:9" x14ac:dyDescent="0.2">
      <c r="A19" s="1" t="s">
        <v>1859</v>
      </c>
      <c r="B19" t="s">
        <v>787</v>
      </c>
      <c r="C19">
        <v>3</v>
      </c>
      <c r="D19" t="s">
        <v>994</v>
      </c>
      <c r="E19">
        <v>-3950</v>
      </c>
      <c r="F19">
        <v>1138</v>
      </c>
      <c r="G19">
        <v>-551</v>
      </c>
      <c r="H19" t="s">
        <v>1921</v>
      </c>
      <c r="I19" t="s">
        <v>2104</v>
      </c>
    </row>
    <row r="20" spans="1:9" x14ac:dyDescent="0.2">
      <c r="A20" s="1" t="s">
        <v>1792</v>
      </c>
      <c r="B20" t="s">
        <v>787</v>
      </c>
      <c r="C20">
        <v>3</v>
      </c>
      <c r="D20" t="s">
        <v>994</v>
      </c>
      <c r="E20">
        <v>-1413</v>
      </c>
      <c r="F20">
        <v>757</v>
      </c>
      <c r="G20">
        <v>-538</v>
      </c>
      <c r="H20" t="s">
        <v>1956</v>
      </c>
      <c r="I20" t="s">
        <v>2105</v>
      </c>
    </row>
    <row r="21" spans="1:9" x14ac:dyDescent="0.2">
      <c r="A21" s="1" t="s">
        <v>1860</v>
      </c>
      <c r="B21" t="s">
        <v>787</v>
      </c>
      <c r="C21">
        <v>3</v>
      </c>
      <c r="D21" t="s">
        <v>994</v>
      </c>
      <c r="E21">
        <v>-3079</v>
      </c>
      <c r="F21">
        <v>1618</v>
      </c>
      <c r="G21">
        <v>-687</v>
      </c>
      <c r="H21" t="s">
        <v>1942</v>
      </c>
      <c r="I21" t="s">
        <v>2106</v>
      </c>
    </row>
    <row r="22" spans="1:9" x14ac:dyDescent="0.2">
      <c r="A22" s="1" t="s">
        <v>1858</v>
      </c>
      <c r="B22" t="s">
        <v>787</v>
      </c>
      <c r="C22">
        <v>3</v>
      </c>
      <c r="D22" t="s">
        <v>994</v>
      </c>
      <c r="E22">
        <v>-3538</v>
      </c>
      <c r="F22">
        <v>853</v>
      </c>
      <c r="G22">
        <v>-576</v>
      </c>
      <c r="H22" t="s">
        <v>1925</v>
      </c>
      <c r="I22" t="s">
        <v>2107</v>
      </c>
    </row>
    <row r="23" spans="1:9" x14ac:dyDescent="0.2">
      <c r="A23" s="1" t="s">
        <v>1793</v>
      </c>
      <c r="B23" t="s">
        <v>787</v>
      </c>
      <c r="C23">
        <v>3</v>
      </c>
      <c r="D23" t="s">
        <v>994</v>
      </c>
      <c r="E23">
        <v>-1828</v>
      </c>
      <c r="F23">
        <v>1196</v>
      </c>
      <c r="G23">
        <v>-723</v>
      </c>
      <c r="H23" t="s">
        <v>1958</v>
      </c>
      <c r="I23" t="s">
        <v>2108</v>
      </c>
    </row>
    <row r="24" spans="1:9" x14ac:dyDescent="0.2">
      <c r="A24" s="1" t="s">
        <v>1795</v>
      </c>
      <c r="B24" t="s">
        <v>787</v>
      </c>
      <c r="C24">
        <v>3</v>
      </c>
      <c r="D24" t="s">
        <v>994</v>
      </c>
      <c r="E24">
        <v>-2848</v>
      </c>
      <c r="F24">
        <v>629</v>
      </c>
      <c r="G24">
        <v>-621</v>
      </c>
      <c r="H24" t="s">
        <v>1930</v>
      </c>
      <c r="I24" t="s">
        <v>2109</v>
      </c>
    </row>
    <row r="25" spans="1:9" x14ac:dyDescent="0.2">
      <c r="A25" s="1" t="s">
        <v>1794</v>
      </c>
      <c r="B25" t="s">
        <v>787</v>
      </c>
      <c r="C25">
        <v>3</v>
      </c>
      <c r="D25" t="s">
        <v>994</v>
      </c>
      <c r="E25">
        <v>-2534</v>
      </c>
      <c r="F25">
        <v>1167</v>
      </c>
      <c r="G25">
        <v>-623</v>
      </c>
      <c r="H25" t="s">
        <v>1944</v>
      </c>
      <c r="I25" t="s">
        <v>2110</v>
      </c>
    </row>
    <row r="26" spans="1:9" x14ac:dyDescent="0.2">
      <c r="A26" s="1" t="s">
        <v>1790</v>
      </c>
      <c r="B26" t="s">
        <v>787</v>
      </c>
      <c r="C26">
        <v>3</v>
      </c>
      <c r="D26" t="s">
        <v>994</v>
      </c>
      <c r="E26">
        <v>-1106</v>
      </c>
      <c r="F26">
        <v>2086</v>
      </c>
      <c r="G26">
        <v>-554</v>
      </c>
      <c r="H26" t="s">
        <v>1981</v>
      </c>
      <c r="I26" t="s">
        <v>2111</v>
      </c>
    </row>
    <row r="27" spans="1:9" x14ac:dyDescent="0.2">
      <c r="A27" s="1" t="s">
        <v>1865</v>
      </c>
      <c r="B27" t="s">
        <v>800</v>
      </c>
      <c r="C27">
        <v>4</v>
      </c>
      <c r="D27" t="s">
        <v>994</v>
      </c>
      <c r="E27">
        <v>-4391</v>
      </c>
      <c r="F27">
        <v>3714</v>
      </c>
      <c r="G27">
        <v>-702</v>
      </c>
      <c r="H27" t="s">
        <v>1953</v>
      </c>
      <c r="I27" t="s">
        <v>2112</v>
      </c>
    </row>
    <row r="28" spans="1:9" x14ac:dyDescent="0.2">
      <c r="A28" s="1" t="s">
        <v>2047</v>
      </c>
      <c r="B28" t="s">
        <v>800</v>
      </c>
      <c r="C28">
        <v>4</v>
      </c>
      <c r="D28" t="s">
        <v>994</v>
      </c>
      <c r="E28">
        <v>-2996</v>
      </c>
      <c r="F28">
        <v>3102</v>
      </c>
      <c r="G28">
        <v>-1027</v>
      </c>
      <c r="H28" t="s">
        <v>1969</v>
      </c>
      <c r="I28" t="s">
        <v>2113</v>
      </c>
    </row>
    <row r="29" spans="1:9" x14ac:dyDescent="0.2">
      <c r="A29" s="1" t="s">
        <v>1866</v>
      </c>
      <c r="B29" t="s">
        <v>800</v>
      </c>
      <c r="C29">
        <v>4</v>
      </c>
      <c r="D29" t="s">
        <v>994</v>
      </c>
      <c r="E29">
        <v>-3506</v>
      </c>
      <c r="F29">
        <v>3570</v>
      </c>
      <c r="G29">
        <v>-826</v>
      </c>
      <c r="H29" t="s">
        <v>1967</v>
      </c>
      <c r="I29" t="s">
        <v>2114</v>
      </c>
    </row>
    <row r="30" spans="1:9" x14ac:dyDescent="0.2">
      <c r="A30" s="1" t="s">
        <v>1867</v>
      </c>
      <c r="B30" t="s">
        <v>800</v>
      </c>
      <c r="C30">
        <v>4</v>
      </c>
      <c r="D30" t="s">
        <v>994</v>
      </c>
      <c r="E30">
        <v>-2559</v>
      </c>
      <c r="F30">
        <v>3353</v>
      </c>
      <c r="G30">
        <v>-690</v>
      </c>
      <c r="H30" t="s">
        <v>1977</v>
      </c>
      <c r="I30" t="s">
        <v>2115</v>
      </c>
    </row>
    <row r="31" spans="1:9" x14ac:dyDescent="0.2">
      <c r="A31" s="1" t="s">
        <v>1864</v>
      </c>
      <c r="B31" t="s">
        <v>800</v>
      </c>
      <c r="C31">
        <v>4</v>
      </c>
      <c r="D31" t="s">
        <v>994</v>
      </c>
      <c r="E31">
        <v>-4539</v>
      </c>
      <c r="F31">
        <v>2881</v>
      </c>
      <c r="G31">
        <v>-707</v>
      </c>
      <c r="H31" t="s">
        <v>1938</v>
      </c>
      <c r="I31" t="s">
        <v>2116</v>
      </c>
    </row>
    <row r="32" spans="1:9" x14ac:dyDescent="0.2">
      <c r="A32" s="1" t="s">
        <v>1861</v>
      </c>
      <c r="B32" t="s">
        <v>800</v>
      </c>
      <c r="C32">
        <v>4</v>
      </c>
      <c r="D32" t="s">
        <v>994</v>
      </c>
      <c r="E32">
        <v>-3650</v>
      </c>
      <c r="F32">
        <v>1805</v>
      </c>
      <c r="G32">
        <v>-417</v>
      </c>
      <c r="H32" t="s">
        <v>1934</v>
      </c>
      <c r="I32" t="s">
        <v>2117</v>
      </c>
    </row>
    <row r="33" spans="1:9" x14ac:dyDescent="0.2">
      <c r="A33" s="1" t="s">
        <v>1862</v>
      </c>
      <c r="B33" t="s">
        <v>800</v>
      </c>
      <c r="C33">
        <v>4</v>
      </c>
      <c r="D33" t="s">
        <v>994</v>
      </c>
      <c r="E33">
        <v>-4059</v>
      </c>
      <c r="F33">
        <v>1991</v>
      </c>
      <c r="G33">
        <v>-674</v>
      </c>
      <c r="H33" t="s">
        <v>1931</v>
      </c>
      <c r="I33" t="s">
        <v>2118</v>
      </c>
    </row>
    <row r="34" spans="1:9" x14ac:dyDescent="0.2">
      <c r="A34" s="1" t="s">
        <v>1863</v>
      </c>
      <c r="B34" t="s">
        <v>800</v>
      </c>
      <c r="C34">
        <v>4</v>
      </c>
      <c r="D34" t="s">
        <v>994</v>
      </c>
      <c r="E34">
        <v>-3355</v>
      </c>
      <c r="F34">
        <v>2387</v>
      </c>
      <c r="G34">
        <v>-802</v>
      </c>
      <c r="H34" t="s">
        <v>1950</v>
      </c>
      <c r="I34" t="s">
        <v>2119</v>
      </c>
    </row>
    <row r="35" spans="1:9" x14ac:dyDescent="0.2">
      <c r="A35" s="1" t="s">
        <v>1868</v>
      </c>
      <c r="B35" t="s">
        <v>1653</v>
      </c>
      <c r="C35">
        <v>5</v>
      </c>
      <c r="D35" t="s">
        <v>994</v>
      </c>
      <c r="E35">
        <v>-2319</v>
      </c>
      <c r="F35">
        <v>2201</v>
      </c>
      <c r="G35">
        <v>-781</v>
      </c>
      <c r="H35" t="s">
        <v>1963</v>
      </c>
      <c r="I35" t="s">
        <v>2120</v>
      </c>
    </row>
    <row r="36" spans="1:9" x14ac:dyDescent="0.2">
      <c r="A36" s="1" t="s">
        <v>1872</v>
      </c>
      <c r="B36" t="s">
        <v>1653</v>
      </c>
      <c r="C36">
        <v>5</v>
      </c>
      <c r="D36" t="s">
        <v>994</v>
      </c>
      <c r="E36">
        <v>-823</v>
      </c>
      <c r="F36">
        <v>3535</v>
      </c>
      <c r="G36">
        <v>-636</v>
      </c>
      <c r="H36" t="s">
        <v>2006</v>
      </c>
      <c r="I36" t="s">
        <v>2121</v>
      </c>
    </row>
    <row r="37" spans="1:9" x14ac:dyDescent="0.2">
      <c r="A37" s="1" t="s">
        <v>1869</v>
      </c>
      <c r="B37" t="s">
        <v>1653</v>
      </c>
      <c r="C37">
        <v>5</v>
      </c>
      <c r="D37" t="s">
        <v>994</v>
      </c>
      <c r="E37">
        <v>-1638</v>
      </c>
      <c r="F37">
        <v>2643</v>
      </c>
      <c r="G37">
        <v>-685</v>
      </c>
      <c r="H37" t="s">
        <v>1983</v>
      </c>
      <c r="I37" t="s">
        <v>2122</v>
      </c>
    </row>
    <row r="38" spans="1:9" x14ac:dyDescent="0.2">
      <c r="A38" s="1" t="s">
        <v>1871</v>
      </c>
      <c r="B38" t="s">
        <v>1653</v>
      </c>
      <c r="C38">
        <v>5</v>
      </c>
      <c r="D38" t="s">
        <v>994</v>
      </c>
      <c r="E38">
        <v>-1404</v>
      </c>
      <c r="F38">
        <v>3677</v>
      </c>
      <c r="G38">
        <v>-712</v>
      </c>
      <c r="H38" t="s">
        <v>1999</v>
      </c>
      <c r="I38" t="s">
        <v>2123</v>
      </c>
    </row>
    <row r="39" spans="1:9" x14ac:dyDescent="0.2">
      <c r="A39" s="1" t="s">
        <v>1870</v>
      </c>
      <c r="B39" t="s">
        <v>1653</v>
      </c>
      <c r="C39">
        <v>5</v>
      </c>
      <c r="D39" t="s">
        <v>994</v>
      </c>
      <c r="E39">
        <v>-1165</v>
      </c>
      <c r="F39">
        <v>2602</v>
      </c>
      <c r="G39">
        <v>-350</v>
      </c>
      <c r="H39" t="s">
        <v>1986</v>
      </c>
      <c r="I39" t="s">
        <v>2124</v>
      </c>
    </row>
    <row r="40" spans="1:9" x14ac:dyDescent="0.2">
      <c r="A40" s="1" t="s">
        <v>1818</v>
      </c>
      <c r="B40" t="s">
        <v>789</v>
      </c>
      <c r="C40">
        <v>6</v>
      </c>
      <c r="D40" t="s">
        <v>994</v>
      </c>
      <c r="E40">
        <v>619</v>
      </c>
      <c r="F40">
        <v>2211</v>
      </c>
      <c r="G40">
        <v>-611</v>
      </c>
      <c r="H40" t="s">
        <v>2007</v>
      </c>
      <c r="I40" t="s">
        <v>2125</v>
      </c>
    </row>
    <row r="41" spans="1:9" x14ac:dyDescent="0.2">
      <c r="A41" s="1" t="s">
        <v>1831</v>
      </c>
      <c r="B41" t="s">
        <v>789</v>
      </c>
      <c r="C41">
        <v>6</v>
      </c>
      <c r="D41" t="s">
        <v>994</v>
      </c>
      <c r="E41">
        <v>393</v>
      </c>
      <c r="F41">
        <v>3485</v>
      </c>
      <c r="G41">
        <v>-594</v>
      </c>
      <c r="H41" t="s">
        <v>2021</v>
      </c>
      <c r="I41" t="s">
        <v>2126</v>
      </c>
    </row>
    <row r="42" spans="1:9" x14ac:dyDescent="0.2">
      <c r="A42" s="1" t="s">
        <v>1830</v>
      </c>
      <c r="B42" t="s">
        <v>789</v>
      </c>
      <c r="C42">
        <v>6</v>
      </c>
      <c r="D42" t="s">
        <v>994</v>
      </c>
      <c r="E42">
        <v>1270</v>
      </c>
      <c r="F42">
        <v>3733</v>
      </c>
      <c r="G42">
        <v>-553</v>
      </c>
      <c r="H42" t="s">
        <v>2030</v>
      </c>
      <c r="I42" t="s">
        <v>2127</v>
      </c>
    </row>
    <row r="43" spans="1:9" x14ac:dyDescent="0.2">
      <c r="A43" s="1" t="s">
        <v>1791</v>
      </c>
      <c r="B43" t="s">
        <v>789</v>
      </c>
      <c r="C43">
        <v>6</v>
      </c>
      <c r="D43" t="s">
        <v>994</v>
      </c>
      <c r="E43">
        <v>-594</v>
      </c>
      <c r="F43">
        <v>1551</v>
      </c>
      <c r="G43">
        <v>-599</v>
      </c>
      <c r="H43" t="s">
        <v>1980</v>
      </c>
      <c r="I43" t="s">
        <v>2128</v>
      </c>
    </row>
    <row r="44" spans="1:9" x14ac:dyDescent="0.2">
      <c r="A44" s="1" t="s">
        <v>1789</v>
      </c>
      <c r="B44" t="s">
        <v>789</v>
      </c>
      <c r="C44">
        <v>6</v>
      </c>
      <c r="D44" t="s">
        <v>994</v>
      </c>
      <c r="E44">
        <v>-395</v>
      </c>
      <c r="F44">
        <v>2736</v>
      </c>
      <c r="G44">
        <v>-725</v>
      </c>
      <c r="H44" t="s">
        <v>2001</v>
      </c>
      <c r="I44" t="s">
        <v>2129</v>
      </c>
    </row>
    <row r="45" spans="1:9" x14ac:dyDescent="0.2">
      <c r="A45" s="1" t="s">
        <v>1817</v>
      </c>
      <c r="B45" t="s">
        <v>789</v>
      </c>
      <c r="C45">
        <v>6</v>
      </c>
      <c r="D45" t="s">
        <v>994</v>
      </c>
      <c r="E45">
        <v>166</v>
      </c>
      <c r="F45">
        <v>2319</v>
      </c>
      <c r="G45">
        <v>-625</v>
      </c>
      <c r="H45" t="s">
        <v>2003</v>
      </c>
      <c r="I45" t="s">
        <v>2130</v>
      </c>
    </row>
    <row r="46" spans="1:9" x14ac:dyDescent="0.2">
      <c r="A46" s="1" t="s">
        <v>1815</v>
      </c>
      <c r="B46" t="s">
        <v>789</v>
      </c>
      <c r="C46">
        <v>6</v>
      </c>
      <c r="D46" t="s">
        <v>994</v>
      </c>
      <c r="E46">
        <v>408</v>
      </c>
      <c r="F46">
        <v>2133</v>
      </c>
      <c r="G46">
        <v>-592</v>
      </c>
      <c r="H46" t="s">
        <v>2004</v>
      </c>
      <c r="I46" t="s">
        <v>2131</v>
      </c>
    </row>
    <row r="47" spans="1:9" x14ac:dyDescent="0.2">
      <c r="A47" s="1" t="s">
        <v>1816</v>
      </c>
      <c r="B47" t="s">
        <v>789</v>
      </c>
      <c r="C47">
        <v>6</v>
      </c>
      <c r="D47" t="s">
        <v>994</v>
      </c>
      <c r="E47">
        <v>353</v>
      </c>
      <c r="F47">
        <v>1890</v>
      </c>
      <c r="G47">
        <v>-625</v>
      </c>
      <c r="H47" t="s">
        <v>1998</v>
      </c>
      <c r="I47" t="s">
        <v>2132</v>
      </c>
    </row>
    <row r="48" spans="1:9" x14ac:dyDescent="0.2">
      <c r="A48" s="1" t="s">
        <v>1788</v>
      </c>
      <c r="B48" t="s">
        <v>789</v>
      </c>
      <c r="C48">
        <v>6</v>
      </c>
      <c r="D48" t="s">
        <v>994</v>
      </c>
      <c r="E48">
        <v>700</v>
      </c>
      <c r="F48">
        <v>2793</v>
      </c>
      <c r="G48">
        <v>-671</v>
      </c>
      <c r="H48" t="s">
        <v>2014</v>
      </c>
      <c r="I48" t="s">
        <v>2133</v>
      </c>
    </row>
    <row r="49" spans="1:9" x14ac:dyDescent="0.2">
      <c r="A49" s="1" t="s">
        <v>1821</v>
      </c>
      <c r="B49" t="s">
        <v>1239</v>
      </c>
      <c r="C49">
        <v>7</v>
      </c>
      <c r="D49" t="s">
        <v>994</v>
      </c>
      <c r="E49">
        <v>2567</v>
      </c>
      <c r="F49">
        <v>1245</v>
      </c>
      <c r="G49">
        <v>-600</v>
      </c>
      <c r="H49" t="s">
        <v>2020</v>
      </c>
      <c r="I49" t="s">
        <v>2134</v>
      </c>
    </row>
    <row r="50" spans="1:9" x14ac:dyDescent="0.2">
      <c r="A50" s="1" t="s">
        <v>1822</v>
      </c>
      <c r="B50" t="s">
        <v>1239</v>
      </c>
      <c r="C50">
        <v>7</v>
      </c>
      <c r="D50" t="s">
        <v>994</v>
      </c>
      <c r="E50">
        <v>1761</v>
      </c>
      <c r="F50">
        <v>2508</v>
      </c>
      <c r="G50">
        <v>-719</v>
      </c>
      <c r="H50" t="s">
        <v>2023</v>
      </c>
      <c r="I50" t="s">
        <v>2135</v>
      </c>
    </row>
    <row r="51" spans="1:9" x14ac:dyDescent="0.2">
      <c r="A51" s="1" t="s">
        <v>1826</v>
      </c>
      <c r="B51" t="s">
        <v>1239</v>
      </c>
      <c r="C51">
        <v>7</v>
      </c>
      <c r="D51" t="s">
        <v>994</v>
      </c>
      <c r="E51">
        <v>2401</v>
      </c>
      <c r="F51">
        <v>3273</v>
      </c>
      <c r="G51">
        <v>-844</v>
      </c>
      <c r="H51" t="s">
        <v>2036</v>
      </c>
      <c r="I51" t="s">
        <v>2136</v>
      </c>
    </row>
    <row r="52" spans="1:9" x14ac:dyDescent="0.2">
      <c r="A52" s="1" t="s">
        <v>1825</v>
      </c>
      <c r="B52" t="s">
        <v>1239</v>
      </c>
      <c r="C52">
        <v>7</v>
      </c>
      <c r="D52" t="s">
        <v>994</v>
      </c>
      <c r="E52">
        <v>1833</v>
      </c>
      <c r="F52">
        <v>3179</v>
      </c>
      <c r="G52">
        <v>-838</v>
      </c>
      <c r="H52" t="s">
        <v>2031</v>
      </c>
      <c r="I52" t="s">
        <v>2137</v>
      </c>
    </row>
    <row r="53" spans="1:9" x14ac:dyDescent="0.2">
      <c r="A53" s="1" t="s">
        <v>1820</v>
      </c>
      <c r="B53" t="s">
        <v>1239</v>
      </c>
      <c r="C53">
        <v>7</v>
      </c>
      <c r="D53" t="s">
        <v>994</v>
      </c>
      <c r="E53">
        <v>1798</v>
      </c>
      <c r="F53">
        <v>1639</v>
      </c>
      <c r="G53">
        <v>-749</v>
      </c>
      <c r="H53" t="s">
        <v>2011</v>
      </c>
      <c r="I53" t="s">
        <v>2138</v>
      </c>
    </row>
    <row r="54" spans="1:9" x14ac:dyDescent="0.2">
      <c r="A54" s="1" t="s">
        <v>1828</v>
      </c>
      <c r="B54" t="s">
        <v>1239</v>
      </c>
      <c r="C54">
        <v>7</v>
      </c>
      <c r="D54" t="s">
        <v>994</v>
      </c>
      <c r="E54">
        <v>2959</v>
      </c>
      <c r="F54">
        <v>2758</v>
      </c>
      <c r="G54">
        <v>-963</v>
      </c>
      <c r="H54" t="s">
        <v>2037</v>
      </c>
      <c r="I54" t="s">
        <v>2139</v>
      </c>
    </row>
    <row r="55" spans="1:9" x14ac:dyDescent="0.2">
      <c r="A55" s="1" t="s">
        <v>1823</v>
      </c>
      <c r="B55" t="s">
        <v>1239</v>
      </c>
      <c r="C55">
        <v>7</v>
      </c>
      <c r="D55" t="s">
        <v>994</v>
      </c>
      <c r="E55">
        <v>1842</v>
      </c>
      <c r="F55">
        <v>2841</v>
      </c>
      <c r="G55">
        <v>-838</v>
      </c>
      <c r="H55" t="s">
        <v>2026</v>
      </c>
      <c r="I55" t="s">
        <v>2140</v>
      </c>
    </row>
    <row r="56" spans="1:9" x14ac:dyDescent="0.2">
      <c r="A56" s="1" t="s">
        <v>1824</v>
      </c>
      <c r="B56" t="s">
        <v>1239</v>
      </c>
      <c r="C56">
        <v>7</v>
      </c>
      <c r="D56" t="s">
        <v>994</v>
      </c>
      <c r="E56">
        <v>2367</v>
      </c>
      <c r="F56">
        <v>2598</v>
      </c>
      <c r="G56">
        <v>-948</v>
      </c>
      <c r="H56" t="s">
        <v>2029</v>
      </c>
      <c r="I56" t="s">
        <v>2141</v>
      </c>
    </row>
    <row r="57" spans="1:9" x14ac:dyDescent="0.2">
      <c r="A57" s="1" t="s">
        <v>1829</v>
      </c>
      <c r="B57" t="s">
        <v>1239</v>
      </c>
      <c r="C57">
        <v>7</v>
      </c>
      <c r="D57" t="s">
        <v>994</v>
      </c>
      <c r="E57">
        <v>2678</v>
      </c>
      <c r="F57">
        <v>1905</v>
      </c>
      <c r="G57">
        <v>-688</v>
      </c>
      <c r="H57" t="s">
        <v>2025</v>
      </c>
      <c r="I57" t="s">
        <v>2142</v>
      </c>
    </row>
    <row r="58" spans="1:9" x14ac:dyDescent="0.2">
      <c r="A58" s="1" t="s">
        <v>1827</v>
      </c>
      <c r="B58" t="s">
        <v>1239</v>
      </c>
      <c r="C58">
        <v>7</v>
      </c>
      <c r="D58" t="s">
        <v>994</v>
      </c>
      <c r="E58">
        <v>2863</v>
      </c>
      <c r="F58">
        <v>3637</v>
      </c>
      <c r="G58">
        <v>-685</v>
      </c>
      <c r="H58" t="s">
        <v>2039</v>
      </c>
      <c r="I58" t="s">
        <v>2143</v>
      </c>
    </row>
    <row r="59" spans="1:9" x14ac:dyDescent="0.2">
      <c r="A59" s="1" t="s">
        <v>1819</v>
      </c>
      <c r="B59" t="s">
        <v>1239</v>
      </c>
      <c r="C59">
        <v>7</v>
      </c>
      <c r="D59" t="s">
        <v>994</v>
      </c>
      <c r="E59">
        <v>1059</v>
      </c>
      <c r="F59">
        <v>1276</v>
      </c>
      <c r="G59">
        <v>-495</v>
      </c>
      <c r="H59" t="s">
        <v>2000</v>
      </c>
      <c r="I59" t="s">
        <v>2144</v>
      </c>
    </row>
    <row r="60" spans="1:9" x14ac:dyDescent="0.2">
      <c r="A60" s="1" t="s">
        <v>1784</v>
      </c>
      <c r="B60" t="s">
        <v>1103</v>
      </c>
      <c r="C60">
        <v>8</v>
      </c>
      <c r="D60" t="s">
        <v>994</v>
      </c>
      <c r="E60">
        <v>3809</v>
      </c>
      <c r="F60">
        <v>1219</v>
      </c>
      <c r="G60">
        <v>-536</v>
      </c>
      <c r="H60" t="s">
        <v>2032</v>
      </c>
      <c r="I60" t="s">
        <v>2145</v>
      </c>
    </row>
    <row r="61" spans="1:9" x14ac:dyDescent="0.2">
      <c r="A61" s="1" t="s">
        <v>1781</v>
      </c>
      <c r="B61" t="s">
        <v>1103</v>
      </c>
      <c r="C61">
        <v>8</v>
      </c>
      <c r="D61" t="s">
        <v>994</v>
      </c>
      <c r="E61">
        <v>3839</v>
      </c>
      <c r="F61">
        <v>2301</v>
      </c>
      <c r="G61">
        <v>-488</v>
      </c>
      <c r="H61" t="s">
        <v>2038</v>
      </c>
      <c r="I61" t="s">
        <v>2146</v>
      </c>
    </row>
    <row r="62" spans="1:9" x14ac:dyDescent="0.2">
      <c r="A62" s="1" t="s">
        <v>1782</v>
      </c>
      <c r="B62" t="s">
        <v>1103</v>
      </c>
      <c r="C62">
        <v>8</v>
      </c>
      <c r="D62" t="s">
        <v>994</v>
      </c>
      <c r="E62">
        <v>3061</v>
      </c>
      <c r="F62">
        <v>1823</v>
      </c>
      <c r="G62">
        <v>-662</v>
      </c>
      <c r="H62" t="s">
        <v>2028</v>
      </c>
      <c r="I62" t="s">
        <v>2147</v>
      </c>
    </row>
    <row r="63" spans="1:9" x14ac:dyDescent="0.2">
      <c r="A63" s="1" t="s">
        <v>1779</v>
      </c>
      <c r="B63" t="s">
        <v>1103</v>
      </c>
      <c r="C63">
        <v>8</v>
      </c>
      <c r="D63" t="s">
        <v>994</v>
      </c>
      <c r="E63">
        <v>4664</v>
      </c>
      <c r="F63">
        <v>3262</v>
      </c>
      <c r="G63">
        <v>-454</v>
      </c>
      <c r="H63" t="s">
        <v>2045</v>
      </c>
      <c r="I63" t="s">
        <v>2148</v>
      </c>
    </row>
    <row r="64" spans="1:9" x14ac:dyDescent="0.2">
      <c r="A64" s="1" t="s">
        <v>1786</v>
      </c>
      <c r="B64" t="s">
        <v>1103</v>
      </c>
      <c r="C64">
        <v>8</v>
      </c>
      <c r="D64" t="s">
        <v>994</v>
      </c>
      <c r="E64">
        <v>4513</v>
      </c>
      <c r="F64">
        <v>2116</v>
      </c>
      <c r="G64">
        <v>-453</v>
      </c>
      <c r="H64" t="s">
        <v>2040</v>
      </c>
      <c r="I64" t="s">
        <v>2149</v>
      </c>
    </row>
    <row r="65" spans="1:9" x14ac:dyDescent="0.2">
      <c r="A65" s="1" t="s">
        <v>1778</v>
      </c>
      <c r="B65" t="s">
        <v>1103</v>
      </c>
      <c r="C65">
        <v>8</v>
      </c>
      <c r="D65" t="s">
        <v>994</v>
      </c>
      <c r="E65">
        <v>4653</v>
      </c>
      <c r="F65">
        <v>3702</v>
      </c>
      <c r="G65">
        <v>-400</v>
      </c>
      <c r="H65" t="s">
        <v>2046</v>
      </c>
      <c r="I65" t="s">
        <v>2150</v>
      </c>
    </row>
    <row r="66" spans="1:9" x14ac:dyDescent="0.2">
      <c r="A66" s="1" t="s">
        <v>1783</v>
      </c>
      <c r="B66" t="s">
        <v>1103</v>
      </c>
      <c r="C66">
        <v>8</v>
      </c>
      <c r="D66" t="s">
        <v>994</v>
      </c>
      <c r="E66">
        <v>3305</v>
      </c>
      <c r="F66">
        <v>1443</v>
      </c>
      <c r="G66">
        <v>-790</v>
      </c>
      <c r="H66" t="s">
        <v>2027</v>
      </c>
      <c r="I66" t="s">
        <v>2151</v>
      </c>
    </row>
    <row r="67" spans="1:9" x14ac:dyDescent="0.2">
      <c r="A67" s="1" t="s">
        <v>1777</v>
      </c>
      <c r="B67" t="s">
        <v>1103</v>
      </c>
      <c r="C67">
        <v>8</v>
      </c>
      <c r="D67" t="s">
        <v>994</v>
      </c>
      <c r="E67">
        <v>3431</v>
      </c>
      <c r="F67">
        <v>3355</v>
      </c>
      <c r="G67">
        <v>-431</v>
      </c>
      <c r="H67" t="s">
        <v>2042</v>
      </c>
      <c r="I67" t="s">
        <v>2152</v>
      </c>
    </row>
    <row r="68" spans="1:9" x14ac:dyDescent="0.2">
      <c r="A68" s="1" t="s">
        <v>1780</v>
      </c>
      <c r="B68" t="s">
        <v>1103</v>
      </c>
      <c r="C68">
        <v>8</v>
      </c>
      <c r="D68" t="s">
        <v>994</v>
      </c>
      <c r="E68">
        <v>4346</v>
      </c>
      <c r="F68">
        <v>2875</v>
      </c>
      <c r="G68">
        <v>-608</v>
      </c>
      <c r="H68" t="s">
        <v>2044</v>
      </c>
      <c r="I68" t="s">
        <v>2153</v>
      </c>
    </row>
    <row r="69" spans="1:9" x14ac:dyDescent="0.2">
      <c r="A69" s="1" t="s">
        <v>1878</v>
      </c>
      <c r="B69" t="s">
        <v>801</v>
      </c>
      <c r="C69">
        <v>9</v>
      </c>
      <c r="D69" t="s">
        <v>994</v>
      </c>
      <c r="E69">
        <v>3784</v>
      </c>
      <c r="F69">
        <v>579</v>
      </c>
      <c r="G69">
        <v>-926</v>
      </c>
      <c r="H69" t="s">
        <v>2024</v>
      </c>
      <c r="I69" t="s">
        <v>2154</v>
      </c>
    </row>
    <row r="70" spans="1:9" x14ac:dyDescent="0.2">
      <c r="A70" s="1" t="s">
        <v>1877</v>
      </c>
      <c r="B70" t="s">
        <v>801</v>
      </c>
      <c r="C70">
        <v>9</v>
      </c>
      <c r="D70" t="s">
        <v>994</v>
      </c>
      <c r="E70">
        <v>3298</v>
      </c>
      <c r="F70">
        <v>424</v>
      </c>
      <c r="G70">
        <v>-749</v>
      </c>
      <c r="H70" t="s">
        <v>2018</v>
      </c>
      <c r="I70" t="s">
        <v>2155</v>
      </c>
    </row>
    <row r="71" spans="1:9" x14ac:dyDescent="0.2">
      <c r="A71" s="1" t="s">
        <v>1785</v>
      </c>
      <c r="B71" t="s">
        <v>801</v>
      </c>
      <c r="C71">
        <v>9</v>
      </c>
      <c r="D71" t="s">
        <v>994</v>
      </c>
      <c r="E71">
        <v>4166</v>
      </c>
      <c r="F71">
        <v>1323</v>
      </c>
      <c r="G71">
        <v>-673</v>
      </c>
      <c r="H71" t="s">
        <v>2035</v>
      </c>
      <c r="I71" t="s">
        <v>2156</v>
      </c>
    </row>
    <row r="72" spans="1:9" x14ac:dyDescent="0.2">
      <c r="A72" s="1" t="s">
        <v>1879</v>
      </c>
      <c r="B72" t="s">
        <v>801</v>
      </c>
      <c r="C72">
        <v>9</v>
      </c>
      <c r="D72" t="s">
        <v>994</v>
      </c>
      <c r="E72">
        <v>3887</v>
      </c>
      <c r="F72">
        <v>-217</v>
      </c>
      <c r="G72">
        <v>-608</v>
      </c>
      <c r="H72" t="s">
        <v>2017</v>
      </c>
      <c r="I72" t="s">
        <v>2157</v>
      </c>
    </row>
    <row r="73" spans="1:9" x14ac:dyDescent="0.2">
      <c r="A73" s="1" t="s">
        <v>1880</v>
      </c>
      <c r="B73" t="s">
        <v>801</v>
      </c>
      <c r="C73">
        <v>9</v>
      </c>
      <c r="D73" t="s">
        <v>994</v>
      </c>
      <c r="E73">
        <v>4412</v>
      </c>
      <c r="F73">
        <v>-610</v>
      </c>
      <c r="G73">
        <v>-513</v>
      </c>
      <c r="H73" t="s">
        <v>2019</v>
      </c>
      <c r="I73" t="s">
        <v>2158</v>
      </c>
    </row>
    <row r="74" spans="1:9" x14ac:dyDescent="0.2">
      <c r="A74" s="1" t="s">
        <v>1875</v>
      </c>
      <c r="B74" t="s">
        <v>801</v>
      </c>
      <c r="C74">
        <v>9</v>
      </c>
      <c r="D74" t="s">
        <v>994</v>
      </c>
      <c r="E74">
        <v>2277</v>
      </c>
      <c r="F74">
        <v>150</v>
      </c>
      <c r="G74">
        <v>-501</v>
      </c>
      <c r="H74" t="s">
        <v>2002</v>
      </c>
      <c r="I74" t="s">
        <v>2159</v>
      </c>
    </row>
    <row r="75" spans="1:9" x14ac:dyDescent="0.2">
      <c r="A75" s="1" t="s">
        <v>1787</v>
      </c>
      <c r="B75" t="s">
        <v>801</v>
      </c>
      <c r="C75">
        <v>9</v>
      </c>
      <c r="D75" t="s">
        <v>994</v>
      </c>
      <c r="E75">
        <v>4498</v>
      </c>
      <c r="F75">
        <v>825</v>
      </c>
      <c r="G75">
        <v>-535</v>
      </c>
      <c r="H75" t="s">
        <v>2034</v>
      </c>
      <c r="I75" t="s">
        <v>2160</v>
      </c>
    </row>
    <row r="76" spans="1:9" x14ac:dyDescent="0.2">
      <c r="A76" s="1" t="s">
        <v>1876</v>
      </c>
      <c r="B76" t="s">
        <v>801</v>
      </c>
      <c r="C76">
        <v>9</v>
      </c>
      <c r="D76" t="s">
        <v>994</v>
      </c>
      <c r="E76">
        <v>2918</v>
      </c>
      <c r="F76">
        <v>505</v>
      </c>
      <c r="G76">
        <v>-795</v>
      </c>
      <c r="H76" t="s">
        <v>2010</v>
      </c>
      <c r="I76" t="s">
        <v>2161</v>
      </c>
    </row>
    <row r="77" spans="1:9" x14ac:dyDescent="0.2">
      <c r="A77" s="1" t="s">
        <v>1887</v>
      </c>
      <c r="B77" t="s">
        <v>803</v>
      </c>
      <c r="C77">
        <v>10</v>
      </c>
      <c r="D77" t="s">
        <v>994</v>
      </c>
      <c r="E77">
        <v>1770</v>
      </c>
      <c r="F77">
        <v>-1050</v>
      </c>
      <c r="G77">
        <v>-61</v>
      </c>
      <c r="H77" t="s">
        <v>1976</v>
      </c>
      <c r="I77" t="s">
        <v>2162</v>
      </c>
    </row>
    <row r="78" spans="1:9" x14ac:dyDescent="0.2">
      <c r="A78" s="1" t="s">
        <v>1873</v>
      </c>
      <c r="B78" t="s">
        <v>803</v>
      </c>
      <c r="C78">
        <v>10</v>
      </c>
      <c r="D78" t="s">
        <v>994</v>
      </c>
      <c r="E78">
        <v>915</v>
      </c>
      <c r="F78">
        <v>-250</v>
      </c>
      <c r="G78">
        <v>-481</v>
      </c>
      <c r="H78" t="s">
        <v>1975</v>
      </c>
      <c r="I78" t="s">
        <v>2163</v>
      </c>
    </row>
    <row r="79" spans="1:9" x14ac:dyDescent="0.2">
      <c r="A79" s="1" t="s">
        <v>1886</v>
      </c>
      <c r="B79" t="s">
        <v>803</v>
      </c>
      <c r="C79">
        <v>10</v>
      </c>
      <c r="D79" t="s">
        <v>994</v>
      </c>
      <c r="E79">
        <v>1183</v>
      </c>
      <c r="F79">
        <v>-780</v>
      </c>
      <c r="G79">
        <v>-500</v>
      </c>
      <c r="H79" t="s">
        <v>1972</v>
      </c>
      <c r="I79" t="s">
        <v>2164</v>
      </c>
    </row>
    <row r="80" spans="1:9" x14ac:dyDescent="0.2">
      <c r="A80" s="1" t="s">
        <v>1882</v>
      </c>
      <c r="B80" t="s">
        <v>803</v>
      </c>
      <c r="C80">
        <v>10</v>
      </c>
      <c r="D80" t="s">
        <v>994</v>
      </c>
      <c r="E80">
        <v>2755</v>
      </c>
      <c r="F80">
        <v>-1089</v>
      </c>
      <c r="G80">
        <v>-54</v>
      </c>
      <c r="H80" t="s">
        <v>1990</v>
      </c>
      <c r="I80" t="s">
        <v>2165</v>
      </c>
    </row>
    <row r="81" spans="1:9" x14ac:dyDescent="0.2">
      <c r="A81" s="1" t="s">
        <v>1811</v>
      </c>
      <c r="B81" t="s">
        <v>803</v>
      </c>
      <c r="C81">
        <v>10</v>
      </c>
      <c r="D81" t="s">
        <v>994</v>
      </c>
      <c r="E81">
        <v>1202</v>
      </c>
      <c r="F81">
        <v>329</v>
      </c>
      <c r="G81">
        <v>-574</v>
      </c>
      <c r="H81" t="s">
        <v>1987</v>
      </c>
      <c r="I81" t="s">
        <v>2166</v>
      </c>
    </row>
    <row r="82" spans="1:9" x14ac:dyDescent="0.2">
      <c r="A82" s="1" t="s">
        <v>1888</v>
      </c>
      <c r="B82" t="s">
        <v>803</v>
      </c>
      <c r="C82">
        <v>10</v>
      </c>
      <c r="D82" t="s">
        <v>994</v>
      </c>
      <c r="E82">
        <v>1564</v>
      </c>
      <c r="F82">
        <v>-1945</v>
      </c>
      <c r="G82">
        <v>-464</v>
      </c>
      <c r="H82" t="s">
        <v>1962</v>
      </c>
      <c r="I82" t="s">
        <v>2167</v>
      </c>
    </row>
    <row r="83" spans="1:9" x14ac:dyDescent="0.2">
      <c r="A83" s="1" t="s">
        <v>1881</v>
      </c>
      <c r="B83" t="s">
        <v>803</v>
      </c>
      <c r="C83">
        <v>10</v>
      </c>
      <c r="D83" t="s">
        <v>994</v>
      </c>
      <c r="E83">
        <v>2362</v>
      </c>
      <c r="F83">
        <v>-511</v>
      </c>
      <c r="G83">
        <v>-589</v>
      </c>
      <c r="H83" t="s">
        <v>1993</v>
      </c>
      <c r="I83" t="s">
        <v>2168</v>
      </c>
    </row>
    <row r="84" spans="1:9" x14ac:dyDescent="0.2">
      <c r="A84" s="1" t="s">
        <v>1874</v>
      </c>
      <c r="B84" t="s">
        <v>803</v>
      </c>
      <c r="C84">
        <v>10</v>
      </c>
      <c r="D84" t="s">
        <v>994</v>
      </c>
      <c r="E84">
        <v>1743</v>
      </c>
      <c r="F84">
        <v>18</v>
      </c>
      <c r="G84">
        <v>-459</v>
      </c>
      <c r="H84" t="s">
        <v>1992</v>
      </c>
      <c r="I84" t="s">
        <v>2169</v>
      </c>
    </row>
    <row r="85" spans="1:9" x14ac:dyDescent="0.2">
      <c r="A85" s="1" t="s">
        <v>1812</v>
      </c>
      <c r="B85" t="s">
        <v>803</v>
      </c>
      <c r="C85">
        <v>10</v>
      </c>
      <c r="D85" t="s">
        <v>994</v>
      </c>
      <c r="E85">
        <v>756</v>
      </c>
      <c r="F85">
        <v>823</v>
      </c>
      <c r="G85">
        <v>-531</v>
      </c>
      <c r="H85" t="s">
        <v>1988</v>
      </c>
      <c r="I85" t="s">
        <v>2170</v>
      </c>
    </row>
    <row r="86" spans="1:9" x14ac:dyDescent="0.2">
      <c r="A86" s="1" t="s">
        <v>1895</v>
      </c>
      <c r="B86" t="s">
        <v>804</v>
      </c>
      <c r="C86">
        <v>11</v>
      </c>
      <c r="D86" t="s">
        <v>994</v>
      </c>
      <c r="E86">
        <v>4231</v>
      </c>
      <c r="F86">
        <v>-2178</v>
      </c>
      <c r="G86">
        <v>-521</v>
      </c>
      <c r="H86" t="s">
        <v>1995</v>
      </c>
      <c r="I86" t="s">
        <v>2171</v>
      </c>
    </row>
    <row r="87" spans="1:9" x14ac:dyDescent="0.2">
      <c r="A87" s="1" t="s">
        <v>1893</v>
      </c>
      <c r="B87" t="s">
        <v>804</v>
      </c>
      <c r="C87">
        <v>11</v>
      </c>
      <c r="D87" t="s">
        <v>994</v>
      </c>
      <c r="E87">
        <v>3469</v>
      </c>
      <c r="F87">
        <v>-2180</v>
      </c>
      <c r="G87">
        <v>-594</v>
      </c>
      <c r="H87" t="s">
        <v>1984</v>
      </c>
      <c r="I87" t="s">
        <v>2172</v>
      </c>
    </row>
    <row r="88" spans="1:9" x14ac:dyDescent="0.2">
      <c r="A88" s="1" t="s">
        <v>1894</v>
      </c>
      <c r="B88" t="s">
        <v>804</v>
      </c>
      <c r="C88">
        <v>11</v>
      </c>
      <c r="D88" t="s">
        <v>994</v>
      </c>
      <c r="E88">
        <v>3730</v>
      </c>
      <c r="F88">
        <v>-2057</v>
      </c>
      <c r="G88">
        <v>-665</v>
      </c>
      <c r="H88" t="s">
        <v>1991</v>
      </c>
      <c r="I88" t="s">
        <v>2173</v>
      </c>
    </row>
    <row r="89" spans="1:9" x14ac:dyDescent="0.2">
      <c r="A89" s="1" t="s">
        <v>1885</v>
      </c>
      <c r="B89" t="s">
        <v>804</v>
      </c>
      <c r="C89">
        <v>11</v>
      </c>
      <c r="D89" t="s">
        <v>994</v>
      </c>
      <c r="E89">
        <v>4266</v>
      </c>
      <c r="F89">
        <v>-1674</v>
      </c>
      <c r="G89">
        <v>-628</v>
      </c>
      <c r="H89" t="s">
        <v>2005</v>
      </c>
      <c r="I89" t="s">
        <v>2174</v>
      </c>
    </row>
    <row r="90" spans="1:9" x14ac:dyDescent="0.2">
      <c r="A90" s="1" t="s">
        <v>1883</v>
      </c>
      <c r="B90" t="s">
        <v>804</v>
      </c>
      <c r="C90">
        <v>11</v>
      </c>
      <c r="D90" t="s">
        <v>994</v>
      </c>
      <c r="E90">
        <v>3346</v>
      </c>
      <c r="F90">
        <v>-1188</v>
      </c>
      <c r="G90">
        <v>-610</v>
      </c>
      <c r="H90" t="s">
        <v>1997</v>
      </c>
      <c r="I90" t="s">
        <v>2175</v>
      </c>
    </row>
    <row r="91" spans="1:9" x14ac:dyDescent="0.2">
      <c r="A91" s="1" t="s">
        <v>1884</v>
      </c>
      <c r="B91" t="s">
        <v>804</v>
      </c>
      <c r="C91">
        <v>11</v>
      </c>
      <c r="D91" t="s">
        <v>994</v>
      </c>
      <c r="E91">
        <v>3527</v>
      </c>
      <c r="F91">
        <v>-1481</v>
      </c>
      <c r="G91">
        <v>-612</v>
      </c>
      <c r="H91" t="s">
        <v>1994</v>
      </c>
      <c r="I91" t="s">
        <v>2176</v>
      </c>
    </row>
    <row r="92" spans="1:9" x14ac:dyDescent="0.2">
      <c r="A92" s="1" t="s">
        <v>1890</v>
      </c>
      <c r="B92" t="s">
        <v>805</v>
      </c>
      <c r="C92">
        <v>12</v>
      </c>
      <c r="D92" t="s">
        <v>994</v>
      </c>
      <c r="E92">
        <v>3094</v>
      </c>
      <c r="F92">
        <v>-3209</v>
      </c>
      <c r="G92">
        <v>-594</v>
      </c>
      <c r="H92" t="s">
        <v>1964</v>
      </c>
      <c r="I92" t="s">
        <v>2177</v>
      </c>
    </row>
    <row r="93" spans="1:9" x14ac:dyDescent="0.2">
      <c r="A93" s="1" t="s">
        <v>1891</v>
      </c>
      <c r="B93" t="s">
        <v>805</v>
      </c>
      <c r="C93">
        <v>12</v>
      </c>
      <c r="D93" t="s">
        <v>994</v>
      </c>
      <c r="E93">
        <v>2826</v>
      </c>
      <c r="F93">
        <v>-3271</v>
      </c>
      <c r="G93">
        <v>-527</v>
      </c>
      <c r="H93" t="s">
        <v>1961</v>
      </c>
      <c r="I93" t="s">
        <v>2178</v>
      </c>
    </row>
    <row r="94" spans="1:9" x14ac:dyDescent="0.2">
      <c r="A94" s="1" t="s">
        <v>1892</v>
      </c>
      <c r="B94" t="s">
        <v>805</v>
      </c>
      <c r="C94">
        <v>12</v>
      </c>
      <c r="D94" t="s">
        <v>994</v>
      </c>
      <c r="E94">
        <v>4632</v>
      </c>
      <c r="F94">
        <v>-3712</v>
      </c>
      <c r="G94">
        <v>-506</v>
      </c>
      <c r="H94" t="s">
        <v>2069</v>
      </c>
      <c r="I94" t="s">
        <v>2179</v>
      </c>
    </row>
    <row r="95" spans="1:9" x14ac:dyDescent="0.2">
      <c r="A95" s="1" t="s">
        <v>1889</v>
      </c>
      <c r="B95" t="s">
        <v>805</v>
      </c>
      <c r="C95">
        <v>12</v>
      </c>
      <c r="D95" t="s">
        <v>994</v>
      </c>
      <c r="E95">
        <v>2304</v>
      </c>
      <c r="F95">
        <v>-2377</v>
      </c>
      <c r="G95">
        <v>-617</v>
      </c>
      <c r="H95" t="s">
        <v>1965</v>
      </c>
      <c r="I95" t="s">
        <v>2180</v>
      </c>
    </row>
    <row r="96" spans="1:9" x14ac:dyDescent="0.2">
      <c r="A96" s="1" t="s">
        <v>1836</v>
      </c>
      <c r="B96" t="s">
        <v>794</v>
      </c>
      <c r="C96">
        <v>13</v>
      </c>
      <c r="D96" t="s">
        <v>994</v>
      </c>
      <c r="E96">
        <v>104</v>
      </c>
      <c r="F96">
        <v>-2517</v>
      </c>
      <c r="G96">
        <v>-414</v>
      </c>
      <c r="H96" t="s">
        <v>1926</v>
      </c>
      <c r="I96" t="s">
        <v>2181</v>
      </c>
    </row>
    <row r="97" spans="1:9" x14ac:dyDescent="0.2">
      <c r="A97" s="1" t="s">
        <v>1833</v>
      </c>
      <c r="B97" t="s">
        <v>794</v>
      </c>
      <c r="C97">
        <v>13</v>
      </c>
      <c r="D97" t="s">
        <v>994</v>
      </c>
      <c r="E97">
        <v>348</v>
      </c>
      <c r="F97">
        <v>-2050</v>
      </c>
      <c r="G97">
        <v>-471</v>
      </c>
      <c r="H97" t="s">
        <v>1936</v>
      </c>
      <c r="I97" t="s">
        <v>2182</v>
      </c>
    </row>
    <row r="98" spans="1:9" x14ac:dyDescent="0.2">
      <c r="A98" s="1" t="s">
        <v>1838</v>
      </c>
      <c r="B98" t="s">
        <v>794</v>
      </c>
      <c r="C98">
        <v>13</v>
      </c>
      <c r="D98" t="s">
        <v>994</v>
      </c>
      <c r="E98">
        <v>669</v>
      </c>
      <c r="F98">
        <v>-3358</v>
      </c>
      <c r="G98">
        <v>-484</v>
      </c>
      <c r="H98" t="s">
        <v>1924</v>
      </c>
      <c r="I98" t="s">
        <v>2183</v>
      </c>
    </row>
    <row r="99" spans="1:9" x14ac:dyDescent="0.2">
      <c r="A99" s="1" t="s">
        <v>1834</v>
      </c>
      <c r="B99" t="s">
        <v>794</v>
      </c>
      <c r="C99">
        <v>13</v>
      </c>
      <c r="D99" t="s">
        <v>994</v>
      </c>
      <c r="E99">
        <v>867</v>
      </c>
      <c r="F99">
        <v>-2280</v>
      </c>
      <c r="G99">
        <v>-556</v>
      </c>
      <c r="H99" t="s">
        <v>1943</v>
      </c>
      <c r="I99" t="s">
        <v>2184</v>
      </c>
    </row>
    <row r="100" spans="1:9" x14ac:dyDescent="0.2">
      <c r="A100" s="1" t="s">
        <v>1839</v>
      </c>
      <c r="B100" t="s">
        <v>794</v>
      </c>
      <c r="C100">
        <v>13</v>
      </c>
      <c r="D100" t="s">
        <v>994</v>
      </c>
      <c r="E100">
        <v>-562</v>
      </c>
      <c r="F100">
        <v>-3524</v>
      </c>
      <c r="G100">
        <v>-574</v>
      </c>
      <c r="H100" t="s">
        <v>1911</v>
      </c>
      <c r="I100" t="s">
        <v>2185</v>
      </c>
    </row>
    <row r="101" spans="1:9" x14ac:dyDescent="0.2">
      <c r="A101" s="1" t="s">
        <v>1835</v>
      </c>
      <c r="B101" t="s">
        <v>794</v>
      </c>
      <c r="C101">
        <v>13</v>
      </c>
      <c r="D101" t="s">
        <v>994</v>
      </c>
      <c r="E101">
        <v>1217</v>
      </c>
      <c r="F101">
        <v>-2542</v>
      </c>
      <c r="G101">
        <v>-612</v>
      </c>
      <c r="H101" t="s">
        <v>1945</v>
      </c>
      <c r="I101" t="s">
        <v>2186</v>
      </c>
    </row>
    <row r="102" spans="1:9" x14ac:dyDescent="0.2">
      <c r="A102" s="1" t="s">
        <v>1837</v>
      </c>
      <c r="B102" t="s">
        <v>794</v>
      </c>
      <c r="C102">
        <v>13</v>
      </c>
      <c r="D102" t="s">
        <v>994</v>
      </c>
      <c r="E102">
        <v>1516</v>
      </c>
      <c r="F102">
        <v>-3576</v>
      </c>
      <c r="G102">
        <v>-529</v>
      </c>
      <c r="H102" t="s">
        <v>1932</v>
      </c>
      <c r="I102" t="s">
        <v>2187</v>
      </c>
    </row>
    <row r="103" spans="1:9" x14ac:dyDescent="0.2">
      <c r="A103" s="1" t="s">
        <v>1832</v>
      </c>
      <c r="B103" t="s">
        <v>794</v>
      </c>
      <c r="C103">
        <v>13</v>
      </c>
      <c r="D103" t="s">
        <v>994</v>
      </c>
      <c r="E103">
        <v>931</v>
      </c>
      <c r="F103">
        <v>-1902</v>
      </c>
      <c r="G103">
        <v>-461</v>
      </c>
      <c r="H103" t="s">
        <v>1949</v>
      </c>
      <c r="I103" t="s">
        <v>2188</v>
      </c>
    </row>
    <row r="104" spans="1:9" x14ac:dyDescent="0.2">
      <c r="A104" s="1" t="s">
        <v>1848</v>
      </c>
      <c r="B104" t="s">
        <v>798</v>
      </c>
      <c r="C104">
        <v>14</v>
      </c>
      <c r="D104" t="s">
        <v>994</v>
      </c>
      <c r="E104">
        <v>-2445</v>
      </c>
      <c r="F104">
        <v>-3345</v>
      </c>
      <c r="G104">
        <v>-465</v>
      </c>
      <c r="H104" t="s">
        <v>1904</v>
      </c>
      <c r="I104" t="s">
        <v>2189</v>
      </c>
    </row>
    <row r="105" spans="1:9" x14ac:dyDescent="0.2">
      <c r="A105" s="1" t="s">
        <v>1852</v>
      </c>
      <c r="B105" t="s">
        <v>798</v>
      </c>
      <c r="C105">
        <v>14</v>
      </c>
      <c r="D105" t="s">
        <v>994</v>
      </c>
      <c r="E105">
        <v>-3726</v>
      </c>
      <c r="F105">
        <v>-3625</v>
      </c>
      <c r="G105">
        <v>-494</v>
      </c>
      <c r="H105" t="s">
        <v>1898</v>
      </c>
      <c r="I105" t="s">
        <v>2190</v>
      </c>
    </row>
    <row r="106" spans="1:9" x14ac:dyDescent="0.2">
      <c r="A106" s="1" t="s">
        <v>1854</v>
      </c>
      <c r="B106" t="s">
        <v>798</v>
      </c>
      <c r="C106">
        <v>14</v>
      </c>
      <c r="D106" t="s">
        <v>994</v>
      </c>
      <c r="E106">
        <v>-4679</v>
      </c>
      <c r="F106">
        <v>-3086</v>
      </c>
      <c r="G106">
        <v>-503</v>
      </c>
      <c r="H106" t="s">
        <v>1897</v>
      </c>
      <c r="I106" t="s">
        <v>2191</v>
      </c>
    </row>
    <row r="107" spans="1:9" x14ac:dyDescent="0.2">
      <c r="A107" s="1" t="s">
        <v>1851</v>
      </c>
      <c r="B107" t="s">
        <v>798</v>
      </c>
      <c r="C107">
        <v>14</v>
      </c>
      <c r="D107" t="s">
        <v>994</v>
      </c>
      <c r="E107">
        <v>-3883</v>
      </c>
      <c r="F107">
        <v>-2964</v>
      </c>
      <c r="G107">
        <v>-434</v>
      </c>
      <c r="H107" t="s">
        <v>1899</v>
      </c>
      <c r="I107" t="s">
        <v>2192</v>
      </c>
    </row>
    <row r="108" spans="1:9" x14ac:dyDescent="0.2">
      <c r="A108" s="1" t="s">
        <v>1844</v>
      </c>
      <c r="B108" t="s">
        <v>798</v>
      </c>
      <c r="C108">
        <v>14</v>
      </c>
      <c r="D108" t="s">
        <v>994</v>
      </c>
      <c r="E108">
        <v>-2031</v>
      </c>
      <c r="F108">
        <v>-1847</v>
      </c>
      <c r="G108">
        <v>-504</v>
      </c>
      <c r="H108" t="s">
        <v>1913</v>
      </c>
      <c r="I108" t="s">
        <v>2193</v>
      </c>
    </row>
    <row r="109" spans="1:9" x14ac:dyDescent="0.2">
      <c r="A109" s="1" t="s">
        <v>1853</v>
      </c>
      <c r="B109" t="s">
        <v>798</v>
      </c>
      <c r="C109">
        <v>14</v>
      </c>
      <c r="D109" t="s">
        <v>994</v>
      </c>
      <c r="E109">
        <v>-4159</v>
      </c>
      <c r="F109">
        <v>-3824</v>
      </c>
      <c r="G109">
        <v>-478</v>
      </c>
      <c r="H109" t="s">
        <v>1896</v>
      </c>
      <c r="I109" t="s">
        <v>2194</v>
      </c>
    </row>
    <row r="110" spans="1:9" x14ac:dyDescent="0.2">
      <c r="A110" s="1" t="s">
        <v>1845</v>
      </c>
      <c r="B110" t="s">
        <v>798</v>
      </c>
      <c r="C110">
        <v>14</v>
      </c>
      <c r="D110" t="s">
        <v>994</v>
      </c>
      <c r="E110">
        <v>-1529</v>
      </c>
      <c r="F110">
        <v>-2928</v>
      </c>
      <c r="G110">
        <v>-731</v>
      </c>
      <c r="H110" t="s">
        <v>1909</v>
      </c>
      <c r="I110" t="s">
        <v>2195</v>
      </c>
    </row>
    <row r="111" spans="1:9" x14ac:dyDescent="0.2">
      <c r="A111" s="1" t="s">
        <v>1846</v>
      </c>
      <c r="B111" t="s">
        <v>798</v>
      </c>
      <c r="C111">
        <v>14</v>
      </c>
      <c r="D111" t="s">
        <v>994</v>
      </c>
      <c r="E111">
        <v>-2658</v>
      </c>
      <c r="F111">
        <v>-2236</v>
      </c>
      <c r="G111">
        <v>-488</v>
      </c>
      <c r="H111" t="s">
        <v>1907</v>
      </c>
      <c r="I111" t="s">
        <v>2196</v>
      </c>
    </row>
    <row r="112" spans="1:9" x14ac:dyDescent="0.2">
      <c r="A112" s="1" t="s">
        <v>1849</v>
      </c>
      <c r="B112" t="s">
        <v>798</v>
      </c>
      <c r="C112">
        <v>14</v>
      </c>
      <c r="D112" t="s">
        <v>994</v>
      </c>
      <c r="E112">
        <v>-3211</v>
      </c>
      <c r="F112">
        <v>-3007</v>
      </c>
      <c r="G112">
        <v>-470</v>
      </c>
      <c r="H112" t="s">
        <v>1901</v>
      </c>
      <c r="I112" t="s">
        <v>2197</v>
      </c>
    </row>
    <row r="113" spans="1:9" x14ac:dyDescent="0.2">
      <c r="A113" s="1" t="s">
        <v>1855</v>
      </c>
      <c r="B113" t="s">
        <v>798</v>
      </c>
      <c r="C113">
        <v>14</v>
      </c>
      <c r="D113" t="s">
        <v>994</v>
      </c>
      <c r="E113">
        <v>-4168</v>
      </c>
      <c r="F113">
        <v>-2144</v>
      </c>
      <c r="G113">
        <v>-487</v>
      </c>
      <c r="H113" t="s">
        <v>1900</v>
      </c>
      <c r="I113" t="s">
        <v>2198</v>
      </c>
    </row>
    <row r="114" spans="1:9" x14ac:dyDescent="0.2">
      <c r="A114" s="1" t="s">
        <v>1847</v>
      </c>
      <c r="B114" t="s">
        <v>798</v>
      </c>
      <c r="C114">
        <v>14</v>
      </c>
      <c r="D114" t="s">
        <v>994</v>
      </c>
      <c r="E114">
        <v>-1795</v>
      </c>
      <c r="F114">
        <v>-3485</v>
      </c>
      <c r="G114">
        <v>-477</v>
      </c>
      <c r="H114" t="s">
        <v>1937</v>
      </c>
      <c r="I114" t="s">
        <v>2199</v>
      </c>
    </row>
    <row r="115" spans="1:9" x14ac:dyDescent="0.2">
      <c r="A115" s="1" t="s">
        <v>1850</v>
      </c>
      <c r="B115" t="s">
        <v>798</v>
      </c>
      <c r="C115">
        <v>14</v>
      </c>
      <c r="D115" t="s">
        <v>994</v>
      </c>
      <c r="E115">
        <v>-3292</v>
      </c>
      <c r="F115">
        <v>-2509</v>
      </c>
      <c r="G115">
        <v>-475</v>
      </c>
      <c r="H115" t="s">
        <v>1903</v>
      </c>
      <c r="I115" t="s">
        <v>2200</v>
      </c>
    </row>
    <row r="116" spans="1:9" x14ac:dyDescent="0.2">
      <c r="A116" s="1" t="s">
        <v>1857</v>
      </c>
      <c r="B116" t="s">
        <v>797</v>
      </c>
      <c r="C116">
        <v>15</v>
      </c>
      <c r="D116" t="s">
        <v>994</v>
      </c>
      <c r="E116">
        <v>-3496</v>
      </c>
      <c r="F116">
        <v>-197</v>
      </c>
      <c r="G116">
        <v>-516</v>
      </c>
      <c r="H116" t="s">
        <v>1916</v>
      </c>
      <c r="I116" t="s">
        <v>2201</v>
      </c>
    </row>
    <row r="117" spans="1:9" x14ac:dyDescent="0.2">
      <c r="A117" s="1" t="s">
        <v>1843</v>
      </c>
      <c r="B117" t="s">
        <v>797</v>
      </c>
      <c r="C117">
        <v>15</v>
      </c>
      <c r="D117" t="s">
        <v>994</v>
      </c>
      <c r="E117">
        <v>-2523</v>
      </c>
      <c r="F117">
        <v>-1770</v>
      </c>
      <c r="G117">
        <v>-713</v>
      </c>
      <c r="H117" t="s">
        <v>1910</v>
      </c>
      <c r="I117" t="s">
        <v>2202</v>
      </c>
    </row>
    <row r="118" spans="1:9" x14ac:dyDescent="0.2">
      <c r="A118" s="1" t="s">
        <v>1840</v>
      </c>
      <c r="B118" t="s">
        <v>797</v>
      </c>
      <c r="C118">
        <v>15</v>
      </c>
      <c r="D118" t="s">
        <v>994</v>
      </c>
      <c r="E118">
        <v>-4468</v>
      </c>
      <c r="F118">
        <v>-670</v>
      </c>
      <c r="G118">
        <v>-949</v>
      </c>
      <c r="H118" t="s">
        <v>1905</v>
      </c>
      <c r="I118" t="s">
        <v>2203</v>
      </c>
    </row>
    <row r="119" spans="1:9" x14ac:dyDescent="0.2">
      <c r="A119" s="1" t="s">
        <v>1856</v>
      </c>
      <c r="B119" t="s">
        <v>797</v>
      </c>
      <c r="C119">
        <v>15</v>
      </c>
      <c r="D119" t="s">
        <v>994</v>
      </c>
      <c r="E119">
        <v>-4152</v>
      </c>
      <c r="F119">
        <v>98</v>
      </c>
      <c r="G119">
        <v>-489</v>
      </c>
      <c r="H119" t="s">
        <v>1912</v>
      </c>
      <c r="I119" t="s">
        <v>2204</v>
      </c>
    </row>
    <row r="120" spans="1:9" x14ac:dyDescent="0.2">
      <c r="A120" s="1" t="s">
        <v>1841</v>
      </c>
      <c r="B120" t="s">
        <v>797</v>
      </c>
      <c r="C120">
        <v>15</v>
      </c>
      <c r="D120" t="s">
        <v>994</v>
      </c>
      <c r="E120">
        <v>-4637</v>
      </c>
      <c r="F120">
        <v>-1514</v>
      </c>
      <c r="G120">
        <v>-890</v>
      </c>
      <c r="H120" t="s">
        <v>1902</v>
      </c>
      <c r="I120" t="s">
        <v>2205</v>
      </c>
    </row>
    <row r="121" spans="1:9" x14ac:dyDescent="0.2">
      <c r="A121" s="1" t="s">
        <v>1842</v>
      </c>
      <c r="B121" t="s">
        <v>797</v>
      </c>
      <c r="C121">
        <v>15</v>
      </c>
      <c r="D121" t="s">
        <v>994</v>
      </c>
      <c r="E121">
        <v>-3407</v>
      </c>
      <c r="F121">
        <v>-1362</v>
      </c>
      <c r="G121">
        <v>-77</v>
      </c>
      <c r="H121" t="s">
        <v>1908</v>
      </c>
      <c r="I121" t="s">
        <v>2206</v>
      </c>
    </row>
  </sheetData>
  <autoFilter ref="A1:H121" xr:uid="{823B8C7C-C45E-F947-B4ED-93BCBD79419E}">
    <sortState xmlns:xlrd2="http://schemas.microsoft.com/office/spreadsheetml/2017/richdata2" ref="A2:H121">
      <sortCondition ref="C1:C121"/>
    </sortState>
  </autoFilter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B4AFB-DF97-BA49-BAA4-4AA7FEBCD18E}">
  <sheetPr codeName="Sheet3">
    <tabColor theme="9"/>
  </sheetPr>
  <dimension ref="A1:L663"/>
  <sheetViews>
    <sheetView topLeftCell="A148" workbookViewId="0">
      <selection activeCell="A168" sqref="A168"/>
    </sheetView>
  </sheetViews>
  <sheetFormatPr baseColWidth="10" defaultRowHeight="16" x14ac:dyDescent="0.2"/>
  <cols>
    <col min="1" max="1" width="33.83203125" bestFit="1" customWidth="1"/>
    <col min="2" max="2" width="10.6640625" bestFit="1" customWidth="1"/>
    <col min="3" max="10" width="10.83203125" style="2"/>
    <col min="11" max="11" width="19.5" bestFit="1" customWidth="1"/>
  </cols>
  <sheetData>
    <row r="1" spans="1:12" s="6" customFormat="1" x14ac:dyDescent="0.2">
      <c r="A1" s="6" t="s">
        <v>781</v>
      </c>
      <c r="B1" s="6" t="s">
        <v>2083</v>
      </c>
      <c r="C1" s="4" t="s">
        <v>2074</v>
      </c>
      <c r="D1" s="4" t="s">
        <v>777</v>
      </c>
      <c r="E1" s="4" t="s">
        <v>778</v>
      </c>
      <c r="F1" s="4" t="s">
        <v>779</v>
      </c>
      <c r="G1" s="4" t="s">
        <v>780</v>
      </c>
      <c r="H1" s="4" t="s">
        <v>2541</v>
      </c>
      <c r="I1" s="4" t="s">
        <v>2544</v>
      </c>
      <c r="J1" s="4" t="s">
        <v>2830</v>
      </c>
      <c r="K1" s="6" t="s">
        <v>2081</v>
      </c>
      <c r="L1" s="6" t="s">
        <v>2075</v>
      </c>
    </row>
    <row r="2" spans="1:12" x14ac:dyDescent="0.2">
      <c r="A2" t="s">
        <v>1120</v>
      </c>
      <c r="C2" s="2">
        <v>1</v>
      </c>
      <c r="D2" s="2" t="s">
        <v>994</v>
      </c>
      <c r="E2" s="2">
        <v>553</v>
      </c>
      <c r="F2" s="2">
        <v>260</v>
      </c>
      <c r="G2" s="2">
        <v>-610</v>
      </c>
      <c r="H2" s="2" t="s">
        <v>2556</v>
      </c>
      <c r="I2" s="2" t="s">
        <v>2519</v>
      </c>
      <c r="J2" s="2">
        <v>1</v>
      </c>
      <c r="L2" t="str">
        <f>"{ name: "&amp;CHAR(34)&amp;A2&amp;CHAR(34)&amp;", landmark: "&amp;CHAR(34)&amp;"Named Location"&amp;CHAR(34)&amp;", type: "&amp;CHAR(34)&amp;B2&amp;CHAR(34)&amp;", region: "&amp;C2&amp;", level: "&amp;CHAR(34)&amp;D2&amp;CHAR(34)&amp;", x: "&amp;INT(E2)&amp;", y: "&amp;INT(F2)&amp;", z: "&amp;INT(G2)&amp;", zoom: "&amp;IF(LEN(H2)&gt;1,"["&amp;H2&amp;"]",H2)&amp;", size: "&amp;CHAR(34)&amp;I2&amp;CHAR(34)&amp;", weight: "&amp;J2&amp;", details: "&amp;CHAR(34)&amp;K2&amp;CHAR(34)&amp;" },"</f>
        <v>{ name: "Applean Grove", landmark: "Named Location", type: "", region: 1, level: "Depths", x: 553, y: 260, z: -610, zoom: [3,4], size: "S", weight: 1, details: "" },</v>
      </c>
    </row>
    <row r="3" spans="1:12" x14ac:dyDescent="0.2">
      <c r="A3" t="s">
        <v>1188</v>
      </c>
      <c r="C3" s="2">
        <v>1</v>
      </c>
      <c r="D3" s="2" t="s">
        <v>994</v>
      </c>
      <c r="E3" s="2">
        <v>-1065</v>
      </c>
      <c r="F3" s="2">
        <v>-574</v>
      </c>
      <c r="G3" s="2">
        <v>-482</v>
      </c>
      <c r="H3" s="2" t="s">
        <v>2556</v>
      </c>
      <c r="I3" s="2" t="s">
        <v>2519</v>
      </c>
      <c r="J3" s="2">
        <v>2</v>
      </c>
      <c r="L3" t="str">
        <f t="shared" ref="L2:L65" si="0">"{ name: "&amp;CHAR(34)&amp;A3&amp;CHAR(34)&amp;", landmark: "&amp;CHAR(34)&amp;"Named Location"&amp;CHAR(34)&amp;", type: "&amp;CHAR(34)&amp;B3&amp;CHAR(34)&amp;", region: "&amp;C3&amp;", level: "&amp;CHAR(34)&amp;D3&amp;CHAR(34)&amp;", x: "&amp;INT(E3)&amp;", y: "&amp;INT(F3)&amp;", z: "&amp;INT(G3)&amp;", zoom: "&amp;IF(LEN(H3)&gt;1,"["&amp;H3&amp;"]",H3)&amp;", size: "&amp;CHAR(34)&amp;I3&amp;CHAR(34)&amp;", weight: "&amp;J3&amp;", details: "&amp;CHAR(34)&amp;K3&amp;CHAR(34)&amp;" },"</f>
        <v>{ name: "Daphnes Canyon Mine", landmark: "Named Location", type: "", region: 1, level: "Depths", x: -1065, y: -574, z: -482, zoom: [3,4], size: "S", weight: 2, details: "" },</v>
      </c>
    </row>
    <row r="4" spans="1:12" x14ac:dyDescent="0.2">
      <c r="A4" t="s">
        <v>1287</v>
      </c>
      <c r="C4" s="2">
        <v>1</v>
      </c>
      <c r="D4" s="2" t="s">
        <v>994</v>
      </c>
      <c r="E4" s="2">
        <v>-1165</v>
      </c>
      <c r="F4" s="2">
        <v>-152</v>
      </c>
      <c r="G4" s="2">
        <v>-602</v>
      </c>
      <c r="H4" s="2" t="s">
        <v>2556</v>
      </c>
      <c r="I4" s="2" t="s">
        <v>2519</v>
      </c>
      <c r="J4" s="2">
        <v>1</v>
      </c>
      <c r="L4" t="str">
        <f t="shared" si="0"/>
        <v>{ name: "Giant's Grove", landmark: "Named Location", type: "", region: 1, level: "Depths", x: -1165, y: -152, z: -602, zoom: [3,4], size: "S", weight: 1, details: "" },</v>
      </c>
    </row>
    <row r="5" spans="1:12" x14ac:dyDescent="0.2">
      <c r="A5" t="s">
        <v>1319</v>
      </c>
      <c r="C5" s="2">
        <v>1</v>
      </c>
      <c r="D5" s="2" t="s">
        <v>994</v>
      </c>
      <c r="E5" s="2">
        <v>-962</v>
      </c>
      <c r="F5" s="2">
        <v>210</v>
      </c>
      <c r="G5" s="2">
        <v>-593</v>
      </c>
      <c r="H5" s="2" t="s">
        <v>2556</v>
      </c>
      <c r="I5" s="2" t="s">
        <v>2519</v>
      </c>
      <c r="J5" s="2">
        <v>1</v>
      </c>
      <c r="L5" t="str">
        <f t="shared" si="0"/>
        <v>{ name: "Gustaf Canyon Mine", landmark: "Named Location", type: "", region: 1, level: "Depths", x: -962, y: 210, z: -593, zoom: [3,4], size: "S", weight: 1, details: "" },</v>
      </c>
    </row>
    <row r="6" spans="1:12" x14ac:dyDescent="0.2">
      <c r="A6" t="s">
        <v>2561</v>
      </c>
      <c r="C6" s="2">
        <v>1</v>
      </c>
      <c r="D6" s="2" t="s">
        <v>994</v>
      </c>
      <c r="E6" s="2">
        <v>460</v>
      </c>
      <c r="F6" s="2">
        <v>-806</v>
      </c>
      <c r="G6" s="2">
        <v>-489</v>
      </c>
      <c r="H6" s="2" t="s">
        <v>2556</v>
      </c>
      <c r="I6" s="2" t="s">
        <v>2545</v>
      </c>
      <c r="J6" s="2">
        <v>2</v>
      </c>
      <c r="L6" t="str">
        <f t="shared" si="0"/>
        <v>{ name: "Plains Bargainer Statue", landmark: "Named Location", type: "", region: 1, level: "Depths", x: 460, y: -806, z: -489, zoom: [3,4], size: "M", weight: 2, details: "" },</v>
      </c>
    </row>
    <row r="7" spans="1:12" x14ac:dyDescent="0.2">
      <c r="A7" s="25" t="s">
        <v>1162</v>
      </c>
      <c r="B7" t="s">
        <v>2543</v>
      </c>
      <c r="C7" s="2">
        <v>1</v>
      </c>
      <c r="D7" s="2" t="s">
        <v>783</v>
      </c>
      <c r="E7" s="2">
        <v>-298</v>
      </c>
      <c r="F7" s="2">
        <v>20</v>
      </c>
      <c r="G7" s="2">
        <v>2000</v>
      </c>
      <c r="H7" s="2">
        <v>1</v>
      </c>
      <c r="I7" s="2" t="s">
        <v>2546</v>
      </c>
      <c r="J7" s="2">
        <v>1</v>
      </c>
      <c r="L7" t="str">
        <f t="shared" si="0"/>
        <v>{ name: "Central Hyrule Sky", landmark: "Named Location", type: "Province", region: 1, level: "Sky", x: -298, y: 20, z: 2000, zoom: 1, size: "L", weight: 1, details: "" },</v>
      </c>
    </row>
    <row r="8" spans="1:12" x14ac:dyDescent="0.2">
      <c r="A8" s="25" t="s">
        <v>1163</v>
      </c>
      <c r="B8" t="s">
        <v>2542</v>
      </c>
      <c r="C8" s="2">
        <v>1</v>
      </c>
      <c r="D8" s="2" t="s">
        <v>783</v>
      </c>
      <c r="E8" s="2">
        <v>132</v>
      </c>
      <c r="F8" s="2">
        <v>-92</v>
      </c>
      <c r="G8" s="2">
        <v>2000</v>
      </c>
      <c r="H8" s="2" t="s">
        <v>2832</v>
      </c>
      <c r="I8" s="2" t="s">
        <v>2546</v>
      </c>
      <c r="J8" s="2">
        <v>1</v>
      </c>
      <c r="L8" t="str">
        <f t="shared" si="0"/>
        <v>{ name: "Central Hyrule Sky Archipelago", landmark: "Named Location", type: "Subregion", region: 1, level: "Sky", x: 132, y: -92, z: 2000, zoom: [2,3,4], size: "L", weight: 1, details: "" },</v>
      </c>
    </row>
    <row r="9" spans="1:12" x14ac:dyDescent="0.2">
      <c r="A9" t="s">
        <v>788</v>
      </c>
      <c r="B9" t="s">
        <v>2543</v>
      </c>
      <c r="C9" s="2">
        <v>1</v>
      </c>
      <c r="D9" s="2" t="s">
        <v>785</v>
      </c>
      <c r="E9" s="2">
        <v>-290</v>
      </c>
      <c r="F9" s="2">
        <v>-126</v>
      </c>
      <c r="G9" s="2">
        <v>0</v>
      </c>
      <c r="H9" s="2">
        <v>1</v>
      </c>
      <c r="I9" s="2" t="s">
        <v>2546</v>
      </c>
      <c r="J9" s="2">
        <v>1</v>
      </c>
      <c r="L9" t="str">
        <f t="shared" si="0"/>
        <v>{ name: "Central Hyrule", landmark: "Named Location", type: "Province", region: 1, level: "Surface", x: -290, y: -126, z: 0, zoom: 1, size: "L", weight: 1, details: "" },</v>
      </c>
    </row>
    <row r="10" spans="1:12" x14ac:dyDescent="0.2">
      <c r="A10" t="s">
        <v>790</v>
      </c>
      <c r="B10" t="s">
        <v>8</v>
      </c>
      <c r="C10" s="2">
        <v>1</v>
      </c>
      <c r="D10" s="2" t="s">
        <v>785</v>
      </c>
      <c r="E10" s="2">
        <v>-459</v>
      </c>
      <c r="F10" s="2">
        <v>-582</v>
      </c>
      <c r="G10" s="2">
        <v>0</v>
      </c>
      <c r="H10" s="2">
        <v>2</v>
      </c>
      <c r="I10" s="2" t="s">
        <v>2545</v>
      </c>
      <c r="J10" s="2">
        <v>1</v>
      </c>
      <c r="L10" t="str">
        <f t="shared" si="0"/>
        <v>{ name: "Hyrule Field", landmark: "Named Location", type: "Region", region: 1, level: "Surface", x: -459, y: -582, z: 0, zoom: 2, size: "M", weight: 1, details: "" },</v>
      </c>
    </row>
    <row r="11" spans="1:12" x14ac:dyDescent="0.2">
      <c r="A11" t="s">
        <v>1208</v>
      </c>
      <c r="C11" s="2">
        <v>1</v>
      </c>
      <c r="D11" s="2" t="s">
        <v>785</v>
      </c>
      <c r="E11" s="2">
        <v>-112</v>
      </c>
      <c r="F11" s="2">
        <v>852</v>
      </c>
      <c r="G11" s="2">
        <v>105</v>
      </c>
      <c r="H11" s="2">
        <v>4</v>
      </c>
      <c r="I11" s="2" t="s">
        <v>2519</v>
      </c>
      <c r="J11" s="2">
        <v>1</v>
      </c>
      <c r="L11" t="str">
        <f t="shared" si="0"/>
        <v>{ name: "Dining Hall", landmark: "Named Location", type: "", region: 1, level: "Surface", x: -112, y: 852, z: 105, zoom: 4, size: "S", weight: 1, details: "" },</v>
      </c>
    </row>
    <row r="12" spans="1:12" x14ac:dyDescent="0.2">
      <c r="A12" t="s">
        <v>1231</v>
      </c>
      <c r="C12" s="2">
        <v>1</v>
      </c>
      <c r="D12" s="2" t="s">
        <v>785</v>
      </c>
      <c r="E12" s="2">
        <v>-120</v>
      </c>
      <c r="F12" s="2">
        <v>975</v>
      </c>
      <c r="G12" s="2">
        <v>27</v>
      </c>
      <c r="H12" s="2">
        <v>4</v>
      </c>
      <c r="I12" s="2" t="s">
        <v>2519</v>
      </c>
      <c r="J12" s="2">
        <v>1</v>
      </c>
      <c r="L12" t="str">
        <f t="shared" si="0"/>
        <v>{ name: "East Passage", landmark: "Named Location", type: "", region: 1, level: "Surface", x: -120, y: 975, z: 27, zoom: 4, size: "S", weight: 1, details: "" },</v>
      </c>
    </row>
    <row r="13" spans="1:12" x14ac:dyDescent="0.2">
      <c r="A13" t="s">
        <v>1316</v>
      </c>
      <c r="C13" s="2">
        <v>1</v>
      </c>
      <c r="D13" s="2" t="s">
        <v>785</v>
      </c>
      <c r="E13" s="2">
        <v>-369</v>
      </c>
      <c r="F13" s="2">
        <v>847</v>
      </c>
      <c r="G13" s="2">
        <v>72</v>
      </c>
      <c r="H13" s="2">
        <v>4</v>
      </c>
      <c r="I13" s="2" t="s">
        <v>2519</v>
      </c>
      <c r="J13" s="2">
        <v>1</v>
      </c>
      <c r="L13" t="str">
        <f t="shared" si="0"/>
        <v>{ name: "Guards' Chamber", landmark: "Named Location", type: "", region: 1, level: "Surface", x: -369, y: 847, z: 72, zoom: 4, size: "S", weight: 1, details: "" },</v>
      </c>
    </row>
    <row r="14" spans="1:12" x14ac:dyDescent="0.2">
      <c r="A14" t="s">
        <v>1391</v>
      </c>
      <c r="C14" s="2">
        <v>1</v>
      </c>
      <c r="D14" s="2" t="s">
        <v>785</v>
      </c>
      <c r="E14" s="2">
        <v>-174</v>
      </c>
      <c r="F14" s="2">
        <v>1120</v>
      </c>
      <c r="G14" s="2">
        <v>215</v>
      </c>
      <c r="H14" s="2">
        <v>4</v>
      </c>
      <c r="I14" s="2" t="s">
        <v>2519</v>
      </c>
      <c r="J14" s="2">
        <v>1</v>
      </c>
      <c r="L14" t="str">
        <f t="shared" si="0"/>
        <v>{ name: "King's Study", landmark: "Named Location", type: "", region: 1, level: "Surface", x: -174, y: 1120, z: 215, zoom: 4, size: "S", weight: 1, details: "" },</v>
      </c>
    </row>
    <row r="15" spans="1:12" x14ac:dyDescent="0.2">
      <c r="A15" t="s">
        <v>1430</v>
      </c>
      <c r="C15" s="2">
        <v>1</v>
      </c>
      <c r="D15" s="2" t="s">
        <v>785</v>
      </c>
      <c r="E15" s="2">
        <v>-158</v>
      </c>
      <c r="F15" s="2">
        <v>1067</v>
      </c>
      <c r="G15" s="2">
        <v>218</v>
      </c>
      <c r="H15" s="2">
        <v>4</v>
      </c>
      <c r="I15" s="2" t="s">
        <v>2519</v>
      </c>
      <c r="J15" s="2">
        <v>1</v>
      </c>
      <c r="L15" t="str">
        <f t="shared" si="0"/>
        <v>{ name: "Library", landmark: "Named Location", type: "", region: 1, level: "Surface", x: -158, y: 1067, z: 218, zoom: 4, size: "S", weight: 1, details: "" },</v>
      </c>
    </row>
    <row r="16" spans="1:12" x14ac:dyDescent="0.2">
      <c r="A16" t="s">
        <v>1436</v>
      </c>
      <c r="C16" s="2">
        <v>1</v>
      </c>
      <c r="D16" s="2" t="s">
        <v>785</v>
      </c>
      <c r="E16" s="2">
        <v>-444</v>
      </c>
      <c r="F16" s="2">
        <v>1062</v>
      </c>
      <c r="G16" s="2">
        <v>25</v>
      </c>
      <c r="H16" s="2">
        <v>4</v>
      </c>
      <c r="I16" s="2" t="s">
        <v>2519</v>
      </c>
      <c r="J16" s="2">
        <v>1</v>
      </c>
      <c r="L16" t="str">
        <f t="shared" si="0"/>
        <v>{ name: "Lockup", landmark: "Named Location", type: "", region: 1, level: "Surface", x: -444, y: 1062, z: 25, zoom: 4, size: "S", weight: 1, details: "" },</v>
      </c>
    </row>
    <row r="17" spans="1:12" x14ac:dyDescent="0.2">
      <c r="A17" t="s">
        <v>1522</v>
      </c>
      <c r="C17" s="2">
        <v>1</v>
      </c>
      <c r="D17" s="2" t="s">
        <v>785</v>
      </c>
      <c r="E17" s="2">
        <v>-254</v>
      </c>
      <c r="F17" s="2">
        <v>779</v>
      </c>
      <c r="G17" s="2">
        <v>98</v>
      </c>
      <c r="H17" s="2">
        <v>4</v>
      </c>
      <c r="I17" s="2" t="s">
        <v>2519</v>
      </c>
      <c r="J17" s="2">
        <v>1</v>
      </c>
      <c r="L17" t="str">
        <f t="shared" si="0"/>
        <v>{ name: "Observation Room", landmark: "Named Location", type: "", region: 1, level: "Surface", x: -254, y: 779, z: 98, zoom: 4, size: "S", weight: 1, details: "" },</v>
      </c>
    </row>
    <row r="18" spans="1:12" x14ac:dyDescent="0.2">
      <c r="A18" t="s">
        <v>1546</v>
      </c>
      <c r="C18" s="2">
        <v>1</v>
      </c>
      <c r="D18" s="2" t="s">
        <v>785</v>
      </c>
      <c r="E18" s="2">
        <v>-332</v>
      </c>
      <c r="F18" s="2">
        <v>987</v>
      </c>
      <c r="G18" s="2">
        <v>301</v>
      </c>
      <c r="H18" s="2">
        <v>4</v>
      </c>
      <c r="I18" s="2" t="s">
        <v>2519</v>
      </c>
      <c r="J18" s="2">
        <v>1</v>
      </c>
      <c r="L18" t="str">
        <f t="shared" si="0"/>
        <v>{ name: "Princess Zelda's Room", landmark: "Named Location", type: "", region: 1, level: "Surface", x: -332, y: 987, z: 301, zoom: 4, size: "S", weight: 1, details: "" },</v>
      </c>
    </row>
    <row r="19" spans="1:12" x14ac:dyDescent="0.2">
      <c r="A19" t="s">
        <v>1708</v>
      </c>
      <c r="C19" s="2">
        <v>1</v>
      </c>
      <c r="D19" s="2" t="s">
        <v>785</v>
      </c>
      <c r="E19" s="2">
        <v>-449</v>
      </c>
      <c r="F19" s="2">
        <v>858</v>
      </c>
      <c r="G19" s="2">
        <v>13</v>
      </c>
      <c r="H19" s="2">
        <v>4</v>
      </c>
      <c r="I19" s="2" t="s">
        <v>2519</v>
      </c>
      <c r="J19" s="2">
        <v>1</v>
      </c>
      <c r="L19" t="str">
        <f t="shared" si="0"/>
        <v>{ name: "West Passage", landmark: "Named Location", type: "", region: 1, level: "Surface", x: -449, y: 858, z: 13, zoom: 4, size: "S", weight: 1, details: "" },</v>
      </c>
    </row>
    <row r="20" spans="1:12" x14ac:dyDescent="0.2">
      <c r="A20" t="s">
        <v>1116</v>
      </c>
      <c r="C20" s="2">
        <v>1</v>
      </c>
      <c r="D20" s="2" t="s">
        <v>785</v>
      </c>
      <c r="E20" s="2">
        <v>-1112</v>
      </c>
      <c r="F20" s="2">
        <v>-415</v>
      </c>
      <c r="G20" s="2">
        <v>63</v>
      </c>
      <c r="H20" s="2" t="s">
        <v>2556</v>
      </c>
      <c r="I20" s="2" t="s">
        <v>2519</v>
      </c>
      <c r="J20" s="2">
        <v>2</v>
      </c>
      <c r="L20" t="str">
        <f t="shared" si="0"/>
        <v>{ name: "Ancient Tree Stump", landmark: "Named Location", type: "", region: 1, level: "Surface", x: -1112, y: -415, z: 63, zoom: [3,4], size: "S", weight: 2, details: "" },</v>
      </c>
    </row>
    <row r="21" spans="1:12" x14ac:dyDescent="0.2">
      <c r="A21" t="s">
        <v>1020</v>
      </c>
      <c r="C21" s="2">
        <v>1</v>
      </c>
      <c r="D21" s="2" t="s">
        <v>785</v>
      </c>
      <c r="E21" s="2">
        <v>553</v>
      </c>
      <c r="F21" s="2">
        <v>289</v>
      </c>
      <c r="G21" s="2">
        <v>0</v>
      </c>
      <c r="H21" s="2" t="s">
        <v>2556</v>
      </c>
      <c r="I21" s="26" t="s">
        <v>2519</v>
      </c>
      <c r="J21" s="2">
        <v>1</v>
      </c>
      <c r="L21" t="str">
        <f t="shared" si="0"/>
        <v>{ name: "Applean Forest", landmark: "Named Location", type: "", region: 1, level: "Surface", x: 553, y: 289, z: 0, zoom: [3,4], size: "S", weight: 1, details: "" },</v>
      </c>
    </row>
    <row r="22" spans="1:12" x14ac:dyDescent="0.2">
      <c r="A22" t="s">
        <v>1141</v>
      </c>
      <c r="C22" s="2">
        <v>1</v>
      </c>
      <c r="D22" s="2" t="s">
        <v>785</v>
      </c>
      <c r="E22" s="2">
        <v>270</v>
      </c>
      <c r="F22" s="2">
        <v>712</v>
      </c>
      <c r="G22" s="2">
        <v>4</v>
      </c>
      <c r="H22" s="2" t="s">
        <v>2556</v>
      </c>
      <c r="I22" s="2" t="s">
        <v>2519</v>
      </c>
      <c r="J22" s="2">
        <v>1</v>
      </c>
      <c r="L22" t="str">
        <f t="shared" si="0"/>
        <v>{ name: "Boneyard Bridge", landmark: "Named Location", type: "", region: 1, level: "Surface", x: 270, y: 712, z: 4, zoom: [3,4], size: "S", weight: 1, details: "" },</v>
      </c>
    </row>
    <row r="23" spans="1:12" x14ac:dyDescent="0.2">
      <c r="A23" t="s">
        <v>1143</v>
      </c>
      <c r="C23" s="2">
        <v>1</v>
      </c>
      <c r="D23" s="2" t="s">
        <v>785</v>
      </c>
      <c r="E23" s="2">
        <v>510</v>
      </c>
      <c r="F23" s="2">
        <v>-582</v>
      </c>
      <c r="G23" s="2">
        <v>0</v>
      </c>
      <c r="H23" s="2" t="s">
        <v>2556</v>
      </c>
      <c r="I23" s="26" t="s">
        <v>2519</v>
      </c>
      <c r="J23" s="2">
        <v>1</v>
      </c>
      <c r="L23" t="str">
        <f t="shared" si="0"/>
        <v>{ name: "Bottomless Pond", landmark: "Named Location", type: "", region: 1, level: "Surface", x: 510, y: -582, z: 0, zoom: [3,4], size: "S", weight: 1, details: "" },</v>
      </c>
    </row>
    <row r="24" spans="1:12" x14ac:dyDescent="0.2">
      <c r="A24" t="s">
        <v>1160</v>
      </c>
      <c r="C24" s="2">
        <v>1</v>
      </c>
      <c r="D24" s="2" t="s">
        <v>785</v>
      </c>
      <c r="E24" s="2">
        <v>-677</v>
      </c>
      <c r="F24" s="2">
        <v>837</v>
      </c>
      <c r="G24" s="2">
        <v>0</v>
      </c>
      <c r="H24" s="2" t="s">
        <v>2556</v>
      </c>
      <c r="I24" s="2" t="s">
        <v>2519</v>
      </c>
      <c r="J24" s="2">
        <v>1</v>
      </c>
      <c r="L24" t="str">
        <f t="shared" si="0"/>
        <v>{ name: "Castle Town Prison", landmark: "Named Location", type: "", region: 1, level: "Surface", x: -677, y: 837, z: 0, zoom: [3,4], size: "S", weight: 1, details: "" },</v>
      </c>
    </row>
    <row r="25" spans="1:12" x14ac:dyDescent="0.2">
      <c r="A25" t="s">
        <v>1161</v>
      </c>
      <c r="C25" s="2">
        <v>1</v>
      </c>
      <c r="D25" s="2" t="s">
        <v>785</v>
      </c>
      <c r="E25" s="2">
        <v>80</v>
      </c>
      <c r="F25" s="2">
        <v>411</v>
      </c>
      <c r="G25" s="2">
        <v>12</v>
      </c>
      <c r="H25" s="2" t="s">
        <v>2556</v>
      </c>
      <c r="I25" s="2" t="s">
        <v>2519</v>
      </c>
      <c r="J25" s="2">
        <v>1</v>
      </c>
      <c r="L25" t="str">
        <f t="shared" si="0"/>
        <v>{ name: "Castle Town Watchtower", landmark: "Named Location", type: "", region: 1, level: "Surface", x: 80, y: 411, z: 12, zoom: [3,4], size: "S", weight: 1, details: "" },</v>
      </c>
    </row>
    <row r="26" spans="1:12" x14ac:dyDescent="0.2">
      <c r="A26" t="s">
        <v>1164</v>
      </c>
      <c r="C26" s="2">
        <v>1</v>
      </c>
      <c r="D26" s="2" t="s">
        <v>785</v>
      </c>
      <c r="E26" s="2">
        <v>-224</v>
      </c>
      <c r="F26" s="2">
        <v>446</v>
      </c>
      <c r="G26" s="2">
        <v>21</v>
      </c>
      <c r="H26" s="2" t="s">
        <v>2556</v>
      </c>
      <c r="I26" s="26" t="s">
        <v>2519</v>
      </c>
      <c r="J26" s="2">
        <v>2</v>
      </c>
      <c r="L26" t="str">
        <f t="shared" si="0"/>
        <v>{ name: "Central Square", landmark: "Named Location", type: "", region: 1, level: "Surface", x: -224, y: 446, z: 21, zoom: [3,4], size: "S", weight: 2, details: "" },</v>
      </c>
    </row>
    <row r="27" spans="1:12" x14ac:dyDescent="0.2">
      <c r="A27" t="s">
        <v>1209</v>
      </c>
      <c r="C27" s="2">
        <v>1</v>
      </c>
      <c r="D27" s="2" t="s">
        <v>785</v>
      </c>
      <c r="E27" s="2">
        <v>-252</v>
      </c>
      <c r="F27" s="2">
        <v>1188</v>
      </c>
      <c r="G27" s="2">
        <v>21</v>
      </c>
      <c r="H27" s="2" t="s">
        <v>2556</v>
      </c>
      <c r="I27" s="2" t="s">
        <v>2519</v>
      </c>
      <c r="J27" s="2">
        <v>2</v>
      </c>
      <c r="L27" t="str">
        <f t="shared" si="0"/>
        <v>{ name: "Docks", landmark: "Named Location", type: "", region: 1, level: "Surface", x: -252, y: 1188, z: 21, zoom: [3,4], size: "S", weight: 2, details: "" },</v>
      </c>
    </row>
    <row r="28" spans="1:12" x14ac:dyDescent="0.2">
      <c r="A28" t="s">
        <v>1227</v>
      </c>
      <c r="C28" s="2">
        <v>1</v>
      </c>
      <c r="D28" s="2" t="s">
        <v>785</v>
      </c>
      <c r="E28" s="2">
        <v>-14</v>
      </c>
      <c r="F28" s="2">
        <v>458</v>
      </c>
      <c r="G28" s="2">
        <v>0</v>
      </c>
      <c r="H28" s="2" t="s">
        <v>2556</v>
      </c>
      <c r="I28" s="26" t="s">
        <v>2519</v>
      </c>
      <c r="J28" s="2">
        <v>1</v>
      </c>
      <c r="L28" t="str">
        <f t="shared" si="0"/>
        <v>{ name: "East Castle Town", landmark: "Named Location", type: "", region: 1, level: "Surface", x: -14, y: 458, z: 0, zoom: [3,4], size: "S", weight: 1, details: "" },</v>
      </c>
    </row>
    <row r="29" spans="1:12" x14ac:dyDescent="0.2">
      <c r="A29" t="s">
        <v>1261</v>
      </c>
      <c r="C29" s="2">
        <v>1</v>
      </c>
      <c r="D29" s="2" t="s">
        <v>785</v>
      </c>
      <c r="E29" s="2">
        <v>-356</v>
      </c>
      <c r="F29" s="2">
        <v>829</v>
      </c>
      <c r="G29" s="2">
        <v>110</v>
      </c>
      <c r="H29" s="2" t="s">
        <v>2556</v>
      </c>
      <c r="I29" s="26" t="s">
        <v>2519</v>
      </c>
      <c r="J29" s="2">
        <v>2</v>
      </c>
      <c r="L29" t="str">
        <f t="shared" si="0"/>
        <v>{ name: "First Gatehouse", landmark: "Named Location", type: "", region: 1, level: "Surface", x: -356, y: 829, z: 110, zoom: [3,4], size: "S", weight: 2, details: "" },</v>
      </c>
    </row>
    <row r="30" spans="1:12" x14ac:dyDescent="0.2">
      <c r="A30" t="s">
        <v>1286</v>
      </c>
      <c r="C30" s="2">
        <v>1</v>
      </c>
      <c r="D30" s="2" t="s">
        <v>785</v>
      </c>
      <c r="E30" s="2">
        <v>-1185</v>
      </c>
      <c r="F30" s="2">
        <v>-114</v>
      </c>
      <c r="G30" s="2">
        <v>0</v>
      </c>
      <c r="H30" s="2" t="s">
        <v>2556</v>
      </c>
      <c r="I30" s="26" t="s">
        <v>2545</v>
      </c>
      <c r="J30" s="2">
        <v>1</v>
      </c>
      <c r="L30" t="str">
        <f t="shared" si="0"/>
        <v>{ name: "Giant's Forest", landmark: "Named Location", type: "", region: 1, level: "Surface", x: -1185, y: -114, z: 0, zoom: [3,4], size: "M", weight: 1, details: "" },</v>
      </c>
    </row>
    <row r="31" spans="1:12" x14ac:dyDescent="0.2">
      <c r="A31" t="s">
        <v>1038</v>
      </c>
      <c r="C31" s="2">
        <v>1</v>
      </c>
      <c r="D31" s="2" t="s">
        <v>785</v>
      </c>
      <c r="E31" s="2">
        <v>-326</v>
      </c>
      <c r="F31" s="2">
        <v>651</v>
      </c>
      <c r="G31" s="2">
        <v>0</v>
      </c>
      <c r="H31" s="2" t="s">
        <v>2556</v>
      </c>
      <c r="I31" s="26" t="s">
        <v>2519</v>
      </c>
      <c r="J31" s="2">
        <v>1</v>
      </c>
      <c r="L31" t="str">
        <f t="shared" si="0"/>
        <v>{ name: "Hyrule Castle Moat", landmark: "Named Location", type: "", region: 1, level: "Surface", x: -326, y: 651, z: 0, zoom: [3,4], size: "S", weight: 1, details: "" },</v>
      </c>
    </row>
    <row r="32" spans="1:12" x14ac:dyDescent="0.2">
      <c r="A32" t="s">
        <v>1039</v>
      </c>
      <c r="C32" s="2">
        <v>1</v>
      </c>
      <c r="D32" s="2" t="s">
        <v>785</v>
      </c>
      <c r="E32" s="2">
        <v>-254</v>
      </c>
      <c r="F32" s="2">
        <v>376</v>
      </c>
      <c r="G32" s="2">
        <v>0</v>
      </c>
      <c r="H32" s="2" t="s">
        <v>2556</v>
      </c>
      <c r="I32" s="26" t="s">
        <v>2519</v>
      </c>
      <c r="J32" s="2">
        <v>1</v>
      </c>
      <c r="L32" t="str">
        <f t="shared" si="0"/>
        <v>{ name: "Hyrule Castle Town Ruins", landmark: "Named Location", type: "", region: 1, level: "Surface", x: -254, y: 376, z: 0, zoom: [3,4], size: "S", weight: 1, details: "" },</v>
      </c>
    </row>
    <row r="33" spans="1:12" x14ac:dyDescent="0.2">
      <c r="A33" t="s">
        <v>1365</v>
      </c>
      <c r="C33" s="2">
        <v>1</v>
      </c>
      <c r="D33" s="2" t="s">
        <v>785</v>
      </c>
      <c r="E33" s="2">
        <v>80</v>
      </c>
      <c r="F33" s="2">
        <v>628</v>
      </c>
      <c r="G33" s="2">
        <v>-6</v>
      </c>
      <c r="H33" s="2" t="s">
        <v>2556</v>
      </c>
      <c r="I33" s="2" t="s">
        <v>2519</v>
      </c>
      <c r="J33" s="2">
        <v>1</v>
      </c>
      <c r="L33" t="str">
        <f t="shared" si="0"/>
        <v>{ name: "Hyrule Cathedral", landmark: "Named Location", type: "", region: 1, level: "Surface", x: 80, y: 628, z: -6, zoom: [3,4], size: "S", weight: 1, details: "" },</v>
      </c>
    </row>
    <row r="34" spans="1:12" x14ac:dyDescent="0.2">
      <c r="A34" t="s">
        <v>1366</v>
      </c>
      <c r="C34" s="2">
        <v>1</v>
      </c>
      <c r="D34" s="2" t="s">
        <v>785</v>
      </c>
      <c r="E34" s="2">
        <v>192</v>
      </c>
      <c r="F34" s="2">
        <v>926</v>
      </c>
      <c r="G34" s="2">
        <v>47</v>
      </c>
      <c r="H34" s="2" t="s">
        <v>2556</v>
      </c>
      <c r="I34" s="2" t="s">
        <v>2545</v>
      </c>
      <c r="J34" s="2">
        <v>1</v>
      </c>
      <c r="L34" t="str">
        <f t="shared" si="0"/>
        <v>{ name: "Hyrule Forest Park", landmark: "Named Location", type: "", region: 1, level: "Surface", x: 192, y: 926, z: 47, zoom: [3,4], size: "M", weight: 1, details: "" },</v>
      </c>
    </row>
    <row r="35" spans="1:12" x14ac:dyDescent="0.2">
      <c r="A35" t="s">
        <v>1050</v>
      </c>
      <c r="C35" s="2">
        <v>1</v>
      </c>
      <c r="D35" s="2" t="s">
        <v>785</v>
      </c>
      <c r="E35" s="2">
        <v>124</v>
      </c>
      <c r="F35" s="2">
        <v>194</v>
      </c>
      <c r="G35" s="2">
        <v>0</v>
      </c>
      <c r="H35" s="2" t="s">
        <v>2556</v>
      </c>
      <c r="I35" s="26" t="s">
        <v>2545</v>
      </c>
      <c r="J35" s="2">
        <v>1</v>
      </c>
      <c r="L35" t="str">
        <f t="shared" si="0"/>
        <v>{ name: "Mabe Prairie", landmark: "Named Location", type: "", region: 1, level: "Surface", x: 124, y: 194, z: 0, zoom: [3,4], size: "M", weight: 1, details: "" },</v>
      </c>
    </row>
    <row r="36" spans="1:12" x14ac:dyDescent="0.2">
      <c r="A36" t="s">
        <v>1451</v>
      </c>
      <c r="C36" s="2">
        <v>1</v>
      </c>
      <c r="D36" s="2" t="s">
        <v>785</v>
      </c>
      <c r="E36" s="2">
        <v>-37</v>
      </c>
      <c r="F36" s="2">
        <v>-186</v>
      </c>
      <c r="G36" s="2">
        <v>0</v>
      </c>
      <c r="H36" s="2" t="s">
        <v>2556</v>
      </c>
      <c r="I36" s="26" t="s">
        <v>2519</v>
      </c>
      <c r="J36" s="2">
        <v>2</v>
      </c>
      <c r="L36" t="str">
        <f t="shared" si="0"/>
        <v>{ name: "Mabe Village Ruins", landmark: "Named Location", type: "", region: 1, level: "Surface", x: -37, y: -186, z: 0, zoom: [3,4], size: "S", weight: 2, details: "" },</v>
      </c>
    </row>
    <row r="37" spans="1:12" x14ac:dyDescent="0.2">
      <c r="A37" t="s">
        <v>1480</v>
      </c>
      <c r="C37" s="2">
        <v>1</v>
      </c>
      <c r="D37" s="2" t="s">
        <v>785</v>
      </c>
      <c r="E37" s="2">
        <v>-612</v>
      </c>
      <c r="F37" s="2">
        <v>658</v>
      </c>
      <c r="G37" s="2">
        <v>21</v>
      </c>
      <c r="H37" s="2" t="s">
        <v>2556</v>
      </c>
      <c r="I37" s="2" t="s">
        <v>2519</v>
      </c>
      <c r="J37" s="2">
        <v>1</v>
      </c>
      <c r="L37" t="str">
        <f t="shared" si="0"/>
        <v>{ name: "Moat Bridge", landmark: "Named Location", type: "", region: 1, level: "Surface", x: -612, y: 658, z: 21, zoom: [3,4], size: "S", weight: 1, details: "" },</v>
      </c>
    </row>
    <row r="38" spans="1:12" x14ac:dyDescent="0.2">
      <c r="A38" t="s">
        <v>843</v>
      </c>
      <c r="C38" s="2">
        <v>1</v>
      </c>
      <c r="D38" s="2" t="s">
        <v>785</v>
      </c>
      <c r="E38" s="2">
        <v>-1105</v>
      </c>
      <c r="F38" s="2">
        <v>-556</v>
      </c>
      <c r="G38" s="2">
        <v>0</v>
      </c>
      <c r="H38" s="2" t="s">
        <v>2556</v>
      </c>
      <c r="I38" s="26" t="s">
        <v>2546</v>
      </c>
      <c r="J38" s="2">
        <v>1</v>
      </c>
      <c r="L38" t="str">
        <f t="shared" si="0"/>
        <v>{ name: "Mount Daphnes", landmark: "Named Location", type: "", region: 1, level: "Surface", x: -1105, y: -556, z: 0, zoom: [3,4], size: "L", weight: 1, details: "" },</v>
      </c>
    </row>
    <row r="39" spans="1:12" x14ac:dyDescent="0.2">
      <c r="A39" t="s">
        <v>1058</v>
      </c>
      <c r="C39" s="2">
        <v>1</v>
      </c>
      <c r="D39" s="2" t="s">
        <v>785</v>
      </c>
      <c r="E39" s="2">
        <v>-915</v>
      </c>
      <c r="F39" s="2">
        <v>211</v>
      </c>
      <c r="G39" s="2">
        <v>0</v>
      </c>
      <c r="H39" s="2" t="s">
        <v>2556</v>
      </c>
      <c r="I39" s="26" t="s">
        <v>2546</v>
      </c>
      <c r="J39" s="2">
        <v>1</v>
      </c>
      <c r="L39" t="str">
        <f t="shared" si="0"/>
        <v>{ name: "Mount Gustaf", landmark: "Named Location", type: "", region: 1, level: "Surface", x: -915, y: 211, z: 0, zoom: [3,4], size: "L", weight: 1, details: "" },</v>
      </c>
    </row>
    <row r="40" spans="1:12" x14ac:dyDescent="0.2">
      <c r="A40" t="s">
        <v>1536</v>
      </c>
      <c r="C40" s="2">
        <v>1</v>
      </c>
      <c r="D40" s="2" t="s">
        <v>785</v>
      </c>
      <c r="E40" s="2">
        <v>-596</v>
      </c>
      <c r="F40" s="2">
        <v>-205</v>
      </c>
      <c r="G40" s="2">
        <v>0</v>
      </c>
      <c r="H40" s="2" t="s">
        <v>2556</v>
      </c>
      <c r="I40" s="26" t="s">
        <v>2545</v>
      </c>
      <c r="J40" s="2">
        <v>1</v>
      </c>
      <c r="L40" t="str">
        <f t="shared" si="0"/>
        <v>{ name: "Passeri Greenbelt", landmark: "Named Location", type: "", region: 1, level: "Surface", x: -596, y: -205, z: 0, zoom: [3,4], size: "M", weight: 1, details: "" },</v>
      </c>
    </row>
    <row r="41" spans="1:12" x14ac:dyDescent="0.2">
      <c r="A41" t="s">
        <v>1547</v>
      </c>
      <c r="C41" s="2">
        <v>1</v>
      </c>
      <c r="D41" s="2" t="s">
        <v>785</v>
      </c>
      <c r="E41" s="2">
        <v>-384</v>
      </c>
      <c r="F41" s="2">
        <v>1000</v>
      </c>
      <c r="G41" s="2">
        <v>314</v>
      </c>
      <c r="H41" s="2" t="s">
        <v>2556</v>
      </c>
      <c r="I41" s="2" t="s">
        <v>2519</v>
      </c>
      <c r="J41" s="2">
        <v>2</v>
      </c>
      <c r="L41" t="str">
        <f t="shared" si="0"/>
        <v>{ name: "Princess Zelda's Study", landmark: "Named Location", type: "", region: 1, level: "Surface", x: -384, y: 1000, z: 314, zoom: [3,4], size: "S", weight: 2, details: "" },</v>
      </c>
    </row>
    <row r="42" spans="1:12" x14ac:dyDescent="0.2">
      <c r="A42" t="s">
        <v>1551</v>
      </c>
      <c r="C42" s="2">
        <v>1</v>
      </c>
      <c r="D42" s="2" t="s">
        <v>785</v>
      </c>
      <c r="E42" s="2">
        <v>-726</v>
      </c>
      <c r="F42" s="2">
        <v>414</v>
      </c>
      <c r="G42" s="2">
        <v>0</v>
      </c>
      <c r="H42" s="2" t="s">
        <v>2556</v>
      </c>
      <c r="I42" s="26" t="s">
        <v>2519</v>
      </c>
      <c r="J42" s="2">
        <v>1</v>
      </c>
      <c r="L42" t="str">
        <f t="shared" si="0"/>
        <v>{ name: "Quarry Ruins", landmark: "Named Location", type: "", region: 1, level: "Surface", x: -726, y: 414, z: 0, zoom: [3,4], size: "S", weight: 1, details: "" },</v>
      </c>
    </row>
    <row r="43" spans="1:12" x14ac:dyDescent="0.2">
      <c r="A43" t="s">
        <v>1556</v>
      </c>
      <c r="C43" s="2">
        <v>1</v>
      </c>
      <c r="D43" s="2" t="s">
        <v>785</v>
      </c>
      <c r="E43" s="2">
        <v>108</v>
      </c>
      <c r="F43" s="2">
        <v>-276</v>
      </c>
      <c r="G43" s="2">
        <v>0</v>
      </c>
      <c r="H43" s="2" t="s">
        <v>2556</v>
      </c>
      <c r="I43" s="26" t="s">
        <v>2519</v>
      </c>
      <c r="J43" s="2">
        <v>1</v>
      </c>
      <c r="L43" t="str">
        <f t="shared" si="0"/>
        <v>{ name: "Ranch Ruins", landmark: "Named Location", type: "", region: 1, level: "Surface", x: 108, y: -276, z: 0, zoom: [3,4], size: "S", weight: 1, details: "" },</v>
      </c>
    </row>
    <row r="44" spans="1:12" x14ac:dyDescent="0.2">
      <c r="A44" t="s">
        <v>1584</v>
      </c>
      <c r="C44" s="2">
        <v>1</v>
      </c>
      <c r="D44" s="2" t="s">
        <v>785</v>
      </c>
      <c r="E44" s="2">
        <v>338</v>
      </c>
      <c r="F44" s="2">
        <v>358</v>
      </c>
      <c r="G44" s="2">
        <v>0</v>
      </c>
      <c r="H44" s="2" t="s">
        <v>2556</v>
      </c>
      <c r="I44" s="26" t="s">
        <v>2545</v>
      </c>
      <c r="J44" s="2">
        <v>1</v>
      </c>
      <c r="L44" t="str">
        <f t="shared" si="0"/>
        <v>{ name: "Romani Plains", landmark: "Named Location", type: "", region: 1, level: "Surface", x: 338, y: 358, z: 0, zoom: [3,4], size: "M", weight: 1, details: "" },</v>
      </c>
    </row>
    <row r="45" spans="1:12" x14ac:dyDescent="0.2">
      <c r="A45" t="s">
        <v>1597</v>
      </c>
      <c r="C45" s="2">
        <v>1</v>
      </c>
      <c r="D45" s="2" t="s">
        <v>785</v>
      </c>
      <c r="E45" s="2">
        <v>-1352</v>
      </c>
      <c r="F45" s="2">
        <v>-217</v>
      </c>
      <c r="G45" s="2">
        <v>0</v>
      </c>
      <c r="H45" s="2" t="s">
        <v>2556</v>
      </c>
      <c r="I45" s="2" t="s">
        <v>2519</v>
      </c>
      <c r="J45" s="2">
        <v>2</v>
      </c>
      <c r="L45" t="str">
        <f t="shared" si="0"/>
        <v>{ name: "Sage Temple Ruins", landmark: "Named Location", type: "", region: 1, level: "Surface", x: -1352, y: -217, z: 0, zoom: [3,4], size: "S", weight: 2, details: "" },</v>
      </c>
    </row>
    <row r="46" spans="1:12" x14ac:dyDescent="0.2">
      <c r="A46" t="s">
        <v>1599</v>
      </c>
      <c r="C46" s="2">
        <v>1</v>
      </c>
      <c r="D46" s="2" t="s">
        <v>785</v>
      </c>
      <c r="E46" s="2">
        <v>-254</v>
      </c>
      <c r="F46" s="2">
        <v>1077</v>
      </c>
      <c r="G46" s="2">
        <v>339</v>
      </c>
      <c r="H46" s="2" t="s">
        <v>2556</v>
      </c>
      <c r="I46" s="2" t="s">
        <v>2519</v>
      </c>
      <c r="J46" s="2">
        <v>2</v>
      </c>
      <c r="L46" t="str">
        <f t="shared" si="0"/>
        <v>{ name: "Sanctum", landmark: "Named Location", type: "", region: 1, level: "Surface", x: -254, y: 1077, z: 339, zoom: [3,4], size: "S", weight: 2, details: "" },</v>
      </c>
    </row>
    <row r="47" spans="1:12" x14ac:dyDescent="0.2">
      <c r="A47" t="s">
        <v>1607</v>
      </c>
      <c r="C47" s="2">
        <v>1</v>
      </c>
      <c r="D47" s="2" t="s">
        <v>785</v>
      </c>
      <c r="E47" s="2">
        <v>-179</v>
      </c>
      <c r="F47" s="2">
        <v>872</v>
      </c>
      <c r="G47" s="2">
        <v>292</v>
      </c>
      <c r="H47" s="2" t="s">
        <v>2556</v>
      </c>
      <c r="I47" s="2" t="s">
        <v>2519</v>
      </c>
      <c r="J47" s="2">
        <v>1</v>
      </c>
      <c r="L47" t="str">
        <f t="shared" si="0"/>
        <v>{ name: "Second Gatehouse", landmark: "Named Location", type: "", region: 1, level: "Surface", x: -179, y: 872, z: 292, zoom: [3,4], size: "S", weight: 1, details: "" },</v>
      </c>
    </row>
    <row r="48" spans="1:12" x14ac:dyDescent="0.2">
      <c r="A48" t="s">
        <v>1697</v>
      </c>
      <c r="C48" s="2">
        <v>1</v>
      </c>
      <c r="D48" s="2" t="s">
        <v>785</v>
      </c>
      <c r="E48" s="2">
        <v>-597</v>
      </c>
      <c r="F48" s="2">
        <v>525</v>
      </c>
      <c r="G48" s="2">
        <v>-10</v>
      </c>
      <c r="H48" s="2" t="s">
        <v>2556</v>
      </c>
      <c r="I48" s="2" t="s">
        <v>2519</v>
      </c>
      <c r="J48" s="2">
        <v>1</v>
      </c>
      <c r="L48" t="str">
        <f t="shared" si="0"/>
        <v>{ name: "Water Reservoir", landmark: "Named Location", type: "", region: 1, level: "Surface", x: -597, y: 525, z: -10, zoom: [3,4], size: "S", weight: 1, details: "" },</v>
      </c>
    </row>
    <row r="49" spans="1:12" x14ac:dyDescent="0.2">
      <c r="A49" t="s">
        <v>1703</v>
      </c>
      <c r="C49" s="2">
        <v>1</v>
      </c>
      <c r="D49" s="2" t="s">
        <v>785</v>
      </c>
      <c r="E49" s="2">
        <v>-514</v>
      </c>
      <c r="F49" s="2">
        <v>450</v>
      </c>
      <c r="G49" s="2">
        <v>0</v>
      </c>
      <c r="H49" s="2" t="s">
        <v>2556</v>
      </c>
      <c r="I49" s="26" t="s">
        <v>2519</v>
      </c>
      <c r="J49" s="2">
        <v>1</v>
      </c>
      <c r="L49" t="str">
        <f t="shared" si="0"/>
        <v>{ name: "West Castle Town", landmark: "Named Location", type: "", region: 1, level: "Surface", x: -514, y: 450, z: 0, zoom: [3,4], size: "S", weight: 1, details: "" },</v>
      </c>
    </row>
    <row r="50" spans="1:12" x14ac:dyDescent="0.2">
      <c r="A50" s="25" t="s">
        <v>1308</v>
      </c>
      <c r="C50" s="2">
        <v>2</v>
      </c>
      <c r="D50" s="2" t="s">
        <v>994</v>
      </c>
      <c r="E50" s="2">
        <v>-731</v>
      </c>
      <c r="F50" s="2">
        <v>-1861</v>
      </c>
      <c r="G50" s="2">
        <v>-405</v>
      </c>
      <c r="H50" s="2" t="s">
        <v>2559</v>
      </c>
      <c r="I50" s="2" t="s">
        <v>2545</v>
      </c>
      <c r="J50" s="2">
        <v>4</v>
      </c>
      <c r="L50" t="str">
        <f t="shared" si="0"/>
        <v>{ name: "Great Abandoned Central Mine", landmark: "Named Location", type: "", region: 2, level: "Depths", x: -731, y: -1861, z: -405, zoom: [1,2,3,4], size: "M", weight: 4, details: "" },</v>
      </c>
    </row>
    <row r="51" spans="1:12" x14ac:dyDescent="0.2">
      <c r="A51" t="s">
        <v>1138</v>
      </c>
      <c r="C51" s="2">
        <v>2</v>
      </c>
      <c r="D51" s="2" t="s">
        <v>994</v>
      </c>
      <c r="E51" s="2">
        <v>-2232</v>
      </c>
      <c r="F51" s="2">
        <v>-385</v>
      </c>
      <c r="G51" s="2">
        <v>-750</v>
      </c>
      <c r="H51" s="2" t="s">
        <v>2556</v>
      </c>
      <c r="I51" s="2" t="s">
        <v>2545</v>
      </c>
      <c r="J51" s="2">
        <v>1</v>
      </c>
      <c r="L51" t="str">
        <f t="shared" si="0"/>
        <v>{ name: "Blupee Burrow", landmark: "Named Location", type: "", region: 2, level: "Depths", x: -2232, y: -385, z: -750, zoom: [3,4], size: "M", weight: 1, details: "" },</v>
      </c>
    </row>
    <row r="52" spans="1:12" x14ac:dyDescent="0.2">
      <c r="A52" t="s">
        <v>1186</v>
      </c>
      <c r="C52" s="2">
        <v>2</v>
      </c>
      <c r="D52" s="2" t="s">
        <v>994</v>
      </c>
      <c r="E52" s="2">
        <v>-2219</v>
      </c>
      <c r="F52" s="2">
        <v>-957</v>
      </c>
      <c r="G52" s="2">
        <v>-542</v>
      </c>
      <c r="H52" s="2" t="s">
        <v>2556</v>
      </c>
      <c r="I52" s="2" t="s">
        <v>2519</v>
      </c>
      <c r="J52" s="2">
        <v>1</v>
      </c>
      <c r="L52" t="str">
        <f t="shared" si="0"/>
        <v>{ name: "Dalite Grove", landmark: "Named Location", type: "", region: 2, level: "Depths", x: -2219, y: -957, z: -542, zoom: [3,4], size: "S", weight: 1, details: "" },</v>
      </c>
    </row>
    <row r="53" spans="1:12" x14ac:dyDescent="0.2">
      <c r="A53" t="s">
        <v>1263</v>
      </c>
      <c r="C53" s="2">
        <v>2</v>
      </c>
      <c r="D53" s="2" t="s">
        <v>994</v>
      </c>
      <c r="E53" s="2">
        <v>-1149</v>
      </c>
      <c r="F53" s="2">
        <v>-1248</v>
      </c>
      <c r="G53" s="2">
        <v>-499</v>
      </c>
      <c r="H53" s="2" t="s">
        <v>2556</v>
      </c>
      <c r="I53" s="2" t="s">
        <v>2519</v>
      </c>
      <c r="J53" s="2">
        <v>2</v>
      </c>
      <c r="L53" t="str">
        <f t="shared" si="0"/>
        <v>{ name: "Floating Coliseum", landmark: "Named Location", type: "", region: 2, level: "Depths", x: -1149, y: -1248, z: -499, zoom: [3,4], size: "S", weight: 2, details: "" },</v>
      </c>
    </row>
    <row r="54" spans="1:12" x14ac:dyDescent="0.2">
      <c r="A54" t="s">
        <v>1314</v>
      </c>
      <c r="C54" s="2">
        <v>2</v>
      </c>
      <c r="D54" s="2" t="s">
        <v>994</v>
      </c>
      <c r="E54" s="2">
        <v>-945</v>
      </c>
      <c r="F54" s="2">
        <v>-1680</v>
      </c>
      <c r="G54" s="2">
        <v>-670</v>
      </c>
      <c r="H54" s="2" t="s">
        <v>2556</v>
      </c>
      <c r="I54" s="2" t="s">
        <v>2519</v>
      </c>
      <c r="J54" s="2">
        <v>1</v>
      </c>
      <c r="L54" t="str">
        <f t="shared" si="0"/>
        <v>{ name: "Grove of Spirits", landmark: "Named Location", type: "", region: 2, level: "Depths", x: -945, y: -1680, z: -670, zoom: [3,4], size: "S", weight: 1, details: "" },</v>
      </c>
    </row>
    <row r="55" spans="1:12" x14ac:dyDescent="0.2">
      <c r="A55" t="s">
        <v>1315</v>
      </c>
      <c r="C55" s="2">
        <v>2</v>
      </c>
      <c r="D55" s="2" t="s">
        <v>994</v>
      </c>
      <c r="E55" s="2">
        <v>-383</v>
      </c>
      <c r="F55" s="2">
        <v>-1544</v>
      </c>
      <c r="G55" s="2">
        <v>-516</v>
      </c>
      <c r="H55" s="2" t="s">
        <v>2556</v>
      </c>
      <c r="I55" s="2" t="s">
        <v>2519</v>
      </c>
      <c r="J55" s="2">
        <v>1</v>
      </c>
      <c r="L55" t="str">
        <f t="shared" si="0"/>
        <v>{ name: "Grove of Time", landmark: "Named Location", type: "", region: 2, level: "Depths", x: -383, y: -1544, z: -516, zoom: [3,4], size: "S", weight: 1, details: "" },</v>
      </c>
    </row>
    <row r="56" spans="1:12" x14ac:dyDescent="0.2">
      <c r="A56" t="s">
        <v>1360</v>
      </c>
      <c r="C56" s="2">
        <v>2</v>
      </c>
      <c r="D56" s="2" t="s">
        <v>994</v>
      </c>
      <c r="E56" s="2">
        <v>-1293</v>
      </c>
      <c r="F56" s="2">
        <v>-2194</v>
      </c>
      <c r="G56" s="2">
        <v>-605</v>
      </c>
      <c r="H56" s="2" t="s">
        <v>2556</v>
      </c>
      <c r="I56" s="2" t="s">
        <v>2519</v>
      </c>
      <c r="J56" s="2">
        <v>2</v>
      </c>
      <c r="L56" t="str">
        <f t="shared" si="0"/>
        <v>{ name: "Hylia Canyon Mine", landmark: "Named Location", type: "", region: 2, level: "Depths", x: -1293, y: -2194, z: -605, zoom: [3,4], size: "S", weight: 2, details: "" },</v>
      </c>
    </row>
    <row r="57" spans="1:12" x14ac:dyDescent="0.2">
      <c r="A57" t="s">
        <v>1608</v>
      </c>
      <c r="C57" s="2">
        <v>2</v>
      </c>
      <c r="D57" s="2" t="s">
        <v>994</v>
      </c>
      <c r="E57" s="2">
        <v>-1099</v>
      </c>
      <c r="F57" s="2">
        <v>-1898</v>
      </c>
      <c r="G57" s="2">
        <v>-745</v>
      </c>
      <c r="H57" s="2" t="s">
        <v>2556</v>
      </c>
      <c r="I57" s="2" t="s">
        <v>2519</v>
      </c>
      <c r="J57" s="2">
        <v>1</v>
      </c>
      <c r="L57" t="str">
        <f t="shared" si="0"/>
        <v>{ name: "Secret Spring of Revival", landmark: "Named Location", type: "", region: 2, level: "Depths", x: -1099, y: -1898, z: -745, zoom: [3,4], size: "S", weight: 1, details: "" },</v>
      </c>
    </row>
    <row r="58" spans="1:12" x14ac:dyDescent="0.2">
      <c r="A58" s="25" t="s">
        <v>1008</v>
      </c>
      <c r="B58" t="s">
        <v>2542</v>
      </c>
      <c r="C58" s="2">
        <v>2</v>
      </c>
      <c r="D58" s="2" t="s">
        <v>783</v>
      </c>
      <c r="E58" s="2">
        <v>-901</v>
      </c>
      <c r="F58" s="2">
        <v>-1380</v>
      </c>
      <c r="G58" s="2">
        <v>2000</v>
      </c>
      <c r="H58" s="2" t="s">
        <v>2832</v>
      </c>
      <c r="I58" s="2" t="s">
        <v>2546</v>
      </c>
      <c r="J58" s="2">
        <v>1</v>
      </c>
      <c r="L58" t="str">
        <f t="shared" si="0"/>
        <v>{ name: "South Hyrule Sky Archipelago", landmark: "Named Location", type: "Subregion", region: 2, level: "Sky", x: -901, y: -1380, z: 2000, zoom: [2,3,4], size: "L", weight: 1, details: "" },</v>
      </c>
    </row>
    <row r="59" spans="1:12" x14ac:dyDescent="0.2">
      <c r="A59" s="25" t="s">
        <v>1707</v>
      </c>
      <c r="B59" t="s">
        <v>2542</v>
      </c>
      <c r="C59" s="2">
        <v>2</v>
      </c>
      <c r="D59" s="2" t="s">
        <v>783</v>
      </c>
      <c r="E59" s="2">
        <v>-2292</v>
      </c>
      <c r="F59" s="2">
        <v>-539</v>
      </c>
      <c r="G59" s="2">
        <v>2000</v>
      </c>
      <c r="H59" s="2" t="s">
        <v>2832</v>
      </c>
      <c r="I59" s="2" t="s">
        <v>2546</v>
      </c>
      <c r="J59" s="2">
        <v>1</v>
      </c>
      <c r="L59" t="str">
        <f t="shared" si="0"/>
        <v>{ name: "West Hyrule Sky Archipelago", landmark: "Named Location", type: "Subregion", region: 2, level: "Sky", x: -2292, y: -539, z: 2000, zoom: [2,3,4], size: "L", weight: 1, details: "" },</v>
      </c>
    </row>
    <row r="60" spans="1:12" x14ac:dyDescent="0.2">
      <c r="A60" t="s">
        <v>1121</v>
      </c>
      <c r="C60" s="2">
        <v>2</v>
      </c>
      <c r="D60" s="2" t="s">
        <v>785</v>
      </c>
      <c r="E60" s="2">
        <v>-1128</v>
      </c>
      <c r="F60" s="2">
        <v>-956</v>
      </c>
      <c r="G60" s="2">
        <v>46</v>
      </c>
      <c r="H60" s="2" t="s">
        <v>2556</v>
      </c>
      <c r="I60" s="26" t="s">
        <v>2519</v>
      </c>
      <c r="J60" s="2">
        <v>1</v>
      </c>
      <c r="L60" t="str">
        <f t="shared" si="0"/>
        <v>{ name: "Aquame Bridge", landmark: "Named Location", type: "", region: 2, level: "Surface", x: -1128, y: -956, z: 46, zoom: [3,4], size: "S", weight: 1, details: "" },</v>
      </c>
    </row>
    <row r="61" spans="1:12" x14ac:dyDescent="0.2">
      <c r="A61" t="s">
        <v>1122</v>
      </c>
      <c r="C61" s="2">
        <v>2</v>
      </c>
      <c r="D61" s="2" t="s">
        <v>785</v>
      </c>
      <c r="E61" s="2">
        <v>-1304</v>
      </c>
      <c r="F61" s="2">
        <v>-1095</v>
      </c>
      <c r="G61" s="2">
        <v>0</v>
      </c>
      <c r="H61" s="2" t="s">
        <v>2556</v>
      </c>
      <c r="I61" s="2" t="s">
        <v>2545</v>
      </c>
      <c r="J61" s="2">
        <v>1</v>
      </c>
      <c r="L61" t="str">
        <f t="shared" si="0"/>
        <v>{ name: "Aquame Lake", landmark: "Named Location", type: "", region: 2, level: "Surface", x: -1304, y: -1095, z: 0, zoom: [3,4], size: "M", weight: 1, details: "" },</v>
      </c>
    </row>
    <row r="62" spans="1:12" x14ac:dyDescent="0.2">
      <c r="A62" t="s">
        <v>1170</v>
      </c>
      <c r="C62" s="2">
        <v>2</v>
      </c>
      <c r="D62" s="2" t="s">
        <v>785</v>
      </c>
      <c r="E62" s="2">
        <v>-1136</v>
      </c>
      <c r="F62" s="2">
        <v>-1233</v>
      </c>
      <c r="G62" s="2">
        <v>156</v>
      </c>
      <c r="H62" s="2" t="s">
        <v>2556</v>
      </c>
      <c r="I62" s="2" t="s">
        <v>2519</v>
      </c>
      <c r="J62" s="2">
        <v>1</v>
      </c>
      <c r="L62" t="str">
        <f t="shared" si="0"/>
        <v>{ name: "Coliseum Ruins", landmark: "Named Location", type: "", region: 2, level: "Surface", x: -1136, y: -1233, z: 156, zoom: [3,4], size: "S", weight: 1, details: "" },</v>
      </c>
    </row>
    <row r="63" spans="1:12" x14ac:dyDescent="0.2">
      <c r="A63" t="s">
        <v>1185</v>
      </c>
      <c r="C63" s="2">
        <v>2</v>
      </c>
      <c r="D63" s="2" t="s">
        <v>785</v>
      </c>
      <c r="E63" s="2">
        <v>-2051</v>
      </c>
      <c r="F63" s="2">
        <v>-1139</v>
      </c>
      <c r="G63" s="2">
        <v>0</v>
      </c>
      <c r="H63" s="2" t="s">
        <v>2556</v>
      </c>
      <c r="I63" s="2" t="s">
        <v>2519</v>
      </c>
      <c r="J63" s="2">
        <v>1</v>
      </c>
      <c r="L63" t="str">
        <f t="shared" si="0"/>
        <v>{ name: "Dalite Forest", landmark: "Named Location", type: "", region: 2, level: "Surface", x: -2051, y: -1139, z: 0, zoom: [3,4], size: "S", weight: 1, details: "" },</v>
      </c>
    </row>
    <row r="64" spans="1:12" x14ac:dyDescent="0.2">
      <c r="A64" t="s">
        <v>1207</v>
      </c>
      <c r="C64" s="2">
        <v>2</v>
      </c>
      <c r="D64" s="2" t="s">
        <v>785</v>
      </c>
      <c r="E64" s="2">
        <v>-1661</v>
      </c>
      <c r="F64" s="2">
        <v>-1531</v>
      </c>
      <c r="G64" s="2">
        <v>55</v>
      </c>
      <c r="H64" s="2" t="s">
        <v>2556</v>
      </c>
      <c r="I64" s="2" t="s">
        <v>2519</v>
      </c>
      <c r="J64" s="2">
        <v>1</v>
      </c>
      <c r="L64" t="str">
        <f t="shared" si="0"/>
        <v>{ name: "Digdogg Suspension Bridge", landmark: "Named Location", type: "", region: 2, level: "Surface", x: -1661, y: -1531, z: 55, zoom: [3,4], size: "S", weight: 1, details: "" },</v>
      </c>
    </row>
    <row r="65" spans="1:12" x14ac:dyDescent="0.2">
      <c r="A65" t="s">
        <v>1232</v>
      </c>
      <c r="C65" s="2">
        <v>2</v>
      </c>
      <c r="D65" s="2" t="s">
        <v>785</v>
      </c>
      <c r="E65" s="2">
        <v>18</v>
      </c>
      <c r="F65" s="2">
        <v>-1561</v>
      </c>
      <c r="G65" s="2">
        <v>-47</v>
      </c>
      <c r="H65" s="2" t="s">
        <v>2556</v>
      </c>
      <c r="I65" s="2" t="s">
        <v>2519</v>
      </c>
      <c r="J65" s="2">
        <v>1</v>
      </c>
      <c r="L65" t="str">
        <f t="shared" si="0"/>
        <v>{ name: "East Post Ruins", landmark: "Named Location", type: "", region: 2, level: "Surface", x: 18, y: -1561, z: -47, zoom: [3,4], size: "S", weight: 1, details: "" },</v>
      </c>
    </row>
    <row r="66" spans="1:12" x14ac:dyDescent="0.2">
      <c r="A66" t="s">
        <v>1235</v>
      </c>
      <c r="C66" s="2">
        <v>2</v>
      </c>
      <c r="D66" s="2" t="s">
        <v>785</v>
      </c>
      <c r="E66" s="2">
        <v>-531</v>
      </c>
      <c r="F66" s="2">
        <v>-1960</v>
      </c>
      <c r="G66" s="2">
        <v>0</v>
      </c>
      <c r="H66" s="2" t="s">
        <v>2556</v>
      </c>
      <c r="I66" s="26" t="s">
        <v>2519</v>
      </c>
      <c r="J66" s="2">
        <v>1</v>
      </c>
      <c r="L66" t="str">
        <f t="shared" ref="L66:L129" si="1">"{ name: "&amp;CHAR(34)&amp;A66&amp;CHAR(34)&amp;", landmark: "&amp;CHAR(34)&amp;"Named Location"&amp;CHAR(34)&amp;", type: "&amp;CHAR(34)&amp;B66&amp;CHAR(34)&amp;", region: "&amp;C66&amp;", level: "&amp;CHAR(34)&amp;D66&amp;CHAR(34)&amp;", x: "&amp;INT(E66)&amp;", y: "&amp;INT(F66)&amp;", z: "&amp;INT(G66)&amp;", zoom: "&amp;IF(LEN(H66)&gt;1,"["&amp;H66&amp;"]",H66)&amp;", size: "&amp;CHAR(34)&amp;I66&amp;CHAR(34)&amp;", weight: "&amp;J66&amp;", details: "&amp;CHAR(34)&amp;K66&amp;CHAR(34)&amp;" },"</f>
        <v>{ name: "Eastern Abbey", landmark: "Named Location", type: "", region: 2, level: "Surface", x: -531, y: -1960, z: 0, zoom: [3,4], size: "S", weight: 1, details: "" },</v>
      </c>
    </row>
    <row r="67" spans="1:12" x14ac:dyDescent="0.2">
      <c r="A67" t="s">
        <v>1030</v>
      </c>
      <c r="C67" s="2">
        <v>2</v>
      </c>
      <c r="D67" s="2" t="s">
        <v>785</v>
      </c>
      <c r="E67" s="2">
        <v>-750</v>
      </c>
      <c r="F67" s="2">
        <v>-860</v>
      </c>
      <c r="G67" s="2">
        <v>191</v>
      </c>
      <c r="H67" s="2" t="s">
        <v>2556</v>
      </c>
      <c r="I67" s="26" t="s">
        <v>2519</v>
      </c>
      <c r="J67" s="2">
        <v>2</v>
      </c>
      <c r="L67" t="str">
        <f t="shared" si="1"/>
        <v>{ name: "Exchange Ruins", landmark: "Named Location", type: "", region: 2, level: "Surface", x: -750, y: -860, z: 191, zoom: [3,4], size: "S", weight: 2, details: "" },</v>
      </c>
    </row>
    <row r="68" spans="1:12" x14ac:dyDescent="0.2">
      <c r="A68" t="s">
        <v>1032</v>
      </c>
      <c r="C68" s="2">
        <v>2</v>
      </c>
      <c r="D68" s="2" t="s">
        <v>785</v>
      </c>
      <c r="E68" s="2">
        <v>-963</v>
      </c>
      <c r="F68" s="2">
        <v>-1705</v>
      </c>
      <c r="G68" s="2">
        <v>0</v>
      </c>
      <c r="H68" s="2" t="s">
        <v>2556</v>
      </c>
      <c r="I68" s="26" t="s">
        <v>2519</v>
      </c>
      <c r="J68" s="2">
        <v>1</v>
      </c>
      <c r="L68" t="str">
        <f t="shared" si="1"/>
        <v>{ name: "Forest of Spirits", landmark: "Named Location", type: "", region: 2, level: "Surface", x: -963, y: -1705, z: 0, zoom: [3,4], size: "S", weight: 1, details: "" },</v>
      </c>
    </row>
    <row r="69" spans="1:12" x14ac:dyDescent="0.2">
      <c r="A69" t="s">
        <v>841</v>
      </c>
      <c r="C69" s="2">
        <v>2</v>
      </c>
      <c r="D69" s="2" t="s">
        <v>785</v>
      </c>
      <c r="E69" s="2">
        <v>-368</v>
      </c>
      <c r="F69" s="2">
        <v>-1525</v>
      </c>
      <c r="G69" s="2">
        <v>0</v>
      </c>
      <c r="H69" s="2" t="s">
        <v>2556</v>
      </c>
      <c r="I69" s="26" t="s">
        <v>2519</v>
      </c>
      <c r="J69" s="2">
        <v>1</v>
      </c>
      <c r="L69" t="str">
        <f t="shared" si="1"/>
        <v>{ name: "Forest of Time", landmark: "Named Location", type: "", region: 2, level: "Surface", x: -368, y: -1525, z: 0, zoom: [3,4], size: "S", weight: 1, details: "" },</v>
      </c>
    </row>
    <row r="70" spans="1:12" x14ac:dyDescent="0.2">
      <c r="A70" t="s">
        <v>1277</v>
      </c>
      <c r="C70" s="2">
        <v>2</v>
      </c>
      <c r="D70" s="2" t="s">
        <v>785</v>
      </c>
      <c r="E70" s="2">
        <v>-538</v>
      </c>
      <c r="F70" s="2">
        <v>-1445</v>
      </c>
      <c r="G70" s="2">
        <v>1</v>
      </c>
      <c r="H70" s="2" t="s">
        <v>2556</v>
      </c>
      <c r="I70" s="2" t="s">
        <v>2519</v>
      </c>
      <c r="J70" s="2">
        <v>1</v>
      </c>
      <c r="L70" t="str">
        <f t="shared" si="1"/>
        <v>{ name: "Gatepost Town Ruins", landmark: "Named Location", type: "", region: 2, level: "Surface", x: -538, y: -1445, z: 1, zoom: [3,4], size: "S", weight: 1, details: "" },</v>
      </c>
    </row>
    <row r="71" spans="1:12" x14ac:dyDescent="0.2">
      <c r="A71" t="s">
        <v>1291</v>
      </c>
      <c r="C71" s="2">
        <v>2</v>
      </c>
      <c r="D71" s="2" t="s">
        <v>785</v>
      </c>
      <c r="E71" s="2">
        <v>-1310</v>
      </c>
      <c r="F71" s="2">
        <v>-787</v>
      </c>
      <c r="G71" s="2">
        <v>-9</v>
      </c>
      <c r="H71" s="2" t="s">
        <v>2556</v>
      </c>
      <c r="I71" s="2" t="s">
        <v>2519</v>
      </c>
      <c r="J71" s="2">
        <v>1</v>
      </c>
      <c r="L71" t="str">
        <f t="shared" si="1"/>
        <v>{ name: "Gleeok Bridge", landmark: "Named Location", type: "", region: 2, level: "Surface", x: -1310, y: -787, z: -9, zoom: [3,4], size: "S", weight: 1, details: "" },</v>
      </c>
    </row>
    <row r="72" spans="1:12" x14ac:dyDescent="0.2">
      <c r="A72" t="s">
        <v>1311</v>
      </c>
      <c r="C72" s="2">
        <v>2</v>
      </c>
      <c r="D72" s="2" t="s">
        <v>785</v>
      </c>
      <c r="E72" s="2">
        <v>-938</v>
      </c>
      <c r="F72" s="2">
        <v>-1906</v>
      </c>
      <c r="G72" s="2">
        <v>130</v>
      </c>
      <c r="H72" s="2" t="s">
        <v>2556</v>
      </c>
      <c r="I72" s="26" t="s">
        <v>2519</v>
      </c>
      <c r="J72" s="2">
        <v>1</v>
      </c>
      <c r="L72" t="str">
        <f t="shared" si="1"/>
        <v>{ name: "Great Plateau", landmark: "Named Location", type: "", region: 2, level: "Surface", x: -938, y: -1906, z: 130, zoom: [3,4], size: "S", weight: 1, details: "" },</v>
      </c>
    </row>
    <row r="73" spans="1:12" x14ac:dyDescent="0.2">
      <c r="A73" t="s">
        <v>1356</v>
      </c>
      <c r="C73" s="2">
        <v>2</v>
      </c>
      <c r="D73" s="2" t="s">
        <v>785</v>
      </c>
      <c r="E73" s="2">
        <v>-1191</v>
      </c>
      <c r="F73" s="2">
        <v>-1659</v>
      </c>
      <c r="G73" s="2">
        <v>0</v>
      </c>
      <c r="H73" s="2" t="s">
        <v>2556</v>
      </c>
      <c r="I73" s="26" t="s">
        <v>2519</v>
      </c>
      <c r="J73" s="2">
        <v>1</v>
      </c>
      <c r="L73" t="str">
        <f t="shared" si="1"/>
        <v>{ name: "Hopper Pond", landmark: "Named Location", type: "", region: 2, level: "Surface", x: -1191, y: -1659, z: 0, zoom: [3,4], size: "S", weight: 1, details: "" },</v>
      </c>
    </row>
    <row r="74" spans="1:12" x14ac:dyDescent="0.2">
      <c r="A74" t="s">
        <v>1367</v>
      </c>
      <c r="C74" s="2">
        <v>2</v>
      </c>
      <c r="D74" s="2" t="s">
        <v>785</v>
      </c>
      <c r="E74" s="2">
        <v>-597</v>
      </c>
      <c r="F74" s="2">
        <v>-572</v>
      </c>
      <c r="G74" s="2">
        <v>-53</v>
      </c>
      <c r="H74" s="2" t="s">
        <v>2556</v>
      </c>
      <c r="I74" s="2" t="s">
        <v>2519</v>
      </c>
      <c r="J74" s="2">
        <v>1</v>
      </c>
      <c r="L74" t="str">
        <f t="shared" si="1"/>
        <v>{ name: "Hyrule Garrison Ruins", landmark: "Named Location", type: "", region: 2, level: "Surface", x: -597, y: -572, z: -53, zoom: [3,4], size: "S", weight: 1, details: "" },</v>
      </c>
    </row>
    <row r="75" spans="1:12" x14ac:dyDescent="0.2">
      <c r="A75" t="s">
        <v>1395</v>
      </c>
      <c r="C75" s="2">
        <v>2</v>
      </c>
      <c r="D75" s="2" t="s">
        <v>785</v>
      </c>
      <c r="E75" s="2">
        <v>-436</v>
      </c>
      <c r="F75" s="2">
        <v>-1278</v>
      </c>
      <c r="G75" s="2">
        <v>30</v>
      </c>
      <c r="H75" s="2" t="s">
        <v>2556</v>
      </c>
      <c r="I75" s="2" t="s">
        <v>2519</v>
      </c>
      <c r="J75" s="2">
        <v>1</v>
      </c>
      <c r="L75" t="str">
        <f t="shared" si="1"/>
        <v>{ name: "Kolomo Garrison Ruins", landmark: "Named Location", type: "", region: 2, level: "Surface", x: -436, y: -1278, z: 30, zoom: [3,4], size: "S", weight: 1, details: "" },</v>
      </c>
    </row>
    <row r="76" spans="1:12" x14ac:dyDescent="0.2">
      <c r="A76" t="s">
        <v>1408</v>
      </c>
      <c r="C76" s="2">
        <v>2</v>
      </c>
      <c r="D76" s="2" t="s">
        <v>785</v>
      </c>
      <c r="E76" s="2">
        <v>-487</v>
      </c>
      <c r="F76" s="2">
        <v>-1163</v>
      </c>
      <c r="G76" s="2">
        <v>0</v>
      </c>
      <c r="H76" s="2" t="s">
        <v>2556</v>
      </c>
      <c r="I76" s="26" t="s">
        <v>2519</v>
      </c>
      <c r="J76" s="2">
        <v>1</v>
      </c>
      <c r="L76" t="str">
        <f t="shared" si="1"/>
        <v>{ name: "Lake Kolomo", landmark: "Named Location", type: "", region: 2, level: "Surface", x: -487, y: -1163, z: 0, zoom: [3,4], size: "S", weight: 1, details: "" },</v>
      </c>
    </row>
    <row r="77" spans="1:12" x14ac:dyDescent="0.2">
      <c r="A77" t="s">
        <v>1051</v>
      </c>
      <c r="C77" s="2">
        <v>2</v>
      </c>
      <c r="D77" s="2" t="s">
        <v>785</v>
      </c>
      <c r="E77" s="2">
        <v>-1611</v>
      </c>
      <c r="F77" s="2">
        <v>-1023</v>
      </c>
      <c r="G77" s="2">
        <v>3</v>
      </c>
      <c r="H77" s="2" t="s">
        <v>2556</v>
      </c>
      <c r="I77" s="2" t="s">
        <v>2519</v>
      </c>
      <c r="J77" s="2">
        <v>1</v>
      </c>
      <c r="L77" t="str">
        <f t="shared" si="1"/>
        <v>{ name: "Manhala Bridge", landmark: "Named Location", type: "", region: 2, level: "Surface", x: -1611, y: -1023, z: 3, zoom: [3,4], size: "S", weight: 1, details: "" },</v>
      </c>
    </row>
    <row r="78" spans="1:12" x14ac:dyDescent="0.2">
      <c r="A78" t="s">
        <v>1491</v>
      </c>
      <c r="C78" s="2">
        <v>2</v>
      </c>
      <c r="D78" s="2" t="s">
        <v>785</v>
      </c>
      <c r="E78" s="2">
        <v>-1277</v>
      </c>
      <c r="F78" s="2">
        <v>-2180</v>
      </c>
      <c r="G78" s="2">
        <v>0</v>
      </c>
      <c r="H78" s="2" t="s">
        <v>2556</v>
      </c>
      <c r="I78" s="26" t="s">
        <v>2546</v>
      </c>
      <c r="J78" s="2">
        <v>1</v>
      </c>
      <c r="L78" t="str">
        <f t="shared" si="1"/>
        <v>{ name: "Mount Hylia", landmark: "Named Location", type: "", region: 2, level: "Surface", x: -1277, y: -2180, z: 0, zoom: [3,4], size: "L", weight: 1, details: "" },</v>
      </c>
    </row>
    <row r="79" spans="1:12" x14ac:dyDescent="0.2">
      <c r="A79" t="s">
        <v>1060</v>
      </c>
      <c r="C79" s="2">
        <v>2</v>
      </c>
      <c r="D79" s="2" t="s">
        <v>785</v>
      </c>
      <c r="E79" s="2">
        <v>-1608</v>
      </c>
      <c r="F79" s="2">
        <v>-445</v>
      </c>
      <c r="G79" s="2">
        <v>0</v>
      </c>
      <c r="H79" s="2" t="s">
        <v>2556</v>
      </c>
      <c r="I79" s="2" t="s">
        <v>2545</v>
      </c>
      <c r="J79" s="2">
        <v>1</v>
      </c>
      <c r="L79" t="str">
        <f t="shared" si="1"/>
        <v>{ name: "Nima Plain", landmark: "Named Location", type: "", region: 2, level: "Surface", x: -1608, y: -445, z: 0, zoom: [3,4], size: "M", weight: 1, details: "" },</v>
      </c>
    </row>
    <row r="80" spans="1:12" x14ac:dyDescent="0.2">
      <c r="A80" t="s">
        <v>1527</v>
      </c>
      <c r="C80" s="2">
        <v>2</v>
      </c>
      <c r="D80" s="2" t="s">
        <v>785</v>
      </c>
      <c r="E80" s="2">
        <v>-248</v>
      </c>
      <c r="F80" s="2">
        <v>-1688</v>
      </c>
      <c r="G80" s="2">
        <v>0</v>
      </c>
      <c r="H80" s="2" t="s">
        <v>2556</v>
      </c>
      <c r="I80" s="2" t="s">
        <v>2519</v>
      </c>
      <c r="J80" s="2">
        <v>2</v>
      </c>
      <c r="L80" t="str">
        <f t="shared" si="1"/>
        <v>{ name: "Outpost Ruins", landmark: "Named Location", type: "", region: 2, level: "Surface", x: -248, y: -1688, z: 0, zoom: [3,4], size: "S", weight: 2, details: "" },</v>
      </c>
    </row>
    <row r="81" spans="1:12" x14ac:dyDescent="0.2">
      <c r="A81" t="s">
        <v>1577</v>
      </c>
      <c r="C81" s="2">
        <v>2</v>
      </c>
      <c r="D81" s="2" t="s">
        <v>785</v>
      </c>
      <c r="E81" s="2">
        <v>-1228</v>
      </c>
      <c r="F81" s="2">
        <v>-1981</v>
      </c>
      <c r="G81" s="2">
        <v>0</v>
      </c>
      <c r="H81" s="2" t="s">
        <v>2556</v>
      </c>
      <c r="I81" s="26" t="s">
        <v>2519</v>
      </c>
      <c r="J81" s="2">
        <v>1</v>
      </c>
      <c r="L81" t="str">
        <f t="shared" si="1"/>
        <v>{ name: "River of the Dead", landmark: "Named Location", type: "", region: 2, level: "Surface", x: -1228, y: -1981, z: 0, zoom: [3,4], size: "S", weight: 1, details: "" },</v>
      </c>
    </row>
    <row r="82" spans="1:12" x14ac:dyDescent="0.2">
      <c r="A82" t="s">
        <v>1591</v>
      </c>
      <c r="C82" s="2">
        <v>2</v>
      </c>
      <c r="D82" s="2" t="s">
        <v>785</v>
      </c>
      <c r="E82" s="2">
        <v>-2532</v>
      </c>
      <c r="F82" s="2">
        <v>-633</v>
      </c>
      <c r="G82" s="2">
        <v>0</v>
      </c>
      <c r="H82" s="2" t="s">
        <v>2556</v>
      </c>
      <c r="I82" s="2" t="s">
        <v>2519</v>
      </c>
      <c r="J82" s="2">
        <v>1</v>
      </c>
      <c r="L82" t="str">
        <f t="shared" si="1"/>
        <v>{ name: "Rutile Lake", landmark: "Named Location", type: "", region: 2, level: "Surface", x: -2532, y: -633, z: 0, zoom: [3,4], size: "S", weight: 1, details: "" },</v>
      </c>
    </row>
    <row r="83" spans="1:12" x14ac:dyDescent="0.2">
      <c r="A83" t="s">
        <v>1596</v>
      </c>
      <c r="C83" s="2">
        <v>2</v>
      </c>
      <c r="D83" s="2" t="s">
        <v>785</v>
      </c>
      <c r="E83" s="2">
        <v>-1756</v>
      </c>
      <c r="F83" s="2">
        <v>-857</v>
      </c>
      <c r="G83" s="2">
        <v>0</v>
      </c>
      <c r="H83" s="2" t="s">
        <v>2556</v>
      </c>
      <c r="I83" s="2" t="s">
        <v>2546</v>
      </c>
      <c r="J83" s="2">
        <v>1</v>
      </c>
      <c r="L83" t="str">
        <f t="shared" si="1"/>
        <v>{ name: "Safula Hill", landmark: "Named Location", type: "", region: 2, level: "Surface", x: -1756, y: -857, z: 0, zoom: [3,4], size: "L", weight: 1, details: "" },</v>
      </c>
    </row>
    <row r="84" spans="1:12" x14ac:dyDescent="0.2">
      <c r="A84" t="s">
        <v>1600</v>
      </c>
      <c r="C84" s="2">
        <v>2</v>
      </c>
      <c r="D84" s="2" t="s">
        <v>785</v>
      </c>
      <c r="E84" s="2">
        <v>-1630</v>
      </c>
      <c r="F84" s="2">
        <v>-696</v>
      </c>
      <c r="G84" s="2">
        <v>141</v>
      </c>
      <c r="H84" s="2" t="s">
        <v>2556</v>
      </c>
      <c r="I84" s="2" t="s">
        <v>2519</v>
      </c>
      <c r="J84" s="2">
        <v>1</v>
      </c>
      <c r="L84" t="str">
        <f t="shared" si="1"/>
        <v>{ name: "Sanidin Park Ruins", landmark: "Named Location", type: "", region: 2, level: "Surface", x: -1630, y: -696, z: 141, zoom: [3,4], size: "S", weight: 1, details: "" },</v>
      </c>
    </row>
    <row r="85" spans="1:12" x14ac:dyDescent="0.2">
      <c r="A85" t="s">
        <v>1604</v>
      </c>
      <c r="C85" s="2">
        <v>2</v>
      </c>
      <c r="D85" s="2" t="s">
        <v>785</v>
      </c>
      <c r="E85" s="2">
        <v>-2259</v>
      </c>
      <c r="F85" s="2">
        <v>-288</v>
      </c>
      <c r="G85" s="2">
        <v>0</v>
      </c>
      <c r="H85" s="2" t="s">
        <v>2556</v>
      </c>
      <c r="I85" s="2" t="s">
        <v>2546</v>
      </c>
      <c r="J85" s="2">
        <v>1</v>
      </c>
      <c r="L85" t="str">
        <f t="shared" si="1"/>
        <v>{ name: "Satori Mountain", landmark: "Named Location", type: "", region: 2, level: "Surface", x: -2259, y: -288, z: 0, zoom: [3,4], size: "L", weight: 1, details: "" },</v>
      </c>
    </row>
    <row r="86" spans="1:12" x14ac:dyDescent="0.2">
      <c r="A86" t="s">
        <v>1077</v>
      </c>
      <c r="C86" s="2">
        <v>2</v>
      </c>
      <c r="D86" s="2" t="s">
        <v>785</v>
      </c>
      <c r="E86" s="2">
        <v>-21</v>
      </c>
      <c r="F86" s="2">
        <v>-1898</v>
      </c>
      <c r="G86" s="2">
        <v>0</v>
      </c>
      <c r="H86" s="2" t="s">
        <v>2556</v>
      </c>
      <c r="I86" s="26" t="s">
        <v>2546</v>
      </c>
      <c r="J86" s="2">
        <v>1</v>
      </c>
      <c r="L86" t="str">
        <f t="shared" si="1"/>
        <v>{ name: "Scout's Hill", landmark: "Named Location", type: "", region: 2, level: "Surface", x: -21, y: -1898, z: 0, zoom: [3,4], size: "L", weight: 1, details: "" },</v>
      </c>
    </row>
    <row r="87" spans="1:12" x14ac:dyDescent="0.2">
      <c r="A87" t="s">
        <v>1669</v>
      </c>
      <c r="C87" s="2">
        <v>2</v>
      </c>
      <c r="D87" s="2" t="s">
        <v>785</v>
      </c>
      <c r="E87" s="2">
        <v>-859</v>
      </c>
      <c r="F87" s="2">
        <v>-2035</v>
      </c>
      <c r="G87" s="2">
        <v>144</v>
      </c>
      <c r="H87" s="2" t="s">
        <v>2556</v>
      </c>
      <c r="I87" s="2" t="s">
        <v>2519</v>
      </c>
      <c r="J87" s="2">
        <v>1</v>
      </c>
      <c r="L87" t="str">
        <f t="shared" si="1"/>
        <v>{ name: "Temple of Time Ruins", landmark: "Named Location", type: "", region: 2, level: "Surface", x: -859, y: -2035, z: 144, zoom: [3,4], size: "S", weight: 1, details: "" },</v>
      </c>
    </row>
    <row r="88" spans="1:12" x14ac:dyDescent="0.2">
      <c r="A88" t="s">
        <v>1713</v>
      </c>
      <c r="C88" s="2">
        <v>2</v>
      </c>
      <c r="D88" s="2" t="s">
        <v>785</v>
      </c>
      <c r="E88" s="2">
        <v>152</v>
      </c>
      <c r="F88" s="2">
        <v>-852</v>
      </c>
      <c r="G88" s="2">
        <v>0</v>
      </c>
      <c r="H88" s="2" t="s">
        <v>2556</v>
      </c>
      <c r="I88" s="26" t="s">
        <v>2546</v>
      </c>
      <c r="J88" s="2">
        <v>1</v>
      </c>
      <c r="L88" t="str">
        <f t="shared" si="1"/>
        <v>{ name: "Whistling Hill", landmark: "Named Location", type: "", region: 2, level: "Surface", x: 152, y: -852, z: 0, zoom: [3,4], size: "L", weight: 1, details: "" },</v>
      </c>
    </row>
    <row r="89" spans="1:12" x14ac:dyDescent="0.2">
      <c r="A89" t="s">
        <v>1714</v>
      </c>
      <c r="C89" s="2">
        <v>2</v>
      </c>
      <c r="D89" s="2" t="s">
        <v>785</v>
      </c>
      <c r="E89" s="2">
        <v>-265</v>
      </c>
      <c r="F89" s="2">
        <v>-605</v>
      </c>
      <c r="G89" s="2">
        <v>0</v>
      </c>
      <c r="H89" s="2" t="s">
        <v>2556</v>
      </c>
      <c r="I89" s="26" t="s">
        <v>2545</v>
      </c>
      <c r="J89" s="2">
        <v>1</v>
      </c>
      <c r="L89" t="str">
        <f t="shared" si="1"/>
        <v>{ name: "Windvane Meadow", landmark: "Named Location", type: "", region: 2, level: "Surface", x: -265, y: -605, z: 0, zoom: [3,4], size: "M", weight: 1, details: "" },</v>
      </c>
    </row>
    <row r="90" spans="1:12" x14ac:dyDescent="0.2">
      <c r="A90" t="s">
        <v>1183</v>
      </c>
      <c r="C90" s="2">
        <v>3</v>
      </c>
      <c r="D90" s="2" t="s">
        <v>994</v>
      </c>
      <c r="E90" s="2">
        <v>-3789</v>
      </c>
      <c r="F90" s="2">
        <v>1343</v>
      </c>
      <c r="G90" s="2">
        <v>-682</v>
      </c>
      <c r="H90" s="2" t="s">
        <v>2556</v>
      </c>
      <c r="I90" s="2" t="s">
        <v>2519</v>
      </c>
      <c r="J90" s="2">
        <v>2</v>
      </c>
      <c r="L90" t="str">
        <f t="shared" si="1"/>
        <v>{ name: "Cuho Canyon Mine", landmark: "Named Location", type: "", region: 3, level: "Depths", x: -3789, y: 1343, z: -682, zoom: [3,4], size: "S", weight: 2, details: "" },</v>
      </c>
    </row>
    <row r="91" spans="1:12" x14ac:dyDescent="0.2">
      <c r="A91" t="s">
        <v>1431</v>
      </c>
      <c r="C91" s="2">
        <v>3</v>
      </c>
      <c r="D91" s="2" t="s">
        <v>994</v>
      </c>
      <c r="E91" s="2">
        <v>-2006</v>
      </c>
      <c r="F91" s="2">
        <v>1327</v>
      </c>
      <c r="G91" s="2">
        <v>-687</v>
      </c>
      <c r="H91" s="2" t="s">
        <v>2556</v>
      </c>
      <c r="I91" s="2" t="s">
        <v>2519</v>
      </c>
      <c r="J91" s="2">
        <v>2</v>
      </c>
      <c r="L91" t="str">
        <f t="shared" si="1"/>
        <v>{ name: "Lindor Canyon Mine", landmark: "Named Location", type: "", region: 3, level: "Depths", x: -2006, y: 1327, z: -687, zoom: [3,4], size: "S", weight: 2, details: "" },</v>
      </c>
    </row>
    <row r="92" spans="1:12" x14ac:dyDescent="0.2">
      <c r="A92" t="s">
        <v>1566</v>
      </c>
      <c r="C92" s="2">
        <v>3</v>
      </c>
      <c r="D92" s="2" t="s">
        <v>994</v>
      </c>
      <c r="E92" s="2">
        <v>-2687</v>
      </c>
      <c r="F92" s="2">
        <v>785</v>
      </c>
      <c r="G92" s="2">
        <v>-783</v>
      </c>
      <c r="H92" s="2" t="s">
        <v>2556</v>
      </c>
      <c r="I92" s="2" t="s">
        <v>2519</v>
      </c>
      <c r="J92" s="2">
        <v>1</v>
      </c>
      <c r="L92" t="str">
        <f t="shared" si="1"/>
        <v>{ name: "Rhoam Canyon Mine", landmark: "Named Location", type: "", region: 3, level: "Depths", x: -2687, y: 785, z: -783, zoom: [3,4], size: "S", weight: 1, details: "" },</v>
      </c>
    </row>
    <row r="93" spans="1:12" x14ac:dyDescent="0.2">
      <c r="A93" s="25" t="s">
        <v>1519</v>
      </c>
      <c r="B93" t="s">
        <v>2542</v>
      </c>
      <c r="C93" s="2">
        <v>3</v>
      </c>
      <c r="D93" s="2" t="s">
        <v>783</v>
      </c>
      <c r="E93" s="2">
        <v>-3601</v>
      </c>
      <c r="F93" s="2">
        <v>1334</v>
      </c>
      <c r="G93" s="2">
        <v>2000</v>
      </c>
      <c r="H93" s="2" t="s">
        <v>2832</v>
      </c>
      <c r="I93" s="2" t="s">
        <v>2546</v>
      </c>
      <c r="J93" s="2">
        <v>1</v>
      </c>
      <c r="L93" t="str">
        <f t="shared" si="1"/>
        <v>{ name: "North Tabantha Sky Archipelago", landmark: "Named Location", type: "Subregion", region: 3, level: "Sky", x: -3601, y: 1334, z: 2000, zoom: [2,3,4], size: "L", weight: 1, details: "" },</v>
      </c>
    </row>
    <row r="94" spans="1:12" x14ac:dyDescent="0.2">
      <c r="A94" s="25" t="s">
        <v>1012</v>
      </c>
      <c r="B94" t="s">
        <v>2542</v>
      </c>
      <c r="C94" s="2">
        <v>3</v>
      </c>
      <c r="D94" s="2" t="s">
        <v>783</v>
      </c>
      <c r="E94" s="2">
        <v>-2943</v>
      </c>
      <c r="F94" s="2">
        <v>558</v>
      </c>
      <c r="G94" s="2">
        <v>2000</v>
      </c>
      <c r="H94" s="2" t="s">
        <v>2832</v>
      </c>
      <c r="I94" s="2" t="s">
        <v>2546</v>
      </c>
      <c r="J94" s="2">
        <v>1</v>
      </c>
      <c r="L94" t="str">
        <f t="shared" si="1"/>
        <v>{ name: "Tabantha Sky Archipelago", landmark: "Named Location", type: "Subregion", region: 3, level: "Sky", x: -2943, y: 558, z: 2000, zoom: [2,3,4], size: "L", weight: 1, details: "" },</v>
      </c>
    </row>
    <row r="95" spans="1:12" x14ac:dyDescent="0.2">
      <c r="A95" s="25" t="s">
        <v>993</v>
      </c>
      <c r="C95" s="2">
        <v>3</v>
      </c>
      <c r="D95" s="2" t="s">
        <v>783</v>
      </c>
      <c r="E95" s="2">
        <v>-2261</v>
      </c>
      <c r="F95" s="2">
        <v>744</v>
      </c>
      <c r="G95" s="2">
        <v>1895</v>
      </c>
      <c r="H95" s="2" t="s">
        <v>2556</v>
      </c>
      <c r="I95" s="2" t="s">
        <v>2545</v>
      </c>
      <c r="J95" s="2">
        <v>2</v>
      </c>
      <c r="L95" t="str">
        <f t="shared" si="1"/>
        <v>{ name: "Courage Island", landmark: "Named Location", type: "", region: 3, level: "Sky", x: -2261, y: 744, z: 1895, zoom: [3,4], size: "M", weight: 2, details: "" },</v>
      </c>
    </row>
    <row r="96" spans="1:12" x14ac:dyDescent="0.2">
      <c r="A96" s="25" t="s">
        <v>1002</v>
      </c>
      <c r="C96" s="2">
        <v>3</v>
      </c>
      <c r="D96" s="2" t="s">
        <v>783</v>
      </c>
      <c r="E96" s="2">
        <v>-3606</v>
      </c>
      <c r="F96" s="2">
        <v>1026</v>
      </c>
      <c r="G96" s="2">
        <v>1731</v>
      </c>
      <c r="H96" s="2" t="s">
        <v>2556</v>
      </c>
      <c r="I96" s="2" t="s">
        <v>2545</v>
      </c>
      <c r="J96" s="2">
        <v>1</v>
      </c>
      <c r="L96" t="str">
        <f t="shared" si="1"/>
        <v>{ name: "Lightcast Island", landmark: "Named Location", type: "", region: 3, level: "Sky", x: -3606, y: 1026, z: 1731, zoom: [3,4], size: "M", weight: 1, details: "" },</v>
      </c>
    </row>
    <row r="97" spans="1:12" x14ac:dyDescent="0.2">
      <c r="A97" t="s">
        <v>787</v>
      </c>
      <c r="B97" t="s">
        <v>8</v>
      </c>
      <c r="C97" s="2">
        <v>3</v>
      </c>
      <c r="D97" s="2" t="s">
        <v>785</v>
      </c>
      <c r="E97" s="2">
        <v>-2383</v>
      </c>
      <c r="F97" s="2">
        <v>407</v>
      </c>
      <c r="G97" s="2">
        <v>0</v>
      </c>
      <c r="H97" s="2">
        <v>2</v>
      </c>
      <c r="I97" s="2" t="s">
        <v>2546</v>
      </c>
      <c r="J97" s="2">
        <v>1</v>
      </c>
      <c r="L97" t="str">
        <f t="shared" si="1"/>
        <v>{ name: "Hyrule Ridge", landmark: "Named Location", type: "Region", region: 3, level: "Surface", x: -2383, y: 407, z: 0, zoom: 2, size: "L", weight: 1, details: "" },</v>
      </c>
    </row>
    <row r="98" spans="1:12" x14ac:dyDescent="0.2">
      <c r="A98" t="s">
        <v>799</v>
      </c>
      <c r="B98" t="s">
        <v>8</v>
      </c>
      <c r="C98" s="2">
        <v>3</v>
      </c>
      <c r="D98" s="2" t="s">
        <v>785</v>
      </c>
      <c r="E98" s="2">
        <v>-3476</v>
      </c>
      <c r="F98" s="2">
        <v>1221</v>
      </c>
      <c r="G98" s="2">
        <v>0</v>
      </c>
      <c r="H98" s="2">
        <v>2</v>
      </c>
      <c r="I98" s="2" t="s">
        <v>2545</v>
      </c>
      <c r="J98" s="2">
        <v>1</v>
      </c>
      <c r="L98" t="str">
        <f t="shared" si="1"/>
        <v>{ name: "Tabantha Frontier", landmark: "Named Location", type: "Region", region: 3, level: "Surface", x: -3476, y: 1221, z: 0, zoom: 2, size: "M", weight: 1, details: "" },</v>
      </c>
    </row>
    <row r="99" spans="1:12" x14ac:dyDescent="0.2">
      <c r="A99" t="s">
        <v>1113</v>
      </c>
      <c r="C99" s="2">
        <v>3</v>
      </c>
      <c r="D99" s="2" t="s">
        <v>785</v>
      </c>
      <c r="E99" s="2">
        <v>-3574</v>
      </c>
      <c r="F99" s="2">
        <v>436</v>
      </c>
      <c r="G99" s="2">
        <v>275</v>
      </c>
      <c r="H99" s="2" t="s">
        <v>2556</v>
      </c>
      <c r="I99" s="2" t="s">
        <v>2519</v>
      </c>
      <c r="J99" s="2">
        <v>1</v>
      </c>
      <c r="L99" t="str">
        <f t="shared" si="1"/>
        <v>{ name: "Ancient Columns", landmark: "Named Location", type: "", region: 3, level: "Surface", x: -3574, y: 436, z: 275, zoom: [3,4], size: "S", weight: 1, details: "" },</v>
      </c>
    </row>
    <row r="100" spans="1:12" x14ac:dyDescent="0.2">
      <c r="A100" t="s">
        <v>1145</v>
      </c>
      <c r="C100" s="2">
        <v>3</v>
      </c>
      <c r="D100" s="2" t="s">
        <v>785</v>
      </c>
      <c r="E100" s="2">
        <v>-1437</v>
      </c>
      <c r="F100" s="2">
        <v>554</v>
      </c>
      <c r="G100" s="2">
        <v>0</v>
      </c>
      <c r="H100" s="2" t="s">
        <v>2556</v>
      </c>
      <c r="I100" s="2" t="s">
        <v>2545</v>
      </c>
      <c r="J100" s="2">
        <v>1</v>
      </c>
      <c r="L100" t="str">
        <f t="shared" si="1"/>
        <v>{ name: "Breach of Demise", landmark: "Named Location", type: "", region: 3, level: "Surface", x: -1437, y: 554, z: 0, zoom: [3,4], size: "M", weight: 1, details: "" },</v>
      </c>
    </row>
    <row r="101" spans="1:12" x14ac:dyDescent="0.2">
      <c r="A101" t="s">
        <v>1184</v>
      </c>
      <c r="C101" s="2">
        <v>3</v>
      </c>
      <c r="D101" s="2" t="s">
        <v>785</v>
      </c>
      <c r="E101" s="2">
        <v>-3834</v>
      </c>
      <c r="F101" s="2">
        <v>1327</v>
      </c>
      <c r="G101" s="2">
        <v>0</v>
      </c>
      <c r="H101" s="2" t="s">
        <v>2556</v>
      </c>
      <c r="I101" s="2" t="s">
        <v>2546</v>
      </c>
      <c r="J101" s="2">
        <v>1</v>
      </c>
      <c r="L101" t="str">
        <f t="shared" si="1"/>
        <v>{ name: "Cuho Mountain", landmark: "Named Location", type: "", region: 3, level: "Surface", x: -3834, y: 1327, z: 0, zoom: [3,4], size: "L", weight: 1, details: "" },</v>
      </c>
    </row>
    <row r="102" spans="1:12" x14ac:dyDescent="0.2">
      <c r="A102" t="s">
        <v>1290</v>
      </c>
      <c r="C102" s="2">
        <v>3</v>
      </c>
      <c r="D102" s="2" t="s">
        <v>785</v>
      </c>
      <c r="E102" s="2">
        <v>-3947</v>
      </c>
      <c r="F102" s="2">
        <v>1127</v>
      </c>
      <c r="G102" s="2">
        <v>102</v>
      </c>
      <c r="H102" s="2" t="s">
        <v>2556</v>
      </c>
      <c r="I102" s="2" t="s">
        <v>2545</v>
      </c>
      <c r="J102" s="2">
        <v>1</v>
      </c>
      <c r="L102" t="str">
        <f t="shared" si="1"/>
        <v>{ name: "Gisa Crater", landmark: "Named Location", type: "", region: 3, level: "Surface", x: -3947, y: 1127, z: 102, zoom: [3,4], size: "M", weight: 1, details: "" },</v>
      </c>
    </row>
    <row r="103" spans="1:12" x14ac:dyDescent="0.2">
      <c r="A103" t="s">
        <v>1370</v>
      </c>
      <c r="C103" s="2">
        <v>3</v>
      </c>
      <c r="D103" s="2" t="s">
        <v>785</v>
      </c>
      <c r="E103" s="2">
        <v>-3106</v>
      </c>
      <c r="F103" s="2">
        <v>-15</v>
      </c>
      <c r="G103" s="2">
        <v>0</v>
      </c>
      <c r="H103" s="2" t="s">
        <v>2556</v>
      </c>
      <c r="I103" s="2" t="s">
        <v>2545</v>
      </c>
      <c r="J103" s="2">
        <v>1</v>
      </c>
      <c r="L103" t="str">
        <f t="shared" si="1"/>
        <v>{ name: "Illumeni Plateau", landmark: "Named Location", type: "", region: 3, level: "Surface", x: -3106, y: -15, z: 0, zoom: [3,4], size: "M", weight: 1, details: "" },</v>
      </c>
    </row>
    <row r="104" spans="1:12" x14ac:dyDescent="0.2">
      <c r="A104" t="s">
        <v>1373</v>
      </c>
      <c r="C104" s="2">
        <v>3</v>
      </c>
      <c r="D104" s="2" t="s">
        <v>785</v>
      </c>
      <c r="E104" s="2">
        <v>-902</v>
      </c>
      <c r="F104" s="2">
        <v>1435</v>
      </c>
      <c r="G104" s="2">
        <v>0</v>
      </c>
      <c r="H104" s="2" t="s">
        <v>2556</v>
      </c>
      <c r="I104" s="2" t="s">
        <v>2545</v>
      </c>
      <c r="J104" s="2">
        <v>1</v>
      </c>
      <c r="L104" t="str">
        <f t="shared" si="1"/>
        <v>{ name: "Irch Plain", landmark: "Named Location", type: "", region: 3, level: "Surface", x: -902, y: 1435, z: 0, zoom: [3,4], size: "M", weight: 1, details: "" },</v>
      </c>
    </row>
    <row r="105" spans="1:12" x14ac:dyDescent="0.2">
      <c r="A105" t="s">
        <v>1040</v>
      </c>
      <c r="C105" s="2">
        <v>3</v>
      </c>
      <c r="D105" s="2" t="s">
        <v>785</v>
      </c>
      <c r="E105" s="2">
        <v>-3117</v>
      </c>
      <c r="F105" s="2">
        <v>1288</v>
      </c>
      <c r="G105" s="2">
        <v>0</v>
      </c>
      <c r="H105" s="2" t="s">
        <v>2556</v>
      </c>
      <c r="I105" s="2" t="s">
        <v>2519</v>
      </c>
      <c r="J105" s="2">
        <v>1</v>
      </c>
      <c r="L105" t="str">
        <f t="shared" si="1"/>
        <v>{ name: "Kolami Bridge", landmark: "Named Location", type: "", region: 3, level: "Surface", x: -3117, y: 1288, z: 0, zoom: [3,4], size: "S", weight: 1, details: "" },</v>
      </c>
    </row>
    <row r="106" spans="1:12" x14ac:dyDescent="0.2">
      <c r="A106" t="s">
        <v>1432</v>
      </c>
      <c r="C106" s="2">
        <v>3</v>
      </c>
      <c r="D106" s="2" t="s">
        <v>785</v>
      </c>
      <c r="E106" s="2">
        <v>-1940</v>
      </c>
      <c r="F106" s="2">
        <v>1340</v>
      </c>
      <c r="G106" s="2">
        <v>0</v>
      </c>
      <c r="H106" s="2" t="s">
        <v>2556</v>
      </c>
      <c r="I106" s="2" t="s">
        <v>2546</v>
      </c>
      <c r="J106" s="2">
        <v>1</v>
      </c>
      <c r="L106" t="str">
        <f t="shared" si="1"/>
        <v>{ name: "Lindor's Brow", landmark: "Named Location", type: "", region: 3, level: "Surface", x: -1940, y: 1340, z: 0, zoom: [3,4], size: "L", weight: 1, details: "" },</v>
      </c>
    </row>
    <row r="107" spans="1:12" x14ac:dyDescent="0.2">
      <c r="A107" t="s">
        <v>1049</v>
      </c>
      <c r="C107" s="2">
        <v>3</v>
      </c>
      <c r="D107" s="2" t="s">
        <v>785</v>
      </c>
      <c r="E107" s="2">
        <v>-2132</v>
      </c>
      <c r="F107" s="2">
        <v>676</v>
      </c>
      <c r="G107" s="2">
        <v>0</v>
      </c>
      <c r="H107" s="2" t="s">
        <v>2556</v>
      </c>
      <c r="I107" s="2" t="s">
        <v>2545</v>
      </c>
      <c r="J107" s="2">
        <v>1</v>
      </c>
      <c r="L107" t="str">
        <f t="shared" si="1"/>
        <v>{ name: "Ludfo's Bog", landmark: "Named Location", type: "", region: 3, level: "Surface", x: -2132, y: 676, z: 0, zoom: [3,4], size: "M", weight: 1, details: "" },</v>
      </c>
    </row>
    <row r="108" spans="1:12" x14ac:dyDescent="0.2">
      <c r="A108" t="s">
        <v>1459</v>
      </c>
      <c r="C108" s="2">
        <v>3</v>
      </c>
      <c r="D108" s="2" t="s">
        <v>785</v>
      </c>
      <c r="E108" s="2">
        <v>-1783</v>
      </c>
      <c r="F108" s="2">
        <v>1681</v>
      </c>
      <c r="G108" s="2">
        <v>106</v>
      </c>
      <c r="H108" s="2" t="s">
        <v>2556</v>
      </c>
      <c r="I108" s="2" t="s">
        <v>2519</v>
      </c>
      <c r="J108" s="2">
        <v>1</v>
      </c>
      <c r="L108" t="str">
        <f t="shared" si="1"/>
        <v>{ name: "Maritta Exchange Ruins", landmark: "Named Location", type: "", region: 3, level: "Surface", x: -1783, y: 1681, z: 106, zoom: [3,4], size: "S", weight: 1, details: "" },</v>
      </c>
    </row>
    <row r="109" spans="1:12" x14ac:dyDescent="0.2">
      <c r="A109" t="s">
        <v>1059</v>
      </c>
      <c r="C109" s="2">
        <v>3</v>
      </c>
      <c r="D109" s="2" t="s">
        <v>785</v>
      </c>
      <c r="E109" s="2">
        <v>-2691</v>
      </c>
      <c r="F109" s="2">
        <v>776</v>
      </c>
      <c r="G109" s="2">
        <v>0</v>
      </c>
      <c r="H109" s="2" t="s">
        <v>2556</v>
      </c>
      <c r="I109" s="2" t="s">
        <v>2546</v>
      </c>
      <c r="J109" s="2">
        <v>1</v>
      </c>
      <c r="L109" t="str">
        <f t="shared" si="1"/>
        <v>{ name: "Mount Rhoam", landmark: "Named Location", type: "", region: 3, level: "Surface", x: -2691, y: 776, z: 0, zoom: [3,4], size: "L", weight: 1, details: "" },</v>
      </c>
    </row>
    <row r="110" spans="1:12" x14ac:dyDescent="0.2">
      <c r="A110" t="s">
        <v>1504</v>
      </c>
      <c r="C110" s="2">
        <v>3</v>
      </c>
      <c r="D110" s="2" t="s">
        <v>785</v>
      </c>
      <c r="E110" s="2">
        <v>-3639</v>
      </c>
      <c r="F110" s="2">
        <v>949</v>
      </c>
      <c r="G110" s="2">
        <v>0</v>
      </c>
      <c r="H110" s="2" t="s">
        <v>2556</v>
      </c>
      <c r="I110" s="2" t="s">
        <v>2546</v>
      </c>
      <c r="J110" s="2">
        <v>1</v>
      </c>
      <c r="L110" t="str">
        <f t="shared" si="1"/>
        <v>{ name: "Nero Hill", landmark: "Named Location", type: "", region: 3, level: "Surface", x: -3639, y: 949, z: 0, zoom: [3,4], size: "L", weight: 1, details: "" },</v>
      </c>
    </row>
    <row r="111" spans="1:12" x14ac:dyDescent="0.2">
      <c r="A111" t="s">
        <v>1515</v>
      </c>
      <c r="C111" s="2">
        <v>3</v>
      </c>
      <c r="D111" s="2" t="s">
        <v>785</v>
      </c>
      <c r="E111" s="2">
        <v>-1314</v>
      </c>
      <c r="F111" s="2">
        <v>825</v>
      </c>
      <c r="G111" s="2">
        <v>0</v>
      </c>
      <c r="H111" s="2" t="s">
        <v>2556</v>
      </c>
      <c r="I111" s="2" t="s">
        <v>2545</v>
      </c>
      <c r="J111" s="2">
        <v>1</v>
      </c>
      <c r="L111" t="str">
        <f t="shared" si="1"/>
        <v>{ name: "North Hyrule Plain", landmark: "Named Location", type: "", region: 3, level: "Surface", x: -1314, y: 825, z: 0, zoom: [3,4], size: "M", weight: 1, details: "" },</v>
      </c>
    </row>
    <row r="112" spans="1:12" x14ac:dyDescent="0.2">
      <c r="A112" t="s">
        <v>1540</v>
      </c>
      <c r="C112" s="2">
        <v>3</v>
      </c>
      <c r="D112" s="2" t="s">
        <v>785</v>
      </c>
      <c r="E112" s="2">
        <v>-3478</v>
      </c>
      <c r="F112" s="2">
        <v>679</v>
      </c>
      <c r="G112" s="2">
        <v>0</v>
      </c>
      <c r="H112" s="2" t="s">
        <v>2556</v>
      </c>
      <c r="I112" s="2" t="s">
        <v>2546</v>
      </c>
      <c r="J112" s="2">
        <v>1</v>
      </c>
      <c r="L112" t="str">
        <f t="shared" si="1"/>
        <v>{ name: "Piper Ridge", landmark: "Named Location", type: "", region: 3, level: "Surface", x: -3478, y: 679, z: 0, zoom: [3,4], size: "L", weight: 1, details: "" },</v>
      </c>
    </row>
    <row r="113" spans="1:12" x14ac:dyDescent="0.2">
      <c r="A113" t="s">
        <v>1561</v>
      </c>
      <c r="C113" s="2">
        <v>3</v>
      </c>
      <c r="D113" s="2" t="s">
        <v>785</v>
      </c>
      <c r="E113" s="2">
        <v>-3806</v>
      </c>
      <c r="F113" s="2">
        <v>481</v>
      </c>
      <c r="G113" s="2">
        <v>0</v>
      </c>
      <c r="H113" s="2" t="s">
        <v>2556</v>
      </c>
      <c r="I113" s="2" t="s">
        <v>2545</v>
      </c>
      <c r="J113" s="2">
        <v>1</v>
      </c>
      <c r="L113" t="str">
        <f t="shared" si="1"/>
        <v>{ name: "Rayne Highlands", landmark: "Named Location", type: "", region: 3, level: "Surface", x: -3806, y: 481, z: 0, zoom: [3,4], size: "M", weight: 1, details: "" },</v>
      </c>
    </row>
    <row r="114" spans="1:12" x14ac:dyDescent="0.2">
      <c r="A114" t="s">
        <v>1072</v>
      </c>
      <c r="C114" s="2">
        <v>3</v>
      </c>
      <c r="D114" s="2" t="s">
        <v>785</v>
      </c>
      <c r="E114" s="2">
        <v>-1219</v>
      </c>
      <c r="F114" s="2">
        <v>2026</v>
      </c>
      <c r="G114" s="2">
        <v>0</v>
      </c>
      <c r="H114" s="2" t="s">
        <v>2556</v>
      </c>
      <c r="I114" s="2" t="s">
        <v>2545</v>
      </c>
      <c r="J114" s="2">
        <v>1</v>
      </c>
      <c r="L114" t="str">
        <f t="shared" si="1"/>
        <v>{ name: "Rowan Plain", landmark: "Named Location", type: "", region: 3, level: "Surface", x: -1219, y: 2026, z: 0, zoom: [3,4], size: "M", weight: 1, details: "" },</v>
      </c>
    </row>
    <row r="115" spans="1:12" x14ac:dyDescent="0.2">
      <c r="A115" t="s">
        <v>1587</v>
      </c>
      <c r="C115" s="2">
        <v>3</v>
      </c>
      <c r="D115" s="2" t="s">
        <v>785</v>
      </c>
      <c r="E115" s="2">
        <v>-1210</v>
      </c>
      <c r="F115" s="2">
        <v>1118</v>
      </c>
      <c r="G115" s="2">
        <v>102</v>
      </c>
      <c r="H115" s="2" t="s">
        <v>2556</v>
      </c>
      <c r="I115" s="2" t="s">
        <v>2545</v>
      </c>
      <c r="J115" s="2">
        <v>1</v>
      </c>
      <c r="L115" t="str">
        <f t="shared" si="1"/>
        <v>{ name: "Royal Ancient Lab Ruins", landmark: "Named Location", type: "", region: 3, level: "Surface", x: -1210, y: 1118, z: 102, zoom: [3,4], size: "M", weight: 1, details: "" },</v>
      </c>
    </row>
    <row r="116" spans="1:12" x14ac:dyDescent="0.2">
      <c r="A116" t="s">
        <v>1075</v>
      </c>
      <c r="C116" s="2">
        <v>3</v>
      </c>
      <c r="D116" s="2" t="s">
        <v>785</v>
      </c>
      <c r="E116" s="2">
        <v>-1444</v>
      </c>
      <c r="F116" s="2">
        <v>1344</v>
      </c>
      <c r="G116" s="2">
        <v>0</v>
      </c>
      <c r="H116" s="2" t="s">
        <v>2556</v>
      </c>
      <c r="I116" s="2" t="s">
        <v>2546</v>
      </c>
      <c r="J116" s="2">
        <v>1</v>
      </c>
      <c r="L116" t="str">
        <f t="shared" si="1"/>
        <v>{ name: "Salari Hill", landmark: "Named Location", type: "", region: 3, level: "Surface", x: -1444, y: 1344, z: 0, zoom: [3,4], size: "L", weight: 1, details: "" },</v>
      </c>
    </row>
    <row r="117" spans="1:12" x14ac:dyDescent="0.2">
      <c r="A117" t="s">
        <v>1598</v>
      </c>
      <c r="C117" s="2">
        <v>3</v>
      </c>
      <c r="D117" s="2" t="s">
        <v>785</v>
      </c>
      <c r="E117" s="2">
        <v>-1670</v>
      </c>
      <c r="F117" s="2">
        <v>1737</v>
      </c>
      <c r="G117" s="2">
        <v>0</v>
      </c>
      <c r="H117" s="2" t="s">
        <v>2556</v>
      </c>
      <c r="I117" s="2" t="s">
        <v>2545</v>
      </c>
      <c r="J117" s="2">
        <v>1</v>
      </c>
      <c r="L117" t="str">
        <f t="shared" si="1"/>
        <v>{ name: "Salari Plain", landmark: "Named Location", type: "", region: 3, level: "Surface", x: -1670, y: 1737, z: 0, zoom: [3,4], size: "M", weight: 1, details: "" },</v>
      </c>
    </row>
    <row r="118" spans="1:12" x14ac:dyDescent="0.2">
      <c r="A118" t="s">
        <v>1610</v>
      </c>
      <c r="C118" s="2">
        <v>3</v>
      </c>
      <c r="D118" s="2" t="s">
        <v>785</v>
      </c>
      <c r="E118" s="2">
        <v>-2324</v>
      </c>
      <c r="F118" s="2">
        <v>450</v>
      </c>
      <c r="G118" s="2">
        <v>0</v>
      </c>
      <c r="H118" s="2" t="s">
        <v>2556</v>
      </c>
      <c r="I118" s="2" t="s">
        <v>2545</v>
      </c>
      <c r="J118" s="2">
        <v>1</v>
      </c>
      <c r="L118" t="str">
        <f t="shared" si="1"/>
        <v>{ name: "Seres Scablands", landmark: "Named Location", type: "", region: 3, level: "Surface", x: -2324, y: 450, z: 0, zoom: [3,4], size: "M", weight: 1, details: "" },</v>
      </c>
    </row>
    <row r="119" spans="1:12" x14ac:dyDescent="0.2">
      <c r="A119" t="s">
        <v>1643</v>
      </c>
      <c r="C119" s="2">
        <v>3</v>
      </c>
      <c r="D119" s="2" t="s">
        <v>785</v>
      </c>
      <c r="E119" s="2">
        <v>-3383</v>
      </c>
      <c r="F119" s="2">
        <v>1234</v>
      </c>
      <c r="G119" s="2">
        <v>0</v>
      </c>
      <c r="H119" s="2" t="s">
        <v>2556</v>
      </c>
      <c r="I119" s="2" t="s">
        <v>2519</v>
      </c>
      <c r="J119" s="2">
        <v>1</v>
      </c>
      <c r="L119" t="str">
        <f t="shared" si="1"/>
        <v>{ name: "Strock Lake", landmark: "Named Location", type: "", region: 3, level: "Surface", x: -3383, y: 1234, z: 0, zoom: [3,4], size: "S", weight: 1, details: "" },</v>
      </c>
    </row>
    <row r="120" spans="1:12" x14ac:dyDescent="0.2">
      <c r="A120" t="s">
        <v>1082</v>
      </c>
      <c r="C120" s="2">
        <v>3</v>
      </c>
      <c r="D120" s="2" t="s">
        <v>785</v>
      </c>
      <c r="E120" s="2">
        <v>-3111</v>
      </c>
      <c r="F120" s="2">
        <v>584</v>
      </c>
      <c r="G120" s="2">
        <v>159</v>
      </c>
      <c r="H120" s="2" t="s">
        <v>2556</v>
      </c>
      <c r="I120" s="2" t="s">
        <v>2519</v>
      </c>
      <c r="J120" s="2">
        <v>1</v>
      </c>
      <c r="L120" t="str">
        <f t="shared" si="1"/>
        <v>{ name: "Tabantha Great Bridge", landmark: "Named Location", type: "", region: 3, level: "Surface", x: -3111, y: 584, z: 159, zoom: [3,4], size: "S", weight: 1, details: "" },</v>
      </c>
    </row>
    <row r="121" spans="1:12" x14ac:dyDescent="0.2">
      <c r="A121" t="s">
        <v>1652</v>
      </c>
      <c r="C121" s="2">
        <v>3</v>
      </c>
      <c r="D121" s="2" t="s">
        <v>785</v>
      </c>
      <c r="E121" s="2">
        <v>-2465</v>
      </c>
      <c r="F121" s="2">
        <v>1843</v>
      </c>
      <c r="G121" s="2">
        <v>0</v>
      </c>
      <c r="H121" s="2" t="s">
        <v>2556</v>
      </c>
      <c r="I121" s="2" t="s">
        <v>2546</v>
      </c>
      <c r="J121" s="2">
        <v>1</v>
      </c>
      <c r="L121" t="str">
        <f t="shared" si="1"/>
        <v>{ name: "Tabantha Hills", landmark: "Named Location", type: "", region: 3, level: "Surface", x: -2465, y: 1843, z: 0, zoom: [3,4], size: "L", weight: 1, details: "" },</v>
      </c>
    </row>
    <row r="122" spans="1:12" x14ac:dyDescent="0.2">
      <c r="A122" t="s">
        <v>1654</v>
      </c>
      <c r="C122" s="2">
        <v>3</v>
      </c>
      <c r="D122" s="2" t="s">
        <v>785</v>
      </c>
      <c r="E122" s="2">
        <v>-2324</v>
      </c>
      <c r="F122" s="2">
        <v>1895</v>
      </c>
      <c r="G122" s="2">
        <v>172</v>
      </c>
      <c r="H122" s="2" t="s">
        <v>2556</v>
      </c>
      <c r="I122" s="2" t="s">
        <v>2519</v>
      </c>
      <c r="J122" s="2">
        <v>1</v>
      </c>
      <c r="L122" t="str">
        <f t="shared" si="1"/>
        <v>{ name: "Tabantha Village Ruins", landmark: "Named Location", type: "", region: 3, level: "Surface", x: -2324, y: 1895, z: 172, zoom: [3,4], size: "S", weight: 1, details: "" },</v>
      </c>
    </row>
    <row r="123" spans="1:12" x14ac:dyDescent="0.2">
      <c r="A123" t="s">
        <v>1658</v>
      </c>
      <c r="C123" s="2">
        <v>3</v>
      </c>
      <c r="D123" s="2" t="s">
        <v>785</v>
      </c>
      <c r="E123" s="2">
        <v>-2964</v>
      </c>
      <c r="F123" s="2">
        <v>1898</v>
      </c>
      <c r="G123" s="2">
        <v>0</v>
      </c>
      <c r="H123" s="2" t="s">
        <v>2556</v>
      </c>
      <c r="I123" s="2" t="s">
        <v>2519</v>
      </c>
      <c r="J123" s="2">
        <v>1</v>
      </c>
      <c r="L123" t="str">
        <f t="shared" si="1"/>
        <v>{ name: "Tama Pond", landmark: "Named Location", type: "", region: 3, level: "Surface", x: -2964, y: 1898, z: 0, zoom: [3,4], size: "S", weight: 1, details: "" },</v>
      </c>
    </row>
    <row r="124" spans="1:12" x14ac:dyDescent="0.2">
      <c r="A124" t="s">
        <v>1659</v>
      </c>
      <c r="C124" s="2">
        <v>3</v>
      </c>
      <c r="D124" s="2" t="s">
        <v>785</v>
      </c>
      <c r="E124" s="2">
        <v>-2918</v>
      </c>
      <c r="F124" s="2">
        <v>1181</v>
      </c>
      <c r="G124" s="2">
        <v>0</v>
      </c>
      <c r="H124" s="2" t="s">
        <v>2556</v>
      </c>
      <c r="I124" s="2" t="s">
        <v>2545</v>
      </c>
      <c r="J124" s="2">
        <v>1</v>
      </c>
      <c r="L124" t="str">
        <f t="shared" si="1"/>
        <v>{ name: "Tanagar Canyon", landmark: "Named Location", type: "", region: 3, level: "Surface", x: -2918, y: 1181, z: 0, zoom: [3,4], size: "M", weight: 1, details: "" },</v>
      </c>
    </row>
    <row r="125" spans="1:12" x14ac:dyDescent="0.2">
      <c r="A125" t="s">
        <v>1672</v>
      </c>
      <c r="C125" s="2">
        <v>3</v>
      </c>
      <c r="D125" s="2" t="s">
        <v>785</v>
      </c>
      <c r="E125" s="2">
        <v>-2266</v>
      </c>
      <c r="F125" s="2">
        <v>922</v>
      </c>
      <c r="G125" s="2">
        <v>0</v>
      </c>
      <c r="H125" s="2" t="s">
        <v>2556</v>
      </c>
      <c r="I125" s="2" t="s">
        <v>2545</v>
      </c>
      <c r="J125" s="2">
        <v>2</v>
      </c>
      <c r="L125" t="str">
        <f t="shared" si="1"/>
        <v>{ name: "Thundra Plateau", landmark: "Named Location", type: "", region: 3, level: "Surface", x: -2266, y: 922, z: 0, zoom: [3,4], size: "M", weight: 2, details: "" },</v>
      </c>
    </row>
    <row r="126" spans="1:12" x14ac:dyDescent="0.2">
      <c r="A126" t="s">
        <v>1690</v>
      </c>
      <c r="C126" s="2">
        <v>3</v>
      </c>
      <c r="D126" s="2" t="s">
        <v>785</v>
      </c>
      <c r="E126" s="2">
        <v>-2235</v>
      </c>
      <c r="F126" s="2">
        <v>1329</v>
      </c>
      <c r="G126" s="2">
        <v>0</v>
      </c>
      <c r="H126" s="2" t="s">
        <v>2556</v>
      </c>
      <c r="I126" s="2" t="s">
        <v>2546</v>
      </c>
      <c r="J126" s="2">
        <v>1</v>
      </c>
      <c r="L126" t="str">
        <f t="shared" si="1"/>
        <v>{ name: "Upland Lindor", landmark: "Named Location", type: "", region: 3, level: "Surface", x: -2235, y: 1329, z: 0, zoom: [3,4], size: "L", weight: 1, details: "" },</v>
      </c>
    </row>
    <row r="127" spans="1:12" x14ac:dyDescent="0.2">
      <c r="A127" t="s">
        <v>1696</v>
      </c>
      <c r="C127" s="2">
        <v>3</v>
      </c>
      <c r="D127" s="2" t="s">
        <v>785</v>
      </c>
      <c r="E127" s="2">
        <v>-2732</v>
      </c>
      <c r="F127" s="2">
        <v>-87</v>
      </c>
      <c r="G127" s="2">
        <v>0</v>
      </c>
      <c r="H127" s="2" t="s">
        <v>2556</v>
      </c>
      <c r="I127" s="2" t="s">
        <v>2546</v>
      </c>
      <c r="J127" s="2">
        <v>1</v>
      </c>
      <c r="L127" t="str">
        <f t="shared" si="1"/>
        <v>{ name: "Washa's Bluff", landmark: "Named Location", type: "", region: 3, level: "Surface", x: -2732, y: -87, z: 0, zoom: [3,4], size: "L", weight: 1, details: "" },</v>
      </c>
    </row>
    <row r="128" spans="1:12" x14ac:dyDescent="0.2">
      <c r="A128" t="s">
        <v>1706</v>
      </c>
      <c r="C128" s="2">
        <v>3</v>
      </c>
      <c r="D128" s="2" t="s">
        <v>785</v>
      </c>
      <c r="E128" s="2">
        <v>-1606</v>
      </c>
      <c r="F128" s="2">
        <v>202</v>
      </c>
      <c r="G128" s="2">
        <v>0</v>
      </c>
      <c r="H128" s="2" t="s">
        <v>2556</v>
      </c>
      <c r="I128" s="2" t="s">
        <v>2545</v>
      </c>
      <c r="J128" s="2">
        <v>1</v>
      </c>
      <c r="L128" t="str">
        <f t="shared" si="1"/>
        <v>{ name: "West Hyrule Plains", landmark: "Named Location", type: "", region: 3, level: "Surface", x: -1606, y: 202, z: 0, zoom: [3,4], size: "M", weight: 1, details: "" },</v>
      </c>
    </row>
    <row r="129" spans="1:12" x14ac:dyDescent="0.2">
      <c r="A129" s="25" t="s">
        <v>1095</v>
      </c>
      <c r="C129" s="2">
        <v>4</v>
      </c>
      <c r="D129" s="2" t="s">
        <v>994</v>
      </c>
      <c r="E129" s="2">
        <v>-3480</v>
      </c>
      <c r="F129" s="2">
        <v>1855</v>
      </c>
      <c r="G129" s="2">
        <v>-415</v>
      </c>
      <c r="H129" s="2" t="s">
        <v>2559</v>
      </c>
      <c r="I129" s="2" t="s">
        <v>2545</v>
      </c>
      <c r="J129" s="2">
        <v>4</v>
      </c>
      <c r="L129" t="str">
        <f t="shared" si="1"/>
        <v>{ name: "Abandoned Hebra Mine", landmark: "Named Location", type: "", region: 4, level: "Depths", x: -3480, y: 1855, z: -415, zoom: [1,2,3,4], size: "M", weight: 4, details: "" },</v>
      </c>
    </row>
    <row r="130" spans="1:12" x14ac:dyDescent="0.2">
      <c r="A130" t="s">
        <v>1175</v>
      </c>
      <c r="C130" s="2">
        <v>4</v>
      </c>
      <c r="D130" s="2" t="s">
        <v>994</v>
      </c>
      <c r="E130" s="2">
        <v>-3335</v>
      </c>
      <c r="F130" s="2">
        <v>2324</v>
      </c>
      <c r="G130" s="2">
        <v>-805</v>
      </c>
      <c r="H130" s="2" t="s">
        <v>2556</v>
      </c>
      <c r="I130" s="2" t="s">
        <v>2519</v>
      </c>
      <c r="J130" s="2">
        <v>2</v>
      </c>
      <c r="L130" t="str">
        <f t="shared" ref="L130:L193" si="2">"{ name: "&amp;CHAR(34)&amp;A130&amp;CHAR(34)&amp;", landmark: "&amp;CHAR(34)&amp;"Named Location"&amp;CHAR(34)&amp;", type: "&amp;CHAR(34)&amp;B130&amp;CHAR(34)&amp;", region: "&amp;C130&amp;", level: "&amp;CHAR(34)&amp;D130&amp;CHAR(34)&amp;", x: "&amp;INT(E130)&amp;", y: "&amp;INT(F130)&amp;", z: "&amp;INT(G130)&amp;", zoom: "&amp;IF(LEN(H130)&gt;1,"["&amp;H130&amp;"]",H130)&amp;", size: "&amp;CHAR(34)&amp;I130&amp;CHAR(34)&amp;", weight: "&amp;J130&amp;", details: "&amp;CHAR(34)&amp;K130&amp;CHAR(34)&amp;" },"</f>
        <v>{ name: "Corvash Canyon Mine", landmark: "Named Location", type: "", region: 4, level: "Depths", x: -3335, y: 2324, z: -805, zoom: [3,4], size: "S", weight: 2, details: "" },</v>
      </c>
    </row>
    <row r="131" spans="1:12" x14ac:dyDescent="0.2">
      <c r="A131" t="s">
        <v>1293</v>
      </c>
      <c r="C131" s="2">
        <v>4</v>
      </c>
      <c r="D131" s="2" t="s">
        <v>994</v>
      </c>
      <c r="E131" s="2">
        <v>-3399</v>
      </c>
      <c r="F131" s="2">
        <v>3612</v>
      </c>
      <c r="G131" s="2">
        <v>-810</v>
      </c>
      <c r="H131" s="2" t="s">
        <v>2556</v>
      </c>
      <c r="I131" s="2" t="s">
        <v>2546</v>
      </c>
      <c r="J131" s="2">
        <v>2</v>
      </c>
      <c r="L131" t="str">
        <f t="shared" si="2"/>
        <v>{ name: "Goflam's Lavafalls", landmark: "Named Location", type: "", region: 4, level: "Depths", x: -3399, y: 3612, z: -810, zoom: [3,4], size: "L", weight: 2, details: "" },</v>
      </c>
    </row>
    <row r="132" spans="1:12" x14ac:dyDescent="0.2">
      <c r="A132" t="s">
        <v>1335</v>
      </c>
      <c r="C132" s="2">
        <v>4</v>
      </c>
      <c r="D132" s="2" t="s">
        <v>994</v>
      </c>
      <c r="E132" s="2">
        <v>-2738</v>
      </c>
      <c r="F132" s="2">
        <v>2902</v>
      </c>
      <c r="G132" s="2">
        <v>-1100</v>
      </c>
      <c r="H132" s="2" t="s">
        <v>2556</v>
      </c>
      <c r="I132" s="2" t="s">
        <v>2519</v>
      </c>
      <c r="J132" s="2">
        <v>2</v>
      </c>
      <c r="L132" t="str">
        <f t="shared" si="2"/>
        <v>{ name: "Hebra Canyon Mine", landmark: "Named Location", type: "", region: 4, level: "Depths", x: -2738, y: 2902, z: -1100, zoom: [3,4], size: "S", weight: 2, details: "" },</v>
      </c>
    </row>
    <row r="133" spans="1:12" x14ac:dyDescent="0.2">
      <c r="A133" t="s">
        <v>1336</v>
      </c>
      <c r="C133" s="2">
        <v>4</v>
      </c>
      <c r="D133" s="2" t="s">
        <v>994</v>
      </c>
      <c r="E133" s="2">
        <v>-3633</v>
      </c>
      <c r="F133" s="2">
        <v>3708</v>
      </c>
      <c r="G133" s="2">
        <v>-785</v>
      </c>
      <c r="H133" s="2" t="s">
        <v>2556</v>
      </c>
      <c r="I133" s="2" t="s">
        <v>2545</v>
      </c>
      <c r="J133" s="2">
        <v>1</v>
      </c>
      <c r="L133" t="str">
        <f t="shared" si="2"/>
        <v>{ name: "Hebra Dark Skeleton", landmark: "Named Location", type: "", region: 4, level: "Depths", x: -3633, y: 3708, z: -785, zoom: [3,4], size: "M", weight: 1, details: "" },</v>
      </c>
    </row>
    <row r="134" spans="1:12" x14ac:dyDescent="0.2">
      <c r="A134" t="s">
        <v>1615</v>
      </c>
      <c r="C134" s="2">
        <v>4</v>
      </c>
      <c r="D134" s="2" t="s">
        <v>994</v>
      </c>
      <c r="E134" s="2">
        <v>-4343</v>
      </c>
      <c r="F134" s="2">
        <v>3465</v>
      </c>
      <c r="G134" s="2">
        <v>-921</v>
      </c>
      <c r="H134" s="2" t="s">
        <v>2556</v>
      </c>
      <c r="I134" s="2" t="s">
        <v>2546</v>
      </c>
      <c r="J134" s="2">
        <v>1</v>
      </c>
      <c r="L134" t="str">
        <f t="shared" si="2"/>
        <v>{ name: "Sherfin's Lavafalls", landmark: "Named Location", type: "", region: 4, level: "Depths", x: -4343, y: 3465, z: -921, zoom: [3,4], size: "L", weight: 1, details: "" },</v>
      </c>
    </row>
    <row r="135" spans="1:12" x14ac:dyDescent="0.2">
      <c r="A135" t="s">
        <v>1645</v>
      </c>
      <c r="C135" s="2">
        <v>4</v>
      </c>
      <c r="D135" s="2" t="s">
        <v>994</v>
      </c>
      <c r="E135" s="2">
        <v>-4082</v>
      </c>
      <c r="F135" s="2">
        <v>2709</v>
      </c>
      <c r="G135" s="2">
        <v>-564</v>
      </c>
      <c r="H135" s="2" t="s">
        <v>2556</v>
      </c>
      <c r="I135" s="2" t="s">
        <v>2546</v>
      </c>
      <c r="J135" s="2">
        <v>1</v>
      </c>
      <c r="L135" t="str">
        <f t="shared" si="2"/>
        <v>{ name: "Sturnida Lavafalls", landmark: "Named Location", type: "", region: 4, level: "Depths", x: -4082, y: 2709, z: -564, zoom: [3,4], size: "L", weight: 1, details: "" },</v>
      </c>
    </row>
    <row r="136" spans="1:12" x14ac:dyDescent="0.2">
      <c r="A136" s="25" t="s">
        <v>1344</v>
      </c>
      <c r="B136" t="s">
        <v>2543</v>
      </c>
      <c r="C136" s="2">
        <v>4</v>
      </c>
      <c r="D136" s="2" t="s">
        <v>783</v>
      </c>
      <c r="E136" s="2">
        <v>-3358</v>
      </c>
      <c r="F136" s="2">
        <v>2442</v>
      </c>
      <c r="G136" s="2">
        <v>2000</v>
      </c>
      <c r="H136" s="2">
        <v>1</v>
      </c>
      <c r="I136" s="2" t="s">
        <v>2546</v>
      </c>
      <c r="J136" s="2">
        <v>1</v>
      </c>
      <c r="L136" t="str">
        <f t="shared" si="2"/>
        <v>{ name: "Hebra Sky", landmark: "Named Location", type: "Province", region: 4, level: "Sky", x: -3358, y: 2442, z: 2000, zoom: 1, size: "L", weight: 1, details: "" },</v>
      </c>
    </row>
    <row r="137" spans="1:12" x14ac:dyDescent="0.2">
      <c r="A137" s="25" t="s">
        <v>2351</v>
      </c>
      <c r="B137" t="s">
        <v>2542</v>
      </c>
      <c r="C137" s="2">
        <v>4</v>
      </c>
      <c r="D137" s="2" t="s">
        <v>783</v>
      </c>
      <c r="E137" s="2">
        <v>-3152</v>
      </c>
      <c r="F137" s="2">
        <v>3212</v>
      </c>
      <c r="G137" s="2">
        <v>2000</v>
      </c>
      <c r="H137" s="2" t="s">
        <v>2832</v>
      </c>
      <c r="I137" s="2" t="s">
        <v>2546</v>
      </c>
      <c r="J137" s="2">
        <v>1</v>
      </c>
      <c r="L137" t="str">
        <f t="shared" si="2"/>
        <v>{ name: "Rising Island Chain", landmark: "Named Location", type: "Subregion", region: 4, level: "Sky", x: -3152, y: 3212, z: 2000, zoom: [2,3,4], size: "L", weight: 1, details: "" },</v>
      </c>
    </row>
    <row r="138" spans="1:12" x14ac:dyDescent="0.2">
      <c r="A138" s="25" t="s">
        <v>1625</v>
      </c>
      <c r="B138" t="s">
        <v>2542</v>
      </c>
      <c r="C138" s="2">
        <v>4</v>
      </c>
      <c r="D138" s="2" t="s">
        <v>783</v>
      </c>
      <c r="E138" s="2">
        <v>-3142</v>
      </c>
      <c r="F138" s="2">
        <v>2003</v>
      </c>
      <c r="G138" s="2">
        <v>2000</v>
      </c>
      <c r="H138" s="2" t="s">
        <v>2832</v>
      </c>
      <c r="I138" s="2" t="s">
        <v>2546</v>
      </c>
      <c r="J138" s="2">
        <v>1</v>
      </c>
      <c r="L138" t="str">
        <f t="shared" si="2"/>
        <v>{ name: "South Hebra Sky Archipelago", landmark: "Named Location", type: "Subregion", region: 4, level: "Sky", x: -3142, y: 2003, z: 2000, zoom: [2,3,4], size: "L", weight: 1, details: "" },</v>
      </c>
    </row>
    <row r="139" spans="1:12" x14ac:dyDescent="0.2">
      <c r="A139" s="25" t="s">
        <v>1016</v>
      </c>
      <c r="B139" t="s">
        <v>2542</v>
      </c>
      <c r="C139" s="2">
        <v>4</v>
      </c>
      <c r="D139" s="2" t="s">
        <v>783</v>
      </c>
      <c r="E139" s="2">
        <v>-3846</v>
      </c>
      <c r="F139" s="2">
        <v>2300</v>
      </c>
      <c r="G139" s="2">
        <v>2000</v>
      </c>
      <c r="H139" s="2" t="s">
        <v>2832</v>
      </c>
      <c r="I139" s="2" t="s">
        <v>2546</v>
      </c>
      <c r="J139" s="2">
        <v>1</v>
      </c>
      <c r="L139" t="str">
        <f t="shared" si="2"/>
        <v>{ name: "West Hebra Sky Archipelago", landmark: "Named Location", type: "Subregion", region: 4, level: "Sky", x: -3846, y: 2300, z: 2000, zoom: [2,3,4], size: "L", weight: 1, details: "" },</v>
      </c>
    </row>
    <row r="140" spans="1:12" x14ac:dyDescent="0.2">
      <c r="A140" t="s">
        <v>1334</v>
      </c>
      <c r="B140" t="s">
        <v>2543</v>
      </c>
      <c r="C140" s="2">
        <v>4</v>
      </c>
      <c r="D140" s="2" t="s">
        <v>785</v>
      </c>
      <c r="E140" s="2">
        <v>-3358</v>
      </c>
      <c r="F140" s="2">
        <v>2705</v>
      </c>
      <c r="G140" s="2">
        <v>0</v>
      </c>
      <c r="H140" s="2">
        <v>1</v>
      </c>
      <c r="I140" s="2" t="s">
        <v>2546</v>
      </c>
      <c r="J140" s="2">
        <v>1</v>
      </c>
      <c r="L140" t="str">
        <f t="shared" si="2"/>
        <v>{ name: "Hebra", landmark: "Named Location", type: "Province", region: 4, level: "Surface", x: -3358, y: 2705, z: 0, zoom: 1, size: "L", weight: 1, details: "" },</v>
      </c>
    </row>
    <row r="141" spans="1:12" x14ac:dyDescent="0.2">
      <c r="A141" t="s">
        <v>800</v>
      </c>
      <c r="B141" t="s">
        <v>8</v>
      </c>
      <c r="C141" s="2">
        <v>4</v>
      </c>
      <c r="D141" s="2" t="s">
        <v>785</v>
      </c>
      <c r="E141" s="2">
        <v>-3079</v>
      </c>
      <c r="F141" s="2">
        <v>3025</v>
      </c>
      <c r="G141" s="2">
        <v>0</v>
      </c>
      <c r="H141" s="2">
        <v>2</v>
      </c>
      <c r="I141" s="2" t="s">
        <v>2546</v>
      </c>
      <c r="J141" s="2">
        <v>1</v>
      </c>
      <c r="L141" t="str">
        <f t="shared" si="2"/>
        <v>{ name: "Hebra Mountains", landmark: "Named Location", type: "Region", region: 4, level: "Surface", x: -3079, y: 3025, z: 0, zoom: 2, size: "L", weight: 1, details: "" },</v>
      </c>
    </row>
    <row r="142" spans="1:12" x14ac:dyDescent="0.2">
      <c r="A142" t="s">
        <v>1135</v>
      </c>
      <c r="C142" s="2">
        <v>4</v>
      </c>
      <c r="D142" s="2" t="s">
        <v>785</v>
      </c>
      <c r="E142" s="2">
        <v>-3719</v>
      </c>
      <c r="F142" s="2">
        <v>2982</v>
      </c>
      <c r="G142" s="2">
        <v>0</v>
      </c>
      <c r="H142" s="2" t="s">
        <v>2556</v>
      </c>
      <c r="I142" s="2" t="s">
        <v>2545</v>
      </c>
      <c r="J142" s="2">
        <v>1</v>
      </c>
      <c r="L142" t="str">
        <f t="shared" si="2"/>
        <v>{ name: "Biron Snowshelf", landmark: "Named Location", type: "", region: 4, level: "Surface", x: -3719, y: 2982, z: 0, zoom: [3,4], size: "M", weight: 1, details: "" },</v>
      </c>
    </row>
    <row r="143" spans="1:12" x14ac:dyDescent="0.2">
      <c r="A143" t="s">
        <v>1169</v>
      </c>
      <c r="C143" s="2">
        <v>4</v>
      </c>
      <c r="D143" s="2" t="s">
        <v>785</v>
      </c>
      <c r="E143" s="2">
        <v>-3066</v>
      </c>
      <c r="F143" s="2">
        <v>2954</v>
      </c>
      <c r="G143" s="2">
        <v>0</v>
      </c>
      <c r="H143" s="2" t="s">
        <v>2556</v>
      </c>
      <c r="I143" s="2" t="s">
        <v>2545</v>
      </c>
      <c r="J143" s="2">
        <v>1</v>
      </c>
      <c r="L143" t="str">
        <f t="shared" si="2"/>
        <v>{ name: "Coldsnap Hollow", landmark: "Named Location", type: "", region: 4, level: "Surface", x: -3066, y: 2954, z: 0, zoom: [3,4], size: "M", weight: 1, details: "" },</v>
      </c>
    </row>
    <row r="144" spans="1:12" x14ac:dyDescent="0.2">
      <c r="A144" t="s">
        <v>1176</v>
      </c>
      <c r="C144" s="2">
        <v>4</v>
      </c>
      <c r="D144" s="2" t="s">
        <v>785</v>
      </c>
      <c r="E144" s="2">
        <v>-3243</v>
      </c>
      <c r="F144" s="2">
        <v>2423</v>
      </c>
      <c r="G144" s="2">
        <v>0</v>
      </c>
      <c r="H144" s="2" t="s">
        <v>2556</v>
      </c>
      <c r="I144" s="2" t="s">
        <v>2546</v>
      </c>
      <c r="J144" s="2">
        <v>1</v>
      </c>
      <c r="L144" t="str">
        <f t="shared" si="2"/>
        <v>{ name: "Corvash Peak", landmark: "Named Location", type: "", region: 4, level: "Surface", x: -3243, y: 2423, z: 0, zoom: [3,4], size: "L", weight: 1, details: "" },</v>
      </c>
    </row>
    <row r="145" spans="1:12" x14ac:dyDescent="0.2">
      <c r="A145" t="s">
        <v>1213</v>
      </c>
      <c r="C145" s="2">
        <v>4</v>
      </c>
      <c r="D145" s="2" t="s">
        <v>785</v>
      </c>
      <c r="E145" s="2">
        <v>-4140</v>
      </c>
      <c r="F145" s="2">
        <v>1677</v>
      </c>
      <c r="G145" s="2">
        <v>0</v>
      </c>
      <c r="H145" s="2" t="s">
        <v>2556</v>
      </c>
      <c r="I145" s="2" t="s">
        <v>2519</v>
      </c>
      <c r="J145" s="2">
        <v>1</v>
      </c>
      <c r="L145" t="str">
        <f t="shared" si="2"/>
        <v>{ name: "Dragon Bone Mire", landmark: "Named Location", type: "", region: 4, level: "Surface", x: -4140, y: 1677, z: 0, zoom: [3,4], size: "S", weight: 1, details: "" },</v>
      </c>
    </row>
    <row r="146" spans="1:12" x14ac:dyDescent="0.2">
      <c r="A146" t="s">
        <v>1217</v>
      </c>
      <c r="C146" s="2">
        <v>4</v>
      </c>
      <c r="D146" s="2" t="s">
        <v>785</v>
      </c>
      <c r="E146" s="2">
        <v>-3793</v>
      </c>
      <c r="F146" s="2">
        <v>2236</v>
      </c>
      <c r="G146" s="2">
        <v>0</v>
      </c>
      <c r="H146" s="2" t="s">
        <v>2556</v>
      </c>
      <c r="I146" s="2" t="s">
        <v>2546</v>
      </c>
      <c r="J146" s="2">
        <v>1</v>
      </c>
      <c r="L146" t="str">
        <f t="shared" si="2"/>
        <v>{ name: "Dronoc's Pass", landmark: "Named Location", type: "", region: 4, level: "Surface", x: -3793, y: 2236, z: 0, zoom: [3,4], size: "L", weight: 1, details: "" },</v>
      </c>
    </row>
    <row r="147" spans="1:12" x14ac:dyDescent="0.2">
      <c r="A147" t="s">
        <v>1294</v>
      </c>
      <c r="C147" s="2">
        <v>4</v>
      </c>
      <c r="D147" s="2" t="s">
        <v>785</v>
      </c>
      <c r="E147" s="2">
        <v>-3442</v>
      </c>
      <c r="F147" s="2">
        <v>3546</v>
      </c>
      <c r="G147" s="2">
        <v>0</v>
      </c>
      <c r="H147" s="2" t="s">
        <v>2556</v>
      </c>
      <c r="I147" s="2" t="s">
        <v>2519</v>
      </c>
      <c r="J147" s="2">
        <v>2</v>
      </c>
      <c r="L147" t="str">
        <f t="shared" si="2"/>
        <v>{ name: "Goflam's Secret Hot Spring", landmark: "Named Location", type: "", region: 4, level: "Surface", x: -3442, y: 3546, z: 0, zoom: [3,4], size: "S", weight: 2, details: "" },</v>
      </c>
    </row>
    <row r="148" spans="1:12" x14ac:dyDescent="0.2">
      <c r="A148" t="s">
        <v>1337</v>
      </c>
      <c r="C148" s="2">
        <v>4</v>
      </c>
      <c r="D148" s="2" t="s">
        <v>785</v>
      </c>
      <c r="E148" s="2">
        <v>-2753</v>
      </c>
      <c r="F148" s="2">
        <v>3054</v>
      </c>
      <c r="G148" s="2">
        <v>0</v>
      </c>
      <c r="H148" s="2" t="s">
        <v>2556</v>
      </c>
      <c r="I148" s="2" t="s">
        <v>2546</v>
      </c>
      <c r="J148" s="2">
        <v>1</v>
      </c>
      <c r="L148" t="str">
        <f t="shared" si="2"/>
        <v>{ name: "Hebra East Summit", landmark: "Named Location", type: "", region: 4, level: "Surface", x: -2753, y: 3054, z: 0, zoom: [3,4], size: "L", weight: 1, details: "" },</v>
      </c>
    </row>
    <row r="149" spans="1:12" x14ac:dyDescent="0.2">
      <c r="A149" t="s">
        <v>1340</v>
      </c>
      <c r="C149" s="2">
        <v>4</v>
      </c>
      <c r="D149" s="2" t="s">
        <v>785</v>
      </c>
      <c r="E149" s="2">
        <v>-3539</v>
      </c>
      <c r="F149" s="2">
        <v>3740</v>
      </c>
      <c r="G149" s="2">
        <v>0</v>
      </c>
      <c r="H149" s="2" t="s">
        <v>2556</v>
      </c>
      <c r="I149" s="2" t="s">
        <v>2546</v>
      </c>
      <c r="J149" s="2">
        <v>1</v>
      </c>
      <c r="L149" t="str">
        <f t="shared" si="2"/>
        <v>{ name: "Hebra North Crest", landmark: "Named Location", type: "", region: 4, level: "Surface", x: -3539, y: 3740, z: 0, zoom: [3,4], size: "L", weight: 1, details: "" },</v>
      </c>
    </row>
    <row r="150" spans="1:12" x14ac:dyDescent="0.2">
      <c r="A150" t="s">
        <v>1341</v>
      </c>
      <c r="C150" s="2">
        <v>4</v>
      </c>
      <c r="D150" s="2" t="s">
        <v>785</v>
      </c>
      <c r="E150" s="2">
        <v>-3984</v>
      </c>
      <c r="F150" s="2">
        <v>3613</v>
      </c>
      <c r="G150" s="2">
        <v>0</v>
      </c>
      <c r="H150" s="2" t="s">
        <v>2556</v>
      </c>
      <c r="I150" s="2" t="s">
        <v>2546</v>
      </c>
      <c r="J150" s="2">
        <v>1</v>
      </c>
      <c r="L150" t="str">
        <f t="shared" si="2"/>
        <v>{ name: "Hebra North Summit", landmark: "Named Location", type: "", region: 4, level: "Surface", x: -3984, y: 3613, z: 0, zoom: [3,4], size: "L", weight: 1, details: "" },</v>
      </c>
    </row>
    <row r="151" spans="1:12" x14ac:dyDescent="0.2">
      <c r="A151" t="s">
        <v>1342</v>
      </c>
      <c r="C151" s="2">
        <v>4</v>
      </c>
      <c r="D151" s="2" t="s">
        <v>785</v>
      </c>
      <c r="E151" s="2">
        <v>-2771</v>
      </c>
      <c r="F151" s="2">
        <v>2914</v>
      </c>
      <c r="G151" s="2">
        <v>0</v>
      </c>
      <c r="H151" s="2" t="s">
        <v>2556</v>
      </c>
      <c r="I151" s="2" t="s">
        <v>2546</v>
      </c>
      <c r="J151" s="2">
        <v>1</v>
      </c>
      <c r="L151" t="str">
        <f t="shared" si="2"/>
        <v>{ name: "Hebra Peak", landmark: "Named Location", type: "", region: 4, level: "Surface", x: -2771, y: 2914, z: 0, zoom: [3,4], size: "L", weight: 1, details: "" },</v>
      </c>
    </row>
    <row r="152" spans="1:12" x14ac:dyDescent="0.2">
      <c r="A152" t="s">
        <v>1343</v>
      </c>
      <c r="C152" s="2">
        <v>4</v>
      </c>
      <c r="D152" s="2" t="s">
        <v>785</v>
      </c>
      <c r="E152" s="2">
        <v>-3071</v>
      </c>
      <c r="F152" s="2">
        <v>2140</v>
      </c>
      <c r="G152" s="2">
        <v>0</v>
      </c>
      <c r="H152" s="2" t="s">
        <v>2556</v>
      </c>
      <c r="I152" s="2" t="s">
        <v>2519</v>
      </c>
      <c r="J152" s="2">
        <v>1</v>
      </c>
      <c r="L152" t="str">
        <f t="shared" si="2"/>
        <v>{ name: "Hebra Plunge", landmark: "Named Location", type: "", region: 4, level: "Surface", x: -3071, y: 2140, z: 0, zoom: [3,4], size: "S", weight: 1, details: "" },</v>
      </c>
    </row>
    <row r="153" spans="1:12" x14ac:dyDescent="0.2">
      <c r="A153" t="s">
        <v>1345</v>
      </c>
      <c r="C153" s="2">
        <v>4</v>
      </c>
      <c r="D153" s="2" t="s">
        <v>785</v>
      </c>
      <c r="E153" s="2">
        <v>-3471</v>
      </c>
      <c r="F153" s="2">
        <v>2576</v>
      </c>
      <c r="G153" s="2">
        <v>0</v>
      </c>
      <c r="H153" s="2" t="s">
        <v>2556</v>
      </c>
      <c r="I153" s="2" t="s">
        <v>2546</v>
      </c>
      <c r="J153" s="2">
        <v>1</v>
      </c>
      <c r="L153" t="str">
        <f t="shared" si="2"/>
        <v>{ name: "Hebra South Summit", landmark: "Named Location", type: "", region: 4, level: "Surface", x: -3471, y: 2576, z: 0, zoom: [3,4], size: "L", weight: 1, details: "" },</v>
      </c>
    </row>
    <row r="154" spans="1:12" x14ac:dyDescent="0.2">
      <c r="A154" t="s">
        <v>1037</v>
      </c>
      <c r="C154" s="2">
        <v>4</v>
      </c>
      <c r="D154" s="2" t="s">
        <v>785</v>
      </c>
      <c r="E154" s="2">
        <v>-3584</v>
      </c>
      <c r="F154" s="2">
        <v>2246</v>
      </c>
      <c r="G154" s="2">
        <v>140</v>
      </c>
      <c r="H154" s="2" t="s">
        <v>2556</v>
      </c>
      <c r="I154" s="2" t="s">
        <v>2519</v>
      </c>
      <c r="J154" s="2">
        <v>1</v>
      </c>
      <c r="L154" t="str">
        <f t="shared" si="2"/>
        <v>{ name: "Hebra Trailhead Lodge", landmark: "Named Location", type: "", region: 4, level: "Surface", x: -3584, y: 2246, z: 140, zoom: [3,4], size: "S", weight: 1, details: "" },</v>
      </c>
    </row>
    <row r="155" spans="1:12" x14ac:dyDescent="0.2">
      <c r="A155" t="s">
        <v>1346</v>
      </c>
      <c r="C155" s="2">
        <v>4</v>
      </c>
      <c r="D155" s="2" t="s">
        <v>785</v>
      </c>
      <c r="E155" s="2">
        <v>-3395</v>
      </c>
      <c r="F155" s="2">
        <v>3298</v>
      </c>
      <c r="G155" s="2">
        <v>0</v>
      </c>
      <c r="H155" s="2" t="s">
        <v>2556</v>
      </c>
      <c r="I155" s="2" t="s">
        <v>2545</v>
      </c>
      <c r="J155" s="2">
        <v>1</v>
      </c>
      <c r="L155" t="str">
        <f t="shared" si="2"/>
        <v>{ name: "Hebra Tundra", landmark: "Named Location", type: "", region: 4, level: "Surface", x: -3395, y: 3298, z: 0, zoom: [3,4], size: "M", weight: 1, details: "" },</v>
      </c>
    </row>
    <row r="156" spans="1:12" x14ac:dyDescent="0.2">
      <c r="A156" t="s">
        <v>1347</v>
      </c>
      <c r="C156" s="2">
        <v>4</v>
      </c>
      <c r="D156" s="2" t="s">
        <v>785</v>
      </c>
      <c r="E156" s="2">
        <v>-4449</v>
      </c>
      <c r="F156" s="2">
        <v>3168</v>
      </c>
      <c r="G156" s="2">
        <v>0</v>
      </c>
      <c r="H156" s="2" t="s">
        <v>2556</v>
      </c>
      <c r="I156" s="2" t="s">
        <v>2546</v>
      </c>
      <c r="J156" s="2">
        <v>1</v>
      </c>
      <c r="L156" t="str">
        <f t="shared" si="2"/>
        <v>{ name: "Hebra West Summit", landmark: "Named Location", type: "", region: 4, level: "Surface", x: -4449, y: 3168, z: 0, zoom: [3,4], size: "L", weight: 1, details: "" },</v>
      </c>
    </row>
    <row r="157" spans="1:12" x14ac:dyDescent="0.2">
      <c r="A157" t="s">
        <v>1369</v>
      </c>
      <c r="C157" s="2">
        <v>4</v>
      </c>
      <c r="D157" s="2" t="s">
        <v>785</v>
      </c>
      <c r="E157" s="2">
        <v>-4312</v>
      </c>
      <c r="F157" s="2">
        <v>3793</v>
      </c>
      <c r="G157" s="2">
        <v>0</v>
      </c>
      <c r="H157" s="2" t="s">
        <v>2556</v>
      </c>
      <c r="I157" s="2" t="s">
        <v>2546</v>
      </c>
      <c r="J157" s="2">
        <v>1</v>
      </c>
      <c r="L157" t="str">
        <f t="shared" si="2"/>
        <v>{ name: "Icefall Foothills", landmark: "Named Location", type: "", region: 4, level: "Surface", x: -4312, y: 3793, z: 0, zoom: [3,4], size: "L", weight: 1, details: "" },</v>
      </c>
    </row>
    <row r="158" spans="1:12" x14ac:dyDescent="0.2">
      <c r="A158" t="s">
        <v>1407</v>
      </c>
      <c r="C158" s="2">
        <v>4</v>
      </c>
      <c r="D158" s="2" t="s">
        <v>785</v>
      </c>
      <c r="E158" s="2">
        <v>-4097</v>
      </c>
      <c r="F158" s="2">
        <v>2365</v>
      </c>
      <c r="G158" s="2">
        <v>0</v>
      </c>
      <c r="H158" s="2" t="s">
        <v>2556</v>
      </c>
      <c r="I158" s="2" t="s">
        <v>2519</v>
      </c>
      <c r="J158" s="2">
        <v>1</v>
      </c>
      <c r="L158" t="str">
        <f t="shared" si="2"/>
        <v>{ name: "Lake Kilsie", landmark: "Named Location", type: "", region: 4, level: "Surface", x: -4097, y: 2365, z: 0, zoom: [3,4], size: "S", weight: 1, details: "" },</v>
      </c>
    </row>
    <row r="159" spans="1:12" x14ac:dyDescent="0.2">
      <c r="A159" t="s">
        <v>1045</v>
      </c>
      <c r="C159" s="2">
        <v>4</v>
      </c>
      <c r="D159" s="2" t="s">
        <v>785</v>
      </c>
      <c r="E159" s="2">
        <v>-3607</v>
      </c>
      <c r="F159" s="2">
        <v>1944</v>
      </c>
      <c r="G159" s="2">
        <v>0</v>
      </c>
      <c r="H159" s="2" t="s">
        <v>2556</v>
      </c>
      <c r="I159" s="2" t="s">
        <v>2519</v>
      </c>
      <c r="J159" s="2">
        <v>1</v>
      </c>
      <c r="L159" t="str">
        <f t="shared" si="2"/>
        <v>{ name: "Lake Totori", landmark: "Named Location", type: "", region: 4, level: "Surface", x: -3607, y: 1944, z: 0, zoom: [3,4], size: "S", weight: 1, details: "" },</v>
      </c>
    </row>
    <row r="160" spans="1:12" x14ac:dyDescent="0.2">
      <c r="A160" t="s">
        <v>1535</v>
      </c>
      <c r="C160" s="2">
        <v>4</v>
      </c>
      <c r="D160" s="2" t="s">
        <v>785</v>
      </c>
      <c r="E160" s="2">
        <v>-3999</v>
      </c>
      <c r="F160" s="2">
        <v>1614</v>
      </c>
      <c r="G160" s="2">
        <v>0</v>
      </c>
      <c r="H160" s="2" t="s">
        <v>2556</v>
      </c>
      <c r="I160" s="2" t="s">
        <v>2546</v>
      </c>
      <c r="J160" s="2">
        <v>1</v>
      </c>
      <c r="L160" t="str">
        <f t="shared" si="2"/>
        <v>{ name: "Passer Hill", landmark: "Named Location", type: "", region: 4, level: "Surface", x: -3999, y: 1614, z: 0, zoom: [3,4], size: "L", weight: 1, details: "" },</v>
      </c>
    </row>
    <row r="161" spans="1:12" x14ac:dyDescent="0.2">
      <c r="A161" t="s">
        <v>1585</v>
      </c>
      <c r="C161" s="2">
        <v>4</v>
      </c>
      <c r="D161" s="2" t="s">
        <v>785</v>
      </c>
      <c r="E161" s="2">
        <v>-3575</v>
      </c>
      <c r="F161" s="2">
        <v>2363</v>
      </c>
      <c r="G161" s="2">
        <v>0</v>
      </c>
      <c r="H161" s="2" t="s">
        <v>2556</v>
      </c>
      <c r="I161" s="2" t="s">
        <v>2546</v>
      </c>
      <c r="J161" s="2">
        <v>1</v>
      </c>
      <c r="L161" t="str">
        <f t="shared" si="2"/>
        <v>{ name: "Rospro Pass", landmark: "Named Location", type: "", region: 4, level: "Surface", x: -3575, y: 2363, z: 0, zoom: [3,4], size: "L", weight: 1, details: "" },</v>
      </c>
    </row>
    <row r="162" spans="1:12" x14ac:dyDescent="0.2">
      <c r="A162" t="s">
        <v>1609</v>
      </c>
      <c r="C162" s="2">
        <v>4</v>
      </c>
      <c r="D162" s="2" t="s">
        <v>785</v>
      </c>
      <c r="E162" s="2">
        <v>-2958</v>
      </c>
      <c r="F162" s="2">
        <v>3136</v>
      </c>
      <c r="G162" s="2">
        <v>571</v>
      </c>
      <c r="H162" s="2" t="s">
        <v>2556</v>
      </c>
      <c r="I162" s="2" t="s">
        <v>2519</v>
      </c>
      <c r="J162" s="2">
        <v>1</v>
      </c>
      <c r="L162" t="str">
        <f t="shared" si="2"/>
        <v>{ name: "Selmie's Spot", landmark: "Named Location", type: "", region: 4, level: "Surface", x: -2958, y: 3136, z: 571, zoom: [3,4], size: "S", weight: 1, details: "" },</v>
      </c>
    </row>
    <row r="163" spans="1:12" x14ac:dyDescent="0.2">
      <c r="A163" t="s">
        <v>1616</v>
      </c>
      <c r="C163" s="2">
        <v>4</v>
      </c>
      <c r="D163" s="2" t="s">
        <v>785</v>
      </c>
      <c r="E163" s="2">
        <v>-4320</v>
      </c>
      <c r="F163" s="2">
        <v>3495</v>
      </c>
      <c r="G163" s="2">
        <v>355</v>
      </c>
      <c r="H163" s="2" t="s">
        <v>2556</v>
      </c>
      <c r="I163" s="2" t="s">
        <v>2519</v>
      </c>
      <c r="J163" s="2">
        <v>1</v>
      </c>
      <c r="L163" t="str">
        <f t="shared" si="2"/>
        <v>{ name: "Sherfin's Secret Hot Spring", landmark: "Named Location", type: "", region: 4, level: "Surface", x: -4320, y: 3495, z: 355, zoom: [3,4], size: "S", weight: 1, details: "" },</v>
      </c>
    </row>
    <row r="164" spans="1:12" x14ac:dyDescent="0.2">
      <c r="A164" t="s">
        <v>1644</v>
      </c>
      <c r="C164" s="2">
        <v>4</v>
      </c>
      <c r="D164" s="2" t="s">
        <v>785</v>
      </c>
      <c r="E164" s="2">
        <v>-4110</v>
      </c>
      <c r="F164" s="2">
        <v>2851</v>
      </c>
      <c r="G164" s="2">
        <v>0</v>
      </c>
      <c r="H164" s="2" t="s">
        <v>2556</v>
      </c>
      <c r="I164" s="2" t="s">
        <v>2545</v>
      </c>
      <c r="J164" s="2">
        <v>1</v>
      </c>
      <c r="L164" t="str">
        <f t="shared" si="2"/>
        <v>{ name: "Sturnida Basin", landmark: "Named Location", type: "", region: 4, level: "Surface", x: -4110, y: 2851, z: 0, zoom: [3,4], size: "M", weight: 1, details: "" },</v>
      </c>
    </row>
    <row r="165" spans="1:12" x14ac:dyDescent="0.2">
      <c r="A165" t="s">
        <v>1081</v>
      </c>
      <c r="C165" s="2">
        <v>4</v>
      </c>
      <c r="D165" s="2" t="s">
        <v>785</v>
      </c>
      <c r="E165" s="2">
        <v>-4089</v>
      </c>
      <c r="F165" s="2">
        <v>2732</v>
      </c>
      <c r="G165" s="2">
        <v>-22</v>
      </c>
      <c r="H165" s="2" t="s">
        <v>2556</v>
      </c>
      <c r="I165" s="2" t="s">
        <v>2519</v>
      </c>
      <c r="J165" s="2">
        <v>1</v>
      </c>
      <c r="L165" t="str">
        <f t="shared" si="2"/>
        <v>{ name: "Sturnida Secret Hot Spring", landmark: "Named Location", type: "", region: 4, level: "Surface", x: -4089, y: 2732, z: -22, zoom: [3,4], size: "S", weight: 1, details: "" },</v>
      </c>
    </row>
    <row r="166" spans="1:12" x14ac:dyDescent="0.2">
      <c r="A166" t="s">
        <v>1083</v>
      </c>
      <c r="C166" s="2">
        <v>4</v>
      </c>
      <c r="D166" s="2" t="s">
        <v>785</v>
      </c>
      <c r="E166" s="2">
        <v>-3172</v>
      </c>
      <c r="F166" s="2">
        <v>2682</v>
      </c>
      <c r="G166" s="2">
        <v>0</v>
      </c>
      <c r="H166" s="2" t="s">
        <v>2556</v>
      </c>
      <c r="I166" s="2" t="s">
        <v>2546</v>
      </c>
      <c r="J166" s="2">
        <v>1</v>
      </c>
      <c r="L166" t="str">
        <f t="shared" si="2"/>
        <v>{ name: "Talonto Peak", landmark: "Named Location", type: "", region: 4, level: "Surface", x: -3172, y: 2682, z: 0, zoom: [3,4], size: "L", weight: 1, details: "" },</v>
      </c>
    </row>
    <row r="167" spans="1:12" x14ac:dyDescent="0.2">
      <c r="A167" t="s">
        <v>2562</v>
      </c>
      <c r="C167" s="2">
        <v>5</v>
      </c>
      <c r="D167" s="2" t="s">
        <v>994</v>
      </c>
      <c r="E167" s="2">
        <v>-1032</v>
      </c>
      <c r="F167" s="2">
        <v>2690</v>
      </c>
      <c r="G167" s="2">
        <v>-273</v>
      </c>
      <c r="H167" s="2" t="s">
        <v>2556</v>
      </c>
      <c r="I167" s="2" t="s">
        <v>2545</v>
      </c>
      <c r="J167" s="2">
        <v>2</v>
      </c>
      <c r="L167" t="str">
        <f t="shared" si="2"/>
        <v>{ name: "Cliff Bargainer Statue", landmark: "Named Location", type: "", region: 5, level: "Depths", x: -1032, y: 2690, z: -273, zoom: [3,4], size: "M", weight: 2, details: "" },</v>
      </c>
    </row>
    <row r="168" spans="1:12" x14ac:dyDescent="0.2">
      <c r="A168" t="s">
        <v>1517</v>
      </c>
      <c r="C168" s="2">
        <v>5</v>
      </c>
      <c r="D168" s="2" t="s">
        <v>994</v>
      </c>
      <c r="E168" s="2">
        <v>-815</v>
      </c>
      <c r="F168" s="2">
        <v>3437</v>
      </c>
      <c r="G168" s="2">
        <v>-682</v>
      </c>
      <c r="H168" s="2" t="s">
        <v>2556</v>
      </c>
      <c r="I168" s="2" t="s">
        <v>2519</v>
      </c>
      <c r="J168" s="2">
        <v>1</v>
      </c>
      <c r="L168" t="str">
        <f t="shared" si="2"/>
        <v>{ name: "North Lomei Depths Labyrinth", landmark: "Named Location", type: "", region: 5, level: "Depths", x: -815, y: 3437, z: -682, zoom: [3,4], size: "S", weight: 1, details: "" },</v>
      </c>
    </row>
    <row r="169" spans="1:12" x14ac:dyDescent="0.2">
      <c r="A169" s="25" t="s">
        <v>996</v>
      </c>
      <c r="B169" t="s">
        <v>2542</v>
      </c>
      <c r="C169" s="2">
        <v>5</v>
      </c>
      <c r="D169" s="2" t="s">
        <v>783</v>
      </c>
      <c r="E169" s="2">
        <v>-1729</v>
      </c>
      <c r="F169" s="2">
        <v>3171</v>
      </c>
      <c r="G169" s="2">
        <v>2000</v>
      </c>
      <c r="H169" s="2" t="s">
        <v>2832</v>
      </c>
      <c r="I169" s="2" t="s">
        <v>2546</v>
      </c>
      <c r="J169" s="2">
        <v>1</v>
      </c>
      <c r="L169" t="str">
        <f t="shared" si="2"/>
        <v>{ name: "East Hebra Sky Archipelago", landmark: "Named Location", type: "Subregion", region: 5, level: "Sky", x: -1729, y: 3171, z: 2000, zoom: [2,3,4], size: "L", weight: 1, details: "" },</v>
      </c>
    </row>
    <row r="170" spans="1:12" x14ac:dyDescent="0.2">
      <c r="A170" s="25" t="s">
        <v>1516</v>
      </c>
      <c r="C170" s="2">
        <v>5</v>
      </c>
      <c r="D170" s="2" t="s">
        <v>783</v>
      </c>
      <c r="E170" s="2">
        <v>-825</v>
      </c>
      <c r="F170" s="2">
        <v>3371</v>
      </c>
      <c r="G170" s="2">
        <v>972</v>
      </c>
      <c r="H170" s="2" t="s">
        <v>2556</v>
      </c>
      <c r="I170" s="2" t="s">
        <v>2546</v>
      </c>
      <c r="J170" s="2">
        <v>1</v>
      </c>
      <c r="L170" t="str">
        <f t="shared" si="2"/>
        <v>{ name: "North Lomei Castle Top Floor", landmark: "Named Location", type: "", region: 5, level: "Sky", x: -825, y: 3371, z: 972, zoom: [3,4], size: "L", weight: 1, details: "" },</v>
      </c>
    </row>
    <row r="171" spans="1:12" x14ac:dyDescent="0.2">
      <c r="A171" t="s">
        <v>1653</v>
      </c>
      <c r="B171" t="s">
        <v>8</v>
      </c>
      <c r="C171" s="2">
        <v>5</v>
      </c>
      <c r="D171" s="2" t="s">
        <v>785</v>
      </c>
      <c r="E171" s="2">
        <v>-1812</v>
      </c>
      <c r="F171" s="2">
        <v>2793</v>
      </c>
      <c r="G171" s="2">
        <v>0</v>
      </c>
      <c r="H171" s="2">
        <v>2</v>
      </c>
      <c r="I171" s="2" t="s">
        <v>2545</v>
      </c>
      <c r="J171" s="2">
        <v>1</v>
      </c>
      <c r="L171" t="str">
        <f t="shared" si="2"/>
        <v>{ name: "Tabantha Tundra", landmark: "Named Location", type: "Region", region: 5, level: "Surface", x: -1812, y: 2793, z: 0, zoom: 2, size: "M", weight: 1, details: "" },</v>
      </c>
    </row>
    <row r="172" spans="1:12" x14ac:dyDescent="0.2">
      <c r="A172" t="s">
        <v>1338</v>
      </c>
      <c r="C172" s="2">
        <v>5</v>
      </c>
      <c r="D172" s="2" t="s">
        <v>785</v>
      </c>
      <c r="E172" s="2">
        <v>-2757</v>
      </c>
      <c r="F172" s="2">
        <v>2328</v>
      </c>
      <c r="G172" s="2">
        <v>0</v>
      </c>
      <c r="H172" s="2" t="s">
        <v>2556</v>
      </c>
      <c r="I172" s="2" t="s">
        <v>2519</v>
      </c>
      <c r="J172" s="2">
        <v>1</v>
      </c>
      <c r="L172" t="str">
        <f t="shared" si="2"/>
        <v>{ name: "Hebra Falls", landmark: "Named Location", type: "", region: 5, level: "Surface", x: -2757, y: 2328, z: 0, zoom: [3,4], size: "S", weight: 1, details: "" },</v>
      </c>
    </row>
    <row r="173" spans="1:12" x14ac:dyDescent="0.2">
      <c r="A173" t="s">
        <v>1339</v>
      </c>
      <c r="C173" s="2">
        <v>5</v>
      </c>
      <c r="D173" s="2" t="s">
        <v>785</v>
      </c>
      <c r="E173" s="2">
        <v>-2830</v>
      </c>
      <c r="F173" s="2">
        <v>2416</v>
      </c>
      <c r="G173" s="2">
        <v>0</v>
      </c>
      <c r="H173" s="2" t="s">
        <v>2556</v>
      </c>
      <c r="I173" s="2" t="s">
        <v>2519</v>
      </c>
      <c r="J173" s="2">
        <v>1</v>
      </c>
      <c r="L173" t="str">
        <f t="shared" si="2"/>
        <v>{ name: "Hebra Headspring", landmark: "Named Location", type: "", region: 5, level: "Surface", x: -2830, y: 2416, z: 0, zoom: [3,4], size: "S", weight: 1, details: "" },</v>
      </c>
    </row>
    <row r="174" spans="1:12" x14ac:dyDescent="0.2">
      <c r="A174" t="s">
        <v>1397</v>
      </c>
      <c r="C174" s="2">
        <v>5</v>
      </c>
      <c r="D174" s="2" t="s">
        <v>785</v>
      </c>
      <c r="E174" s="2">
        <v>-2345</v>
      </c>
      <c r="F174" s="2">
        <v>2509</v>
      </c>
      <c r="G174" s="2">
        <v>0</v>
      </c>
      <c r="H174" s="2" t="s">
        <v>2556</v>
      </c>
      <c r="I174" s="2" t="s">
        <v>2545</v>
      </c>
      <c r="J174" s="2">
        <v>1</v>
      </c>
      <c r="L174" t="str">
        <f t="shared" si="2"/>
        <v>{ name: "Kopeeki Drifts", landmark: "Named Location", type: "", region: 5, level: "Surface", x: -2345, y: 2509, z: 0, zoom: [3,4], size: "M", weight: 1, details: "" },</v>
      </c>
    </row>
    <row r="175" spans="1:12" x14ac:dyDescent="0.2">
      <c r="A175" t="s">
        <v>1518</v>
      </c>
      <c r="C175" s="2">
        <v>5</v>
      </c>
      <c r="D175" s="2" t="s">
        <v>785</v>
      </c>
      <c r="E175" s="2">
        <v>-825</v>
      </c>
      <c r="F175" s="2">
        <v>3404</v>
      </c>
      <c r="G175" s="2">
        <v>227</v>
      </c>
      <c r="H175" s="2" t="s">
        <v>2556</v>
      </c>
      <c r="I175" s="2" t="s">
        <v>2519</v>
      </c>
      <c r="J175" s="2">
        <v>1</v>
      </c>
      <c r="L175" t="str">
        <f t="shared" si="2"/>
        <v>{ name: "North Lomei Labyrinth", landmark: "Named Location", type: "", region: 5, level: "Surface", x: -825, y: 3404, z: 227, zoom: [3,4], size: "S", weight: 1, details: "" },</v>
      </c>
    </row>
    <row r="176" spans="1:12" x14ac:dyDescent="0.2">
      <c r="A176" t="s">
        <v>1062</v>
      </c>
      <c r="C176" s="2">
        <v>5</v>
      </c>
      <c r="D176" s="2" t="s">
        <v>785</v>
      </c>
      <c r="E176" s="2">
        <v>-1744</v>
      </c>
      <c r="F176" s="2">
        <v>3268</v>
      </c>
      <c r="G176" s="2">
        <v>0</v>
      </c>
      <c r="H176" s="2" t="s">
        <v>2556</v>
      </c>
      <c r="I176" s="2" t="s">
        <v>2545</v>
      </c>
      <c r="J176" s="2">
        <v>1</v>
      </c>
      <c r="L176" t="str">
        <f t="shared" si="2"/>
        <v>{ name: "North Tabantha Snowfield", landmark: "Named Location", type: "", region: 5, level: "Surface", x: -1744, y: 3268, z: 0, zoom: [3,4], size: "M", weight: 1, details: "" },</v>
      </c>
    </row>
    <row r="177" spans="1:12" x14ac:dyDescent="0.2">
      <c r="A177" t="s">
        <v>1069</v>
      </c>
      <c r="C177" s="2">
        <v>5</v>
      </c>
      <c r="D177" s="2" t="s">
        <v>785</v>
      </c>
      <c r="E177" s="2">
        <v>-2198</v>
      </c>
      <c r="F177" s="2">
        <v>2901</v>
      </c>
      <c r="G177" s="2">
        <v>0</v>
      </c>
      <c r="H177" s="2" t="s">
        <v>2556</v>
      </c>
      <c r="I177" s="2" t="s">
        <v>2545</v>
      </c>
      <c r="J177" s="2">
        <v>1</v>
      </c>
      <c r="L177" t="str">
        <f t="shared" si="2"/>
        <v>{ name: "Pikida Stonegrove", landmark: "Named Location", type: "", region: 5, level: "Surface", x: -2198, y: 2901, z: 0, zoom: [3,4], size: "M", weight: 1, details: "" },</v>
      </c>
    </row>
    <row r="178" spans="1:12" x14ac:dyDescent="0.2">
      <c r="A178" t="s">
        <v>1079</v>
      </c>
      <c r="C178" s="2">
        <v>5</v>
      </c>
      <c r="D178" s="2" t="s">
        <v>785</v>
      </c>
      <c r="E178" s="2">
        <v>-1850</v>
      </c>
      <c r="F178" s="2">
        <v>2494</v>
      </c>
      <c r="G178" s="2">
        <v>0</v>
      </c>
      <c r="H178" s="2" t="s">
        <v>2556</v>
      </c>
      <c r="I178" s="2" t="s">
        <v>2545</v>
      </c>
      <c r="J178" s="2">
        <v>1</v>
      </c>
      <c r="L178" t="str">
        <f t="shared" si="2"/>
        <v>{ name: "South Tabantha Snowfield", landmark: "Named Location", type: "", region: 5, level: "Surface", x: -1850, y: 2494, z: 0, zoom: [3,4], size: "M", weight: 1, details: "" },</v>
      </c>
    </row>
    <row r="179" spans="1:12" x14ac:dyDescent="0.2">
      <c r="A179" t="s">
        <v>1215</v>
      </c>
      <c r="C179" s="2">
        <v>6</v>
      </c>
      <c r="D179" s="2" t="s">
        <v>994</v>
      </c>
      <c r="E179" s="2">
        <v>-561</v>
      </c>
      <c r="F179" s="2">
        <v>2584</v>
      </c>
      <c r="G179" s="2">
        <v>-844</v>
      </c>
      <c r="H179" s="2" t="s">
        <v>2556</v>
      </c>
      <c r="I179" s="2" t="s">
        <v>2519</v>
      </c>
      <c r="J179" s="2">
        <v>1</v>
      </c>
      <c r="L179" t="str">
        <f t="shared" si="2"/>
        <v>{ name: "Drena Canyon Mine", landmark: "Named Location", type: "", region: 6, level: "Depths", x: -561, y: 2584, z: -844, zoom: [3,4], size: "S", weight: 1, details: "" },</v>
      </c>
    </row>
    <row r="180" spans="1:12" x14ac:dyDescent="0.2">
      <c r="A180" t="s">
        <v>1240</v>
      </c>
      <c r="C180" s="2">
        <v>6</v>
      </c>
      <c r="D180" s="2" t="s">
        <v>994</v>
      </c>
      <c r="E180" s="2">
        <v>1513</v>
      </c>
      <c r="F180" s="2">
        <v>3705</v>
      </c>
      <c r="G180" s="2">
        <v>-560</v>
      </c>
      <c r="H180" s="2" t="s">
        <v>2556</v>
      </c>
      <c r="I180" s="2" t="s">
        <v>2545</v>
      </c>
      <c r="J180" s="2">
        <v>1</v>
      </c>
      <c r="L180" t="str">
        <f t="shared" si="2"/>
        <v>{ name: "Eldin Dark Skeleton", landmark: "Named Location", type: "", region: 6, level: "Depths", x: 1513, y: 3705, z: -560, zoom: [3,4], size: "M", weight: 1, details: "" },</v>
      </c>
    </row>
    <row r="181" spans="1:12" x14ac:dyDescent="0.2">
      <c r="A181" t="s">
        <v>1271</v>
      </c>
      <c r="C181" s="2">
        <v>6</v>
      </c>
      <c r="D181" s="2" t="s">
        <v>994</v>
      </c>
      <c r="E181" s="2">
        <v>-115</v>
      </c>
      <c r="F181" s="2">
        <v>2427</v>
      </c>
      <c r="G181" s="2">
        <v>-621</v>
      </c>
      <c r="H181" s="2" t="s">
        <v>2556</v>
      </c>
      <c r="I181" s="2" t="s">
        <v>2519</v>
      </c>
      <c r="J181" s="2">
        <v>1</v>
      </c>
      <c r="L181" t="str">
        <f t="shared" si="2"/>
        <v>{ name: "Forest Coliseum", landmark: "Named Location", type: "", region: 6, level: "Depths", x: -115, y: 2427, z: -621, zoom: [3,4], size: "S", weight: 1, details: "" },</v>
      </c>
    </row>
    <row r="182" spans="1:12" x14ac:dyDescent="0.2">
      <c r="A182" t="s">
        <v>1292</v>
      </c>
      <c r="C182" s="2">
        <v>6</v>
      </c>
      <c r="D182" s="2" t="s">
        <v>994</v>
      </c>
      <c r="E182" s="2">
        <v>335</v>
      </c>
      <c r="F182" s="2">
        <v>3109</v>
      </c>
      <c r="G182" s="2">
        <v>-622</v>
      </c>
      <c r="H182" s="2" t="s">
        <v>2556</v>
      </c>
      <c r="I182" s="2" t="s">
        <v>2519</v>
      </c>
      <c r="J182" s="2">
        <v>2</v>
      </c>
      <c r="L182" t="str">
        <f t="shared" si="2"/>
        <v>{ name: "Gleeok Den", landmark: "Named Location", type: "", region: 6, level: "Depths", x: 335, y: 3109, z: -622, zoom: [3,4], size: "S", weight: 2, details: "" },</v>
      </c>
    </row>
    <row r="183" spans="1:12" x14ac:dyDescent="0.2">
      <c r="A183" t="s">
        <v>1400</v>
      </c>
      <c r="C183" s="2">
        <v>6</v>
      </c>
      <c r="D183" s="2" t="s">
        <v>994</v>
      </c>
      <c r="E183" s="2">
        <v>406</v>
      </c>
      <c r="F183" s="2">
        <v>2100</v>
      </c>
      <c r="G183" s="2">
        <v>-560</v>
      </c>
      <c r="H183" s="2" t="s">
        <v>2556</v>
      </c>
      <c r="I183" s="2" t="s">
        <v>2519</v>
      </c>
      <c r="J183" s="2">
        <v>1</v>
      </c>
      <c r="L183" t="str">
        <f t="shared" si="2"/>
        <v>{ name: "Korok Grove", landmark: "Named Location", type: "", region: 6, level: "Depths", x: 406, y: 2100, z: -560, zoom: [3,4], size: "S", weight: 1, details: "" },</v>
      </c>
    </row>
    <row r="184" spans="1:12" x14ac:dyDescent="0.2">
      <c r="A184" s="25" t="s">
        <v>1003</v>
      </c>
      <c r="B184" t="s">
        <v>2542</v>
      </c>
      <c r="C184" s="2">
        <v>6</v>
      </c>
      <c r="D184" s="2" t="s">
        <v>783</v>
      </c>
      <c r="E184" s="2">
        <v>350</v>
      </c>
      <c r="F184" s="2">
        <v>2354</v>
      </c>
      <c r="G184" s="2">
        <v>2000</v>
      </c>
      <c r="H184" s="2" t="s">
        <v>2832</v>
      </c>
      <c r="I184" s="2" t="s">
        <v>2546</v>
      </c>
      <c r="J184" s="2">
        <v>1</v>
      </c>
      <c r="L184" t="str">
        <f t="shared" si="2"/>
        <v>{ name: "North Hyrule Sky Archipelago", landmark: "Named Location", type: "Subregion", region: 6, level: "Sky", x: 350, y: 2354, z: 2000, zoom: [2,3,4], size: "L", weight: 1, details: "" },</v>
      </c>
    </row>
    <row r="185" spans="1:12" x14ac:dyDescent="0.2">
      <c r="A185" s="25" t="s">
        <v>992</v>
      </c>
      <c r="C185" s="2">
        <v>6</v>
      </c>
      <c r="D185" s="2" t="s">
        <v>783</v>
      </c>
      <c r="E185" s="2">
        <v>210</v>
      </c>
      <c r="F185" s="2">
        <v>1907</v>
      </c>
      <c r="G185" s="2">
        <v>1989</v>
      </c>
      <c r="H185" s="2" t="s">
        <v>2556</v>
      </c>
      <c r="I185" s="2" t="s">
        <v>2545</v>
      </c>
      <c r="J185" s="2">
        <v>2</v>
      </c>
      <c r="L185" t="str">
        <f t="shared" si="2"/>
        <v>{ name: "Bravery Island", landmark: "Named Location", type: "", region: 6, level: "Sky", x: 210, y: 1907, z: 1989, zoom: [3,4], size: "M", weight: 2, details: "" },</v>
      </c>
    </row>
    <row r="186" spans="1:12" x14ac:dyDescent="0.2">
      <c r="A186" t="s">
        <v>789</v>
      </c>
      <c r="B186" t="s">
        <v>8</v>
      </c>
      <c r="C186" s="2">
        <v>6</v>
      </c>
      <c r="D186" s="2" t="s">
        <v>785</v>
      </c>
      <c r="E186" s="2">
        <v>364</v>
      </c>
      <c r="F186" s="2">
        <v>2546</v>
      </c>
      <c r="G186" s="2">
        <v>0</v>
      </c>
      <c r="H186" s="2">
        <v>2</v>
      </c>
      <c r="I186" s="2" t="s">
        <v>2519</v>
      </c>
      <c r="J186" s="2">
        <v>1</v>
      </c>
      <c r="L186" t="str">
        <f t="shared" si="2"/>
        <v>{ name: "Great Hyrule Forest", landmark: "Named Location", type: "Region", region: 6, level: "Surface", x: 364, y: 2546, z: 0, zoom: 2, size: "S", weight: 1, details: "" },</v>
      </c>
    </row>
    <row r="187" spans="1:12" x14ac:dyDescent="0.2">
      <c r="A187" t="s">
        <v>1112</v>
      </c>
      <c r="C187" s="2">
        <v>6</v>
      </c>
      <c r="D187" s="2" t="s">
        <v>785</v>
      </c>
      <c r="E187" s="2">
        <v>-736</v>
      </c>
      <c r="F187" s="2">
        <v>2080</v>
      </c>
      <c r="G187" s="2">
        <v>0</v>
      </c>
      <c r="H187" s="2" t="s">
        <v>2556</v>
      </c>
      <c r="I187" s="2" t="s">
        <v>2545</v>
      </c>
      <c r="J187" s="2">
        <v>1</v>
      </c>
      <c r="L187" t="str">
        <f t="shared" si="2"/>
        <v>{ name: "Aldor Foothills", landmark: "Named Location", type: "", region: 6, level: "Surface", x: -736, y: 2080, z: 0, zoom: [3,4], size: "M", weight: 1, details: "" },</v>
      </c>
    </row>
    <row r="188" spans="1:12" x14ac:dyDescent="0.2">
      <c r="A188" t="s">
        <v>1198</v>
      </c>
      <c r="C188" s="2">
        <v>6</v>
      </c>
      <c r="D188" s="2" t="s">
        <v>785</v>
      </c>
      <c r="E188" s="2">
        <v>336</v>
      </c>
      <c r="F188" s="2">
        <v>3693</v>
      </c>
      <c r="G188" s="2">
        <v>0</v>
      </c>
      <c r="H188" s="2" t="s">
        <v>2556</v>
      </c>
      <c r="I188" s="2" t="s">
        <v>2546</v>
      </c>
      <c r="J188" s="2">
        <v>1</v>
      </c>
      <c r="L188" t="str">
        <f t="shared" si="2"/>
        <v>{ name: "Deplian Badlands", landmark: "Named Location", type: "", region: 6, level: "Surface", x: 336, y: 3693, z: 0, zoom: [3,4], size: "L", weight: 1, details: "" },</v>
      </c>
    </row>
    <row r="189" spans="1:12" x14ac:dyDescent="0.2">
      <c r="A189" t="s">
        <v>1026</v>
      </c>
      <c r="C189" s="2">
        <v>6</v>
      </c>
      <c r="D189" s="2" t="s">
        <v>785</v>
      </c>
      <c r="E189" s="2">
        <v>-344</v>
      </c>
      <c r="F189" s="2">
        <v>3121</v>
      </c>
      <c r="G189" s="2">
        <v>0</v>
      </c>
      <c r="H189" s="2" t="s">
        <v>2556</v>
      </c>
      <c r="I189" s="2" t="s">
        <v>2546</v>
      </c>
      <c r="J189" s="2">
        <v>1</v>
      </c>
      <c r="L189" t="str">
        <f t="shared" si="2"/>
        <v>{ name: "Drenan Highlands", landmark: "Named Location", type: "", region: 6, level: "Surface", x: -344, y: 3121, z: 0, zoom: [3,4], size: "L", weight: 1, details: "" },</v>
      </c>
    </row>
    <row r="190" spans="1:12" x14ac:dyDescent="0.2">
      <c r="A190" t="s">
        <v>1228</v>
      </c>
      <c r="C190" s="2">
        <v>6</v>
      </c>
      <c r="D190" s="2" t="s">
        <v>785</v>
      </c>
      <c r="E190" s="2">
        <v>1126</v>
      </c>
      <c r="F190" s="2">
        <v>3673</v>
      </c>
      <c r="G190" s="2">
        <v>0</v>
      </c>
      <c r="H190" s="2" t="s">
        <v>2556</v>
      </c>
      <c r="I190" s="2" t="s">
        <v>2546</v>
      </c>
      <c r="J190" s="2">
        <v>1</v>
      </c>
      <c r="L190" t="str">
        <f t="shared" si="2"/>
        <v>{ name: "East Deplian Badlands", landmark: "Named Location", type: "", region: 6, level: "Surface", x: 1126, y: 3673, z: 0, zoom: [3,4], size: "L", weight: 1, details: "" },</v>
      </c>
    </row>
    <row r="191" spans="1:12" x14ac:dyDescent="0.2">
      <c r="A191" t="s">
        <v>1241</v>
      </c>
      <c r="C191" s="2">
        <v>6</v>
      </c>
      <c r="D191" s="2" t="s">
        <v>785</v>
      </c>
      <c r="E191" s="2">
        <v>1502</v>
      </c>
      <c r="F191" s="2">
        <v>3763</v>
      </c>
      <c r="G191" s="2">
        <v>104</v>
      </c>
      <c r="H191" s="2" t="s">
        <v>2556</v>
      </c>
      <c r="I191" s="2" t="s">
        <v>2545</v>
      </c>
      <c r="J191" s="2">
        <v>1</v>
      </c>
      <c r="L191" t="str">
        <f t="shared" si="2"/>
        <v>{ name: "Eldin Great Skeleton", landmark: "Named Location", type: "", region: 6, level: "Surface", x: 1502, y: 3763, z: 104, zoom: [3,4], size: "M", weight: 1, details: "" },</v>
      </c>
    </row>
    <row r="192" spans="1:12" x14ac:dyDescent="0.2">
      <c r="A192" t="s">
        <v>1245</v>
      </c>
      <c r="C192" s="2">
        <v>6</v>
      </c>
      <c r="D192" s="2" t="s">
        <v>785</v>
      </c>
      <c r="E192" s="2">
        <v>-415</v>
      </c>
      <c r="F192" s="2">
        <v>1797</v>
      </c>
      <c r="G192" s="2">
        <v>0</v>
      </c>
      <c r="H192" s="2" t="s">
        <v>2556</v>
      </c>
      <c r="I192" s="2" t="s">
        <v>2546</v>
      </c>
      <c r="J192" s="2">
        <v>1</v>
      </c>
      <c r="L192" t="str">
        <f t="shared" si="2"/>
        <v>{ name: "Elma Knolls", landmark: "Named Location", type: "", region: 6, level: "Surface", x: -415, y: 1797, z: 0, zoom: [3,4], size: "L", weight: 1, details: "" },</v>
      </c>
    </row>
    <row r="193" spans="1:12" x14ac:dyDescent="0.2">
      <c r="A193" t="s">
        <v>1409</v>
      </c>
      <c r="C193" s="2">
        <v>6</v>
      </c>
      <c r="D193" s="2" t="s">
        <v>785</v>
      </c>
      <c r="E193" s="2">
        <v>337</v>
      </c>
      <c r="F193" s="2">
        <v>2750</v>
      </c>
      <c r="G193" s="2">
        <v>0</v>
      </c>
      <c r="H193" s="2" t="s">
        <v>2556</v>
      </c>
      <c r="I193" s="2" t="s">
        <v>2519</v>
      </c>
      <c r="J193" s="2">
        <v>1</v>
      </c>
      <c r="L193" t="str">
        <f t="shared" si="2"/>
        <v>{ name: "Lake Mekar", landmark: "Named Location", type: "", region: 6, level: "Surface", x: 337, y: 2750, z: 0, zoom: [3,4], size: "S", weight: 1, details: "" },</v>
      </c>
    </row>
    <row r="194" spans="1:12" x14ac:dyDescent="0.2">
      <c r="A194" t="s">
        <v>1411</v>
      </c>
      <c r="C194" s="2">
        <v>6</v>
      </c>
      <c r="D194" s="2" t="s">
        <v>785</v>
      </c>
      <c r="E194" s="2">
        <v>64</v>
      </c>
      <c r="F194" s="2">
        <v>1883</v>
      </c>
      <c r="G194" s="2">
        <v>0</v>
      </c>
      <c r="H194" s="2" t="s">
        <v>2556</v>
      </c>
      <c r="I194" s="2" t="s">
        <v>2519</v>
      </c>
      <c r="J194" s="2">
        <v>1</v>
      </c>
      <c r="L194" t="str">
        <f t="shared" ref="L194:L257" si="3">"{ name: "&amp;CHAR(34)&amp;A194&amp;CHAR(34)&amp;", landmark: "&amp;CHAR(34)&amp;"Named Location"&amp;CHAR(34)&amp;", type: "&amp;CHAR(34)&amp;B194&amp;CHAR(34)&amp;", region: "&amp;C194&amp;", level: "&amp;CHAR(34)&amp;D194&amp;CHAR(34)&amp;", x: "&amp;INT(E194)&amp;", y: "&amp;INT(F194)&amp;", z: "&amp;INT(G194)&amp;", zoom: "&amp;IF(LEN(H194)&gt;1,"["&amp;H194&amp;"]",H194)&amp;", size: "&amp;CHAR(34)&amp;I194&amp;CHAR(34)&amp;", weight: "&amp;J194&amp;", details: "&amp;CHAR(34)&amp;K194&amp;CHAR(34)&amp;" },"</f>
        <v>{ name: "Lake Saria", landmark: "Named Location", type: "", region: 6, level: "Surface", x: 64, y: 1883, z: 0, zoom: [3,4], size: "S", weight: 1, details: "" },</v>
      </c>
    </row>
    <row r="195" spans="1:12" x14ac:dyDescent="0.2">
      <c r="A195" t="s">
        <v>2396</v>
      </c>
      <c r="C195" s="2">
        <v>6</v>
      </c>
      <c r="D195" s="2" t="s">
        <v>785</v>
      </c>
      <c r="E195" s="2">
        <v>723</v>
      </c>
      <c r="F195" s="2">
        <v>1915</v>
      </c>
      <c r="G195" s="2">
        <v>0</v>
      </c>
      <c r="H195" s="2" t="s">
        <v>2556</v>
      </c>
      <c r="I195" s="2" t="s">
        <v>2519</v>
      </c>
      <c r="J195" s="2">
        <v>1</v>
      </c>
      <c r="L195" t="str">
        <f t="shared" si="3"/>
        <v>{ name: "Lost Woods", landmark: "Named Location", type: "", region: 6, level: "Surface", x: 723, y: 1915, z: 0, zoom: [3,4], size: "S", weight: 1, details: "" },</v>
      </c>
    </row>
    <row r="196" spans="1:12" x14ac:dyDescent="0.2">
      <c r="A196" t="s">
        <v>1468</v>
      </c>
      <c r="C196" s="2">
        <v>6</v>
      </c>
      <c r="D196" s="2" t="s">
        <v>785</v>
      </c>
      <c r="E196" s="2">
        <v>-260</v>
      </c>
      <c r="F196" s="2">
        <v>2194</v>
      </c>
      <c r="G196" s="2">
        <v>0</v>
      </c>
      <c r="H196" s="2" t="s">
        <v>2556</v>
      </c>
      <c r="I196" s="2" t="s">
        <v>2545</v>
      </c>
      <c r="J196" s="2">
        <v>1</v>
      </c>
      <c r="L196" t="str">
        <f t="shared" si="3"/>
        <v>{ name: "Mekar Island", landmark: "Named Location", type: "", region: 6, level: "Surface", x: -260, y: 2194, z: 0, zoom: [3,4], size: "M", weight: 1, details: "" },</v>
      </c>
    </row>
    <row r="197" spans="1:12" x14ac:dyDescent="0.2">
      <c r="A197" t="s">
        <v>1471</v>
      </c>
      <c r="C197" s="2">
        <v>6</v>
      </c>
      <c r="D197" s="2" t="s">
        <v>785</v>
      </c>
      <c r="E197" s="2">
        <v>812</v>
      </c>
      <c r="F197" s="2">
        <v>2354</v>
      </c>
      <c r="G197" s="2">
        <v>0</v>
      </c>
      <c r="H197" s="2" t="s">
        <v>2556</v>
      </c>
      <c r="I197" s="2" t="s">
        <v>2519</v>
      </c>
      <c r="J197" s="2">
        <v>1</v>
      </c>
      <c r="L197" t="str">
        <f t="shared" si="3"/>
        <v>{ name: "Mido Swamp", landmark: "Named Location", type: "", region: 6, level: "Surface", x: 812, y: 2354, z: 0, zoom: [3,4], size: "S", weight: 1, details: "" },</v>
      </c>
    </row>
    <row r="198" spans="1:12" x14ac:dyDescent="0.2">
      <c r="A198" t="s">
        <v>1056</v>
      </c>
      <c r="C198" s="2">
        <v>6</v>
      </c>
      <c r="D198" s="2" t="s">
        <v>785</v>
      </c>
      <c r="E198" s="2">
        <v>-561</v>
      </c>
      <c r="F198" s="2">
        <v>2635</v>
      </c>
      <c r="G198" s="2">
        <v>0</v>
      </c>
      <c r="H198" s="2" t="s">
        <v>2556</v>
      </c>
      <c r="I198" s="2" t="s">
        <v>2545</v>
      </c>
      <c r="J198" s="2">
        <v>1</v>
      </c>
      <c r="L198" t="str">
        <f t="shared" si="3"/>
        <v>{ name: "Mount Drena", landmark: "Named Location", type: "", region: 6, level: "Surface", x: -561, y: 2635, z: 0, zoom: [3,4], size: "M", weight: 1, details: "" },</v>
      </c>
    </row>
    <row r="199" spans="1:12" x14ac:dyDescent="0.2">
      <c r="A199" t="s">
        <v>1558</v>
      </c>
      <c r="C199" s="2">
        <v>6</v>
      </c>
      <c r="D199" s="2" t="s">
        <v>785</v>
      </c>
      <c r="E199" s="2">
        <v>498</v>
      </c>
      <c r="F199" s="2">
        <v>1538</v>
      </c>
      <c r="G199" s="2">
        <v>0</v>
      </c>
      <c r="H199" s="2" t="s">
        <v>2556</v>
      </c>
      <c r="I199" s="2" t="s">
        <v>2546</v>
      </c>
      <c r="J199" s="2">
        <v>1</v>
      </c>
      <c r="L199" t="str">
        <f t="shared" si="3"/>
        <v>{ name: "Rauru Hillside", landmark: "Named Location", type: "", region: 6, level: "Surface", x: 498, y: 1538, z: 0, zoom: [3,4], size: "L", weight: 1, details: "" },</v>
      </c>
    </row>
    <row r="200" spans="1:12" x14ac:dyDescent="0.2">
      <c r="A200" t="s">
        <v>1559</v>
      </c>
      <c r="C200" s="2">
        <v>6</v>
      </c>
      <c r="D200" s="2" t="s">
        <v>785</v>
      </c>
      <c r="E200" s="2">
        <v>676</v>
      </c>
      <c r="F200" s="2">
        <v>1283</v>
      </c>
      <c r="G200" s="2">
        <v>40</v>
      </c>
      <c r="H200" s="2" t="s">
        <v>2556</v>
      </c>
      <c r="I200" s="2" t="s">
        <v>2519</v>
      </c>
      <c r="J200" s="2">
        <v>2</v>
      </c>
      <c r="L200" t="str">
        <f t="shared" si="3"/>
        <v>{ name: "Rauru Settlement Ruins", landmark: "Named Location", type: "", region: 6, level: "Surface", x: 676, y: 1283, z: 40, zoom: [3,4], size: "S", weight: 2, details: "" },</v>
      </c>
    </row>
    <row r="201" spans="1:12" x14ac:dyDescent="0.2">
      <c r="A201" t="s">
        <v>1087</v>
      </c>
      <c r="C201" s="2">
        <v>6</v>
      </c>
      <c r="D201" s="2" t="s">
        <v>785</v>
      </c>
      <c r="E201" s="2">
        <v>327</v>
      </c>
      <c r="F201" s="2">
        <v>3080</v>
      </c>
      <c r="G201" s="2">
        <v>0</v>
      </c>
      <c r="H201" s="2" t="s">
        <v>2556</v>
      </c>
      <c r="I201" s="2" t="s">
        <v>2545</v>
      </c>
      <c r="J201" s="2">
        <v>1</v>
      </c>
      <c r="L201" t="str">
        <f t="shared" si="3"/>
        <v>{ name: "Thyphlo Ruins", landmark: "Named Location", type: "", region: 6, level: "Surface", x: 327, y: 3080, z: 0, zoom: [3,4], size: "M", weight: 1, details: "" },</v>
      </c>
    </row>
    <row r="202" spans="1:12" x14ac:dyDescent="0.2">
      <c r="A202" t="s">
        <v>1704</v>
      </c>
      <c r="C202" s="2">
        <v>6</v>
      </c>
      <c r="D202" s="2" t="s">
        <v>785</v>
      </c>
      <c r="E202" s="2">
        <v>17</v>
      </c>
      <c r="F202" s="2">
        <v>3455</v>
      </c>
      <c r="G202" s="2">
        <v>0</v>
      </c>
      <c r="H202" s="2" t="s">
        <v>2556</v>
      </c>
      <c r="I202" s="2" t="s">
        <v>2546</v>
      </c>
      <c r="J202" s="2">
        <v>1</v>
      </c>
      <c r="L202" t="str">
        <f t="shared" si="3"/>
        <v>{ name: "West Deplian Badlands", landmark: "Named Location", type: "", region: 6, level: "Surface", x: 17, y: 3455, z: 0, zoom: [3,4], size: "L", weight: 1, details: "" },</v>
      </c>
    </row>
    <row r="203" spans="1:12" x14ac:dyDescent="0.2">
      <c r="A203" s="25" t="s">
        <v>1092</v>
      </c>
      <c r="C203" s="2">
        <v>7</v>
      </c>
      <c r="D203" s="2" t="s">
        <v>994</v>
      </c>
      <c r="E203" s="2">
        <v>1649</v>
      </c>
      <c r="F203" s="2">
        <v>2364</v>
      </c>
      <c r="G203" s="2">
        <v>-749</v>
      </c>
      <c r="H203" s="2" t="s">
        <v>2559</v>
      </c>
      <c r="I203" s="2" t="s">
        <v>2545</v>
      </c>
      <c r="J203" s="2">
        <v>4</v>
      </c>
      <c r="L203" t="str">
        <f t="shared" si="3"/>
        <v>{ name: "Abandoned Eldin Mine", landmark: "Named Location", type: "", region: 7, level: "Depths", x: 1649, y: 2364, z: -749, zoom: [1,2,3,4], size: "M", weight: 4, details: "" },</v>
      </c>
    </row>
    <row r="204" spans="1:12" x14ac:dyDescent="0.2">
      <c r="A204" t="s">
        <v>1476</v>
      </c>
      <c r="C204" s="2">
        <v>7</v>
      </c>
      <c r="D204" s="2" t="s">
        <v>994</v>
      </c>
      <c r="E204" s="2">
        <v>1042</v>
      </c>
      <c r="F204" s="2">
        <v>1544</v>
      </c>
      <c r="G204" s="2">
        <v>-633</v>
      </c>
      <c r="H204" s="2" t="s">
        <v>2556</v>
      </c>
      <c r="I204" s="2" t="s">
        <v>2519</v>
      </c>
      <c r="J204" s="2">
        <v>1</v>
      </c>
      <c r="L204" t="str">
        <f t="shared" si="3"/>
        <v>{ name: "Minshi Grove", landmark: "Named Location", type: "", region: 7, level: "Depths", x: 1042, y: 1544, z: -633, zoom: [3,4], size: "S", weight: 1, details: "" },</v>
      </c>
    </row>
    <row r="205" spans="1:12" x14ac:dyDescent="0.2">
      <c r="A205" t="s">
        <v>1605</v>
      </c>
      <c r="C205" s="2">
        <v>7</v>
      </c>
      <c r="D205" s="2" t="s">
        <v>994</v>
      </c>
      <c r="E205" s="2">
        <v>2145</v>
      </c>
      <c r="F205" s="2">
        <v>3182</v>
      </c>
      <c r="G205" s="2">
        <v>-838</v>
      </c>
      <c r="H205" s="2" t="s">
        <v>2556</v>
      </c>
      <c r="I205" s="2" t="s">
        <v>2519</v>
      </c>
      <c r="J205" s="2">
        <v>2</v>
      </c>
      <c r="L205" t="str">
        <f t="shared" si="3"/>
        <v>{ name: "Scorching Coliseum", landmark: "Named Location", type: "", region: 7, level: "Depths", x: 2145, y: 3182, z: -838, zoom: [3,4], size: "S", weight: 2, details: "" },</v>
      </c>
    </row>
    <row r="206" spans="1:12" x14ac:dyDescent="0.2">
      <c r="A206" s="25" t="s">
        <v>1242</v>
      </c>
      <c r="B206" t="s">
        <v>2543</v>
      </c>
      <c r="C206" s="2">
        <v>7</v>
      </c>
      <c r="D206" s="2" t="s">
        <v>783</v>
      </c>
      <c r="E206" s="2">
        <v>1979</v>
      </c>
      <c r="F206" s="2">
        <v>2089</v>
      </c>
      <c r="G206" s="2">
        <v>2000</v>
      </c>
      <c r="H206" s="2">
        <v>1</v>
      </c>
      <c r="I206" s="2" t="s">
        <v>2546</v>
      </c>
      <c r="J206" s="2">
        <v>1</v>
      </c>
      <c r="L206" t="str">
        <f t="shared" si="3"/>
        <v>{ name: "Eldin Sky", landmark: "Named Location", type: "Province", region: 7, level: "Sky", x: 1979, y: 2089, z: 2000, zoom: 1, size: "L", weight: 1, details: "" },</v>
      </c>
    </row>
    <row r="207" spans="1:12" x14ac:dyDescent="0.2">
      <c r="A207" s="25" t="s">
        <v>1243</v>
      </c>
      <c r="B207" t="s">
        <v>2542</v>
      </c>
      <c r="C207" s="2">
        <v>7</v>
      </c>
      <c r="D207" s="2" t="s">
        <v>783</v>
      </c>
      <c r="E207" s="2">
        <v>1777</v>
      </c>
      <c r="F207" s="2">
        <v>2706</v>
      </c>
      <c r="G207" s="2">
        <v>2000</v>
      </c>
      <c r="H207" s="2" t="s">
        <v>2832</v>
      </c>
      <c r="I207" s="2" t="s">
        <v>2546</v>
      </c>
      <c r="J207" s="2">
        <v>1</v>
      </c>
      <c r="L207" t="str">
        <f t="shared" si="3"/>
        <v>{ name: "Eldin Sky Archipelago", landmark: "Named Location", type: "Subregion", region: 7, level: "Sky", x: 1777, y: 2706, z: 2000, zoom: [2,3,4], size: "L", weight: 1, details: "" },</v>
      </c>
    </row>
    <row r="208" spans="1:12" x14ac:dyDescent="0.2">
      <c r="A208" s="25" t="s">
        <v>1007</v>
      </c>
      <c r="B208" t="s">
        <v>2542</v>
      </c>
      <c r="C208" s="2">
        <v>7</v>
      </c>
      <c r="D208" s="2" t="s">
        <v>783</v>
      </c>
      <c r="E208" s="2">
        <v>1925</v>
      </c>
      <c r="F208" s="2">
        <v>799</v>
      </c>
      <c r="G208" s="2">
        <v>2000</v>
      </c>
      <c r="H208" s="2" t="s">
        <v>2832</v>
      </c>
      <c r="I208" s="2" t="s">
        <v>2546</v>
      </c>
      <c r="J208" s="2">
        <v>1</v>
      </c>
      <c r="L208" t="str">
        <f t="shared" si="3"/>
        <v>{ name: "South Eldin Sky Archipelago", landmark: "Named Location", type: "Subregion", region: 7, level: "Sky", x: 1925, y: 799, z: 2000, zoom: [2,3,4], size: "L", weight: 1, details: "" },</v>
      </c>
    </row>
    <row r="209" spans="1:12" x14ac:dyDescent="0.2">
      <c r="A209" t="s">
        <v>1239</v>
      </c>
      <c r="B209" t="s">
        <v>2543</v>
      </c>
      <c r="C209" s="2">
        <v>7</v>
      </c>
      <c r="D209" s="2" t="s">
        <v>785</v>
      </c>
      <c r="E209" s="2">
        <v>1935</v>
      </c>
      <c r="F209" s="2">
        <v>2232</v>
      </c>
      <c r="G209" s="2">
        <v>0</v>
      </c>
      <c r="H209" s="2">
        <v>1</v>
      </c>
      <c r="I209" s="2" t="s">
        <v>2546</v>
      </c>
      <c r="J209" s="2">
        <v>1</v>
      </c>
      <c r="L209" t="str">
        <f t="shared" si="3"/>
        <v>{ name: "Eldin", landmark: "Named Location", type: "Province", region: 7, level: "Surface", x: 1935, y: 2232, z: 0, zoom: 1, size: "L", weight: 1, details: "" },</v>
      </c>
    </row>
    <row r="210" spans="1:12" x14ac:dyDescent="0.2">
      <c r="A210" t="s">
        <v>793</v>
      </c>
      <c r="B210" t="s">
        <v>8</v>
      </c>
      <c r="C210" s="2">
        <v>7</v>
      </c>
      <c r="D210" s="2" t="s">
        <v>785</v>
      </c>
      <c r="E210" s="2">
        <v>2530</v>
      </c>
      <c r="F210" s="2">
        <v>2479</v>
      </c>
      <c r="G210" s="2">
        <v>0</v>
      </c>
      <c r="H210" s="2">
        <v>2</v>
      </c>
      <c r="I210" s="2" t="s">
        <v>2546</v>
      </c>
      <c r="J210" s="2">
        <v>1</v>
      </c>
      <c r="L210" t="str">
        <f t="shared" si="3"/>
        <v>{ name: "Death Mountain", landmark: "Named Location", type: "Region", region: 7, level: "Surface", x: 2530, y: 2479, z: 0, zoom: 2, size: "L", weight: 1, details: "" },</v>
      </c>
    </row>
    <row r="211" spans="1:12" x14ac:dyDescent="0.2">
      <c r="A211" t="s">
        <v>791</v>
      </c>
      <c r="B211" t="s">
        <v>8</v>
      </c>
      <c r="C211" s="2">
        <v>7</v>
      </c>
      <c r="D211" s="2" t="s">
        <v>785</v>
      </c>
      <c r="E211" s="2">
        <v>1853</v>
      </c>
      <c r="F211" s="2">
        <v>1401</v>
      </c>
      <c r="G211" s="2">
        <v>0</v>
      </c>
      <c r="H211" s="2">
        <v>2</v>
      </c>
      <c r="I211" s="2" t="s">
        <v>2545</v>
      </c>
      <c r="J211" s="2">
        <v>1</v>
      </c>
      <c r="L211" t="str">
        <f t="shared" si="3"/>
        <v>{ name: "Eldin Canyon", landmark: "Named Location", type: "Region", region: 7, level: "Surface", x: 1853, y: 1401, z: 0, zoom: 2, size: "M", weight: 1, details: "" },</v>
      </c>
    </row>
    <row r="212" spans="1:12" x14ac:dyDescent="0.2">
      <c r="A212" t="s">
        <v>792</v>
      </c>
      <c r="B212" t="s">
        <v>8</v>
      </c>
      <c r="C212" s="2">
        <v>7</v>
      </c>
      <c r="D212" s="2" t="s">
        <v>785</v>
      </c>
      <c r="E212" s="2">
        <v>1310</v>
      </c>
      <c r="F212" s="2">
        <v>3376</v>
      </c>
      <c r="G212" s="2">
        <v>0</v>
      </c>
      <c r="H212" s="2">
        <v>2</v>
      </c>
      <c r="I212" s="2" t="s">
        <v>2546</v>
      </c>
      <c r="J212" s="2">
        <v>1</v>
      </c>
      <c r="L212" t="str">
        <f t="shared" si="3"/>
        <v>{ name: "Eldin Mountains", landmark: "Named Location", type: "Region", region: 7, level: "Surface", x: 1310, y: 3376, z: 0, zoom: 2, size: "L", weight: 1, details: "" },</v>
      </c>
    </row>
    <row r="213" spans="1:12" x14ac:dyDescent="0.2">
      <c r="A213" t="s">
        <v>1110</v>
      </c>
      <c r="C213" s="2">
        <v>7</v>
      </c>
      <c r="D213" s="2" t="s">
        <v>785</v>
      </c>
      <c r="E213" s="2">
        <v>3009</v>
      </c>
      <c r="F213" s="2">
        <v>1232</v>
      </c>
      <c r="G213" s="2">
        <v>226</v>
      </c>
      <c r="H213" s="2" t="s">
        <v>2556</v>
      </c>
      <c r="I213" s="2" t="s">
        <v>2519</v>
      </c>
      <c r="J213" s="2">
        <v>1</v>
      </c>
      <c r="L213" t="str">
        <f t="shared" si="3"/>
        <v>{ name: "Akkala Span", landmark: "Named Location", type: "", region: 7, level: "Surface", x: 3009, y: 1232, z: 226, zoom: [3,4], size: "S", weight: 1, details: "" },</v>
      </c>
    </row>
    <row r="214" spans="1:12" x14ac:dyDescent="0.2">
      <c r="A214" t="s">
        <v>1022</v>
      </c>
      <c r="C214" s="2">
        <v>7</v>
      </c>
      <c r="D214" s="2" t="s">
        <v>785</v>
      </c>
      <c r="E214" s="2">
        <v>2214</v>
      </c>
      <c r="F214" s="2">
        <v>2356</v>
      </c>
      <c r="G214" s="2">
        <v>526</v>
      </c>
      <c r="H214" s="2" t="s">
        <v>2556</v>
      </c>
      <c r="I214" s="2" t="s">
        <v>2519</v>
      </c>
      <c r="J214" s="2">
        <v>1</v>
      </c>
      <c r="L214" t="str">
        <f t="shared" si="3"/>
        <v>{ name: "Bridge of Eldin", landmark: "Named Location", type: "", region: 7, level: "Surface", x: 2214, y: 2356, z: 526, zoom: [3,4], size: "S", weight: 1, details: "" },</v>
      </c>
    </row>
    <row r="215" spans="1:12" x14ac:dyDescent="0.2">
      <c r="A215" t="s">
        <v>1149</v>
      </c>
      <c r="C215" s="2">
        <v>7</v>
      </c>
      <c r="D215" s="2" t="s">
        <v>785</v>
      </c>
      <c r="E215" s="2">
        <v>2701</v>
      </c>
      <c r="F215" s="2">
        <v>1770</v>
      </c>
      <c r="G215" s="2">
        <v>0</v>
      </c>
      <c r="H215" s="2" t="s">
        <v>2556</v>
      </c>
      <c r="I215" s="2" t="s">
        <v>2545</v>
      </c>
      <c r="J215" s="2">
        <v>1</v>
      </c>
      <c r="L215" t="str">
        <f t="shared" si="3"/>
        <v>{ name: "Broca Island", landmark: "Named Location", type: "", region: 7, level: "Surface", x: 2701, y: 1770, z: 0, zoom: [3,4], size: "M", weight: 1, details: "" },</v>
      </c>
    </row>
    <row r="216" spans="1:12" x14ac:dyDescent="0.2">
      <c r="A216" t="s">
        <v>1165</v>
      </c>
      <c r="C216" s="2">
        <v>7</v>
      </c>
      <c r="D216" s="2" t="s">
        <v>785</v>
      </c>
      <c r="E216" s="2">
        <v>2766</v>
      </c>
      <c r="F216" s="2">
        <v>1277</v>
      </c>
      <c r="G216" s="2">
        <v>0</v>
      </c>
      <c r="H216" s="2" t="s">
        <v>2556</v>
      </c>
      <c r="I216" s="2" t="s">
        <v>2519</v>
      </c>
      <c r="J216" s="2">
        <v>1</v>
      </c>
      <c r="L216" t="str">
        <f t="shared" si="3"/>
        <v>{ name: "Cephla Lake", landmark: "Named Location", type: "", region: 7, level: "Surface", x: 2766, y: 1277, z: 0, zoom: [3,4], size: "S", weight: 1, details: "" },</v>
      </c>
    </row>
    <row r="217" spans="1:12" x14ac:dyDescent="0.2">
      <c r="A217" t="s">
        <v>1189</v>
      </c>
      <c r="C217" s="2">
        <v>7</v>
      </c>
      <c r="D217" s="2" t="s">
        <v>785</v>
      </c>
      <c r="E217" s="2">
        <v>2336</v>
      </c>
      <c r="F217" s="2">
        <v>2043</v>
      </c>
      <c r="G217" s="2">
        <v>0</v>
      </c>
      <c r="H217" s="2" t="s">
        <v>2556</v>
      </c>
      <c r="I217" s="2" t="s">
        <v>2519</v>
      </c>
      <c r="J217" s="2">
        <v>1</v>
      </c>
      <c r="L217" t="str">
        <f t="shared" si="3"/>
        <v>{ name: "Darb Pond", landmark: "Named Location", type: "", region: 7, level: "Surface", x: 2336, y: 2043, z: 0, zoom: [3,4], size: "S", weight: 1, details: "" },</v>
      </c>
    </row>
    <row r="218" spans="1:12" x14ac:dyDescent="0.2">
      <c r="A218" t="s">
        <v>1190</v>
      </c>
      <c r="C218" s="2">
        <v>7</v>
      </c>
      <c r="D218" s="2" t="s">
        <v>785</v>
      </c>
      <c r="E218" s="2">
        <v>1405</v>
      </c>
      <c r="F218" s="2">
        <v>2842</v>
      </c>
      <c r="G218" s="2">
        <v>0</v>
      </c>
      <c r="H218" s="2" t="s">
        <v>2556</v>
      </c>
      <c r="I218" s="2" t="s">
        <v>2519</v>
      </c>
      <c r="J218" s="2">
        <v>1</v>
      </c>
      <c r="L218" t="str">
        <f t="shared" si="3"/>
        <v>{ name: "Darunia Lake", landmark: "Named Location", type: "", region: 7, level: "Surface", x: 1405, y: 2842, z: 0, zoom: [3,4], size: "S", weight: 1, details: "" },</v>
      </c>
    </row>
    <row r="219" spans="1:12" x14ac:dyDescent="0.2">
      <c r="A219" t="s">
        <v>1195</v>
      </c>
      <c r="C219" s="2">
        <v>7</v>
      </c>
      <c r="D219" s="2" t="s">
        <v>785</v>
      </c>
      <c r="E219" s="2">
        <v>2563</v>
      </c>
      <c r="F219" s="2">
        <v>2971</v>
      </c>
      <c r="G219" s="2">
        <v>0</v>
      </c>
      <c r="H219" s="2" t="s">
        <v>2556</v>
      </c>
      <c r="I219" s="2" t="s">
        <v>2546</v>
      </c>
      <c r="J219" s="2">
        <v>1</v>
      </c>
      <c r="L219" t="str">
        <f t="shared" si="3"/>
        <v>{ name: "Death Caldera", landmark: "Named Location", type: "", region: 7, level: "Surface", x: 2563, y: 2971, z: 0, zoom: [3,4], size: "L", weight: 1, details: "" },</v>
      </c>
    </row>
    <row r="220" spans="1:12" x14ac:dyDescent="0.2">
      <c r="A220" t="s">
        <v>1025</v>
      </c>
      <c r="C220" s="2">
        <v>7</v>
      </c>
      <c r="D220" s="2" t="s">
        <v>785</v>
      </c>
      <c r="E220" s="2">
        <v>2169</v>
      </c>
      <c r="F220" s="2">
        <v>2730</v>
      </c>
      <c r="G220" s="2">
        <v>530</v>
      </c>
      <c r="H220" s="2" t="s">
        <v>2556</v>
      </c>
      <c r="I220" s="2" t="s">
        <v>2519</v>
      </c>
      <c r="J220" s="2">
        <v>1</v>
      </c>
      <c r="L220" t="str">
        <f t="shared" si="3"/>
        <v>{ name: "Death Mountain West Site", landmark: "Named Location", type: "", region: 7, level: "Surface", x: 2169, y: 2730, z: 530, zoom: [3,4], size: "S", weight: 1, details: "" },</v>
      </c>
    </row>
    <row r="221" spans="1:12" x14ac:dyDescent="0.2">
      <c r="A221" t="s">
        <v>1244</v>
      </c>
      <c r="C221" s="2">
        <v>7</v>
      </c>
      <c r="D221" s="2" t="s">
        <v>785</v>
      </c>
      <c r="E221" s="2">
        <v>2293</v>
      </c>
      <c r="F221" s="2">
        <v>3679</v>
      </c>
      <c r="G221" s="2">
        <v>0</v>
      </c>
      <c r="H221" s="2" t="s">
        <v>2556</v>
      </c>
      <c r="I221" s="2" t="s">
        <v>2545</v>
      </c>
      <c r="J221" s="2">
        <v>1</v>
      </c>
      <c r="L221" t="str">
        <f t="shared" si="3"/>
        <v>{ name: "Eldin's Flank", landmark: "Named Location", type: "", region: 7, level: "Surface", x: 2293, y: 3679, z: 0, zoom: [3,4], size: "M", weight: 1, details: "" },</v>
      </c>
    </row>
    <row r="222" spans="1:12" x14ac:dyDescent="0.2">
      <c r="A222" t="s">
        <v>1278</v>
      </c>
      <c r="C222" s="2">
        <v>7</v>
      </c>
      <c r="D222" s="2" t="s">
        <v>785</v>
      </c>
      <c r="E222" s="2">
        <v>2428</v>
      </c>
      <c r="F222" s="2">
        <v>1729</v>
      </c>
      <c r="G222" s="2">
        <v>0</v>
      </c>
      <c r="H222" s="2" t="s">
        <v>2556</v>
      </c>
      <c r="I222" s="2" t="s">
        <v>2519</v>
      </c>
      <c r="J222" s="2">
        <v>1</v>
      </c>
      <c r="L222" t="str">
        <f t="shared" si="3"/>
        <v>{ name: "Gero Pond", landmark: "Named Location", type: "", region: 7, level: "Surface", x: 2428, y: 1729, z: 0, zoom: [3,4], size: "S", weight: 1, details: "" },</v>
      </c>
    </row>
    <row r="223" spans="1:12" x14ac:dyDescent="0.2">
      <c r="A223" t="s">
        <v>1296</v>
      </c>
      <c r="C223" s="2">
        <v>7</v>
      </c>
      <c r="D223" s="2" t="s">
        <v>785</v>
      </c>
      <c r="E223" s="2">
        <v>1486</v>
      </c>
      <c r="F223" s="2">
        <v>2550</v>
      </c>
      <c r="G223" s="2">
        <v>0</v>
      </c>
      <c r="H223" s="2" t="s">
        <v>2556</v>
      </c>
      <c r="I223" s="2" t="s">
        <v>2519</v>
      </c>
      <c r="J223" s="2">
        <v>1</v>
      </c>
      <c r="L223" t="str">
        <f t="shared" si="3"/>
        <v>{ name: "Golow River", landmark: "Named Location", type: "", region: 7, level: "Surface", x: 1486, y: 2550, z: 0, zoom: [3,4], size: "S", weight: 1, details: "" },</v>
      </c>
    </row>
    <row r="224" spans="1:12" x14ac:dyDescent="0.2">
      <c r="A224" t="s">
        <v>1300</v>
      </c>
      <c r="C224" s="2">
        <v>7</v>
      </c>
      <c r="D224" s="2" t="s">
        <v>785</v>
      </c>
      <c r="E224" s="2">
        <v>2097</v>
      </c>
      <c r="F224" s="2">
        <v>2150</v>
      </c>
      <c r="G224" s="2">
        <v>0</v>
      </c>
      <c r="H224" s="2" t="s">
        <v>2556</v>
      </c>
      <c r="I224" s="2" t="s">
        <v>2519</v>
      </c>
      <c r="J224" s="2">
        <v>1</v>
      </c>
      <c r="L224" t="str">
        <f t="shared" si="3"/>
        <v>{ name: "Gorko Lake", landmark: "Named Location", type: "", region: 7, level: "Surface", x: 2097, y: 2150, z: 0, zoom: [3,4], size: "S", weight: 1, details: "" },</v>
      </c>
    </row>
    <row r="225" spans="1:12" x14ac:dyDescent="0.2">
      <c r="A225" t="s">
        <v>890</v>
      </c>
      <c r="C225" s="2">
        <v>7</v>
      </c>
      <c r="D225" s="2" t="s">
        <v>785</v>
      </c>
      <c r="E225" s="2">
        <v>2008</v>
      </c>
      <c r="F225" s="2">
        <v>2014</v>
      </c>
      <c r="G225" s="2">
        <v>0</v>
      </c>
      <c r="H225" s="2" t="s">
        <v>2556</v>
      </c>
      <c r="I225" s="2" t="s">
        <v>2546</v>
      </c>
      <c r="J225" s="2">
        <v>1</v>
      </c>
      <c r="L225" t="str">
        <f t="shared" si="3"/>
        <v>{ name: "Gorko Tunnel", landmark: "Named Location", type: "", region: 7, level: "Surface", x: 2008, y: 2014, z: 0, zoom: [3,4], size: "L", weight: 1, details: "" },</v>
      </c>
    </row>
    <row r="226" spans="1:12" x14ac:dyDescent="0.2">
      <c r="A226" t="s">
        <v>1301</v>
      </c>
      <c r="C226" s="2">
        <v>7</v>
      </c>
      <c r="D226" s="2" t="s">
        <v>785</v>
      </c>
      <c r="E226" s="2">
        <v>1865</v>
      </c>
      <c r="F226" s="2">
        <v>2454</v>
      </c>
      <c r="G226" s="2">
        <v>0</v>
      </c>
      <c r="H226" s="2" t="s">
        <v>2556</v>
      </c>
      <c r="I226" s="2" t="s">
        <v>2519</v>
      </c>
      <c r="J226" s="2">
        <v>1</v>
      </c>
      <c r="L226" t="str">
        <f t="shared" si="3"/>
        <v>{ name: "Goro Cove", landmark: "Named Location", type: "", region: 7, level: "Surface", x: 1865, y: 2454, z: 0, zoom: [3,4], size: "S", weight: 1, details: "" },</v>
      </c>
    </row>
    <row r="227" spans="1:12" x14ac:dyDescent="0.2">
      <c r="A227" t="s">
        <v>1303</v>
      </c>
      <c r="C227" s="2">
        <v>7</v>
      </c>
      <c r="D227" s="2" t="s">
        <v>785</v>
      </c>
      <c r="E227" s="2">
        <v>1776</v>
      </c>
      <c r="F227" s="2">
        <v>2256</v>
      </c>
      <c r="G227" s="2">
        <v>0</v>
      </c>
      <c r="H227" s="2" t="s">
        <v>2556</v>
      </c>
      <c r="I227" s="2" t="s">
        <v>2546</v>
      </c>
      <c r="J227" s="2">
        <v>1</v>
      </c>
      <c r="L227" t="str">
        <f t="shared" si="3"/>
        <v>{ name: "Goron Hot Springs", landmark: "Named Location", type: "", region: 7, level: "Surface", x: 1776, y: 2256, z: 0, zoom: [3,4], size: "L", weight: 1, details: "" },</v>
      </c>
    </row>
    <row r="228" spans="1:12" x14ac:dyDescent="0.2">
      <c r="A228" t="s">
        <v>1304</v>
      </c>
      <c r="C228" s="2">
        <v>7</v>
      </c>
      <c r="D228" s="2" t="s">
        <v>785</v>
      </c>
      <c r="E228" s="2">
        <v>1801</v>
      </c>
      <c r="F228" s="2">
        <v>1483</v>
      </c>
      <c r="G228" s="2">
        <v>0</v>
      </c>
      <c r="H228" s="2" t="s">
        <v>2556</v>
      </c>
      <c r="I228" s="2" t="s">
        <v>2519</v>
      </c>
      <c r="J228" s="2">
        <v>1</v>
      </c>
      <c r="L228" t="str">
        <f t="shared" si="3"/>
        <v>{ name: "Goronbi Lake", landmark: "Named Location", type: "", region: 7, level: "Surface", x: 1801, y: 1483, z: 0, zoom: [3,4], size: "S", weight: 1, details: "" },</v>
      </c>
    </row>
    <row r="229" spans="1:12" x14ac:dyDescent="0.2">
      <c r="A229" t="s">
        <v>1305</v>
      </c>
      <c r="C229" s="2">
        <v>7</v>
      </c>
      <c r="D229" s="2" t="s">
        <v>785</v>
      </c>
      <c r="E229" s="2">
        <v>1567</v>
      </c>
      <c r="F229" s="2">
        <v>1843</v>
      </c>
      <c r="G229" s="2">
        <v>0</v>
      </c>
      <c r="H229" s="2" t="s">
        <v>2556</v>
      </c>
      <c r="I229" s="2" t="s">
        <v>2519</v>
      </c>
      <c r="J229" s="2">
        <v>1</v>
      </c>
      <c r="L229" t="str">
        <f t="shared" si="3"/>
        <v>{ name: "Goronbi River", landmark: "Named Location", type: "", region: 7, level: "Surface", x: 1567, y: 1843, z: 0, zoom: [3,4], size: "S", weight: 1, details: "" },</v>
      </c>
    </row>
    <row r="230" spans="1:12" x14ac:dyDescent="0.2">
      <c r="A230" t="s">
        <v>1306</v>
      </c>
      <c r="C230" s="2">
        <v>7</v>
      </c>
      <c r="D230" s="2" t="s">
        <v>785</v>
      </c>
      <c r="E230" s="2">
        <v>1819</v>
      </c>
      <c r="F230" s="2">
        <v>1891</v>
      </c>
      <c r="G230" s="2">
        <v>0</v>
      </c>
      <c r="H230" s="2" t="s">
        <v>2556</v>
      </c>
      <c r="I230" s="2" t="s">
        <v>2545</v>
      </c>
      <c r="J230" s="2">
        <v>1</v>
      </c>
      <c r="L230" t="str">
        <f t="shared" si="3"/>
        <v>{ name: "Gortram Cliff", landmark: "Named Location", type: "", region: 7, level: "Surface", x: 1819, y: 1891, z: 0, zoom: [3,4], size: "M", weight: 1, details: "" },</v>
      </c>
    </row>
    <row r="231" spans="1:12" x14ac:dyDescent="0.2">
      <c r="A231" t="s">
        <v>1035</v>
      </c>
      <c r="C231" s="2">
        <v>7</v>
      </c>
      <c r="D231" s="2" t="s">
        <v>785</v>
      </c>
      <c r="E231" s="2">
        <v>2616</v>
      </c>
      <c r="F231" s="2">
        <v>3464</v>
      </c>
      <c r="G231" s="2">
        <v>338</v>
      </c>
      <c r="H231" s="2" t="s">
        <v>2556</v>
      </c>
      <c r="I231" s="2" t="s">
        <v>2546</v>
      </c>
      <c r="J231" s="2">
        <v>1</v>
      </c>
      <c r="L231" t="str">
        <f t="shared" si="3"/>
        <v>{ name: "Gut Check Rock", landmark: "Named Location", type: "", region: 7, level: "Surface", x: 2616, y: 3464, z: 338, zoom: [3,4], size: "L", weight: 1, details: "" },</v>
      </c>
    </row>
    <row r="232" spans="1:12" x14ac:dyDescent="0.2">
      <c r="A232" t="s">
        <v>1375</v>
      </c>
      <c r="C232" s="2">
        <v>7</v>
      </c>
      <c r="D232" s="2" t="s">
        <v>785</v>
      </c>
      <c r="E232" s="2">
        <v>1542</v>
      </c>
      <c r="F232" s="2">
        <v>3074</v>
      </c>
      <c r="G232" s="2">
        <v>0</v>
      </c>
      <c r="H232" s="2" t="s">
        <v>2556</v>
      </c>
      <c r="I232" s="2" t="s">
        <v>2545</v>
      </c>
      <c r="J232" s="2">
        <v>1</v>
      </c>
      <c r="L232" t="str">
        <f t="shared" si="3"/>
        <v>{ name: "Isle of Rabac", landmark: "Named Location", type: "", region: 7, level: "Surface", x: 1542, y: 3074, z: 0, zoom: [3,4], size: "M", weight: 1, details: "" },</v>
      </c>
    </row>
    <row r="233" spans="1:12" x14ac:dyDescent="0.2">
      <c r="A233" t="s">
        <v>1401</v>
      </c>
      <c r="C233" s="2">
        <v>7</v>
      </c>
      <c r="D233" s="2" t="s">
        <v>785</v>
      </c>
      <c r="E233" s="2">
        <v>2006</v>
      </c>
      <c r="F233" s="2">
        <v>3032</v>
      </c>
      <c r="G233" s="2">
        <v>0</v>
      </c>
      <c r="H233" s="2" t="s">
        <v>2556</v>
      </c>
      <c r="I233" s="2" t="s">
        <v>2519</v>
      </c>
      <c r="J233" s="2">
        <v>1</v>
      </c>
      <c r="L233" t="str">
        <f t="shared" si="3"/>
        <v>{ name: "Lake Darman", landmark: "Named Location", type: "", region: 7, level: "Surface", x: 2006, y: 3032, z: 0, zoom: [3,4], size: "S", weight: 1, details: "" },</v>
      </c>
    </row>
    <row r="234" spans="1:12" x14ac:dyDescent="0.2">
      <c r="A234" t="s">
        <v>1402</v>
      </c>
      <c r="C234" s="2">
        <v>7</v>
      </c>
      <c r="D234" s="2" t="s">
        <v>785</v>
      </c>
      <c r="E234" s="2">
        <v>2187</v>
      </c>
      <c r="F234" s="2">
        <v>1193</v>
      </c>
      <c r="G234" s="2">
        <v>0</v>
      </c>
      <c r="H234" s="2" t="s">
        <v>2556</v>
      </c>
      <c r="I234" s="2" t="s">
        <v>2519</v>
      </c>
      <c r="J234" s="2">
        <v>1</v>
      </c>
      <c r="L234" t="str">
        <f t="shared" si="3"/>
        <v>{ name: "Lake Ferona", landmark: "Named Location", type: "", region: 7, level: "Surface", x: 2187, y: 1193, z: 0, zoom: [3,4], size: "S", weight: 1, details: "" },</v>
      </c>
    </row>
    <row r="235" spans="1:12" x14ac:dyDescent="0.2">
      <c r="A235" t="s">
        <v>1405</v>
      </c>
      <c r="C235" s="2">
        <v>7</v>
      </c>
      <c r="D235" s="2" t="s">
        <v>785</v>
      </c>
      <c r="E235" s="2">
        <v>2524</v>
      </c>
      <c r="F235" s="2">
        <v>1519</v>
      </c>
      <c r="G235" s="2">
        <v>0</v>
      </c>
      <c r="H235" s="2" t="s">
        <v>2556</v>
      </c>
      <c r="I235" s="2" t="s">
        <v>2519</v>
      </c>
      <c r="J235" s="2">
        <v>1</v>
      </c>
      <c r="L235" t="str">
        <f t="shared" si="3"/>
        <v>{ name: "Lake Intenoch", landmark: "Named Location", type: "", region: 7, level: "Surface", x: 2524, y: 1519, z: 0, zoom: [3,4], size: "S", weight: 1, details: "" },</v>
      </c>
    </row>
    <row r="236" spans="1:12" x14ac:dyDescent="0.2">
      <c r="A236" t="s">
        <v>1462</v>
      </c>
      <c r="C236" s="2">
        <v>7</v>
      </c>
      <c r="D236" s="2" t="s">
        <v>785</v>
      </c>
      <c r="E236" s="2">
        <v>2391</v>
      </c>
      <c r="F236" s="2">
        <v>1316</v>
      </c>
      <c r="G236" s="2">
        <v>0</v>
      </c>
      <c r="H236" s="2" t="s">
        <v>2556</v>
      </c>
      <c r="I236" s="2" t="s">
        <v>2546</v>
      </c>
      <c r="J236" s="2">
        <v>1</v>
      </c>
      <c r="L236" t="str">
        <f t="shared" si="3"/>
        <v>{ name: "Maw of Death Mountain", landmark: "Named Location", type: "", region: 7, level: "Surface", x: 2391, y: 1316, z: 0, zoom: [3,4], size: "L", weight: 1, details: "" },</v>
      </c>
    </row>
    <row r="237" spans="1:12" x14ac:dyDescent="0.2">
      <c r="A237" t="s">
        <v>1467</v>
      </c>
      <c r="C237" s="2">
        <v>7</v>
      </c>
      <c r="D237" s="2" t="s">
        <v>785</v>
      </c>
      <c r="E237" s="2">
        <v>2213</v>
      </c>
      <c r="F237" s="2">
        <v>1774</v>
      </c>
      <c r="G237" s="2">
        <v>0</v>
      </c>
      <c r="H237" s="2" t="s">
        <v>2556</v>
      </c>
      <c r="I237" s="2" t="s">
        <v>2519</v>
      </c>
      <c r="J237" s="2">
        <v>1</v>
      </c>
      <c r="L237" t="str">
        <f t="shared" si="3"/>
        <v>{ name: "Medingo Pool", landmark: "Named Location", type: "", region: 7, level: "Surface", x: 2213, y: 1774, z: 0, zoom: [3,4], size: "S", weight: 1, details: "" },</v>
      </c>
    </row>
    <row r="238" spans="1:12" x14ac:dyDescent="0.2">
      <c r="A238" t="s">
        <v>1473</v>
      </c>
      <c r="C238" s="2">
        <v>7</v>
      </c>
      <c r="D238" s="2" t="s">
        <v>785</v>
      </c>
      <c r="E238" s="2">
        <v>855</v>
      </c>
      <c r="F238" s="2">
        <v>1427</v>
      </c>
      <c r="G238" s="2">
        <v>91</v>
      </c>
      <c r="H238" s="2" t="s">
        <v>2556</v>
      </c>
      <c r="I238" s="2" t="s">
        <v>2519</v>
      </c>
      <c r="J238" s="2">
        <v>1</v>
      </c>
      <c r="L238" t="str">
        <f t="shared" si="3"/>
        <v>{ name: "Military Training Camp", landmark: "Named Location", type: "", region: 7, level: "Surface", x: 855, y: 1427, z: 91, zoom: [3,4], size: "S", weight: 1, details: "" },</v>
      </c>
    </row>
    <row r="239" spans="1:12" x14ac:dyDescent="0.2">
      <c r="A239" t="s">
        <v>1477</v>
      </c>
      <c r="C239" s="2">
        <v>7</v>
      </c>
      <c r="D239" s="2" t="s">
        <v>785</v>
      </c>
      <c r="E239" s="2">
        <v>1016</v>
      </c>
      <c r="F239" s="2">
        <v>1771</v>
      </c>
      <c r="G239" s="2">
        <v>0</v>
      </c>
      <c r="H239" s="2" t="s">
        <v>2556</v>
      </c>
      <c r="I239" s="2" t="s">
        <v>2519</v>
      </c>
      <c r="J239" s="2">
        <v>1</v>
      </c>
      <c r="L239" t="str">
        <f t="shared" si="3"/>
        <v>{ name: "Minshi Woods", landmark: "Named Location", type: "", region: 7, level: "Surface", x: 1016, y: 1771, z: 0, zoom: [3,4], size: "S", weight: 1, details: "" },</v>
      </c>
    </row>
    <row r="240" spans="1:12" x14ac:dyDescent="0.2">
      <c r="A240" t="s">
        <v>1068</v>
      </c>
      <c r="C240" s="2">
        <v>7</v>
      </c>
      <c r="D240" s="2" t="s">
        <v>785</v>
      </c>
      <c r="E240" s="2">
        <v>1202</v>
      </c>
      <c r="F240" s="2">
        <v>1144</v>
      </c>
      <c r="G240" s="2">
        <v>0</v>
      </c>
      <c r="H240" s="2" t="s">
        <v>2556</v>
      </c>
      <c r="I240" s="2" t="s">
        <v>2519</v>
      </c>
      <c r="J240" s="2">
        <v>1</v>
      </c>
      <c r="L240" t="str">
        <f t="shared" si="3"/>
        <v>{ name: "Pico Pond", landmark: "Named Location", type: "", region: 7, level: "Surface", x: 1202, y: 1144, z: 0, zoom: [3,4], size: "S", weight: 1, details: "" },</v>
      </c>
    </row>
    <row r="241" spans="1:12" x14ac:dyDescent="0.2">
      <c r="A241" t="s">
        <v>1611</v>
      </c>
      <c r="C241" s="2">
        <v>7</v>
      </c>
      <c r="D241" s="2" t="s">
        <v>785</v>
      </c>
      <c r="E241" s="2">
        <v>3045</v>
      </c>
      <c r="F241" s="2">
        <v>2281</v>
      </c>
      <c r="G241" s="2">
        <v>339</v>
      </c>
      <c r="H241" s="2" t="s">
        <v>2556</v>
      </c>
      <c r="I241" s="2" t="s">
        <v>2519</v>
      </c>
      <c r="J241" s="2">
        <v>1</v>
      </c>
      <c r="L241" t="str">
        <f t="shared" si="3"/>
        <v>{ name: "Shadow Hamlet Ruins", landmark: "Named Location", type: "", region: 7, level: "Surface", x: 3045, y: 2281, z: 339, zoom: [3,4], size: "S", weight: 1, details: "" },</v>
      </c>
    </row>
    <row r="242" spans="1:12" x14ac:dyDescent="0.2">
      <c r="A242" t="s">
        <v>1642</v>
      </c>
      <c r="C242" s="2">
        <v>7</v>
      </c>
      <c r="D242" s="2" t="s">
        <v>785</v>
      </c>
      <c r="E242" s="2">
        <v>1627</v>
      </c>
      <c r="F242" s="2">
        <v>2478</v>
      </c>
      <c r="G242" s="2">
        <v>454</v>
      </c>
      <c r="H242" s="2" t="s">
        <v>2556</v>
      </c>
      <c r="I242" s="2" t="s">
        <v>2519</v>
      </c>
      <c r="J242" s="2">
        <v>2</v>
      </c>
      <c r="L242" t="str">
        <f t="shared" si="3"/>
        <v>{ name: "Stolock Bridge", landmark: "Named Location", type: "", region: 7, level: "Surface", x: 1627, y: 2478, z: 454, zoom: [3,4], size: "S", weight: 2, details: "" },</v>
      </c>
    </row>
    <row r="243" spans="1:12" x14ac:dyDescent="0.2">
      <c r="A243" t="s">
        <v>1679</v>
      </c>
      <c r="C243" s="2">
        <v>7</v>
      </c>
      <c r="D243" s="2" t="s">
        <v>785</v>
      </c>
      <c r="E243" s="2">
        <v>1392</v>
      </c>
      <c r="F243" s="2">
        <v>915</v>
      </c>
      <c r="G243" s="2">
        <v>0</v>
      </c>
      <c r="H243" s="2" t="s">
        <v>2556</v>
      </c>
      <c r="I243" s="2" t="s">
        <v>2545</v>
      </c>
      <c r="J243" s="2">
        <v>1</v>
      </c>
      <c r="L243" t="str">
        <f t="shared" si="3"/>
        <v>{ name: "Trilby Plain", landmark: "Named Location", type: "", region: 7, level: "Surface", x: 1392, y: 915, z: 0, zoom: [3,4], size: "M", weight: 1, details: "" },</v>
      </c>
    </row>
    <row r="244" spans="1:12" x14ac:dyDescent="0.2">
      <c r="A244" t="s">
        <v>1724</v>
      </c>
      <c r="C244" s="2">
        <v>7</v>
      </c>
      <c r="D244" s="2" t="s">
        <v>785</v>
      </c>
      <c r="E244" s="2">
        <v>1646</v>
      </c>
      <c r="F244" s="2">
        <v>511</v>
      </c>
      <c r="G244" s="2">
        <v>0</v>
      </c>
      <c r="H244" s="2" t="s">
        <v>2556</v>
      </c>
      <c r="I244" s="2" t="s">
        <v>2519</v>
      </c>
      <c r="J244" s="2">
        <v>1</v>
      </c>
      <c r="L244" t="str">
        <f t="shared" si="3"/>
        <v>{ name: "Zelo Pond", landmark: "Named Location", type: "", region: 7, level: "Surface", x: 1646, y: 511, z: 0, zoom: [3,4], size: "S", weight: 1, details: "" },</v>
      </c>
    </row>
    <row r="245" spans="1:12" x14ac:dyDescent="0.2">
      <c r="A245" s="25" t="s">
        <v>1100</v>
      </c>
      <c r="C245" s="2">
        <v>8</v>
      </c>
      <c r="D245" s="2" t="s">
        <v>994</v>
      </c>
      <c r="E245" s="2">
        <v>3969</v>
      </c>
      <c r="F245" s="2">
        <v>1611</v>
      </c>
      <c r="G245" s="2">
        <v>-306</v>
      </c>
      <c r="H245" s="2" t="s">
        <v>2559</v>
      </c>
      <c r="I245" s="2" t="s">
        <v>2545</v>
      </c>
      <c r="J245" s="2">
        <v>4</v>
      </c>
      <c r="L245" t="str">
        <f t="shared" si="3"/>
        <v>{ name: "Abandoned Tarrey Mine", landmark: "Named Location", type: "", region: 8, level: "Depths", x: 3969, y: 1611, z: -306, zoom: [1,2,3,4], size: "M", weight: 4, details: "" },</v>
      </c>
    </row>
    <row r="246" spans="1:12" x14ac:dyDescent="0.2">
      <c r="A246" t="s">
        <v>1107</v>
      </c>
      <c r="C246" s="2">
        <v>8</v>
      </c>
      <c r="D246" s="2" t="s">
        <v>994</v>
      </c>
      <c r="E246" s="2">
        <v>3254</v>
      </c>
      <c r="F246" s="2">
        <v>3493</v>
      </c>
      <c r="G246" s="2">
        <v>-320</v>
      </c>
      <c r="H246" s="2" t="s">
        <v>2556</v>
      </c>
      <c r="I246" s="2" t="s">
        <v>2545</v>
      </c>
      <c r="J246" s="2">
        <v>2</v>
      </c>
      <c r="L246" t="str">
        <f t="shared" si="3"/>
        <v>{ name: "Akkala House of Bones", landmark: "Named Location", type: "", region: 8, level: "Depths", x: 3254, y: 3493, z: -320, zoom: [3,4], size: "M", weight: 2, details: "" },</v>
      </c>
    </row>
    <row r="247" spans="1:12" x14ac:dyDescent="0.2">
      <c r="A247" t="s">
        <v>1117</v>
      </c>
      <c r="C247" s="2">
        <v>8</v>
      </c>
      <c r="D247" s="2" t="s">
        <v>994</v>
      </c>
      <c r="E247" s="2">
        <v>3338</v>
      </c>
      <c r="F247" s="2">
        <v>1517</v>
      </c>
      <c r="G247" s="2">
        <v>-851</v>
      </c>
      <c r="H247" s="2" t="s">
        <v>2556</v>
      </c>
      <c r="I247" s="2" t="s">
        <v>2519</v>
      </c>
      <c r="J247" s="2">
        <v>2</v>
      </c>
      <c r="L247" t="str">
        <f t="shared" si="3"/>
        <v>{ name: "Ancient Underground Fortress", landmark: "Named Location", type: "", region: 8, level: "Depths", x: 3338, y: 1517, z: -851, zoom: [3,4], size: "S", weight: 2, details: "" },</v>
      </c>
    </row>
    <row r="248" spans="1:12" x14ac:dyDescent="0.2">
      <c r="A248" t="s">
        <v>1437</v>
      </c>
      <c r="C248" s="2">
        <v>8</v>
      </c>
      <c r="D248" s="2" t="s">
        <v>994</v>
      </c>
      <c r="E248" s="2">
        <v>4655</v>
      </c>
      <c r="F248" s="2">
        <v>3551</v>
      </c>
      <c r="G248" s="2">
        <v>-403</v>
      </c>
      <c r="H248" s="2" t="s">
        <v>2556</v>
      </c>
      <c r="I248" s="2" t="s">
        <v>2519</v>
      </c>
      <c r="J248" s="2">
        <v>1</v>
      </c>
      <c r="L248" t="str">
        <f t="shared" si="3"/>
        <v>{ name: "Lomei Depths Labyrinth", landmark: "Named Location", type: "", region: 8, level: "Depths", x: 4655, y: 3551, z: -403, zoom: [3,4], size: "S", weight: 1, details: "" },</v>
      </c>
    </row>
    <row r="249" spans="1:12" x14ac:dyDescent="0.2">
      <c r="A249" t="s">
        <v>1575</v>
      </c>
      <c r="C249" s="2">
        <v>8</v>
      </c>
      <c r="D249" s="2" t="s">
        <v>994</v>
      </c>
      <c r="E249" s="2">
        <v>4597</v>
      </c>
      <c r="F249" s="2">
        <v>2139</v>
      </c>
      <c r="G249" s="2">
        <v>-454</v>
      </c>
      <c r="H249" s="2" t="s">
        <v>2556</v>
      </c>
      <c r="I249" s="2" t="s">
        <v>2519</v>
      </c>
      <c r="J249" s="2">
        <v>2</v>
      </c>
      <c r="L249" t="str">
        <f t="shared" si="3"/>
        <v>{ name: "Rist Mine", landmark: "Named Location", type: "", region: 8, level: "Depths", x: 4597, y: 2139, z: -454, zoom: [3,4], size: "S", weight: 2, details: "" },</v>
      </c>
    </row>
    <row r="250" spans="1:12" x14ac:dyDescent="0.2">
      <c r="A250" t="s">
        <v>1582</v>
      </c>
      <c r="C250" s="2">
        <v>8</v>
      </c>
      <c r="D250" s="2" t="s">
        <v>994</v>
      </c>
      <c r="E250" s="2">
        <v>3359</v>
      </c>
      <c r="F250" s="2">
        <v>3079</v>
      </c>
      <c r="G250" s="2">
        <v>-605</v>
      </c>
      <c r="H250" s="2" t="s">
        <v>2556</v>
      </c>
      <c r="I250" s="2" t="s">
        <v>2519</v>
      </c>
      <c r="J250" s="2">
        <v>1</v>
      </c>
      <c r="L250" t="str">
        <f t="shared" si="3"/>
        <v>{ name: "Rok Grove", landmark: "Named Location", type: "", region: 8, level: "Depths", x: 3359, y: 3079, z: -605, zoom: [3,4], size: "S", weight: 1, details: "" },</v>
      </c>
    </row>
    <row r="251" spans="1:12" x14ac:dyDescent="0.2">
      <c r="A251" t="s">
        <v>1687</v>
      </c>
      <c r="C251" s="2">
        <v>8</v>
      </c>
      <c r="D251" s="2" t="s">
        <v>994</v>
      </c>
      <c r="E251" s="2">
        <v>3683</v>
      </c>
      <c r="F251" s="2">
        <v>2044</v>
      </c>
      <c r="G251" s="2">
        <v>-660</v>
      </c>
      <c r="H251" s="2" t="s">
        <v>2556</v>
      </c>
      <c r="I251" s="2" t="s">
        <v>2519</v>
      </c>
      <c r="J251" s="2">
        <v>1</v>
      </c>
      <c r="L251" t="str">
        <f t="shared" si="3"/>
        <v>{ name: "Ulri Canyon Mine", landmark: "Named Location", type: "", region: 8, level: "Depths", x: 3683, y: 2044, z: -660, zoom: [3,4], size: "S", weight: 1, details: "" },</v>
      </c>
    </row>
    <row r="252" spans="1:12" x14ac:dyDescent="0.2">
      <c r="A252" t="s">
        <v>1699</v>
      </c>
      <c r="C252" s="2">
        <v>8</v>
      </c>
      <c r="D252" s="2" t="s">
        <v>994</v>
      </c>
      <c r="E252" s="2">
        <v>3733</v>
      </c>
      <c r="F252" s="2">
        <v>2563</v>
      </c>
      <c r="G252" s="2">
        <v>-352</v>
      </c>
      <c r="H252" s="2" t="s">
        <v>2556</v>
      </c>
      <c r="I252" s="2" t="s">
        <v>2519</v>
      </c>
      <c r="J252" s="2">
        <v>1</v>
      </c>
      <c r="L252" t="str">
        <f t="shared" si="3"/>
        <v>{ name: "Wellspring of Power", landmark: "Named Location", type: "", region: 8, level: "Depths", x: 3733, y: 2563, z: -352, zoom: [3,4], size: "S", weight: 1, details: "" },</v>
      </c>
    </row>
    <row r="253" spans="1:12" x14ac:dyDescent="0.2">
      <c r="A253" s="25" t="s">
        <v>1109</v>
      </c>
      <c r="B253" t="s">
        <v>2543</v>
      </c>
      <c r="C253" s="2">
        <v>8</v>
      </c>
      <c r="D253" s="2" t="s">
        <v>783</v>
      </c>
      <c r="E253" s="2">
        <v>3950</v>
      </c>
      <c r="F253" s="2">
        <v>2576</v>
      </c>
      <c r="G253" s="2">
        <v>2000</v>
      </c>
      <c r="H253" s="2">
        <v>1</v>
      </c>
      <c r="I253" s="2" t="s">
        <v>2546</v>
      </c>
      <c r="J253" s="2">
        <v>1</v>
      </c>
      <c r="L253" t="str">
        <f t="shared" si="3"/>
        <v>{ name: "Akkala Sky", landmark: "Named Location", type: "Province", region: 8, level: "Sky", x: 3950, y: 2576, z: 2000, zoom: 1, size: "L", weight: 1, details: "" },</v>
      </c>
    </row>
    <row r="254" spans="1:12" x14ac:dyDescent="0.2">
      <c r="A254" s="25" t="s">
        <v>1511</v>
      </c>
      <c r="B254" t="s">
        <v>2542</v>
      </c>
      <c r="C254" s="2">
        <v>8</v>
      </c>
      <c r="D254" s="2" t="s">
        <v>783</v>
      </c>
      <c r="E254" s="2">
        <v>3690</v>
      </c>
      <c r="F254" s="2">
        <v>2989</v>
      </c>
      <c r="G254" s="2">
        <v>2000</v>
      </c>
      <c r="H254" s="2" t="s">
        <v>2832</v>
      </c>
      <c r="I254" s="2" t="s">
        <v>2546</v>
      </c>
      <c r="J254" s="2">
        <v>1</v>
      </c>
      <c r="L254" t="str">
        <f t="shared" si="3"/>
        <v>{ name: "North Akkala Sky Archipelago", landmark: "Named Location", type: "Subregion", region: 8, level: "Sky", x: 3690, y: 2989, z: 2000, zoom: [2,3,4], size: "L", weight: 1, details: "" },</v>
      </c>
    </row>
    <row r="255" spans="1:12" x14ac:dyDescent="0.2">
      <c r="A255" s="25" t="s">
        <v>1006</v>
      </c>
      <c r="B255" t="s">
        <v>2542</v>
      </c>
      <c r="C255" s="2">
        <v>8</v>
      </c>
      <c r="D255" s="2" t="s">
        <v>783</v>
      </c>
      <c r="E255" s="2">
        <v>3739</v>
      </c>
      <c r="F255" s="2">
        <v>1689</v>
      </c>
      <c r="G255" s="2">
        <v>2000</v>
      </c>
      <c r="H255" s="2" t="s">
        <v>2832</v>
      </c>
      <c r="I255" s="2" t="s">
        <v>2546</v>
      </c>
      <c r="J255" s="2">
        <v>1</v>
      </c>
      <c r="L255" t="str">
        <f t="shared" si="3"/>
        <v>{ name: "Sokkala Sky Archipelago", landmark: "Named Location", type: "Subregion", region: 8, level: "Sky", x: 3739, y: 1689, z: 2000, zoom: [2,3,4], size: "L", weight: 1, details: "" },</v>
      </c>
    </row>
    <row r="256" spans="1:12" x14ac:dyDescent="0.2">
      <c r="A256" s="25" t="s">
        <v>1439</v>
      </c>
      <c r="C256" s="2">
        <v>8</v>
      </c>
      <c r="D256" s="2" t="s">
        <v>783</v>
      </c>
      <c r="E256" s="2">
        <v>4657</v>
      </c>
      <c r="F256" s="2">
        <v>3786</v>
      </c>
      <c r="G256" s="2">
        <v>1010</v>
      </c>
      <c r="H256" s="2" t="s">
        <v>2556</v>
      </c>
      <c r="I256" s="2" t="s">
        <v>2546</v>
      </c>
      <c r="J256" s="2">
        <v>1</v>
      </c>
      <c r="L256" t="str">
        <f t="shared" si="3"/>
        <v>{ name: "Lomei Sky Labyrinth", landmark: "Named Location", type: "", region: 8, level: "Sky", x: 4657, y: 3786, z: 1010, zoom: [3,4], size: "L", weight: 1, details: "" },</v>
      </c>
    </row>
    <row r="257" spans="1:12" x14ac:dyDescent="0.2">
      <c r="A257" s="25" t="s">
        <v>1005</v>
      </c>
      <c r="C257" s="2">
        <v>8</v>
      </c>
      <c r="D257" s="2" t="s">
        <v>783</v>
      </c>
      <c r="E257" s="2">
        <v>4603</v>
      </c>
      <c r="F257" s="2">
        <v>2129</v>
      </c>
      <c r="G257" s="2">
        <v>1302</v>
      </c>
      <c r="H257" s="2" t="s">
        <v>2556</v>
      </c>
      <c r="I257" s="2" t="s">
        <v>2545</v>
      </c>
      <c r="J257" s="2">
        <v>1</v>
      </c>
      <c r="L257" t="str">
        <f t="shared" si="3"/>
        <v>{ name: "Sky Mine", landmark: "Named Location", type: "", region: 8, level: "Sky", x: 4603, y: 2129, z: 1302, zoom: [3,4], size: "M", weight: 1, details: "" },</v>
      </c>
    </row>
    <row r="258" spans="1:12" x14ac:dyDescent="0.2">
      <c r="A258" t="s">
        <v>1103</v>
      </c>
      <c r="B258" t="s">
        <v>2543</v>
      </c>
      <c r="C258" s="2">
        <v>8</v>
      </c>
      <c r="D258" s="2" t="s">
        <v>785</v>
      </c>
      <c r="E258" s="2">
        <v>3557</v>
      </c>
      <c r="F258" s="2">
        <v>3039</v>
      </c>
      <c r="G258" s="2">
        <v>0</v>
      </c>
      <c r="H258" s="2">
        <v>1</v>
      </c>
      <c r="I258" s="2" t="s">
        <v>2546</v>
      </c>
      <c r="J258" s="2">
        <v>1</v>
      </c>
      <c r="L258" t="str">
        <f t="shared" ref="L258:L321" si="4">"{ name: "&amp;CHAR(34)&amp;A258&amp;CHAR(34)&amp;", landmark: "&amp;CHAR(34)&amp;"Named Location"&amp;CHAR(34)&amp;", type: "&amp;CHAR(34)&amp;B258&amp;CHAR(34)&amp;", region: "&amp;C258&amp;", level: "&amp;CHAR(34)&amp;D258&amp;CHAR(34)&amp;", x: "&amp;INT(E258)&amp;", y: "&amp;INT(F258)&amp;", z: "&amp;INT(G258)&amp;", zoom: "&amp;IF(LEN(H258)&gt;1,"["&amp;H258&amp;"]",H258)&amp;", size: "&amp;CHAR(34)&amp;I258&amp;CHAR(34)&amp;", weight: "&amp;J258&amp;", details: "&amp;CHAR(34)&amp;K258&amp;CHAR(34)&amp;" },"</f>
        <v>{ name: "Akkala", landmark: "Named Location", type: "Province", region: 8, level: "Surface", x: 3557, y: 3039, z: 0, zoom: 1, size: "L", weight: 1, details: "" },</v>
      </c>
    </row>
    <row r="259" spans="1:12" x14ac:dyDescent="0.2">
      <c r="A259" t="s">
        <v>782</v>
      </c>
      <c r="B259" t="s">
        <v>8</v>
      </c>
      <c r="C259" s="2">
        <v>8</v>
      </c>
      <c r="D259" s="2" t="s">
        <v>785</v>
      </c>
      <c r="E259" s="2">
        <v>3477</v>
      </c>
      <c r="F259" s="2">
        <v>2206</v>
      </c>
      <c r="G259" s="2">
        <v>0</v>
      </c>
      <c r="H259" s="2">
        <v>2</v>
      </c>
      <c r="I259" s="2" t="s">
        <v>2546</v>
      </c>
      <c r="J259" s="2">
        <v>1</v>
      </c>
      <c r="L259" t="str">
        <f t="shared" si="4"/>
        <v>{ name: "Akkala Highlands", landmark: "Named Location", type: "Region", region: 8, level: "Surface", x: 3477, y: 2206, z: 0, zoom: 2, size: "L", weight: 1, details: "" },</v>
      </c>
    </row>
    <row r="260" spans="1:12" x14ac:dyDescent="0.2">
      <c r="A260" t="s">
        <v>784</v>
      </c>
      <c r="B260" t="s">
        <v>8</v>
      </c>
      <c r="C260" s="2">
        <v>8</v>
      </c>
      <c r="D260" s="2" t="s">
        <v>785</v>
      </c>
      <c r="E260" s="2">
        <v>4812</v>
      </c>
      <c r="F260" s="2">
        <v>3429</v>
      </c>
      <c r="G260" s="2">
        <v>0</v>
      </c>
      <c r="H260" s="2">
        <v>2</v>
      </c>
      <c r="I260" s="2" t="s">
        <v>2519</v>
      </c>
      <c r="J260" s="2">
        <v>1</v>
      </c>
      <c r="L260" t="str">
        <f t="shared" si="4"/>
        <v>{ name: "Akkala Sea", landmark: "Named Location", type: "Region", region: 8, level: "Surface", x: 4812, y: 3429, z: 0, zoom: 2, size: "S", weight: 1, details: "" },</v>
      </c>
    </row>
    <row r="261" spans="1:12" x14ac:dyDescent="0.2">
      <c r="A261" t="s">
        <v>786</v>
      </c>
      <c r="B261" t="s">
        <v>8</v>
      </c>
      <c r="C261" s="2">
        <v>8</v>
      </c>
      <c r="D261" s="2" t="s">
        <v>785</v>
      </c>
      <c r="E261" s="2">
        <v>3602</v>
      </c>
      <c r="F261" s="2">
        <v>3186</v>
      </c>
      <c r="G261" s="2">
        <v>0</v>
      </c>
      <c r="H261" s="2">
        <v>2</v>
      </c>
      <c r="I261" s="2" t="s">
        <v>2545</v>
      </c>
      <c r="J261" s="2">
        <v>1</v>
      </c>
      <c r="L261" t="str">
        <f t="shared" si="4"/>
        <v>{ name: "Deep Akkala", landmark: "Named Location", type: "Region", region: 8, level: "Surface", x: 3602, y: 3186, z: 0, zoom: 2, size: "M", weight: 1, details: "" },</v>
      </c>
    </row>
    <row r="262" spans="1:12" x14ac:dyDescent="0.2">
      <c r="A262" t="s">
        <v>1019</v>
      </c>
      <c r="C262" s="2">
        <v>8</v>
      </c>
      <c r="D262" s="2" t="s">
        <v>785</v>
      </c>
      <c r="E262" s="2">
        <v>4522</v>
      </c>
      <c r="F262" s="2">
        <v>3167</v>
      </c>
      <c r="G262" s="2">
        <v>199</v>
      </c>
      <c r="H262" s="2" t="s">
        <v>2556</v>
      </c>
      <c r="I262" s="2" t="s">
        <v>2519</v>
      </c>
      <c r="J262" s="2">
        <v>1</v>
      </c>
      <c r="L262" t="str">
        <f t="shared" si="4"/>
        <v>{ name: "Akkala Ancient Tech Lab", landmark: "Named Location", type: "", region: 8, level: "Surface", x: 4522, y: 3167, z: 199, zoom: [3,4], size: "S", weight: 1, details: "" },</v>
      </c>
    </row>
    <row r="263" spans="1:12" x14ac:dyDescent="0.2">
      <c r="A263" t="s">
        <v>1105</v>
      </c>
      <c r="C263" s="2">
        <v>8</v>
      </c>
      <c r="D263" s="2" t="s">
        <v>785</v>
      </c>
      <c r="E263" s="2">
        <v>3324</v>
      </c>
      <c r="F263" s="2">
        <v>1535</v>
      </c>
      <c r="G263" s="2">
        <v>508</v>
      </c>
      <c r="H263" s="2" t="s">
        <v>2556</v>
      </c>
      <c r="I263" s="2" t="s">
        <v>2519</v>
      </c>
      <c r="J263" s="2">
        <v>2</v>
      </c>
      <c r="L263" t="str">
        <f t="shared" si="4"/>
        <v>{ name: "Akkala Citadel Ruins", landmark: "Named Location", type: "", region: 8, level: "Surface", x: 3324, y: 1535, z: 508, zoom: [3,4], size: "S", weight: 2, details: "" },</v>
      </c>
    </row>
    <row r="264" spans="1:12" x14ac:dyDescent="0.2">
      <c r="A264" t="s">
        <v>1111</v>
      </c>
      <c r="C264" s="2">
        <v>8</v>
      </c>
      <c r="D264" s="2" t="s">
        <v>785</v>
      </c>
      <c r="E264" s="2">
        <v>3744</v>
      </c>
      <c r="F264" s="2">
        <v>3349</v>
      </c>
      <c r="G264" s="2">
        <v>0</v>
      </c>
      <c r="H264" s="2" t="s">
        <v>2556</v>
      </c>
      <c r="I264" s="2" t="s">
        <v>2545</v>
      </c>
      <c r="J264" s="2">
        <v>1</v>
      </c>
      <c r="L264" t="str">
        <f t="shared" si="4"/>
        <v>{ name: "Akkala Wilds", landmark: "Named Location", type: "", region: 8, level: "Surface", x: 3744, y: 3349, z: 0, zoom: [3,4], size: "M", weight: 1, details: "" },</v>
      </c>
    </row>
    <row r="265" spans="1:12" x14ac:dyDescent="0.2">
      <c r="A265" t="s">
        <v>1137</v>
      </c>
      <c r="C265" s="2">
        <v>8</v>
      </c>
      <c r="D265" s="2" t="s">
        <v>785</v>
      </c>
      <c r="E265" s="2">
        <v>4268</v>
      </c>
      <c r="F265" s="2">
        <v>3017</v>
      </c>
      <c r="G265" s="2">
        <v>0</v>
      </c>
      <c r="H265" s="2" t="s">
        <v>2556</v>
      </c>
      <c r="I265" s="2" t="s">
        <v>2519</v>
      </c>
      <c r="J265" s="2">
        <v>1</v>
      </c>
      <c r="L265" t="str">
        <f t="shared" si="4"/>
        <v>{ name: "Bloodleaf Lake", landmark: "Named Location", type: "", region: 8, level: "Surface", x: 4268, y: 3017, z: 0, zoom: [3,4], size: "S", weight: 1, details: "" },</v>
      </c>
    </row>
    <row r="266" spans="1:12" x14ac:dyDescent="0.2">
      <c r="A266" t="s">
        <v>1225</v>
      </c>
      <c r="C266" s="2">
        <v>8</v>
      </c>
      <c r="D266" s="2" t="s">
        <v>785</v>
      </c>
      <c r="E266" s="2">
        <v>4354</v>
      </c>
      <c r="F266" s="2">
        <v>2400</v>
      </c>
      <c r="G266" s="2">
        <v>0</v>
      </c>
      <c r="H266" s="2" t="s">
        <v>2556</v>
      </c>
      <c r="I266" s="2" t="s">
        <v>2519</v>
      </c>
      <c r="J266" s="2">
        <v>1</v>
      </c>
      <c r="L266" t="str">
        <f t="shared" si="4"/>
        <v>{ name: "East Akkala Beach", landmark: "Named Location", type: "", region: 8, level: "Surface", x: 4354, y: 2400, z: 0, zoom: [3,4], size: "S", weight: 1, details: "" },</v>
      </c>
    </row>
    <row r="267" spans="1:12" x14ac:dyDescent="0.2">
      <c r="A267" t="s">
        <v>834</v>
      </c>
      <c r="C267" s="2">
        <v>8</v>
      </c>
      <c r="D267" s="2" t="s">
        <v>785</v>
      </c>
      <c r="E267" s="2">
        <v>4096</v>
      </c>
      <c r="F267" s="2">
        <v>2149</v>
      </c>
      <c r="G267" s="2">
        <v>0</v>
      </c>
      <c r="H267" s="2" t="s">
        <v>2556</v>
      </c>
      <c r="I267" s="2" t="s">
        <v>2545</v>
      </c>
      <c r="J267" s="2">
        <v>1</v>
      </c>
      <c r="L267" t="str">
        <f t="shared" si="4"/>
        <v>{ name: "East Akkala Plains", landmark: "Named Location", type: "", region: 8, level: "Surface", x: 4096, y: 2149, z: 0, zoom: [3,4], size: "M", weight: 1, details: "" },</v>
      </c>
    </row>
    <row r="268" spans="1:12" x14ac:dyDescent="0.2">
      <c r="A268" t="s">
        <v>1384</v>
      </c>
      <c r="C268" s="2">
        <v>8</v>
      </c>
      <c r="D268" s="2" t="s">
        <v>785</v>
      </c>
      <c r="E268" s="2">
        <v>3309</v>
      </c>
      <c r="F268" s="2">
        <v>1907</v>
      </c>
      <c r="G268" s="2">
        <v>0</v>
      </c>
      <c r="H268" s="2" t="s">
        <v>2556</v>
      </c>
      <c r="I268" s="2" t="s">
        <v>2546</v>
      </c>
      <c r="J268" s="2">
        <v>1</v>
      </c>
      <c r="L268" t="str">
        <f t="shared" si="4"/>
        <v>{ name: "Kanalet Ridge", landmark: "Named Location", type: "", region: 8, level: "Surface", x: 3309, y: 1907, z: 0, zoom: [3,4], size: "L", weight: 1, details: "" },</v>
      </c>
    </row>
    <row r="269" spans="1:12" x14ac:dyDescent="0.2">
      <c r="A269" t="s">
        <v>1043</v>
      </c>
      <c r="C269" s="2">
        <v>8</v>
      </c>
      <c r="D269" s="2" t="s">
        <v>785</v>
      </c>
      <c r="E269" s="2">
        <v>3924</v>
      </c>
      <c r="F269" s="2">
        <v>1497</v>
      </c>
      <c r="G269" s="2">
        <v>0</v>
      </c>
      <c r="H269" s="2" t="s">
        <v>2556</v>
      </c>
      <c r="I269" s="2" t="s">
        <v>2519</v>
      </c>
      <c r="J269" s="2">
        <v>1</v>
      </c>
      <c r="L269" t="str">
        <f t="shared" si="4"/>
        <v>{ name: "Lake Akkala", landmark: "Named Location", type: "", region: 8, level: "Surface", x: 3924, y: 1497, z: 0, zoom: [3,4], size: "S", weight: 1, details: "" },</v>
      </c>
    </row>
    <row r="270" spans="1:12" x14ac:dyDescent="0.2">
      <c r="A270" t="s">
        <v>1438</v>
      </c>
      <c r="C270" s="2">
        <v>8</v>
      </c>
      <c r="D270" s="2" t="s">
        <v>785</v>
      </c>
      <c r="E270" s="2">
        <v>4655</v>
      </c>
      <c r="F270" s="2">
        <v>3527</v>
      </c>
      <c r="G270" s="2">
        <v>51</v>
      </c>
      <c r="H270" s="2" t="s">
        <v>2556</v>
      </c>
      <c r="I270" s="2" t="s">
        <v>2519</v>
      </c>
      <c r="J270" s="2">
        <v>1</v>
      </c>
      <c r="L270" t="str">
        <f t="shared" si="4"/>
        <v>{ name: "Lomei Labyrinth Island", landmark: "Named Location", type: "", region: 8, level: "Surface", x: 4655, y: 3527, z: 51, zoom: [3,4], size: "S", weight: 1, details: "" },</v>
      </c>
    </row>
    <row r="271" spans="1:12" x14ac:dyDescent="0.2">
      <c r="A271" t="s">
        <v>1457</v>
      </c>
      <c r="C271" s="2">
        <v>8</v>
      </c>
      <c r="D271" s="2" t="s">
        <v>785</v>
      </c>
      <c r="E271" s="2">
        <v>4406</v>
      </c>
      <c r="F271" s="2">
        <v>1901</v>
      </c>
      <c r="G271" s="2">
        <v>0</v>
      </c>
      <c r="H271" s="2" t="s">
        <v>2556</v>
      </c>
      <c r="I271" s="2" t="s">
        <v>2519</v>
      </c>
      <c r="J271" s="2">
        <v>1</v>
      </c>
      <c r="L271" t="str">
        <f t="shared" si="4"/>
        <v>{ name: "Malin Bay", landmark: "Named Location", type: "", region: 8, level: "Surface", x: 4406, y: 1901, z: 0, zoom: [3,4], size: "S", weight: 1, details: "" },</v>
      </c>
    </row>
    <row r="272" spans="1:12" x14ac:dyDescent="0.2">
      <c r="A272" t="s">
        <v>1509</v>
      </c>
      <c r="C272" s="2">
        <v>8</v>
      </c>
      <c r="D272" s="2" t="s">
        <v>785</v>
      </c>
      <c r="E272" s="2">
        <v>4717</v>
      </c>
      <c r="F272" s="2">
        <v>2924</v>
      </c>
      <c r="G272" s="2">
        <v>0</v>
      </c>
      <c r="H272" s="2" t="s">
        <v>2556</v>
      </c>
      <c r="I272" s="2" t="s">
        <v>2519</v>
      </c>
      <c r="J272" s="2">
        <v>1</v>
      </c>
      <c r="L272" t="str">
        <f t="shared" si="4"/>
        <v>{ name: "North Akkala Beach", landmark: "Named Location", type: "", region: 8, level: "Surface", x: 4717, y: 2924, z: 0, zoom: [3,4], size: "S", weight: 1, details: "" },</v>
      </c>
    </row>
    <row r="273" spans="1:12" x14ac:dyDescent="0.2">
      <c r="A273" t="s">
        <v>1510</v>
      </c>
      <c r="C273" s="2">
        <v>8</v>
      </c>
      <c r="D273" s="2" t="s">
        <v>785</v>
      </c>
      <c r="E273" s="2">
        <v>4177</v>
      </c>
      <c r="F273" s="2">
        <v>2915</v>
      </c>
      <c r="G273" s="2">
        <v>0</v>
      </c>
      <c r="H273" s="2" t="s">
        <v>2556</v>
      </c>
      <c r="I273" s="2" t="s">
        <v>2546</v>
      </c>
      <c r="J273" s="2">
        <v>1</v>
      </c>
      <c r="L273" t="str">
        <f t="shared" si="4"/>
        <v>{ name: "North Akkala Foothill", landmark: "Named Location", type: "", region: 8, level: "Surface", x: 4177, y: 2915, z: 0, zoom: [3,4], size: "L", weight: 1, details: "" },</v>
      </c>
    </row>
    <row r="274" spans="1:12" x14ac:dyDescent="0.2">
      <c r="A274" t="s">
        <v>1512</v>
      </c>
      <c r="C274" s="2">
        <v>8</v>
      </c>
      <c r="D274" s="2" t="s">
        <v>785</v>
      </c>
      <c r="E274" s="2">
        <v>3803</v>
      </c>
      <c r="F274" s="2">
        <v>2823</v>
      </c>
      <c r="G274" s="2">
        <v>0</v>
      </c>
      <c r="H274" s="2" t="s">
        <v>2556</v>
      </c>
      <c r="I274" s="2" t="s">
        <v>2545</v>
      </c>
      <c r="J274" s="2">
        <v>1</v>
      </c>
      <c r="L274" t="str">
        <f t="shared" si="4"/>
        <v>{ name: "North Akkala Valley", landmark: "Named Location", type: "", region: 8, level: "Surface", x: 3803, y: 2823, z: 0, zoom: [3,4], size: "M", weight: 1, details: "" },</v>
      </c>
    </row>
    <row r="275" spans="1:12" x14ac:dyDescent="0.2">
      <c r="A275" t="s">
        <v>1063</v>
      </c>
      <c r="C275" s="2">
        <v>8</v>
      </c>
      <c r="D275" s="2" t="s">
        <v>785</v>
      </c>
      <c r="E275" s="2">
        <v>4069</v>
      </c>
      <c r="F275" s="2">
        <v>2460</v>
      </c>
      <c r="G275" s="2">
        <v>32</v>
      </c>
      <c r="H275" s="2" t="s">
        <v>2556</v>
      </c>
      <c r="I275" s="2" t="s">
        <v>2546</v>
      </c>
      <c r="J275" s="2">
        <v>1</v>
      </c>
      <c r="L275" t="str">
        <f t="shared" si="4"/>
        <v>{ name: "Octorok Lake", landmark: "Named Location", type: "", region: 8, level: "Surface", x: 4069, y: 2460, z: 32, zoom: [3,4], size: "L", weight: 1, details: "" },</v>
      </c>
    </row>
    <row r="276" spans="1:12" x14ac:dyDescent="0.2">
      <c r="A276" t="s">
        <v>1523</v>
      </c>
      <c r="C276" s="2">
        <v>8</v>
      </c>
      <c r="D276" s="2" t="s">
        <v>785</v>
      </c>
      <c r="E276" s="2">
        <v>3654</v>
      </c>
      <c r="F276" s="2">
        <v>2525</v>
      </c>
      <c r="G276" s="2">
        <v>0</v>
      </c>
      <c r="H276" s="2" t="s">
        <v>2556</v>
      </c>
      <c r="I276" s="2" t="s">
        <v>2545</v>
      </c>
      <c r="J276" s="2">
        <v>1</v>
      </c>
      <c r="L276" t="str">
        <f t="shared" si="4"/>
        <v>{ name: "Ordorac Quarry", landmark: "Named Location", type: "", region: 8, level: "Surface", x: 3654, y: 2525, z: 0, zoom: [3,4], size: "M", weight: 1, details: "" },</v>
      </c>
    </row>
    <row r="277" spans="1:12" x14ac:dyDescent="0.2">
      <c r="A277" t="s">
        <v>1576</v>
      </c>
      <c r="C277" s="2">
        <v>8</v>
      </c>
      <c r="D277" s="2" t="s">
        <v>785</v>
      </c>
      <c r="E277" s="2">
        <v>4616</v>
      </c>
      <c r="F277" s="2">
        <v>2243</v>
      </c>
      <c r="G277" s="2">
        <v>0</v>
      </c>
      <c r="H277" s="2" t="s">
        <v>2556</v>
      </c>
      <c r="I277" s="2" t="s">
        <v>2545</v>
      </c>
      <c r="J277" s="2">
        <v>1</v>
      </c>
      <c r="L277" t="str">
        <f t="shared" si="4"/>
        <v>{ name: "Rist Peninsula", landmark: "Named Location", type: "", region: 8, level: "Surface", x: 4616, y: 2243, z: 0, zoom: [3,4], size: "M", weight: 1, details: "" },</v>
      </c>
    </row>
    <row r="278" spans="1:12" x14ac:dyDescent="0.2">
      <c r="A278" t="s">
        <v>1583</v>
      </c>
      <c r="C278" s="2">
        <v>8</v>
      </c>
      <c r="D278" s="2" t="s">
        <v>785</v>
      </c>
      <c r="E278" s="2">
        <v>3352</v>
      </c>
      <c r="F278" s="2">
        <v>3089</v>
      </c>
      <c r="G278" s="2">
        <v>0</v>
      </c>
      <c r="H278" s="2" t="s">
        <v>2556</v>
      </c>
      <c r="I278" s="2" t="s">
        <v>2519</v>
      </c>
      <c r="J278" s="2">
        <v>1</v>
      </c>
      <c r="L278" t="str">
        <f t="shared" si="4"/>
        <v>{ name: "Rok Woods", landmark: "Named Location", type: "", region: 8, level: "Surface", x: 3352, y: 3089, z: 0, zoom: [3,4], size: "S", weight: 1, details: "" },</v>
      </c>
    </row>
    <row r="279" spans="1:12" x14ac:dyDescent="0.2">
      <c r="A279" t="s">
        <v>1613</v>
      </c>
      <c r="C279" s="2">
        <v>8</v>
      </c>
      <c r="D279" s="2" t="s">
        <v>785</v>
      </c>
      <c r="E279" s="2">
        <v>3383</v>
      </c>
      <c r="F279" s="2">
        <v>2274</v>
      </c>
      <c r="G279" s="2">
        <v>0</v>
      </c>
      <c r="H279" s="2" t="s">
        <v>2556</v>
      </c>
      <c r="I279" s="2" t="s">
        <v>2546</v>
      </c>
      <c r="J279" s="2">
        <v>1</v>
      </c>
      <c r="L279" t="str">
        <f t="shared" si="4"/>
        <v>{ name: "Shadow Pass", landmark: "Named Location", type: "", region: 8, level: "Surface", x: 3383, y: 2274, z: 0, zoom: [3,4], size: "L", weight: 1, details: "" },</v>
      </c>
    </row>
    <row r="280" spans="1:12" x14ac:dyDescent="0.2">
      <c r="A280" t="s">
        <v>837</v>
      </c>
      <c r="C280" s="2">
        <v>8</v>
      </c>
      <c r="D280" s="2" t="s">
        <v>785</v>
      </c>
      <c r="E280" s="2">
        <v>3314</v>
      </c>
      <c r="F280" s="2">
        <v>3499</v>
      </c>
      <c r="G280" s="2">
        <v>0</v>
      </c>
      <c r="H280" s="2" t="s">
        <v>2556</v>
      </c>
      <c r="I280" s="2" t="s">
        <v>2519</v>
      </c>
      <c r="J280" s="2">
        <v>1</v>
      </c>
      <c r="L280" t="str">
        <f t="shared" si="4"/>
        <v>{ name: "Skull Lake", landmark: "Named Location", type: "", region: 8, level: "Surface", x: 3314, y: 3499, z: 0, zoom: [3,4], size: "S", weight: 1, details: "" },</v>
      </c>
    </row>
    <row r="281" spans="1:12" x14ac:dyDescent="0.2">
      <c r="A281" t="s">
        <v>1636</v>
      </c>
      <c r="C281" s="2">
        <v>8</v>
      </c>
      <c r="D281" s="2" t="s">
        <v>785</v>
      </c>
      <c r="E281" s="2">
        <v>3756</v>
      </c>
      <c r="F281" s="2">
        <v>2672</v>
      </c>
      <c r="G281" s="2">
        <v>-4</v>
      </c>
      <c r="H281" s="2" t="s">
        <v>2556</v>
      </c>
      <c r="I281" s="2" t="s">
        <v>2519</v>
      </c>
      <c r="J281" s="2">
        <v>1</v>
      </c>
      <c r="L281" t="str">
        <f t="shared" si="4"/>
        <v>{ name: "Spring of Power", landmark: "Named Location", type: "", region: 8, level: "Surface", x: 3756, y: 2672, z: -4, zoom: [3,4], size: "S", weight: 1, details: "" },</v>
      </c>
    </row>
    <row r="282" spans="1:12" x14ac:dyDescent="0.2">
      <c r="A282" t="s">
        <v>1667</v>
      </c>
      <c r="C282" s="2">
        <v>8</v>
      </c>
      <c r="D282" s="2" t="s">
        <v>785</v>
      </c>
      <c r="E282" s="2">
        <v>3455</v>
      </c>
      <c r="F282" s="2">
        <v>3255</v>
      </c>
      <c r="G282" s="2">
        <v>0</v>
      </c>
      <c r="H282" s="2" t="s">
        <v>2556</v>
      </c>
      <c r="I282" s="2" t="s">
        <v>2545</v>
      </c>
      <c r="J282" s="2">
        <v>1</v>
      </c>
      <c r="L282" t="str">
        <f t="shared" si="4"/>
        <v>{ name: "Tempest Gulch", landmark: "Named Location", type: "", region: 8, level: "Surface", x: 3455, y: 3255, z: 0, zoom: [3,4], size: "M", weight: 1, details: "" },</v>
      </c>
    </row>
    <row r="283" spans="1:12" x14ac:dyDescent="0.2">
      <c r="A283" t="s">
        <v>1675</v>
      </c>
      <c r="C283" s="2">
        <v>8</v>
      </c>
      <c r="D283" s="2" t="s">
        <v>785</v>
      </c>
      <c r="E283" s="2">
        <v>3601</v>
      </c>
      <c r="F283" s="2">
        <v>1637</v>
      </c>
      <c r="G283" s="2">
        <v>0</v>
      </c>
      <c r="H283" s="2" t="s">
        <v>2556</v>
      </c>
      <c r="I283" s="2" t="s">
        <v>2545</v>
      </c>
      <c r="J283" s="2">
        <v>1</v>
      </c>
      <c r="L283" t="str">
        <f t="shared" si="4"/>
        <v>{ name: "Torin Wetland", landmark: "Named Location", type: "", region: 8, level: "Surface", x: 3601, y: 1637, z: 0, zoom: [3,4], size: "M", weight: 1, details: "" },</v>
      </c>
    </row>
    <row r="284" spans="1:12" x14ac:dyDescent="0.2">
      <c r="A284" t="s">
        <v>1684</v>
      </c>
      <c r="C284" s="2">
        <v>8</v>
      </c>
      <c r="D284" s="2" t="s">
        <v>785</v>
      </c>
      <c r="E284" s="2">
        <v>4167</v>
      </c>
      <c r="F284" s="2">
        <v>3153</v>
      </c>
      <c r="G284" s="2">
        <v>0</v>
      </c>
      <c r="H284" s="2" t="s">
        <v>2556</v>
      </c>
      <c r="I284" s="2" t="s">
        <v>2545</v>
      </c>
      <c r="J284" s="2">
        <v>1</v>
      </c>
      <c r="L284" t="str">
        <f t="shared" si="4"/>
        <v>{ name: "Tumlea Heights", landmark: "Named Location", type: "", region: 8, level: "Surface", x: 4167, y: 3153, z: 0, zoom: [3,4], size: "M", weight: 1, details: "" },</v>
      </c>
    </row>
    <row r="285" spans="1:12" x14ac:dyDescent="0.2">
      <c r="A285" t="s">
        <v>1688</v>
      </c>
      <c r="C285" s="2">
        <v>8</v>
      </c>
      <c r="D285" s="2" t="s">
        <v>785</v>
      </c>
      <c r="E285" s="2">
        <v>3613</v>
      </c>
      <c r="F285" s="2">
        <v>2093</v>
      </c>
      <c r="G285" s="2">
        <v>0</v>
      </c>
      <c r="H285" s="2" t="s">
        <v>2556</v>
      </c>
      <c r="I285" s="2" t="s">
        <v>2546</v>
      </c>
      <c r="J285" s="2">
        <v>1</v>
      </c>
      <c r="L285" t="str">
        <f t="shared" si="4"/>
        <v>{ name: "Ulri Mountain", landmark: "Named Location", type: "", region: 8, level: "Surface", x: 3613, y: 2093, z: 0, zoom: [3,4], size: "L", weight: 1, details: "" },</v>
      </c>
    </row>
    <row r="286" spans="1:12" x14ac:dyDescent="0.2">
      <c r="A286" s="25" t="s">
        <v>1098</v>
      </c>
      <c r="C286" s="2">
        <v>9</v>
      </c>
      <c r="D286" s="2" t="s">
        <v>994</v>
      </c>
      <c r="E286" s="2">
        <v>3223</v>
      </c>
      <c r="F286" s="2">
        <v>581</v>
      </c>
      <c r="G286" s="2">
        <v>-741</v>
      </c>
      <c r="H286" s="2" t="s">
        <v>2559</v>
      </c>
      <c r="I286" s="2" t="s">
        <v>2545</v>
      </c>
      <c r="J286" s="2">
        <v>4</v>
      </c>
      <c r="L286" t="str">
        <f t="shared" si="4"/>
        <v>{ name: "Abandoned Lanayru Mine", landmark: "Named Location", type: "", region: 9, level: "Depths", x: 3223, y: 581, z: -741, zoom: [1,2,3,4], size: "M", weight: 4, details: "" },</v>
      </c>
    </row>
    <row r="287" spans="1:12" x14ac:dyDescent="0.2">
      <c r="A287" t="s">
        <v>1541</v>
      </c>
      <c r="C287" s="2">
        <v>9</v>
      </c>
      <c r="D287" s="2" t="s">
        <v>994</v>
      </c>
      <c r="E287" s="2">
        <v>3786</v>
      </c>
      <c r="F287" s="2">
        <v>499</v>
      </c>
      <c r="G287" s="2">
        <v>-859</v>
      </c>
      <c r="H287" s="2" t="s">
        <v>2556</v>
      </c>
      <c r="I287" s="2" t="s">
        <v>2519</v>
      </c>
      <c r="J287" s="2">
        <v>1</v>
      </c>
      <c r="L287" t="str">
        <f t="shared" si="4"/>
        <v>{ name: "Ploymus Canyon Mine", landmark: "Named Location", type: "", region: 9, level: "Depths", x: 3786, y: 499, z: -859, zoom: [3,4], size: "S", weight: 1, details: "" },</v>
      </c>
    </row>
    <row r="288" spans="1:12" x14ac:dyDescent="0.2">
      <c r="A288" t="s">
        <v>1593</v>
      </c>
      <c r="C288" s="2">
        <v>9</v>
      </c>
      <c r="D288" s="2" t="s">
        <v>994</v>
      </c>
      <c r="E288" s="2">
        <v>3294</v>
      </c>
      <c r="F288" s="2">
        <v>-32</v>
      </c>
      <c r="G288" s="2">
        <v>-841</v>
      </c>
      <c r="H288" s="2" t="s">
        <v>2556</v>
      </c>
      <c r="I288" s="2" t="s">
        <v>2519</v>
      </c>
      <c r="J288" s="2">
        <v>1</v>
      </c>
      <c r="L288" t="str">
        <f t="shared" si="4"/>
        <v>{ name: "Ruto Canyon Mine", landmark: "Named Location", type: "", region: 9, level: "Depths", x: 3294, y: -32, z: -841, zoom: [3,4], size: "S", weight: 1, details: "" },</v>
      </c>
    </row>
    <row r="289" spans="1:12" x14ac:dyDescent="0.2">
      <c r="A289" t="s">
        <v>1647</v>
      </c>
      <c r="C289" s="2">
        <v>9</v>
      </c>
      <c r="D289" s="2" t="s">
        <v>994</v>
      </c>
      <c r="E289" s="2">
        <v>2619</v>
      </c>
      <c r="F289" s="2">
        <v>172</v>
      </c>
      <c r="G289" s="2">
        <v>-631</v>
      </c>
      <c r="H289" s="2" t="s">
        <v>2556</v>
      </c>
      <c r="I289" s="2" t="s">
        <v>2519</v>
      </c>
      <c r="J289" s="2">
        <v>1</v>
      </c>
      <c r="L289" t="str">
        <f t="shared" si="4"/>
        <v>{ name: "Tabahl Grove", landmark: "Named Location", type: "", region: 9, level: "Depths", x: 2619, y: 172, z: -631, zoom: [3,4], size: "S", weight: 1, details: "" },</v>
      </c>
    </row>
    <row r="290" spans="1:12" x14ac:dyDescent="0.2">
      <c r="A290" s="25" t="s">
        <v>1423</v>
      </c>
      <c r="B290" t="s">
        <v>2543</v>
      </c>
      <c r="C290" s="2">
        <v>9</v>
      </c>
      <c r="D290" s="2" t="s">
        <v>783</v>
      </c>
      <c r="E290" s="2">
        <v>3175</v>
      </c>
      <c r="F290" s="2">
        <v>-500</v>
      </c>
      <c r="G290" s="2">
        <v>2000</v>
      </c>
      <c r="H290" s="2">
        <v>1</v>
      </c>
      <c r="I290" s="2" t="s">
        <v>2546</v>
      </c>
      <c r="J290" s="2">
        <v>1</v>
      </c>
      <c r="L290" t="str">
        <f t="shared" si="4"/>
        <v>{ name: "Lanayru Sky", landmark: "Named Location", type: "Province", region: 9, level: "Sky", x: 3175, y: -500, z: 2000, zoom: 1, size: "L", weight: 1, details: "" },</v>
      </c>
    </row>
    <row r="291" spans="1:12" x14ac:dyDescent="0.2">
      <c r="A291" s="25" t="s">
        <v>1000</v>
      </c>
      <c r="B291" t="s">
        <v>2542</v>
      </c>
      <c r="C291" s="2">
        <v>9</v>
      </c>
      <c r="D291" s="2" t="s">
        <v>783</v>
      </c>
      <c r="E291" s="2">
        <v>3004</v>
      </c>
      <c r="F291" s="2">
        <v>93</v>
      </c>
      <c r="G291" s="2">
        <v>2000</v>
      </c>
      <c r="H291" s="2" t="s">
        <v>2832</v>
      </c>
      <c r="I291" s="2" t="s">
        <v>2546</v>
      </c>
      <c r="J291" s="2">
        <v>1</v>
      </c>
      <c r="L291" t="str">
        <f t="shared" si="4"/>
        <v>{ name: "Lanayru Sky Archipelago", landmark: "Named Location", type: "Subregion", region: 9, level: "Sky", x: 3004, y: 93, z: 2000, zoom: [2,3,4], size: "L", weight: 1, details: "" },</v>
      </c>
    </row>
    <row r="292" spans="1:12" x14ac:dyDescent="0.2">
      <c r="A292" s="25" t="s">
        <v>1264</v>
      </c>
      <c r="B292" t="s">
        <v>2542</v>
      </c>
      <c r="C292" s="2">
        <v>9</v>
      </c>
      <c r="D292" s="2" t="s">
        <v>783</v>
      </c>
      <c r="E292" s="2">
        <v>4077</v>
      </c>
      <c r="F292" s="2">
        <v>536</v>
      </c>
      <c r="G292" s="2">
        <v>2000</v>
      </c>
      <c r="H292" s="2" t="s">
        <v>2556</v>
      </c>
      <c r="I292" s="2" t="s">
        <v>2546</v>
      </c>
      <c r="J292" s="2">
        <v>1</v>
      </c>
      <c r="L292" t="str">
        <f t="shared" si="4"/>
        <v>{ name: "Floating Scales Island", landmark: "Named Location", type: "Subregion", region: 9, level: "Sky", x: 4077, y: 536, z: 2000, zoom: [3,4], size: "L", weight: 1, details: "" },</v>
      </c>
    </row>
    <row r="293" spans="1:12" x14ac:dyDescent="0.2">
      <c r="A293" s="25" t="s">
        <v>1015</v>
      </c>
      <c r="C293" s="2">
        <v>9</v>
      </c>
      <c r="D293" s="2" t="s">
        <v>783</v>
      </c>
      <c r="E293" s="2">
        <v>3520</v>
      </c>
      <c r="F293" s="2">
        <v>536</v>
      </c>
      <c r="G293" s="2">
        <v>1895</v>
      </c>
      <c r="H293" s="2" t="s">
        <v>2556</v>
      </c>
      <c r="I293" s="2" t="s">
        <v>2546</v>
      </c>
      <c r="J293" s="2">
        <v>1</v>
      </c>
      <c r="L293" t="str">
        <f t="shared" si="4"/>
        <v>{ name: "Wellspring Island", landmark: "Named Location", type: "", region: 9, level: "Sky", x: 3520, y: 536, z: 1895, zoom: [3,4], size: "L", weight: 1, details: "" },</v>
      </c>
    </row>
    <row r="294" spans="1:12" x14ac:dyDescent="0.2">
      <c r="A294" t="s">
        <v>1415</v>
      </c>
      <c r="B294" t="s">
        <v>2543</v>
      </c>
      <c r="C294" s="2">
        <v>9</v>
      </c>
      <c r="D294" s="2" t="s">
        <v>785</v>
      </c>
      <c r="E294" s="2">
        <v>3175</v>
      </c>
      <c r="F294" s="2">
        <v>-615</v>
      </c>
      <c r="G294" s="2">
        <v>0</v>
      </c>
      <c r="H294" s="2">
        <v>1</v>
      </c>
      <c r="I294" s="2" t="s">
        <v>2546</v>
      </c>
      <c r="J294" s="2">
        <v>1</v>
      </c>
      <c r="L294" t="str">
        <f t="shared" si="4"/>
        <v>{ name: "Lanayru", landmark: "Named Location", type: "Province", region: 9, level: "Surface", x: 3175, y: -615, z: 0, zoom: 1, size: "L", weight: 1, details: "" },</v>
      </c>
    </row>
    <row r="295" spans="1:12" x14ac:dyDescent="0.2">
      <c r="A295" t="s">
        <v>801</v>
      </c>
      <c r="B295" t="s">
        <v>8</v>
      </c>
      <c r="C295" s="2">
        <v>9</v>
      </c>
      <c r="D295" s="2" t="s">
        <v>785</v>
      </c>
      <c r="E295" s="2">
        <v>3569</v>
      </c>
      <c r="F295" s="2">
        <v>-109</v>
      </c>
      <c r="G295" s="2">
        <v>0</v>
      </c>
      <c r="H295" s="2">
        <v>2</v>
      </c>
      <c r="I295" s="2" t="s">
        <v>2519</v>
      </c>
      <c r="J295" s="2">
        <v>1</v>
      </c>
      <c r="L295" t="str">
        <f t="shared" si="4"/>
        <v>{ name: "Lanayru Great Spring", landmark: "Named Location", type: "Region", region: 9, level: "Surface", x: 3569, y: -109, z: 0, zoom: 2, size: "S", weight: 1, details: "" },</v>
      </c>
    </row>
    <row r="296" spans="1:12" x14ac:dyDescent="0.2">
      <c r="A296" t="s">
        <v>802</v>
      </c>
      <c r="B296" t="s">
        <v>8</v>
      </c>
      <c r="C296" s="2">
        <v>9</v>
      </c>
      <c r="D296" s="2" t="s">
        <v>785</v>
      </c>
      <c r="E296" s="2">
        <v>4675</v>
      </c>
      <c r="F296" s="2">
        <v>197</v>
      </c>
      <c r="G296" s="2">
        <v>0</v>
      </c>
      <c r="H296" s="2">
        <v>2</v>
      </c>
      <c r="I296" s="2" t="s">
        <v>2519</v>
      </c>
      <c r="J296" s="2">
        <v>1</v>
      </c>
      <c r="L296" t="str">
        <f t="shared" si="4"/>
        <v>{ name: "Lanayru Sea", landmark: "Named Location", type: "Region", region: 9, level: "Surface", x: 4675, y: 197, z: 0, zoom: 2, size: "S", weight: 1, details: "" },</v>
      </c>
    </row>
    <row r="297" spans="1:12" x14ac:dyDescent="0.2">
      <c r="A297" t="s">
        <v>1104</v>
      </c>
      <c r="C297" s="2">
        <v>9</v>
      </c>
      <c r="D297" s="2" t="s">
        <v>785</v>
      </c>
      <c r="E297" s="2">
        <v>3162</v>
      </c>
      <c r="F297" s="2">
        <v>1417</v>
      </c>
      <c r="G297" s="2">
        <v>277</v>
      </c>
      <c r="H297" s="2" t="s">
        <v>2556</v>
      </c>
      <c r="I297" s="2" t="s">
        <v>2519</v>
      </c>
      <c r="J297" s="2">
        <v>1</v>
      </c>
      <c r="L297" t="str">
        <f t="shared" si="4"/>
        <v>{ name: "Akkala Bridge Ruins", landmark: "Named Location", type: "", region: 9, level: "Surface", x: 3162, y: 1417, z: 277, zoom: [3,4], size: "S", weight: 1, details: "" },</v>
      </c>
    </row>
    <row r="298" spans="1:12" x14ac:dyDescent="0.2">
      <c r="A298" t="s">
        <v>1106</v>
      </c>
      <c r="C298" s="2">
        <v>9</v>
      </c>
      <c r="D298" s="2" t="s">
        <v>785</v>
      </c>
      <c r="E298" s="2">
        <v>3732</v>
      </c>
      <c r="F298" s="2">
        <v>1171</v>
      </c>
      <c r="G298" s="2">
        <v>0</v>
      </c>
      <c r="H298" s="2" t="s">
        <v>2556</v>
      </c>
      <c r="I298" s="2" t="s">
        <v>2519</v>
      </c>
      <c r="J298" s="2">
        <v>1</v>
      </c>
      <c r="L298" t="str">
        <f t="shared" si="4"/>
        <v>{ name: "Akkala Falls", landmark: "Named Location", type: "", region: 9, level: "Surface", x: 3732, y: 1171, z: 0, zoom: [3,4], size: "S", weight: 1, details: "" },</v>
      </c>
    </row>
    <row r="299" spans="1:12" x14ac:dyDescent="0.2">
      <c r="A299" t="s">
        <v>1108</v>
      </c>
      <c r="C299" s="2">
        <v>9</v>
      </c>
      <c r="D299" s="2" t="s">
        <v>785</v>
      </c>
      <c r="E299" s="2">
        <v>3308</v>
      </c>
      <c r="F299" s="2">
        <v>1236</v>
      </c>
      <c r="G299" s="2">
        <v>112</v>
      </c>
      <c r="H299" s="2" t="s">
        <v>2556</v>
      </c>
      <c r="I299" s="2" t="s">
        <v>2519</v>
      </c>
      <c r="J299" s="2">
        <v>1</v>
      </c>
      <c r="L299" t="str">
        <f t="shared" si="4"/>
        <v>{ name: "Akkala Parade Ground Ruins", landmark: "Named Location", type: "", region: 9, level: "Surface", x: 3308, y: 1236, z: 112, zoom: [3,4], size: "S", weight: 1, details: "" },</v>
      </c>
    </row>
    <row r="300" spans="1:12" x14ac:dyDescent="0.2">
      <c r="A300" t="s">
        <v>1119</v>
      </c>
      <c r="C300" s="2">
        <v>9</v>
      </c>
      <c r="D300" s="2" t="s">
        <v>785</v>
      </c>
      <c r="E300" s="2">
        <v>4652</v>
      </c>
      <c r="F300" s="2">
        <v>1027</v>
      </c>
      <c r="G300" s="2">
        <v>0</v>
      </c>
      <c r="H300" s="2" t="s">
        <v>2556</v>
      </c>
      <c r="I300" s="2" t="s">
        <v>2545</v>
      </c>
      <c r="J300" s="2">
        <v>1</v>
      </c>
      <c r="L300" t="str">
        <f t="shared" si="4"/>
        <v>{ name: "Ankel Island", landmark: "Named Location", type: "", region: 9, level: "Surface", x: 4652, y: 1027, z: 0, zoom: [3,4], size: "M", weight: 1, details: "" },</v>
      </c>
    </row>
    <row r="301" spans="1:12" x14ac:dyDescent="0.2">
      <c r="A301" t="s">
        <v>1128</v>
      </c>
      <c r="C301" s="2">
        <v>9</v>
      </c>
      <c r="D301" s="2" t="s">
        <v>785</v>
      </c>
      <c r="E301" s="2">
        <v>2752</v>
      </c>
      <c r="F301" s="2">
        <v>87</v>
      </c>
      <c r="G301" s="2">
        <v>0</v>
      </c>
      <c r="H301" s="2" t="s">
        <v>2556</v>
      </c>
      <c r="I301" s="2" t="s">
        <v>2519</v>
      </c>
      <c r="J301" s="2">
        <v>1</v>
      </c>
      <c r="L301" t="str">
        <f t="shared" si="4"/>
        <v>{ name: "Bank of Wishes", landmark: "Named Location", type: "", region: 9, level: "Surface", x: 2752, y: 87, z: 0, zoom: [3,4], size: "S", weight: 1, details: "" },</v>
      </c>
    </row>
    <row r="302" spans="1:12" x14ac:dyDescent="0.2">
      <c r="A302" t="s">
        <v>1023</v>
      </c>
      <c r="C302" s="2">
        <v>9</v>
      </c>
      <c r="D302" s="2" t="s">
        <v>785</v>
      </c>
      <c r="E302" s="2">
        <v>3927</v>
      </c>
      <c r="F302" s="2">
        <v>-382</v>
      </c>
      <c r="G302" s="2">
        <v>0</v>
      </c>
      <c r="H302" s="2" t="s">
        <v>2556</v>
      </c>
      <c r="I302" s="2" t="s">
        <v>2546</v>
      </c>
      <c r="J302" s="2">
        <v>1</v>
      </c>
      <c r="L302" t="str">
        <f t="shared" si="4"/>
        <v>{ name: "Brynna Plain", landmark: "Named Location", type: "", region: 9, level: "Surface", x: 3927, y: -382, z: 0, zoom: [3,4], size: "L", weight: 1, details: "" },</v>
      </c>
    </row>
    <row r="303" spans="1:12" x14ac:dyDescent="0.2">
      <c r="A303" t="s">
        <v>1194</v>
      </c>
      <c r="C303" s="2">
        <v>9</v>
      </c>
      <c r="D303" s="2" t="s">
        <v>785</v>
      </c>
      <c r="E303" s="2">
        <v>4637</v>
      </c>
      <c r="F303" s="2">
        <v>608</v>
      </c>
      <c r="G303" s="2">
        <v>0</v>
      </c>
      <c r="H303" s="2" t="s">
        <v>2556</v>
      </c>
      <c r="I303" s="2" t="s">
        <v>2545</v>
      </c>
      <c r="J303" s="2">
        <v>1</v>
      </c>
      <c r="L303" t="str">
        <f t="shared" si="4"/>
        <v>{ name: "Davdi Island", landmark: "Named Location", type: "", region: 9, level: "Surface", x: 4637, y: 608, z: 0, zoom: [3,4], size: "M", weight: 1, details: "" },</v>
      </c>
    </row>
    <row r="304" spans="1:12" x14ac:dyDescent="0.2">
      <c r="A304" t="s">
        <v>1233</v>
      </c>
      <c r="C304" s="2">
        <v>9</v>
      </c>
      <c r="D304" s="2" t="s">
        <v>785</v>
      </c>
      <c r="E304" s="2">
        <v>3668</v>
      </c>
      <c r="F304" s="2">
        <v>180</v>
      </c>
      <c r="G304" s="2">
        <v>219</v>
      </c>
      <c r="H304" s="2" t="s">
        <v>2556</v>
      </c>
      <c r="I304" s="2" t="s">
        <v>2545</v>
      </c>
      <c r="J304" s="2">
        <v>1</v>
      </c>
      <c r="L304" t="str">
        <f t="shared" si="4"/>
        <v>{ name: "East Reservoir Lake", landmark: "Named Location", type: "", region: 9, level: "Surface", x: 3668, y: 180, z: 219, zoom: [3,4], size: "M", weight: 1, details: "" },</v>
      </c>
    </row>
    <row r="305" spans="1:12" x14ac:dyDescent="0.2">
      <c r="A305" t="s">
        <v>1234</v>
      </c>
      <c r="C305" s="2">
        <v>9</v>
      </c>
      <c r="D305" s="2" t="s">
        <v>785</v>
      </c>
      <c r="E305" s="2">
        <v>3861</v>
      </c>
      <c r="F305" s="2">
        <v>1095</v>
      </c>
      <c r="G305" s="2">
        <v>206</v>
      </c>
      <c r="H305" s="2" t="s">
        <v>2556</v>
      </c>
      <c r="I305" s="2" t="s">
        <v>2519</v>
      </c>
      <c r="J305" s="2">
        <v>1</v>
      </c>
      <c r="L305" t="str">
        <f t="shared" si="4"/>
        <v>{ name: "East Sokkala Bridge", landmark: "Named Location", type: "", region: 9, level: "Surface", x: 3861, y: 1095, z: 206, zoom: [3,4], size: "S", weight: 1, details: "" },</v>
      </c>
    </row>
    <row r="306" spans="1:12" x14ac:dyDescent="0.2">
      <c r="A306" t="s">
        <v>1312</v>
      </c>
      <c r="C306" s="2">
        <v>9</v>
      </c>
      <c r="D306" s="2" t="s">
        <v>785</v>
      </c>
      <c r="E306" s="2">
        <v>3233</v>
      </c>
      <c r="F306" s="2">
        <v>314</v>
      </c>
      <c r="G306" s="2">
        <v>0</v>
      </c>
      <c r="H306" s="2" t="s">
        <v>2556</v>
      </c>
      <c r="I306" s="2" t="s">
        <v>2519</v>
      </c>
      <c r="J306" s="2">
        <v>1</v>
      </c>
      <c r="L306" t="str">
        <f t="shared" si="4"/>
        <v>{ name: "Great Zora Bridge", landmark: "Named Location", type: "", region: 9, level: "Surface", x: 3233, y: 314, z: 0, zoom: [3,4], size: "S", weight: 1, details: "" },</v>
      </c>
    </row>
    <row r="307" spans="1:12" x14ac:dyDescent="0.2">
      <c r="A307" t="s">
        <v>1357</v>
      </c>
      <c r="C307" s="2">
        <v>9</v>
      </c>
      <c r="D307" s="2" t="s">
        <v>785</v>
      </c>
      <c r="E307" s="2">
        <v>4234</v>
      </c>
      <c r="F307" s="2">
        <v>-314</v>
      </c>
      <c r="G307" s="2">
        <v>0</v>
      </c>
      <c r="H307" s="2" t="s">
        <v>2556</v>
      </c>
      <c r="I307" s="2" t="s">
        <v>2519</v>
      </c>
      <c r="J307" s="2">
        <v>1</v>
      </c>
      <c r="L307" t="str">
        <f t="shared" si="4"/>
        <v>{ name: "Horon Lagoon", landmark: "Named Location", type: "", region: 9, level: "Surface", x: 4234, y: -314, z: 0, zoom: [3,4], size: "S", weight: 1, details: "" },</v>
      </c>
    </row>
    <row r="308" spans="1:12" x14ac:dyDescent="0.2">
      <c r="A308" t="s">
        <v>1372</v>
      </c>
      <c r="C308" s="2">
        <v>9</v>
      </c>
      <c r="D308" s="2" t="s">
        <v>785</v>
      </c>
      <c r="E308" s="2">
        <v>2344</v>
      </c>
      <c r="F308" s="2">
        <v>249</v>
      </c>
      <c r="G308" s="2">
        <v>14</v>
      </c>
      <c r="H308" s="27" t="s">
        <v>2556</v>
      </c>
      <c r="I308" s="2" t="s">
        <v>2519</v>
      </c>
      <c r="J308" s="2">
        <v>1</v>
      </c>
      <c r="L308" t="str">
        <f t="shared" si="4"/>
        <v>{ name: "Inogo Bridge", landmark: "Named Location", type: "", region: 9, level: "Surface", x: 2344, y: 249, z: 14, zoom: [3,4], size: "S", weight: 1, details: "" },</v>
      </c>
    </row>
    <row r="309" spans="1:12" x14ac:dyDescent="0.2">
      <c r="A309" t="s">
        <v>1376</v>
      </c>
      <c r="C309" s="2">
        <v>9</v>
      </c>
      <c r="D309" s="2" t="s">
        <v>785</v>
      </c>
      <c r="E309" s="2">
        <v>3910</v>
      </c>
      <c r="F309" s="2">
        <v>-58</v>
      </c>
      <c r="G309" s="2">
        <v>0</v>
      </c>
      <c r="H309" s="2" t="s">
        <v>2556</v>
      </c>
      <c r="I309" s="2" t="s">
        <v>2545</v>
      </c>
      <c r="J309" s="2">
        <v>1</v>
      </c>
      <c r="L309" t="str">
        <f t="shared" si="4"/>
        <v>{ name: "Ja'Abu Ridge", landmark: "Named Location", type: "", region: 9, level: "Surface", x: 3910, y: -58, z: 0, zoom: [3,4], size: "M", weight: 1, details: "" },</v>
      </c>
    </row>
    <row r="310" spans="1:12" x14ac:dyDescent="0.2">
      <c r="A310" t="s">
        <v>1380</v>
      </c>
      <c r="C310" s="2">
        <v>9</v>
      </c>
      <c r="D310" s="2" t="s">
        <v>785</v>
      </c>
      <c r="E310" s="2">
        <v>4115</v>
      </c>
      <c r="F310" s="2">
        <v>1206</v>
      </c>
      <c r="G310" s="2">
        <v>0</v>
      </c>
      <c r="H310" s="2" t="s">
        <v>2556</v>
      </c>
      <c r="I310" s="2" t="s">
        <v>2546</v>
      </c>
      <c r="J310" s="2">
        <v>1</v>
      </c>
      <c r="L310" t="str">
        <f t="shared" si="4"/>
        <v>{ name: "Kaepora Pass", landmark: "Named Location", type: "", region: 9, level: "Surface", x: 4115, y: 1206, z: 0, zoom: [3,4], size: "L", weight: 1, details: "" },</v>
      </c>
    </row>
    <row r="311" spans="1:12" x14ac:dyDescent="0.2">
      <c r="A311" t="s">
        <v>1393</v>
      </c>
      <c r="C311" s="2">
        <v>9</v>
      </c>
      <c r="D311" s="2" t="s">
        <v>785</v>
      </c>
      <c r="E311" s="2">
        <v>4653</v>
      </c>
      <c r="F311" s="2">
        <v>816</v>
      </c>
      <c r="G311" s="2">
        <v>0</v>
      </c>
      <c r="H311" s="2" t="s">
        <v>2556</v>
      </c>
      <c r="I311" s="2" t="s">
        <v>2545</v>
      </c>
      <c r="J311" s="2">
        <v>1</v>
      </c>
      <c r="L311" t="str">
        <f t="shared" si="4"/>
        <v>{ name: "Knuckel Island", landmark: "Named Location", type: "", region: 9, level: "Surface", x: 4653, y: 816, z: 0, zoom: [3,4], size: "M", weight: 1, details: "" },</v>
      </c>
    </row>
    <row r="312" spans="1:12" x14ac:dyDescent="0.2">
      <c r="A312" t="s">
        <v>1048</v>
      </c>
      <c r="C312" s="2">
        <v>9</v>
      </c>
      <c r="D312" s="2" t="s">
        <v>785</v>
      </c>
      <c r="E312" s="2">
        <v>4445</v>
      </c>
      <c r="F312" s="2">
        <v>-642</v>
      </c>
      <c r="G312" s="2">
        <v>0</v>
      </c>
      <c r="H312" s="2" t="s">
        <v>2556</v>
      </c>
      <c r="I312" s="2" t="s">
        <v>2545</v>
      </c>
      <c r="J312" s="2">
        <v>1</v>
      </c>
      <c r="L312" t="str">
        <f t="shared" si="4"/>
        <v>{ name: "Lodrum Headland", landmark: "Named Location", type: "", region: 9, level: "Surface", x: 4445, y: -642, z: 0, zoom: [3,4], size: "M", weight: 1, details: "" },</v>
      </c>
    </row>
    <row r="313" spans="1:12" x14ac:dyDescent="0.2">
      <c r="A313" t="s">
        <v>1446</v>
      </c>
      <c r="C313" s="2">
        <v>9</v>
      </c>
      <c r="D313" s="2" t="s">
        <v>785</v>
      </c>
      <c r="E313" s="2">
        <v>3710</v>
      </c>
      <c r="F313" s="2">
        <v>588</v>
      </c>
      <c r="G313" s="2">
        <v>0</v>
      </c>
      <c r="H313" s="2" t="s">
        <v>2556</v>
      </c>
      <c r="I313" s="2" t="s">
        <v>2519</v>
      </c>
      <c r="J313" s="2">
        <v>1</v>
      </c>
      <c r="L313" t="str">
        <f t="shared" si="4"/>
        <v>{ name: "Lulu Lake", landmark: "Named Location", type: "", region: 9, level: "Surface", x: 3710, y: 588, z: 0, zoom: [3,4], size: "S", weight: 1, details: "" },</v>
      </c>
    </row>
    <row r="314" spans="1:12" x14ac:dyDescent="0.2">
      <c r="A314" t="s">
        <v>1450</v>
      </c>
      <c r="C314" s="2">
        <v>9</v>
      </c>
      <c r="D314" s="2" t="s">
        <v>785</v>
      </c>
      <c r="E314" s="2">
        <v>3089</v>
      </c>
      <c r="F314" s="2">
        <v>-11</v>
      </c>
      <c r="G314" s="2">
        <v>157</v>
      </c>
      <c r="H314" s="2" t="s">
        <v>2556</v>
      </c>
      <c r="I314" s="2" t="s">
        <v>2519</v>
      </c>
      <c r="J314" s="2">
        <v>1</v>
      </c>
      <c r="L314" t="str">
        <f t="shared" si="4"/>
        <v>{ name: "Luto's Crossing", landmark: "Named Location", type: "", region: 9, level: "Surface", x: 3089, y: -11, z: 157, zoom: [3,4], size: "S", weight: 1, details: "" },</v>
      </c>
    </row>
    <row r="315" spans="1:12" x14ac:dyDescent="0.2">
      <c r="A315" t="s">
        <v>1472</v>
      </c>
      <c r="C315" s="2">
        <v>9</v>
      </c>
      <c r="D315" s="2" t="s">
        <v>785</v>
      </c>
      <c r="E315" s="2">
        <v>3549</v>
      </c>
      <c r="F315" s="2">
        <v>564</v>
      </c>
      <c r="G315" s="2">
        <v>0</v>
      </c>
      <c r="H315" s="2" t="s">
        <v>2556</v>
      </c>
      <c r="I315" s="2" t="s">
        <v>2519</v>
      </c>
      <c r="J315" s="2">
        <v>1</v>
      </c>
      <c r="L315" t="str">
        <f t="shared" si="4"/>
        <v>{ name: "Mikau Lake", landmark: "Named Location", type: "", region: 9, level: "Surface", x: 3549, y: 564, z: 0, zoom: [3,4], size: "S", weight: 1, details: "" },</v>
      </c>
    </row>
    <row r="316" spans="1:12" x14ac:dyDescent="0.2">
      <c r="A316" t="s">
        <v>1479</v>
      </c>
      <c r="C316" s="2">
        <v>9</v>
      </c>
      <c r="D316" s="2" t="s">
        <v>785</v>
      </c>
      <c r="E316" s="2">
        <v>3838</v>
      </c>
      <c r="F316" s="2">
        <v>566</v>
      </c>
      <c r="G316" s="2">
        <v>491</v>
      </c>
      <c r="H316" s="2" t="s">
        <v>2556</v>
      </c>
      <c r="I316" s="2" t="s">
        <v>2545</v>
      </c>
      <c r="J316" s="2">
        <v>2</v>
      </c>
      <c r="L316" t="str">
        <f t="shared" si="4"/>
        <v>{ name: "Mipha Court", landmark: "Named Location", type: "", region: 9, level: "Surface", x: 3838, y: 566, z: 491, zoom: [3,4], size: "M", weight: 2, details: "" },</v>
      </c>
    </row>
    <row r="317" spans="1:12" x14ac:dyDescent="0.2">
      <c r="A317" t="s">
        <v>1524</v>
      </c>
      <c r="C317" s="2">
        <v>9</v>
      </c>
      <c r="D317" s="2" t="s">
        <v>785</v>
      </c>
      <c r="E317" s="2">
        <v>2875</v>
      </c>
      <c r="F317" s="2">
        <v>-20</v>
      </c>
      <c r="G317" s="2">
        <v>82</v>
      </c>
      <c r="H317" s="2" t="s">
        <v>2556</v>
      </c>
      <c r="I317" s="2" t="s">
        <v>2519</v>
      </c>
      <c r="J317" s="2">
        <v>1</v>
      </c>
      <c r="L317" t="str">
        <f t="shared" si="4"/>
        <v>{ name: "Oren Bridge", landmark: "Named Location", type: "", region: 9, level: "Surface", x: 2875, y: -20, z: 82, zoom: [3,4], size: "S", weight: 1, details: "" },</v>
      </c>
    </row>
    <row r="318" spans="1:12" x14ac:dyDescent="0.2">
      <c r="A318" t="s">
        <v>1542</v>
      </c>
      <c r="C318" s="2">
        <v>9</v>
      </c>
      <c r="D318" s="2" t="s">
        <v>785</v>
      </c>
      <c r="E318" s="2">
        <v>3853</v>
      </c>
      <c r="F318" s="2">
        <v>660</v>
      </c>
      <c r="G318" s="2">
        <v>481</v>
      </c>
      <c r="H318" s="2" t="s">
        <v>2556</v>
      </c>
      <c r="I318" s="2" t="s">
        <v>2546</v>
      </c>
      <c r="J318" s="2">
        <v>1</v>
      </c>
      <c r="L318" t="str">
        <f t="shared" si="4"/>
        <v>{ name: "Ploymus Mountain", landmark: "Named Location", type: "", region: 9, level: "Surface", x: 3853, y: 660, z: 481, zoom: [3,4], size: "L", weight: 1, details: "" },</v>
      </c>
    </row>
    <row r="319" spans="1:12" x14ac:dyDescent="0.2">
      <c r="A319" t="s">
        <v>1555</v>
      </c>
      <c r="C319" s="2">
        <v>9</v>
      </c>
      <c r="D319" s="2" t="s">
        <v>785</v>
      </c>
      <c r="E319" s="2">
        <v>2927</v>
      </c>
      <c r="F319" s="2">
        <v>264</v>
      </c>
      <c r="G319" s="2">
        <v>0</v>
      </c>
      <c r="H319" s="2" t="s">
        <v>2556</v>
      </c>
      <c r="I319" s="2" t="s">
        <v>2519</v>
      </c>
      <c r="J319" s="2">
        <v>2</v>
      </c>
      <c r="L319" t="str">
        <f t="shared" si="4"/>
        <v>{ name: "Ralis Pond", landmark: "Named Location", type: "", region: 9, level: "Surface", x: 2927, y: 264, z: 0, zoom: [3,4], size: "S", weight: 2, details: "" },</v>
      </c>
    </row>
    <row r="320" spans="1:12" x14ac:dyDescent="0.2">
      <c r="A320" t="s">
        <v>1589</v>
      </c>
      <c r="C320" s="2">
        <v>9</v>
      </c>
      <c r="D320" s="2" t="s">
        <v>785</v>
      </c>
      <c r="E320" s="2">
        <v>3557</v>
      </c>
      <c r="F320" s="2">
        <v>-78</v>
      </c>
      <c r="G320" s="2">
        <v>0</v>
      </c>
      <c r="H320" s="2" t="s">
        <v>2556</v>
      </c>
      <c r="I320" s="2" t="s">
        <v>2519</v>
      </c>
      <c r="J320" s="2">
        <v>1</v>
      </c>
      <c r="L320" t="str">
        <f t="shared" si="4"/>
        <v>{ name: "Rutala Dam", landmark: "Named Location", type: "", region: 9, level: "Surface", x: 3557, y: -78, z: 0, zoom: [3,4], size: "S", weight: 1, details: "" },</v>
      </c>
    </row>
    <row r="321" spans="1:12" x14ac:dyDescent="0.2">
      <c r="A321" t="s">
        <v>1590</v>
      </c>
      <c r="C321" s="2">
        <v>9</v>
      </c>
      <c r="D321" s="2" t="s">
        <v>785</v>
      </c>
      <c r="E321" s="2">
        <v>2517</v>
      </c>
      <c r="F321" s="2">
        <v>-196</v>
      </c>
      <c r="G321" s="2">
        <v>0</v>
      </c>
      <c r="H321" s="2" t="s">
        <v>2556</v>
      </c>
      <c r="I321" s="2" t="s">
        <v>2519</v>
      </c>
      <c r="J321" s="2">
        <v>1</v>
      </c>
      <c r="L321" t="str">
        <f t="shared" si="4"/>
        <v>{ name: "Rutala River", landmark: "Named Location", type: "", region: 9, level: "Surface", x: 2517, y: -196, z: 0, zoom: [3,4], size: "S", weight: 1, details: "" },</v>
      </c>
    </row>
    <row r="322" spans="1:12" x14ac:dyDescent="0.2">
      <c r="A322" t="s">
        <v>1073</v>
      </c>
      <c r="C322" s="2">
        <v>9</v>
      </c>
      <c r="D322" s="2" t="s">
        <v>785</v>
      </c>
      <c r="E322" s="2">
        <v>3171</v>
      </c>
      <c r="F322" s="2">
        <v>163</v>
      </c>
      <c r="G322" s="2">
        <v>0</v>
      </c>
      <c r="H322" s="2" t="s">
        <v>2556</v>
      </c>
      <c r="I322" s="2" t="s">
        <v>2519</v>
      </c>
      <c r="J322" s="2">
        <v>1</v>
      </c>
      <c r="L322" t="str">
        <f t="shared" ref="L322:L385" si="5">"{ name: "&amp;CHAR(34)&amp;A322&amp;CHAR(34)&amp;", landmark: "&amp;CHAR(34)&amp;"Named Location"&amp;CHAR(34)&amp;", type: "&amp;CHAR(34)&amp;B322&amp;CHAR(34)&amp;", region: "&amp;C322&amp;", level: "&amp;CHAR(34)&amp;D322&amp;CHAR(34)&amp;", x: "&amp;INT(E322)&amp;", y: "&amp;INT(F322)&amp;", z: "&amp;INT(G322)&amp;", zoom: "&amp;IF(LEN(H322)&gt;1,"["&amp;H322&amp;"]",H322)&amp;", size: "&amp;CHAR(34)&amp;I322&amp;CHAR(34)&amp;", weight: "&amp;J322&amp;", details: "&amp;CHAR(34)&amp;K322&amp;CHAR(34)&amp;" },"</f>
        <v>{ name: "Ruto Lake", landmark: "Named Location", type: "", region: 9, level: "Surface", x: 3171, y: 163, z: 0, zoom: [3,4], size: "S", weight: 1, details: "" },</v>
      </c>
    </row>
    <row r="323" spans="1:12" x14ac:dyDescent="0.2">
      <c r="A323" t="s">
        <v>1594</v>
      </c>
      <c r="C323" s="2">
        <v>9</v>
      </c>
      <c r="D323" s="2" t="s">
        <v>785</v>
      </c>
      <c r="E323" s="2">
        <v>3243</v>
      </c>
      <c r="F323" s="2">
        <v>-95</v>
      </c>
      <c r="G323" s="2">
        <v>0</v>
      </c>
      <c r="H323" s="2" t="s">
        <v>2556</v>
      </c>
      <c r="I323" s="2" t="s">
        <v>2546</v>
      </c>
      <c r="J323" s="2">
        <v>1</v>
      </c>
      <c r="L323" t="str">
        <f t="shared" si="5"/>
        <v>{ name: "Ruto Mountain", landmark: "Named Location", type: "", region: 9, level: "Surface", x: 3243, y: -95, z: 0, zoom: [3,4], size: "L", weight: 1, details: "" },</v>
      </c>
    </row>
    <row r="324" spans="1:12" x14ac:dyDescent="0.2">
      <c r="A324" t="s">
        <v>1595</v>
      </c>
      <c r="C324" s="2">
        <v>9</v>
      </c>
      <c r="D324" s="2" t="s">
        <v>785</v>
      </c>
      <c r="E324" s="2">
        <v>3409</v>
      </c>
      <c r="F324" s="2">
        <v>235</v>
      </c>
      <c r="G324" s="2">
        <v>0</v>
      </c>
      <c r="H324" s="2" t="s">
        <v>2556</v>
      </c>
      <c r="I324" s="2" t="s">
        <v>2545</v>
      </c>
      <c r="J324" s="2">
        <v>1</v>
      </c>
      <c r="L324" t="str">
        <f t="shared" si="5"/>
        <v>{ name: "Ruto Precipice", landmark: "Named Location", type: "", region: 9, level: "Surface", x: 3409, y: 235, z: 0, zoom: [3,4], size: "M", weight: 1, details: "" },</v>
      </c>
    </row>
    <row r="325" spans="1:12" x14ac:dyDescent="0.2">
      <c r="A325" t="s">
        <v>1076</v>
      </c>
      <c r="C325" s="2">
        <v>9</v>
      </c>
      <c r="D325" s="2" t="s">
        <v>785</v>
      </c>
      <c r="E325" s="2">
        <v>3239</v>
      </c>
      <c r="F325" s="2">
        <v>-568</v>
      </c>
      <c r="G325" s="2">
        <v>0</v>
      </c>
      <c r="H325" s="2" t="s">
        <v>2556</v>
      </c>
      <c r="I325" s="2" t="s">
        <v>2545</v>
      </c>
      <c r="J325" s="2">
        <v>1</v>
      </c>
      <c r="L325" t="str">
        <f t="shared" si="5"/>
        <v>{ name: "Samasa Plain", landmark: "Named Location", type: "", region: 9, level: "Surface", x: 3239, y: -568, z: 0, zoom: [3,4], size: "M", weight: 1, details: "" },</v>
      </c>
    </row>
    <row r="326" spans="1:12" x14ac:dyDescent="0.2">
      <c r="A326" t="s">
        <v>1614</v>
      </c>
      <c r="C326" s="2">
        <v>9</v>
      </c>
      <c r="D326" s="2" t="s">
        <v>785</v>
      </c>
      <c r="E326" s="2">
        <v>3757</v>
      </c>
      <c r="F326" s="2">
        <v>397</v>
      </c>
      <c r="G326" s="2">
        <v>0</v>
      </c>
      <c r="H326" s="2" t="s">
        <v>2556</v>
      </c>
      <c r="I326" s="2" t="s">
        <v>2519</v>
      </c>
      <c r="J326" s="2">
        <v>1</v>
      </c>
      <c r="L326" t="str">
        <f t="shared" si="5"/>
        <v>{ name: "Shatterback Point", landmark: "Named Location", type: "", region: 9, level: "Surface", x: 3757, y: 397, z: 0, zoom: [3,4], size: "S", weight: 1, details: "" },</v>
      </c>
    </row>
    <row r="327" spans="1:12" x14ac:dyDescent="0.2">
      <c r="A327" t="s">
        <v>1622</v>
      </c>
      <c r="C327" s="2">
        <v>9</v>
      </c>
      <c r="D327" s="2" t="s">
        <v>785</v>
      </c>
      <c r="E327" s="2">
        <v>3686</v>
      </c>
      <c r="F327" s="2">
        <v>1004</v>
      </c>
      <c r="G327" s="2">
        <v>206</v>
      </c>
      <c r="H327" s="2" t="s">
        <v>2556</v>
      </c>
      <c r="I327" s="2" t="s">
        <v>2519</v>
      </c>
      <c r="J327" s="2">
        <v>1</v>
      </c>
      <c r="L327" t="str">
        <f t="shared" si="5"/>
        <v>{ name: "Sokkala Bridge", landmark: "Named Location", type: "", region: 9, level: "Surface", x: 3686, y: 1004, z: 206, zoom: [3,4], size: "S", weight: 1, details: "" },</v>
      </c>
    </row>
    <row r="328" spans="1:12" x14ac:dyDescent="0.2">
      <c r="A328" t="s">
        <v>835</v>
      </c>
      <c r="C328" s="2">
        <v>9</v>
      </c>
      <c r="D328" s="2" t="s">
        <v>785</v>
      </c>
      <c r="E328" s="2">
        <v>3273</v>
      </c>
      <c r="F328" s="2">
        <v>1352</v>
      </c>
      <c r="G328" s="2">
        <v>0</v>
      </c>
      <c r="H328" s="2" t="s">
        <v>2556</v>
      </c>
      <c r="I328" s="2" t="s">
        <v>2545</v>
      </c>
      <c r="J328" s="2">
        <v>1</v>
      </c>
      <c r="L328" t="str">
        <f t="shared" si="5"/>
        <v>{ name: "South Akkala Plains", landmark: "Named Location", type: "", region: 9, level: "Surface", x: 3273, y: 1352, z: 0, zoom: [3,4], size: "M", weight: 1, details: "" },</v>
      </c>
    </row>
    <row r="329" spans="1:12" x14ac:dyDescent="0.2">
      <c r="A329" t="s">
        <v>1626</v>
      </c>
      <c r="C329" s="2">
        <v>9</v>
      </c>
      <c r="D329" s="2" t="s">
        <v>785</v>
      </c>
      <c r="E329" s="2">
        <v>3586</v>
      </c>
      <c r="F329" s="2">
        <v>1127</v>
      </c>
      <c r="G329" s="2">
        <v>0</v>
      </c>
      <c r="H329" s="2" t="s">
        <v>2556</v>
      </c>
      <c r="I329" s="2" t="s">
        <v>2519</v>
      </c>
      <c r="J329" s="2">
        <v>1</v>
      </c>
      <c r="L329" t="str">
        <f t="shared" si="5"/>
        <v>{ name: "South Lake Akkala", landmark: "Named Location", type: "", region: 9, level: "Surface", x: 3586, y: 1127, z: 0, zoom: [3,4], size: "S", weight: 1, details: "" },</v>
      </c>
    </row>
    <row r="330" spans="1:12" x14ac:dyDescent="0.2">
      <c r="A330" t="s">
        <v>1635</v>
      </c>
      <c r="C330" s="2">
        <v>9</v>
      </c>
      <c r="D330" s="2" t="s">
        <v>785</v>
      </c>
      <c r="E330" s="2">
        <v>4403</v>
      </c>
      <c r="F330" s="2">
        <v>193</v>
      </c>
      <c r="G330" s="2">
        <v>0</v>
      </c>
      <c r="H330" s="2" t="s">
        <v>2556</v>
      </c>
      <c r="I330" s="2" t="s">
        <v>2519</v>
      </c>
      <c r="J330" s="2">
        <v>1</v>
      </c>
      <c r="L330" t="str">
        <f t="shared" si="5"/>
        <v>{ name: "Spool Bight", landmark: "Named Location", type: "", region: 9, level: "Surface", x: 4403, y: 193, z: 0, zoom: [3,4], size: "S", weight: 1, details: "" },</v>
      </c>
    </row>
    <row r="331" spans="1:12" x14ac:dyDescent="0.2">
      <c r="A331" t="s">
        <v>1648</v>
      </c>
      <c r="C331" s="2">
        <v>9</v>
      </c>
      <c r="D331" s="2" t="s">
        <v>785</v>
      </c>
      <c r="E331" s="2">
        <v>2573</v>
      </c>
      <c r="F331" s="2">
        <v>177</v>
      </c>
      <c r="G331" s="2">
        <v>0</v>
      </c>
      <c r="H331" s="2" t="s">
        <v>2556</v>
      </c>
      <c r="I331" s="2" t="s">
        <v>2519</v>
      </c>
      <c r="J331" s="2">
        <v>1</v>
      </c>
      <c r="L331" t="str">
        <f t="shared" si="5"/>
        <v>{ name: "Tabahl Woods", landmark: "Named Location", type: "", region: 9, level: "Surface", x: 2573, y: 177, z: 0, zoom: [3,4], size: "S", weight: 1, details: "" },</v>
      </c>
    </row>
    <row r="332" spans="1:12" x14ac:dyDescent="0.2">
      <c r="A332" t="s">
        <v>1656</v>
      </c>
      <c r="C332" s="2">
        <v>9</v>
      </c>
      <c r="D332" s="2" t="s">
        <v>785</v>
      </c>
      <c r="E332" s="2">
        <v>4147</v>
      </c>
      <c r="F332" s="2">
        <v>339</v>
      </c>
      <c r="G332" s="2">
        <v>0</v>
      </c>
      <c r="H332" s="2" t="s">
        <v>2556</v>
      </c>
      <c r="I332" s="2" t="s">
        <v>2545</v>
      </c>
      <c r="J332" s="2">
        <v>1</v>
      </c>
      <c r="L332" t="str">
        <f t="shared" si="5"/>
        <v>{ name: "Tal Tal Peak", landmark: "Named Location", type: "", region: 9, level: "Surface", x: 4147, y: 339, z: 0, zoom: [3,4], size: "M", weight: 1, details: "" },</v>
      </c>
    </row>
    <row r="333" spans="1:12" x14ac:dyDescent="0.2">
      <c r="A333" t="s">
        <v>1657</v>
      </c>
      <c r="C333" s="2">
        <v>9</v>
      </c>
      <c r="D333" s="2" t="s">
        <v>785</v>
      </c>
      <c r="E333" s="2">
        <v>4445</v>
      </c>
      <c r="F333" s="2">
        <v>-365</v>
      </c>
      <c r="G333" s="2">
        <v>0</v>
      </c>
      <c r="H333" s="2" t="s">
        <v>2556</v>
      </c>
      <c r="I333" s="2" t="s">
        <v>2546</v>
      </c>
      <c r="J333" s="2">
        <v>1</v>
      </c>
      <c r="L333" t="str">
        <f t="shared" si="5"/>
        <v>{ name: "Talus Plateau", landmark: "Named Location", type: "", region: 9, level: "Surface", x: 4445, y: -365, z: 0, zoom: [3,4], size: "L", weight: 1, details: "" },</v>
      </c>
    </row>
    <row r="334" spans="1:12" x14ac:dyDescent="0.2">
      <c r="A334" t="s">
        <v>1671</v>
      </c>
      <c r="C334" s="2">
        <v>9</v>
      </c>
      <c r="D334" s="2" t="s">
        <v>785</v>
      </c>
      <c r="E334" s="2">
        <v>2688</v>
      </c>
      <c r="F334" s="2">
        <v>764</v>
      </c>
      <c r="G334" s="2">
        <v>0</v>
      </c>
      <c r="H334" s="2" t="s">
        <v>2556</v>
      </c>
      <c r="I334" s="2" t="s">
        <v>2546</v>
      </c>
      <c r="J334" s="2">
        <v>1</v>
      </c>
      <c r="L334" t="str">
        <f t="shared" si="5"/>
        <v>{ name: "Ternio Trail", landmark: "Named Location", type: "", region: 9, level: "Surface", x: 2688, y: 764, z: 0, zoom: [3,4], size: "L", weight: 1, details: "" },</v>
      </c>
    </row>
    <row r="335" spans="1:12" x14ac:dyDescent="0.2">
      <c r="A335" t="s">
        <v>836</v>
      </c>
      <c r="C335" s="2">
        <v>9</v>
      </c>
      <c r="D335" s="2" t="s">
        <v>785</v>
      </c>
      <c r="E335" s="2">
        <v>4706</v>
      </c>
      <c r="F335" s="2">
        <v>1374</v>
      </c>
      <c r="G335" s="2">
        <v>0</v>
      </c>
      <c r="H335" s="2" t="s">
        <v>2556</v>
      </c>
      <c r="I335" s="2" t="s">
        <v>2545</v>
      </c>
      <c r="J335" s="2">
        <v>1</v>
      </c>
      <c r="L335" t="str">
        <f t="shared" si="5"/>
        <v>{ name: "Tingel Island", landmark: "Named Location", type: "", region: 9, level: "Surface", x: 4706, y: 1374, z: 0, zoom: [3,4], size: "M", weight: 1, details: "" },</v>
      </c>
    </row>
    <row r="336" spans="1:12" x14ac:dyDescent="0.2">
      <c r="A336" t="s">
        <v>1678</v>
      </c>
      <c r="C336" s="2">
        <v>9</v>
      </c>
      <c r="D336" s="2" t="s">
        <v>785</v>
      </c>
      <c r="E336" s="2">
        <v>3478</v>
      </c>
      <c r="F336" s="2">
        <v>890</v>
      </c>
      <c r="G336" s="2">
        <v>410</v>
      </c>
      <c r="H336" s="2" t="s">
        <v>2556</v>
      </c>
      <c r="I336" s="2" t="s">
        <v>2519</v>
      </c>
      <c r="J336" s="2">
        <v>1</v>
      </c>
      <c r="L336" t="str">
        <f t="shared" si="5"/>
        <v>{ name: "Toto Lake", landmark: "Named Location", type: "", region: 9, level: "Surface", x: 3478, y: 890, z: 410, zoom: [3,4], size: "S", weight: 1, details: "" },</v>
      </c>
    </row>
    <row r="337" spans="1:12" x14ac:dyDescent="0.2">
      <c r="A337" t="s">
        <v>1680</v>
      </c>
      <c r="C337" s="2">
        <v>9</v>
      </c>
      <c r="D337" s="2" t="s">
        <v>785</v>
      </c>
      <c r="E337" s="2">
        <v>2272</v>
      </c>
      <c r="F337" s="2">
        <v>710</v>
      </c>
      <c r="G337" s="2">
        <v>0</v>
      </c>
      <c r="H337" s="2" t="s">
        <v>2556</v>
      </c>
      <c r="I337" s="2" t="s">
        <v>2545</v>
      </c>
      <c r="J337" s="2">
        <v>1</v>
      </c>
      <c r="L337" t="str">
        <f t="shared" si="5"/>
        <v>{ name: "Trilby Valley", landmark: "Named Location", type: "", region: 9, level: "Surface", x: 2272, y: 710, z: 0, zoom: [3,4], size: "M", weight: 1, details: "" },</v>
      </c>
    </row>
    <row r="338" spans="1:12" x14ac:dyDescent="0.2">
      <c r="A338" t="s">
        <v>1686</v>
      </c>
      <c r="C338" s="2">
        <v>9</v>
      </c>
      <c r="D338" s="2" t="s">
        <v>785</v>
      </c>
      <c r="E338" s="2">
        <v>3951</v>
      </c>
      <c r="F338" s="2">
        <v>977</v>
      </c>
      <c r="G338" s="2">
        <v>0</v>
      </c>
      <c r="H338" s="2" t="s">
        <v>2556</v>
      </c>
      <c r="I338" s="2" t="s">
        <v>2545</v>
      </c>
      <c r="J338" s="2">
        <v>1</v>
      </c>
      <c r="L338" t="str">
        <f t="shared" si="5"/>
        <v>{ name: "Ukuku Plains", landmark: "Named Location", type: "", region: 9, level: "Surface", x: 3951, y: 977, z: 0, zoom: [3,4], size: "M", weight: 1, details: "" },</v>
      </c>
    </row>
    <row r="339" spans="1:12" x14ac:dyDescent="0.2">
      <c r="A339" t="s">
        <v>1088</v>
      </c>
      <c r="C339" s="2">
        <v>9</v>
      </c>
      <c r="D339" s="2" t="s">
        <v>785</v>
      </c>
      <c r="E339" s="2">
        <v>4186</v>
      </c>
      <c r="F339" s="2">
        <v>808</v>
      </c>
      <c r="G339" s="2">
        <v>0</v>
      </c>
      <c r="H339" s="2" t="s">
        <v>2556</v>
      </c>
      <c r="I339" s="2" t="s">
        <v>2545</v>
      </c>
      <c r="J339" s="2">
        <v>2</v>
      </c>
      <c r="L339" t="str">
        <f t="shared" si="5"/>
        <v>{ name: "Ulria Grotto", landmark: "Named Location", type: "", region: 9, level: "Surface", x: 4186, y: 808, z: 0, zoom: [3,4], size: "M", weight: 2, details: "" },</v>
      </c>
    </row>
    <row r="340" spans="1:12" x14ac:dyDescent="0.2">
      <c r="A340" t="s">
        <v>1089</v>
      </c>
      <c r="C340" s="2">
        <v>9</v>
      </c>
      <c r="D340" s="2" t="s">
        <v>785</v>
      </c>
      <c r="E340" s="2">
        <v>3137</v>
      </c>
      <c r="F340" s="2">
        <v>877</v>
      </c>
      <c r="G340" s="2">
        <v>0</v>
      </c>
      <c r="H340" s="2" t="s">
        <v>2556</v>
      </c>
      <c r="I340" s="2" t="s">
        <v>2545</v>
      </c>
      <c r="J340" s="2">
        <v>1</v>
      </c>
      <c r="L340" t="str">
        <f t="shared" si="5"/>
        <v>{ name: "Upland Zorana", landmark: "Named Location", type: "", region: 9, level: "Surface", x: 3137, y: 877, z: 0, zoom: [3,4], size: "M", weight: 1, details: "" },</v>
      </c>
    </row>
    <row r="341" spans="1:12" x14ac:dyDescent="0.2">
      <c r="A341" t="s">
        <v>1693</v>
      </c>
      <c r="C341" s="2">
        <v>9</v>
      </c>
      <c r="D341" s="2" t="s">
        <v>785</v>
      </c>
      <c r="E341" s="2">
        <v>3083</v>
      </c>
      <c r="F341" s="2">
        <v>456</v>
      </c>
      <c r="G341" s="2">
        <v>0</v>
      </c>
      <c r="H341" s="2" t="s">
        <v>2556</v>
      </c>
      <c r="I341" s="2" t="s">
        <v>2519</v>
      </c>
      <c r="J341" s="2">
        <v>1</v>
      </c>
      <c r="L341" t="str">
        <f t="shared" si="5"/>
        <v>{ name: "Veiled Falls", landmark: "Named Location", type: "", region: 9, level: "Surface", x: 3083, y: 456, z: 0, zoom: [3,4], size: "S", weight: 1, details: "" },</v>
      </c>
    </row>
    <row r="342" spans="1:12" x14ac:dyDescent="0.2">
      <c r="A342" t="s">
        <v>1709</v>
      </c>
      <c r="C342" s="2">
        <v>9</v>
      </c>
      <c r="D342" s="2" t="s">
        <v>785</v>
      </c>
      <c r="E342" s="2">
        <v>3588</v>
      </c>
      <c r="F342" s="2">
        <v>1024</v>
      </c>
      <c r="G342" s="2">
        <v>0</v>
      </c>
      <c r="H342" s="2" t="s">
        <v>2556</v>
      </c>
      <c r="I342" s="2" t="s">
        <v>2519</v>
      </c>
      <c r="J342" s="2">
        <v>2</v>
      </c>
      <c r="L342" t="str">
        <f t="shared" si="5"/>
        <v>{ name: "West Sokkala Bridge", landmark: "Named Location", type: "", region: 9, level: "Surface", x: 3588, y: 1024, z: 0, zoom: [3,4], size: "S", weight: 2, details: "" },</v>
      </c>
    </row>
    <row r="343" spans="1:12" x14ac:dyDescent="0.2">
      <c r="A343" t="s">
        <v>1726</v>
      </c>
      <c r="C343" s="2">
        <v>9</v>
      </c>
      <c r="D343" s="2" t="s">
        <v>785</v>
      </c>
      <c r="E343" s="2">
        <v>2729</v>
      </c>
      <c r="F343" s="2">
        <v>-119</v>
      </c>
      <c r="G343" s="2">
        <v>0</v>
      </c>
      <c r="H343" s="2" t="s">
        <v>2556</v>
      </c>
      <c r="I343" s="2" t="s">
        <v>2546</v>
      </c>
      <c r="J343" s="2">
        <v>1</v>
      </c>
      <c r="L343" t="str">
        <f t="shared" si="5"/>
        <v>{ name: "Zodobon Highlands", landmark: "Named Location", type: "", region: 9, level: "Surface", x: 2729, y: -119, z: 0, zoom: [3,4], size: "L", weight: 1, details: "" },</v>
      </c>
    </row>
    <row r="344" spans="1:12" x14ac:dyDescent="0.2">
      <c r="A344" t="s">
        <v>1091</v>
      </c>
      <c r="C344" s="2">
        <v>9</v>
      </c>
      <c r="D344" s="2" t="s">
        <v>785</v>
      </c>
      <c r="E344" s="2">
        <v>2658</v>
      </c>
      <c r="F344" s="2">
        <v>364</v>
      </c>
      <c r="G344" s="2">
        <v>0</v>
      </c>
      <c r="H344" s="2" t="s">
        <v>2556</v>
      </c>
      <c r="I344" s="2" t="s">
        <v>2519</v>
      </c>
      <c r="J344" s="2">
        <v>1</v>
      </c>
      <c r="L344" t="str">
        <f t="shared" si="5"/>
        <v>{ name: "Zora River", landmark: "Named Location", type: "", region: 9, level: "Surface", x: 2658, y: 364, z: 0, zoom: [3,4], size: "S", weight: 1, details: "" },</v>
      </c>
    </row>
    <row r="345" spans="1:12" x14ac:dyDescent="0.2">
      <c r="A345" s="25" t="s">
        <v>1096</v>
      </c>
      <c r="C345" s="2">
        <v>10</v>
      </c>
      <c r="D345" s="2" t="s">
        <v>994</v>
      </c>
      <c r="E345" s="2">
        <v>1836</v>
      </c>
      <c r="F345" s="2">
        <v>-1238</v>
      </c>
      <c r="G345" s="2">
        <v>-566</v>
      </c>
      <c r="H345" s="2" t="s">
        <v>2559</v>
      </c>
      <c r="I345" s="2" t="s">
        <v>2545</v>
      </c>
      <c r="J345" s="2">
        <v>4</v>
      </c>
      <c r="L345" t="str">
        <f t="shared" si="5"/>
        <v>{ name: "Abandoned Kakariko Mine", landmark: "Named Location", type: "", region: 10, level: "Depths", x: 1836, y: -1238, z: -566, zoom: [1,2,3,4], size: "M", weight: 4, details: "" },</v>
      </c>
    </row>
    <row r="346" spans="1:12" x14ac:dyDescent="0.2">
      <c r="A346" t="s">
        <v>1178</v>
      </c>
      <c r="C346" s="2">
        <v>10</v>
      </c>
      <c r="D346" s="2" t="s">
        <v>994</v>
      </c>
      <c r="E346" s="2">
        <v>1154</v>
      </c>
      <c r="F346" s="2">
        <v>381</v>
      </c>
      <c r="G346" s="2">
        <v>-523</v>
      </c>
      <c r="H346" s="2" t="s">
        <v>2556</v>
      </c>
      <c r="I346" s="2" t="s">
        <v>2519</v>
      </c>
      <c r="J346" s="2">
        <v>2</v>
      </c>
      <c r="L346" t="str">
        <f t="shared" si="5"/>
        <v>{ name: "Crenel Canyon Mine", landmark: "Named Location", type: "", region: 10, level: "Depths", x: 1154, y: 381, z: -523, zoom: [3,4], size: "S", weight: 2, details: "" },</v>
      </c>
    </row>
    <row r="347" spans="1:12" x14ac:dyDescent="0.2">
      <c r="A347" t="s">
        <v>1219</v>
      </c>
      <c r="C347" s="2">
        <v>10</v>
      </c>
      <c r="D347" s="2" t="s">
        <v>994</v>
      </c>
      <c r="E347" s="2">
        <v>1285</v>
      </c>
      <c r="F347" s="2">
        <v>-1811</v>
      </c>
      <c r="G347" s="2">
        <v>-784</v>
      </c>
      <c r="H347" s="2" t="s">
        <v>2556</v>
      </c>
      <c r="I347" s="2" t="s">
        <v>2519</v>
      </c>
      <c r="J347" s="2">
        <v>2</v>
      </c>
      <c r="L347" t="str">
        <f t="shared" si="5"/>
        <v>{ name: "Dueling Canyons Mine", landmark: "Named Location", type: "", region: 10, level: "Depths", x: 1285, y: -1811, z: -784, zoom: [3,4], size: "S", weight: 2, details: "" },</v>
      </c>
    </row>
    <row r="348" spans="1:12" x14ac:dyDescent="0.2">
      <c r="A348" t="s">
        <v>1568</v>
      </c>
      <c r="C348" s="2">
        <v>10</v>
      </c>
      <c r="D348" s="2" t="s">
        <v>994</v>
      </c>
      <c r="E348" s="2">
        <v>1144</v>
      </c>
      <c r="F348" s="2">
        <v>-2117</v>
      </c>
      <c r="G348" s="2">
        <v>-440</v>
      </c>
      <c r="H348" s="2" t="s">
        <v>2556</v>
      </c>
      <c r="I348" s="2" t="s">
        <v>2519</v>
      </c>
      <c r="J348" s="2">
        <v>1</v>
      </c>
      <c r="L348" t="str">
        <f t="shared" si="5"/>
        <v>{ name: "Right-Leg Depot", landmark: "Named Location", type: "", region: 10, level: "Depths", x: 1144, y: -2117, z: -440, zoom: [3,4], size: "S", weight: 1, details: "" },</v>
      </c>
    </row>
    <row r="349" spans="1:12" x14ac:dyDescent="0.2">
      <c r="A349" s="25" t="s">
        <v>1004</v>
      </c>
      <c r="B349" t="s">
        <v>2542</v>
      </c>
      <c r="C349" s="2">
        <v>10</v>
      </c>
      <c r="D349" s="2" t="s">
        <v>783</v>
      </c>
      <c r="E349" s="2">
        <v>1795</v>
      </c>
      <c r="F349" s="2">
        <v>-864</v>
      </c>
      <c r="G349" s="2">
        <v>2000</v>
      </c>
      <c r="H349" s="2" t="s">
        <v>2832</v>
      </c>
      <c r="I349" s="2" t="s">
        <v>2546</v>
      </c>
      <c r="J349" s="2">
        <v>1</v>
      </c>
      <c r="L349" t="str">
        <f t="shared" si="5"/>
        <v>{ name: "North Necluda Sky Archipelago", landmark: "Named Location", type: "Subregion", region: 10, level: "Sky", x: 1795, y: -864, z: 2000, zoom: [2,3,4], size: "L", weight: 1, details: "" },</v>
      </c>
    </row>
    <row r="350" spans="1:12" x14ac:dyDescent="0.2">
      <c r="A350" s="25" t="s">
        <v>1017</v>
      </c>
      <c r="B350" t="s">
        <v>2542</v>
      </c>
      <c r="C350" s="2">
        <v>10</v>
      </c>
      <c r="D350" s="2" t="s">
        <v>783</v>
      </c>
      <c r="E350" s="2">
        <v>1295</v>
      </c>
      <c r="F350" s="2">
        <v>-2347</v>
      </c>
      <c r="G350" s="2">
        <v>2000</v>
      </c>
      <c r="H350" s="2" t="s">
        <v>2832</v>
      </c>
      <c r="I350" s="2" t="s">
        <v>2546</v>
      </c>
      <c r="J350" s="2">
        <v>1</v>
      </c>
      <c r="L350" t="str">
        <f t="shared" si="5"/>
        <v>{ name: "West Necluda Sky Archipelago", landmark: "Named Location", type: "Subregion", region: 10, level: "Sky", x: 1295, y: -2347, z: 2000, zoom: [2,3,4], size: "L", weight: 1, details: "" },</v>
      </c>
    </row>
    <row r="351" spans="1:12" x14ac:dyDescent="0.2">
      <c r="A351" s="25" t="s">
        <v>1018</v>
      </c>
      <c r="C351" s="2">
        <v>10</v>
      </c>
      <c r="D351" s="2" t="s">
        <v>783</v>
      </c>
      <c r="E351" s="2">
        <v>2350</v>
      </c>
      <c r="F351" s="2">
        <v>-1890</v>
      </c>
      <c r="G351" s="2">
        <v>1475</v>
      </c>
      <c r="H351" s="2" t="s">
        <v>2556</v>
      </c>
      <c r="I351" s="2" t="s">
        <v>2546</v>
      </c>
      <c r="J351" s="2">
        <v>2</v>
      </c>
      <c r="L351" t="str">
        <f t="shared" si="5"/>
        <v>{ name: "Zonaite Forge Island", landmark: "Named Location", type: "", region: 10, level: "Sky", x: 2350, y: -1890, z: 1475, zoom: [3,4], size: "L", weight: 2, details: "" },</v>
      </c>
    </row>
    <row r="352" spans="1:12" x14ac:dyDescent="0.2">
      <c r="A352" t="s">
        <v>1500</v>
      </c>
      <c r="B352" t="s">
        <v>2543</v>
      </c>
      <c r="C352" s="2">
        <v>10</v>
      </c>
      <c r="D352" s="2" t="s">
        <v>785</v>
      </c>
      <c r="E352" s="2">
        <v>2501</v>
      </c>
      <c r="F352" s="2">
        <v>-1472</v>
      </c>
      <c r="G352" s="2">
        <v>0</v>
      </c>
      <c r="H352" s="2">
        <v>1</v>
      </c>
      <c r="I352" s="2" t="s">
        <v>2546</v>
      </c>
      <c r="J352" s="2">
        <v>1</v>
      </c>
      <c r="L352" t="str">
        <f t="shared" si="5"/>
        <v>{ name: "Necluda", landmark: "Named Location", type: "Province", region: 10, level: "Surface", x: 2501, y: -1472, z: 0, zoom: 1, size: "L", weight: 1, details: "" },</v>
      </c>
    </row>
    <row r="353" spans="1:12" x14ac:dyDescent="0.2">
      <c r="A353" t="s">
        <v>803</v>
      </c>
      <c r="B353" t="s">
        <v>8</v>
      </c>
      <c r="C353" s="2">
        <v>10</v>
      </c>
      <c r="D353" s="2" t="s">
        <v>785</v>
      </c>
      <c r="E353" s="2">
        <v>1826</v>
      </c>
      <c r="F353" s="2">
        <v>-59</v>
      </c>
      <c r="G353" s="2">
        <v>0</v>
      </c>
      <c r="H353" s="2">
        <v>2</v>
      </c>
      <c r="I353" s="2" t="s">
        <v>2545</v>
      </c>
      <c r="J353" s="2">
        <v>1</v>
      </c>
      <c r="L353" t="str">
        <f t="shared" si="5"/>
        <v>{ name: "Lanayru Wetlands", landmark: "Named Location", type: "Region", region: 10, level: "Surface", x: 1826, y: -59, z: 0, zoom: 2, size: "M", weight: 1, details: "" },</v>
      </c>
    </row>
    <row r="354" spans="1:12" x14ac:dyDescent="0.2">
      <c r="A354" t="s">
        <v>806</v>
      </c>
      <c r="B354" t="s">
        <v>8</v>
      </c>
      <c r="C354" s="2">
        <v>10</v>
      </c>
      <c r="D354" s="2" t="s">
        <v>785</v>
      </c>
      <c r="E354" s="2">
        <v>1297</v>
      </c>
      <c r="F354" s="2">
        <v>-1525</v>
      </c>
      <c r="G354" s="2">
        <v>0</v>
      </c>
      <c r="H354" s="2">
        <v>2</v>
      </c>
      <c r="I354" s="2" t="s">
        <v>2545</v>
      </c>
      <c r="J354" s="2">
        <v>1</v>
      </c>
      <c r="L354" t="str">
        <f t="shared" si="5"/>
        <v>{ name: "West Necluda", landmark: "Named Location", type: "Region", region: 10, level: "Surface", x: 1297, y: -1525, z: 0, zoom: 2, size: "M", weight: 1, details: "" },</v>
      </c>
    </row>
    <row r="355" spans="1:12" x14ac:dyDescent="0.2">
      <c r="A355" t="s">
        <v>1129</v>
      </c>
      <c r="C355" s="2">
        <v>10</v>
      </c>
      <c r="D355" s="2" t="s">
        <v>785</v>
      </c>
      <c r="E355" s="2">
        <v>1774</v>
      </c>
      <c r="F355" s="2">
        <v>-384</v>
      </c>
      <c r="G355" s="2">
        <v>0</v>
      </c>
      <c r="H355" s="2" t="s">
        <v>2556</v>
      </c>
      <c r="I355" s="2" t="s">
        <v>2545</v>
      </c>
      <c r="J355" s="2">
        <v>1</v>
      </c>
      <c r="L355" t="str">
        <f t="shared" si="5"/>
        <v>{ name: "Bannan Island", landmark: "Named Location", type: "", region: 10, level: "Surface", x: 1774, y: -384, z: 0, zoom: [3,4], size: "M", weight: 1, details: "" },</v>
      </c>
    </row>
    <row r="356" spans="1:12" x14ac:dyDescent="0.2">
      <c r="A356" t="s">
        <v>1134</v>
      </c>
      <c r="C356" s="2">
        <v>10</v>
      </c>
      <c r="D356" s="2" t="s">
        <v>785</v>
      </c>
      <c r="E356" s="2">
        <v>1673</v>
      </c>
      <c r="F356" s="2">
        <v>-2033</v>
      </c>
      <c r="G356" s="2">
        <v>-22</v>
      </c>
      <c r="H356" s="2" t="s">
        <v>2556</v>
      </c>
      <c r="I356" s="2" t="s">
        <v>2519</v>
      </c>
      <c r="J356" s="2">
        <v>1</v>
      </c>
      <c r="L356" t="str">
        <f t="shared" si="5"/>
        <v>{ name: "Big Twin Bridge", landmark: "Named Location", type: "", region: 10, level: "Surface", x: 1673, y: -2033, z: -22, zoom: [3,4], size: "S", weight: 1, details: "" },</v>
      </c>
    </row>
    <row r="357" spans="1:12" x14ac:dyDescent="0.2">
      <c r="A357" t="s">
        <v>1139</v>
      </c>
      <c r="C357" s="2">
        <v>10</v>
      </c>
      <c r="D357" s="2" t="s">
        <v>785</v>
      </c>
      <c r="E357" s="2">
        <v>2084</v>
      </c>
      <c r="F357" s="2">
        <v>14</v>
      </c>
      <c r="G357" s="2">
        <v>0</v>
      </c>
      <c r="H357" s="2" t="s">
        <v>2556</v>
      </c>
      <c r="I357" s="2" t="s">
        <v>2519</v>
      </c>
      <c r="J357" s="2">
        <v>1</v>
      </c>
      <c r="L357" t="str">
        <f t="shared" si="5"/>
        <v>{ name: "Boné Pond", landmark: "Named Location", type: "", region: 10, level: "Surface", x: 2084, y: 14, z: 0, zoom: [3,4], size: "S", weight: 1, details: "" },</v>
      </c>
    </row>
    <row r="358" spans="1:12" x14ac:dyDescent="0.2">
      <c r="A358" t="s">
        <v>1142</v>
      </c>
      <c r="C358" s="2">
        <v>10</v>
      </c>
      <c r="D358" s="2" t="s">
        <v>785</v>
      </c>
      <c r="E358" s="2">
        <v>2153</v>
      </c>
      <c r="F358" s="2">
        <v>-1130</v>
      </c>
      <c r="G358" s="2">
        <v>0</v>
      </c>
      <c r="H358" s="2" t="s">
        <v>2556</v>
      </c>
      <c r="I358" s="2" t="s">
        <v>2546</v>
      </c>
      <c r="J358" s="2">
        <v>1</v>
      </c>
      <c r="L358" t="str">
        <f t="shared" si="5"/>
        <v>{ name: "Bonooru's Stand", landmark: "Named Location", type: "", region: 10, level: "Surface", x: 2153, y: -1130, z: 0, zoom: [3,4], size: "L", weight: 1, details: "" },</v>
      </c>
    </row>
    <row r="359" spans="1:12" x14ac:dyDescent="0.2">
      <c r="A359" t="s">
        <v>1179</v>
      </c>
      <c r="C359" s="2">
        <v>10</v>
      </c>
      <c r="D359" s="2" t="s">
        <v>785</v>
      </c>
      <c r="E359" s="2">
        <v>681</v>
      </c>
      <c r="F359" s="2">
        <v>909</v>
      </c>
      <c r="G359" s="2">
        <v>0</v>
      </c>
      <c r="H359" s="2" t="s">
        <v>2556</v>
      </c>
      <c r="I359" s="2" t="s">
        <v>2546</v>
      </c>
      <c r="J359" s="2">
        <v>1</v>
      </c>
      <c r="L359" t="str">
        <f t="shared" si="5"/>
        <v>{ name: "Crenel Hills", landmark: "Named Location", type: "", region: 10, level: "Surface", x: 681, y: 909, z: 0, zoom: [3,4], size: "L", weight: 1, details: "" },</v>
      </c>
    </row>
    <row r="360" spans="1:12" x14ac:dyDescent="0.2">
      <c r="A360" t="s">
        <v>1180</v>
      </c>
      <c r="C360" s="2">
        <v>10</v>
      </c>
      <c r="D360" s="2" t="s">
        <v>785</v>
      </c>
      <c r="E360" s="2">
        <v>1170</v>
      </c>
      <c r="F360" s="2">
        <v>419</v>
      </c>
      <c r="G360" s="2">
        <v>0</v>
      </c>
      <c r="H360" s="2" t="s">
        <v>2556</v>
      </c>
      <c r="I360" s="2" t="s">
        <v>2546</v>
      </c>
      <c r="J360" s="2">
        <v>1</v>
      </c>
      <c r="L360" t="str">
        <f t="shared" si="5"/>
        <v>{ name: "Crenel Peak", landmark: "Named Location", type: "", region: 10, level: "Surface", x: 1170, y: 419, z: 0, zoom: [3,4], size: "L", weight: 1, details: "" },</v>
      </c>
    </row>
    <row r="361" spans="1:12" x14ac:dyDescent="0.2">
      <c r="A361" t="s">
        <v>1220</v>
      </c>
      <c r="C361" s="2">
        <v>10</v>
      </c>
      <c r="D361" s="2" t="s">
        <v>785</v>
      </c>
      <c r="E361" s="2">
        <v>1358</v>
      </c>
      <c r="F361" s="2">
        <v>-1782</v>
      </c>
      <c r="G361" s="2">
        <v>0</v>
      </c>
      <c r="H361" s="2" t="s">
        <v>2556</v>
      </c>
      <c r="I361" s="2" t="s">
        <v>2546</v>
      </c>
      <c r="J361" s="2">
        <v>1</v>
      </c>
      <c r="L361" t="str">
        <f t="shared" si="5"/>
        <v>{ name: "Dueling Peaks", landmark: "Named Location", type: "", region: 10, level: "Surface", x: 1358, y: -1782, z: 0, zoom: [3,4], size: "L", weight: 1, details: "" },</v>
      </c>
    </row>
    <row r="362" spans="1:12" x14ac:dyDescent="0.2">
      <c r="A362" t="s">
        <v>845</v>
      </c>
      <c r="C362" s="2">
        <v>10</v>
      </c>
      <c r="D362" s="2" t="s">
        <v>785</v>
      </c>
      <c r="E362" s="2">
        <v>1869</v>
      </c>
      <c r="F362" s="2">
        <v>-807</v>
      </c>
      <c r="G362" s="2">
        <v>154</v>
      </c>
      <c r="H362" s="2" t="s">
        <v>2556</v>
      </c>
      <c r="I362" s="2" t="s">
        <v>2546</v>
      </c>
      <c r="J362" s="2">
        <v>1</v>
      </c>
      <c r="L362" t="str">
        <f t="shared" si="5"/>
        <v>{ name: "East Hill", landmark: "Named Location", type: "", region: 10, level: "Surface", x: 1869, y: -807, z: 154, zoom: [3,4], size: "L", weight: 1, details: "" },</v>
      </c>
    </row>
    <row r="363" spans="1:12" x14ac:dyDescent="0.2">
      <c r="A363" t="s">
        <v>1265</v>
      </c>
      <c r="C363" s="2">
        <v>10</v>
      </c>
      <c r="D363" s="2" t="s">
        <v>785</v>
      </c>
      <c r="E363" s="2">
        <v>854</v>
      </c>
      <c r="F363" s="2">
        <v>-837</v>
      </c>
      <c r="G363" s="2">
        <v>-46</v>
      </c>
      <c r="H363" s="2" t="s">
        <v>2556</v>
      </c>
      <c r="I363" s="2" t="s">
        <v>2519</v>
      </c>
      <c r="J363" s="2">
        <v>1</v>
      </c>
      <c r="L363" t="str">
        <f t="shared" si="5"/>
        <v>{ name: "Floret Sandbar", landmark: "Named Location", type: "", region: 10, level: "Surface", x: 854, y: -837, z: -46, zoom: [3,4], size: "S", weight: 1, details: "" },</v>
      </c>
    </row>
    <row r="364" spans="1:12" x14ac:dyDescent="0.2">
      <c r="A364" t="s">
        <v>1274</v>
      </c>
      <c r="C364" s="2">
        <v>10</v>
      </c>
      <c r="D364" s="2" t="s">
        <v>785</v>
      </c>
      <c r="E364" s="2">
        <v>2324</v>
      </c>
      <c r="F364" s="2">
        <v>-1837</v>
      </c>
      <c r="G364" s="2">
        <v>-28</v>
      </c>
      <c r="H364" s="2" t="s">
        <v>2556</v>
      </c>
      <c r="I364" s="2" t="s">
        <v>2519</v>
      </c>
      <c r="J364" s="2">
        <v>1</v>
      </c>
      <c r="L364" t="str">
        <f t="shared" si="5"/>
        <v>{ name: "Fort Hateno", landmark: "Named Location", type: "", region: 10, level: "Surface", x: 2324, y: -1837, z: -28, zoom: [3,4], size: "S", weight: 1, details: "" },</v>
      </c>
    </row>
    <row r="365" spans="1:12" x14ac:dyDescent="0.2">
      <c r="A365" t="s">
        <v>1297</v>
      </c>
      <c r="C365" s="2">
        <v>10</v>
      </c>
      <c r="D365" s="2" t="s">
        <v>785</v>
      </c>
      <c r="E365" s="2">
        <v>1554</v>
      </c>
      <c r="F365" s="2">
        <v>-355</v>
      </c>
      <c r="G365" s="2">
        <v>0</v>
      </c>
      <c r="H365" s="2" t="s">
        <v>2556</v>
      </c>
      <c r="I365" s="2" t="s">
        <v>2545</v>
      </c>
      <c r="J365" s="2">
        <v>1</v>
      </c>
      <c r="L365" t="str">
        <f t="shared" si="5"/>
        <v>{ name: "Goponga Island", landmark: "Named Location", type: "", region: 10, level: "Surface", x: 1554, y: -355, z: 0, zoom: [3,4], size: "M", weight: 1, details: "" },</v>
      </c>
    </row>
    <row r="366" spans="1:12" x14ac:dyDescent="0.2">
      <c r="A366" t="s">
        <v>1298</v>
      </c>
      <c r="C366" s="2">
        <v>10</v>
      </c>
      <c r="D366" s="2" t="s">
        <v>785</v>
      </c>
      <c r="E366" s="2">
        <v>1620</v>
      </c>
      <c r="F366" s="2">
        <v>-282</v>
      </c>
      <c r="G366" s="2">
        <v>4</v>
      </c>
      <c r="H366" s="2" t="s">
        <v>2556</v>
      </c>
      <c r="I366" s="2" t="s">
        <v>2519</v>
      </c>
      <c r="J366" s="2">
        <v>1</v>
      </c>
      <c r="L366" t="str">
        <f t="shared" si="5"/>
        <v>{ name: "Goponga Village Ruins", landmark: "Named Location", type: "", region: 10, level: "Surface", x: 1620, y: -282, z: 4, zoom: [3,4], size: "S", weight: 1, details: "" },</v>
      </c>
    </row>
    <row r="367" spans="1:12" x14ac:dyDescent="0.2">
      <c r="A367" t="s">
        <v>1381</v>
      </c>
      <c r="C367" s="2">
        <v>10</v>
      </c>
      <c r="D367" s="2" t="s">
        <v>785</v>
      </c>
      <c r="E367" s="2">
        <v>1787</v>
      </c>
      <c r="F367" s="2">
        <v>-1537</v>
      </c>
      <c r="G367" s="2">
        <v>26</v>
      </c>
      <c r="H367" s="2" t="s">
        <v>2556</v>
      </c>
      <c r="I367" s="2" t="s">
        <v>2519</v>
      </c>
      <c r="J367" s="2">
        <v>1</v>
      </c>
      <c r="L367" t="str">
        <f t="shared" si="5"/>
        <v>{ name: "Kakariko Bridge", landmark: "Named Location", type: "", region: 10, level: "Surface", x: 1787, y: -1537, z: 26, zoom: [3,4], size: "S", weight: 1, details: "" },</v>
      </c>
    </row>
    <row r="368" spans="1:12" x14ac:dyDescent="0.2">
      <c r="A368" t="s">
        <v>1390</v>
      </c>
      <c r="C368" s="2">
        <v>10</v>
      </c>
      <c r="D368" s="2" t="s">
        <v>785</v>
      </c>
      <c r="E368" s="2">
        <v>2025</v>
      </c>
      <c r="F368" s="2">
        <v>-146</v>
      </c>
      <c r="G368" s="2">
        <v>0</v>
      </c>
      <c r="H368" s="2" t="s">
        <v>2556</v>
      </c>
      <c r="I368" s="2" t="s">
        <v>2545</v>
      </c>
      <c r="J368" s="2">
        <v>1</v>
      </c>
      <c r="L368" t="str">
        <f t="shared" si="5"/>
        <v>{ name: "Kincean Island", landmark: "Named Location", type: "", region: 10, level: "Surface", x: 2025, y: -146, z: 0, zoom: [3,4], size: "M", weight: 1, details: "" },</v>
      </c>
    </row>
    <row r="369" spans="1:12" x14ac:dyDescent="0.2">
      <c r="A369" t="s">
        <v>1412</v>
      </c>
      <c r="C369" s="2">
        <v>10</v>
      </c>
      <c r="D369" s="2" t="s">
        <v>785</v>
      </c>
      <c r="E369" s="2">
        <v>1625</v>
      </c>
      <c r="F369" s="2">
        <v>-1389</v>
      </c>
      <c r="G369" s="2">
        <v>0</v>
      </c>
      <c r="H369" s="2" t="s">
        <v>2556</v>
      </c>
      <c r="I369" s="2" t="s">
        <v>2519</v>
      </c>
      <c r="J369" s="2">
        <v>1</v>
      </c>
      <c r="L369" t="str">
        <f t="shared" si="5"/>
        <v>{ name: "Lake Siela", landmark: "Named Location", type: "", region: 10, level: "Surface", x: 1625, y: -1389, z: 0, zoom: [3,4], size: "S", weight: 1, details: "" },</v>
      </c>
    </row>
    <row r="370" spans="1:12" x14ac:dyDescent="0.2">
      <c r="A370" t="s">
        <v>1419</v>
      </c>
      <c r="C370" s="2">
        <v>10</v>
      </c>
      <c r="D370" s="2" t="s">
        <v>785</v>
      </c>
      <c r="E370" s="2">
        <v>2799</v>
      </c>
      <c r="F370" s="2">
        <v>-918</v>
      </c>
      <c r="G370" s="2">
        <v>0</v>
      </c>
      <c r="H370" s="2" t="s">
        <v>2556</v>
      </c>
      <c r="I370" s="2" t="s">
        <v>2545</v>
      </c>
      <c r="J370" s="2">
        <v>1</v>
      </c>
      <c r="L370" t="str">
        <f t="shared" si="5"/>
        <v>{ name: "Lanayru Heights", landmark: "Named Location", type: "", region: 10, level: "Surface", x: 2799, y: -918, z: 0, zoom: [3,4], size: "M", weight: 1, details: "" },</v>
      </c>
    </row>
    <row r="371" spans="1:12" x14ac:dyDescent="0.2">
      <c r="A371" t="s">
        <v>1420</v>
      </c>
      <c r="C371" s="2">
        <v>10</v>
      </c>
      <c r="D371" s="2" t="s">
        <v>785</v>
      </c>
      <c r="E371" s="2">
        <v>2718</v>
      </c>
      <c r="F371" s="2">
        <v>-1117</v>
      </c>
      <c r="G371" s="2">
        <v>-24</v>
      </c>
      <c r="H371" s="2" t="s">
        <v>2556</v>
      </c>
      <c r="I371" s="2" t="s">
        <v>2519</v>
      </c>
      <c r="J371" s="2">
        <v>1</v>
      </c>
      <c r="L371" t="str">
        <f t="shared" si="5"/>
        <v>{ name: "Lanayru Promenade", landmark: "Named Location", type: "", region: 10, level: "Surface", x: 2718, y: -1117, z: -24, zoom: [3,4], size: "S", weight: 1, details: "" },</v>
      </c>
    </row>
    <row r="372" spans="1:12" x14ac:dyDescent="0.2">
      <c r="A372" t="s">
        <v>1047</v>
      </c>
      <c r="C372" s="2">
        <v>10</v>
      </c>
      <c r="D372" s="2" t="s">
        <v>785</v>
      </c>
      <c r="E372" s="2">
        <v>2299</v>
      </c>
      <c r="F372" s="2">
        <v>-714</v>
      </c>
      <c r="G372" s="2">
        <v>192</v>
      </c>
      <c r="H372" s="2" t="s">
        <v>2556</v>
      </c>
      <c r="I372" s="2" t="s">
        <v>2519</v>
      </c>
      <c r="J372" s="2">
        <v>1</v>
      </c>
      <c r="L372" t="str">
        <f t="shared" si="5"/>
        <v>{ name: "Lanayru Road - West Gate", landmark: "Named Location", type: "", region: 10, level: "Surface", x: 2299, y: -714, z: 192, zoom: [3,4], size: "S", weight: 1, details: "" },</v>
      </c>
    </row>
    <row r="373" spans="1:12" x14ac:dyDescent="0.2">
      <c r="A373" t="s">
        <v>1426</v>
      </c>
      <c r="C373" s="2">
        <v>10</v>
      </c>
      <c r="D373" s="2" t="s">
        <v>785</v>
      </c>
      <c r="E373" s="2">
        <v>1711</v>
      </c>
      <c r="F373" s="2">
        <v>-948</v>
      </c>
      <c r="G373" s="2">
        <v>0</v>
      </c>
      <c r="H373" s="2" t="s">
        <v>2556</v>
      </c>
      <c r="I373" s="2" t="s">
        <v>2519</v>
      </c>
      <c r="J373" s="2">
        <v>1</v>
      </c>
      <c r="L373" t="str">
        <f t="shared" si="5"/>
        <v>{ name: "Lantern Lake", landmark: "Named Location", type: "", region: 10, level: "Surface", x: 1711, y: -948, z: 0, zoom: [3,4], size: "S", weight: 1, details: "" },</v>
      </c>
    </row>
    <row r="374" spans="1:12" x14ac:dyDescent="0.2">
      <c r="A374" t="s">
        <v>1433</v>
      </c>
      <c r="C374" s="2">
        <v>10</v>
      </c>
      <c r="D374" s="2" t="s">
        <v>785</v>
      </c>
      <c r="E374" s="2">
        <v>1746</v>
      </c>
      <c r="F374" s="2">
        <v>-91</v>
      </c>
      <c r="G374" s="2">
        <v>0</v>
      </c>
      <c r="H374" s="2" t="s">
        <v>2556</v>
      </c>
      <c r="I374" s="2" t="s">
        <v>2545</v>
      </c>
      <c r="J374" s="2">
        <v>1</v>
      </c>
      <c r="L374" t="str">
        <f t="shared" si="5"/>
        <v>{ name: "Linebeck Island", landmark: "Named Location", type: "", region: 10, level: "Surface", x: 1746, y: -91, z: 0, zoom: [3,4], size: "M", weight: 1, details: "" },</v>
      </c>
    </row>
    <row r="375" spans="1:12" x14ac:dyDescent="0.2">
      <c r="A375" t="s">
        <v>1453</v>
      </c>
      <c r="C375" s="2">
        <v>10</v>
      </c>
      <c r="D375" s="2" t="s">
        <v>785</v>
      </c>
      <c r="E375" s="2">
        <v>1337</v>
      </c>
      <c r="F375" s="2">
        <v>-1424</v>
      </c>
      <c r="G375" s="2">
        <v>0</v>
      </c>
      <c r="H375" s="2" t="s">
        <v>2556</v>
      </c>
      <c r="I375" s="2" t="s">
        <v>2546</v>
      </c>
      <c r="J375" s="2">
        <v>1</v>
      </c>
      <c r="L375" t="str">
        <f t="shared" si="5"/>
        <v>{ name: "Mable Ridge", landmark: "Named Location", type: "", region: 10, level: "Surface", x: 1337, y: -1424, z: 0, zoom: [3,4], size: "L", weight: 1, details: "" },</v>
      </c>
    </row>
    <row r="376" spans="1:12" x14ac:dyDescent="0.2">
      <c r="A376" t="s">
        <v>1054</v>
      </c>
      <c r="C376" s="2">
        <v>10</v>
      </c>
      <c r="D376" s="2" t="s">
        <v>785</v>
      </c>
      <c r="E376" s="2">
        <v>1713</v>
      </c>
      <c r="F376" s="2">
        <v>131</v>
      </c>
      <c r="G376" s="2">
        <v>0</v>
      </c>
      <c r="H376" s="2" t="s">
        <v>2556</v>
      </c>
      <c r="I376" s="2" t="s">
        <v>2545</v>
      </c>
      <c r="J376" s="2">
        <v>1</v>
      </c>
      <c r="L376" t="str">
        <f t="shared" si="5"/>
        <v>{ name: "Mercay Island", landmark: "Named Location", type: "", region: 10, level: "Surface", x: 1713, y: 131, z: 0, zoom: [3,4], size: "M", weight: 1, details: "" },</v>
      </c>
    </row>
    <row r="377" spans="1:12" x14ac:dyDescent="0.2">
      <c r="A377" t="s">
        <v>1474</v>
      </c>
      <c r="C377" s="2">
        <v>10</v>
      </c>
      <c r="D377" s="2" t="s">
        <v>785</v>
      </c>
      <c r="E377" s="2">
        <v>1309</v>
      </c>
      <c r="F377" s="2">
        <v>-542</v>
      </c>
      <c r="G377" s="2">
        <v>0</v>
      </c>
      <c r="H377" s="2" t="s">
        <v>2556</v>
      </c>
      <c r="I377" s="2" t="s">
        <v>2545</v>
      </c>
      <c r="J377" s="2">
        <v>1</v>
      </c>
      <c r="L377" t="str">
        <f t="shared" si="5"/>
        <v>{ name: "Millennio Sandbar", landmark: "Named Location", type: "", region: 10, level: "Surface", x: 1309, y: -542, z: 0, zoom: [3,4], size: "M", weight: 1, details: "" },</v>
      </c>
    </row>
    <row r="378" spans="1:12" x14ac:dyDescent="0.2">
      <c r="A378" t="s">
        <v>1481</v>
      </c>
      <c r="C378" s="2">
        <v>10</v>
      </c>
      <c r="D378" s="2" t="s">
        <v>785</v>
      </c>
      <c r="E378" s="2">
        <v>1843</v>
      </c>
      <c r="F378" s="2">
        <v>-207</v>
      </c>
      <c r="G378" s="2">
        <v>0</v>
      </c>
      <c r="H378" s="2" t="s">
        <v>2556</v>
      </c>
      <c r="I378" s="2" t="s">
        <v>2545</v>
      </c>
      <c r="J378" s="2">
        <v>1</v>
      </c>
      <c r="L378" t="str">
        <f t="shared" si="5"/>
        <v>{ name: "Molida Island", landmark: "Named Location", type: "", region: 10, level: "Surface", x: 1843, y: -207, z: 0, zoom: [3,4], size: "M", weight: 1, details: "" },</v>
      </c>
    </row>
    <row r="379" spans="1:12" x14ac:dyDescent="0.2">
      <c r="A379" t="s">
        <v>1483</v>
      </c>
      <c r="C379" s="2">
        <v>10</v>
      </c>
      <c r="D379" s="2" t="s">
        <v>785</v>
      </c>
      <c r="E379" s="2">
        <v>1527</v>
      </c>
      <c r="F379" s="2">
        <v>218</v>
      </c>
      <c r="G379" s="2">
        <v>-38</v>
      </c>
      <c r="H379" s="2" t="s">
        <v>2556</v>
      </c>
      <c r="I379" s="2" t="s">
        <v>2519</v>
      </c>
      <c r="J379" s="2">
        <v>2</v>
      </c>
      <c r="L379" t="str">
        <f t="shared" si="5"/>
        <v>{ name: "Moor Garrison Ruins", landmark: "Named Location", type: "", region: 10, level: "Surface", x: 1527, y: 218, z: -38, zoom: [3,4], size: "S", weight: 2, details: "" },</v>
      </c>
    </row>
    <row r="380" spans="1:12" x14ac:dyDescent="0.2">
      <c r="A380" t="s">
        <v>1538</v>
      </c>
      <c r="C380" s="2">
        <v>10</v>
      </c>
      <c r="D380" s="2" t="s">
        <v>785</v>
      </c>
      <c r="E380" s="2">
        <v>2509</v>
      </c>
      <c r="F380" s="2">
        <v>-1226</v>
      </c>
      <c r="G380" s="2">
        <v>0</v>
      </c>
      <c r="H380" s="2" t="s">
        <v>2556</v>
      </c>
      <c r="I380" s="2" t="s">
        <v>2545</v>
      </c>
      <c r="J380" s="2">
        <v>1</v>
      </c>
      <c r="L380" t="str">
        <f t="shared" si="5"/>
        <v>{ name: "Phalian Highlands", landmark: "Named Location", type: "", region: 10, level: "Surface", x: 2509, y: -1226, z: 0, zoom: [3,4], size: "M", weight: 1, details: "" },</v>
      </c>
    </row>
    <row r="381" spans="1:12" x14ac:dyDescent="0.2">
      <c r="A381" t="s">
        <v>1539</v>
      </c>
      <c r="C381" s="2">
        <v>10</v>
      </c>
      <c r="D381" s="2" t="s">
        <v>785</v>
      </c>
      <c r="E381" s="2">
        <v>2213</v>
      </c>
      <c r="F381" s="2">
        <v>-944</v>
      </c>
      <c r="G381" s="2">
        <v>0</v>
      </c>
      <c r="H381" s="2" t="s">
        <v>2556</v>
      </c>
      <c r="I381" s="2" t="s">
        <v>2546</v>
      </c>
      <c r="J381" s="2">
        <v>1</v>
      </c>
      <c r="L381" t="str">
        <f t="shared" si="5"/>
        <v>{ name: "Pierre Plateau", landmark: "Named Location", type: "", region: 10, level: "Surface", x: 2213, y: -944, z: 0, zoom: [3,4], size: "L", weight: 1, details: "" },</v>
      </c>
    </row>
    <row r="382" spans="1:12" x14ac:dyDescent="0.2">
      <c r="A382" t="s">
        <v>1070</v>
      </c>
      <c r="C382" s="2">
        <v>10</v>
      </c>
      <c r="D382" s="2" t="s">
        <v>785</v>
      </c>
      <c r="E382" s="2">
        <v>1850</v>
      </c>
      <c r="F382" s="2">
        <v>-1244</v>
      </c>
      <c r="G382" s="2">
        <v>0</v>
      </c>
      <c r="H382" s="2" t="s">
        <v>2556</v>
      </c>
      <c r="I382" s="2" t="s">
        <v>2546</v>
      </c>
      <c r="J382" s="2">
        <v>1</v>
      </c>
      <c r="L382" t="str">
        <f t="shared" si="5"/>
        <v>{ name: "Pillars of Levia", landmark: "Named Location", type: "", region: 10, level: "Surface", x: 1850, y: -1244, z: 0, zoom: [3,4], size: "L", weight: 1, details: "" },</v>
      </c>
    </row>
    <row r="383" spans="1:12" x14ac:dyDescent="0.2">
      <c r="A383" t="s">
        <v>1552</v>
      </c>
      <c r="C383" s="2">
        <v>10</v>
      </c>
      <c r="D383" s="2" t="s">
        <v>785</v>
      </c>
      <c r="E383" s="2">
        <v>2158</v>
      </c>
      <c r="F383" s="2">
        <v>-558</v>
      </c>
      <c r="G383" s="2">
        <v>0</v>
      </c>
      <c r="H383" s="2" t="s">
        <v>2556</v>
      </c>
      <c r="I383" s="2" t="s">
        <v>2545</v>
      </c>
      <c r="J383" s="2">
        <v>1</v>
      </c>
      <c r="L383" t="str">
        <f t="shared" si="5"/>
        <v>{ name: "Quatta's Shelf", landmark: "Named Location", type: "", region: 10, level: "Surface", x: 2158, y: -558, z: 0, zoom: [3,4], size: "M", weight: 1, details: "" },</v>
      </c>
    </row>
    <row r="384" spans="1:12" x14ac:dyDescent="0.2">
      <c r="A384" t="s">
        <v>1554</v>
      </c>
      <c r="C384" s="2">
        <v>10</v>
      </c>
      <c r="D384" s="2" t="s">
        <v>785</v>
      </c>
      <c r="E384" s="2">
        <v>2615</v>
      </c>
      <c r="F384" s="2">
        <v>-590</v>
      </c>
      <c r="G384" s="2">
        <v>0</v>
      </c>
      <c r="H384" s="2" t="s">
        <v>2556</v>
      </c>
      <c r="I384" s="2" t="s">
        <v>2545</v>
      </c>
      <c r="J384" s="2">
        <v>1</v>
      </c>
      <c r="L384" t="str">
        <f t="shared" si="5"/>
        <v>{ name: "Rabia Plain", landmark: "Named Location", type: "", region: 10, level: "Surface", x: 2615, y: -590, z: 0, zoom: [3,4], size: "M", weight: 1, details: "" },</v>
      </c>
    </row>
    <row r="385" spans="1:12" x14ac:dyDescent="0.2">
      <c r="A385" t="s">
        <v>1071</v>
      </c>
      <c r="C385" s="2">
        <v>10</v>
      </c>
      <c r="D385" s="2" t="s">
        <v>785</v>
      </c>
      <c r="E385" s="2">
        <v>821</v>
      </c>
      <c r="F385" s="2">
        <v>-21</v>
      </c>
      <c r="G385" s="2">
        <v>26</v>
      </c>
      <c r="H385" s="2" t="s">
        <v>2556</v>
      </c>
      <c r="I385" s="2" t="s">
        <v>2519</v>
      </c>
      <c r="J385" s="2">
        <v>1</v>
      </c>
      <c r="L385" t="str">
        <f t="shared" si="5"/>
        <v>{ name: "Rebonae Bridge", landmark: "Named Location", type: "", region: 10, level: "Surface", x: 821, y: -21, z: 26, zoom: [3,4], size: "S", weight: 1, details: "" },</v>
      </c>
    </row>
    <row r="386" spans="1:12" x14ac:dyDescent="0.2">
      <c r="A386" t="s">
        <v>1569</v>
      </c>
      <c r="C386" s="2">
        <v>10</v>
      </c>
      <c r="D386" s="2" t="s">
        <v>785</v>
      </c>
      <c r="E386" s="2">
        <v>1606</v>
      </c>
      <c r="F386" s="2">
        <v>-680</v>
      </c>
      <c r="G386" s="2">
        <v>0</v>
      </c>
      <c r="H386" s="2" t="s">
        <v>2556</v>
      </c>
      <c r="I386" s="2" t="s">
        <v>2545</v>
      </c>
      <c r="J386" s="2">
        <v>1</v>
      </c>
      <c r="L386" t="str">
        <f t="shared" ref="L386:L449" si="6">"{ name: "&amp;CHAR(34)&amp;A386&amp;CHAR(34)&amp;", landmark: "&amp;CHAR(34)&amp;"Named Location"&amp;CHAR(34)&amp;", type: "&amp;CHAR(34)&amp;B386&amp;CHAR(34)&amp;", region: "&amp;C386&amp;", level: "&amp;CHAR(34)&amp;D386&amp;CHAR(34)&amp;", x: "&amp;INT(E386)&amp;", y: "&amp;INT(F386)&amp;", z: "&amp;INT(G386)&amp;", zoom: "&amp;IF(LEN(H386)&gt;1,"["&amp;H386&amp;"]",H386)&amp;", size: "&amp;CHAR(34)&amp;I386&amp;CHAR(34)&amp;", weight: "&amp;J386&amp;", details: "&amp;CHAR(34)&amp;K386&amp;CHAR(34)&amp;" },"</f>
        <v>{ name: "Rikoka Hills", landmark: "Named Location", type: "", region: 10, level: "Surface", x: 1606, y: -680, z: 0, zoom: [3,4], size: "M", weight: 1, details: "" },</v>
      </c>
    </row>
    <row r="387" spans="1:12" x14ac:dyDescent="0.2">
      <c r="A387" t="s">
        <v>1572</v>
      </c>
      <c r="C387" s="2">
        <v>10</v>
      </c>
      <c r="D387" s="2" t="s">
        <v>785</v>
      </c>
      <c r="E387" s="2">
        <v>1805</v>
      </c>
      <c r="F387" s="2">
        <v>-910</v>
      </c>
      <c r="G387" s="2">
        <v>113</v>
      </c>
      <c r="H387" s="2" t="s">
        <v>2556</v>
      </c>
      <c r="I387" s="2" t="s">
        <v>2519</v>
      </c>
      <c r="J387" s="2">
        <v>1</v>
      </c>
      <c r="L387" t="str">
        <f t="shared" si="6"/>
        <v>{ name: "Ring Ruins", landmark: "Named Location", type: "", region: 10, level: "Surface", x: 1805, y: -910, z: 113, zoom: [3,4], size: "S", weight: 1, details: "" },</v>
      </c>
    </row>
    <row r="388" spans="1:12" x14ac:dyDescent="0.2">
      <c r="A388" t="s">
        <v>1074</v>
      </c>
      <c r="C388" s="2">
        <v>10</v>
      </c>
      <c r="D388" s="2" t="s">
        <v>785</v>
      </c>
      <c r="E388" s="2">
        <v>1380</v>
      </c>
      <c r="F388" s="2">
        <v>-1050</v>
      </c>
      <c r="G388" s="2">
        <v>0</v>
      </c>
      <c r="H388" s="2" t="s">
        <v>2556</v>
      </c>
      <c r="I388" s="2" t="s">
        <v>2545</v>
      </c>
      <c r="J388" s="2">
        <v>1</v>
      </c>
      <c r="L388" t="str">
        <f t="shared" si="6"/>
        <v>{ name: "Sahasra Slope", landmark: "Named Location", type: "", region: 10, level: "Surface", x: 1380, y: -1050, z: 0, zoom: [3,4], size: "M", weight: 1, details: "" },</v>
      </c>
    </row>
    <row r="389" spans="1:12" x14ac:dyDescent="0.2">
      <c r="A389" t="s">
        <v>1617</v>
      </c>
      <c r="C389" s="2">
        <v>10</v>
      </c>
      <c r="D389" s="2" t="s">
        <v>785</v>
      </c>
      <c r="E389" s="2">
        <v>1661</v>
      </c>
      <c r="F389" s="2">
        <v>-439</v>
      </c>
      <c r="G389" s="2">
        <v>0</v>
      </c>
      <c r="H389" s="2" t="s">
        <v>2556</v>
      </c>
      <c r="I389" s="2" t="s">
        <v>2545</v>
      </c>
      <c r="J389" s="2">
        <v>1</v>
      </c>
      <c r="L389" t="str">
        <f t="shared" si="6"/>
        <v>{ name: "Shrine Island", landmark: "Named Location", type: "", region: 10, level: "Surface", x: 1661, y: -439, z: 0, zoom: [3,4], size: "M", weight: 1, details: "" },</v>
      </c>
    </row>
    <row r="390" spans="1:12" x14ac:dyDescent="0.2">
      <c r="A390" t="s">
        <v>1666</v>
      </c>
      <c r="C390" s="2">
        <v>10</v>
      </c>
      <c r="D390" s="2" t="s">
        <v>785</v>
      </c>
      <c r="E390" s="2">
        <v>1714</v>
      </c>
      <c r="F390" s="2">
        <v>-764</v>
      </c>
      <c r="G390" s="2">
        <v>0</v>
      </c>
      <c r="H390" s="2" t="s">
        <v>2556</v>
      </c>
      <c r="I390" s="2" t="s">
        <v>2519</v>
      </c>
      <c r="J390" s="2">
        <v>2</v>
      </c>
      <c r="L390" t="str">
        <f t="shared" si="6"/>
        <v>{ name: "Telta Lake", landmark: "Named Location", type: "", region: 10, level: "Surface", x: 1714, y: -764, z: 0, zoom: [3,4], size: "S", weight: 2, details: "" },</v>
      </c>
    </row>
    <row r="391" spans="1:12" x14ac:dyDescent="0.2">
      <c r="A391" t="s">
        <v>1681</v>
      </c>
      <c r="C391" s="2">
        <v>10</v>
      </c>
      <c r="D391" s="2" t="s">
        <v>785</v>
      </c>
      <c r="E391" s="2">
        <v>3089</v>
      </c>
      <c r="F391" s="2">
        <v>-830</v>
      </c>
      <c r="G391" s="2">
        <v>0</v>
      </c>
      <c r="H391" s="2" t="s">
        <v>2556</v>
      </c>
      <c r="I391" s="2" t="s">
        <v>2545</v>
      </c>
      <c r="J391" s="2">
        <v>1</v>
      </c>
      <c r="L391" t="str">
        <f t="shared" si="6"/>
        <v>{ name: "Trotter's Downfall", landmark: "Named Location", type: "", region: 10, level: "Surface", x: 3089, y: -830, z: 0, zoom: [3,4], size: "M", weight: 1, details: "" },</v>
      </c>
    </row>
    <row r="392" spans="1:12" x14ac:dyDescent="0.2">
      <c r="A392" t="s">
        <v>1701</v>
      </c>
      <c r="C392" s="2">
        <v>10</v>
      </c>
      <c r="D392" s="2" t="s">
        <v>785</v>
      </c>
      <c r="E392" s="2">
        <v>1394</v>
      </c>
      <c r="F392" s="2">
        <v>-300</v>
      </c>
      <c r="G392" s="2">
        <v>0</v>
      </c>
      <c r="H392" s="2" t="s">
        <v>2556</v>
      </c>
      <c r="I392" s="2" t="s">
        <v>2545</v>
      </c>
      <c r="J392" s="2">
        <v>1</v>
      </c>
      <c r="L392" t="str">
        <f t="shared" si="6"/>
        <v>{ name: "Wes Island", landmark: "Named Location", type: "", region: 10, level: "Surface", x: 1394, y: -300, z: 0, zoom: [3,4], size: "M", weight: 1, details: "" },</v>
      </c>
    </row>
    <row r="393" spans="1:12" x14ac:dyDescent="0.2">
      <c r="A393" t="s">
        <v>1720</v>
      </c>
      <c r="C393" s="2">
        <v>10</v>
      </c>
      <c r="D393" s="2" t="s">
        <v>785</v>
      </c>
      <c r="E393" s="2">
        <v>1452</v>
      </c>
      <c r="F393" s="2">
        <v>-170</v>
      </c>
      <c r="G393" s="2">
        <v>0</v>
      </c>
      <c r="H393" s="2" t="s">
        <v>2556</v>
      </c>
      <c r="I393" s="2" t="s">
        <v>2545</v>
      </c>
      <c r="J393" s="2">
        <v>1</v>
      </c>
      <c r="L393" t="str">
        <f t="shared" si="6"/>
        <v>{ name: "Zauz Island", landmark: "Named Location", type: "", region: 10, level: "Surface", x: 1452, y: -170, z: 0, zoom: [3,4], size: "M", weight: 1, details: "" },</v>
      </c>
    </row>
    <row r="394" spans="1:12" x14ac:dyDescent="0.2">
      <c r="A394" s="25" t="s">
        <v>1094</v>
      </c>
      <c r="C394" s="2">
        <v>11</v>
      </c>
      <c r="D394" s="2" t="s">
        <v>994</v>
      </c>
      <c r="E394" s="2">
        <v>3548</v>
      </c>
      <c r="F394" s="2">
        <v>-2228</v>
      </c>
      <c r="G394" s="2">
        <v>-485</v>
      </c>
      <c r="H394" s="2" t="s">
        <v>2559</v>
      </c>
      <c r="I394" s="2" t="s">
        <v>2545</v>
      </c>
      <c r="J394" s="2">
        <v>4</v>
      </c>
      <c r="L394" t="str">
        <f t="shared" si="6"/>
        <v>{ name: "Abandoned Hateno Mine", landmark: "Named Location", type: "", region: 11, level: "Depths", x: 3548, y: -2228, z: -485, zoom: [1,2,3,4], size: "M", weight: 4, details: "" },</v>
      </c>
    </row>
    <row r="395" spans="1:12" x14ac:dyDescent="0.2">
      <c r="A395" t="s">
        <v>1155</v>
      </c>
      <c r="C395" s="2">
        <v>11</v>
      </c>
      <c r="D395" s="2" t="s">
        <v>994</v>
      </c>
      <c r="E395" s="2">
        <v>2935</v>
      </c>
      <c r="F395" s="2">
        <v>-1404</v>
      </c>
      <c r="G395" s="2">
        <v>-839</v>
      </c>
      <c r="H395" s="2" t="s">
        <v>2556</v>
      </c>
      <c r="I395" s="2" t="s">
        <v>2519</v>
      </c>
      <c r="J395" s="2">
        <v>1</v>
      </c>
      <c r="L395" t="str">
        <f t="shared" si="6"/>
        <v>{ name: "Canyon of Awakening Mine", landmark: "Named Location", type: "", region: 11, level: "Depths", x: 2935, y: -1404, z: -839, zoom: [3,4], size: "S", weight: 1, details: "" },</v>
      </c>
    </row>
    <row r="396" spans="1:12" x14ac:dyDescent="0.2">
      <c r="A396" t="s">
        <v>1237</v>
      </c>
      <c r="C396" s="2">
        <v>11</v>
      </c>
      <c r="D396" s="2" t="s">
        <v>994</v>
      </c>
      <c r="E396" s="2">
        <v>3329</v>
      </c>
      <c r="F396" s="2">
        <v>-2514</v>
      </c>
      <c r="G396" s="2">
        <v>-777</v>
      </c>
      <c r="H396" s="2" t="s">
        <v>2556</v>
      </c>
      <c r="I396" s="2" t="s">
        <v>2519</v>
      </c>
      <c r="J396" s="2">
        <v>1</v>
      </c>
      <c r="L396" t="str">
        <f t="shared" si="6"/>
        <v>{ name: "Ebon Canyon Mine", landmark: "Named Location", type: "", region: 11, level: "Depths", x: 3329, y: -2514, z: -777, zoom: [3,4], size: "S", weight: 1, details: "" },</v>
      </c>
    </row>
    <row r="397" spans="1:12" x14ac:dyDescent="0.2">
      <c r="A397" t="s">
        <v>1288</v>
      </c>
      <c r="C397" s="2">
        <v>11</v>
      </c>
      <c r="D397" s="2" t="s">
        <v>994</v>
      </c>
      <c r="E397" s="2">
        <v>3220</v>
      </c>
      <c r="F397" s="2">
        <v>-2057</v>
      </c>
      <c r="G397" s="2">
        <v>-595</v>
      </c>
      <c r="H397" s="2" t="s">
        <v>2556</v>
      </c>
      <c r="I397" s="2" t="s">
        <v>2519</v>
      </c>
      <c r="J397" s="2">
        <v>1</v>
      </c>
      <c r="L397" t="str">
        <f t="shared" si="6"/>
        <v>{ name: "Ginner Grove", landmark: "Named Location", type: "", region: 11, level: "Depths", x: 3220, y: -2057, z: -595, zoom: [3,4], size: "S", weight: 1, details: "" },</v>
      </c>
    </row>
    <row r="398" spans="1:12" x14ac:dyDescent="0.2">
      <c r="A398" t="s">
        <v>1418</v>
      </c>
      <c r="C398" s="2">
        <v>11</v>
      </c>
      <c r="D398" s="2" t="s">
        <v>994</v>
      </c>
      <c r="E398" s="2">
        <v>4003</v>
      </c>
      <c r="F398" s="2">
        <v>-1379</v>
      </c>
      <c r="G398" s="2">
        <v>-743</v>
      </c>
      <c r="H398" s="2" t="s">
        <v>2556</v>
      </c>
      <c r="I398" s="2" t="s">
        <v>2519</v>
      </c>
      <c r="J398" s="2">
        <v>2</v>
      </c>
      <c r="L398" t="str">
        <f t="shared" si="6"/>
        <v>{ name: "Lanayru Canyon Mine", landmark: "Named Location", type: "", region: 11, level: "Depths", x: 4003, y: -1379, z: -743, zoom: [3,4], size: "S", weight: 2, details: "" },</v>
      </c>
    </row>
    <row r="399" spans="1:12" x14ac:dyDescent="0.2">
      <c r="A399" t="s">
        <v>1454</v>
      </c>
      <c r="C399" s="2">
        <v>11</v>
      </c>
      <c r="D399" s="2" t="s">
        <v>994</v>
      </c>
      <c r="E399" s="2">
        <v>3889</v>
      </c>
      <c r="F399" s="2">
        <v>-1668</v>
      </c>
      <c r="G399" s="2">
        <v>-865</v>
      </c>
      <c r="H399" s="2" t="s">
        <v>2556</v>
      </c>
      <c r="I399" s="2" t="s">
        <v>2519</v>
      </c>
      <c r="J399" s="2">
        <v>1</v>
      </c>
      <c r="L399" t="str">
        <f t="shared" si="6"/>
        <v>{ name: "Madorna Canyon Mine", landmark: "Named Location", type: "", region: 11, level: "Depths", x: 3889, y: -1668, z: -865, zoom: [3,4], size: "S", weight: 1, details: "" },</v>
      </c>
    </row>
    <row r="400" spans="1:12" x14ac:dyDescent="0.2">
      <c r="A400" t="s">
        <v>1470</v>
      </c>
      <c r="C400" s="2">
        <v>11</v>
      </c>
      <c r="D400" s="2" t="s">
        <v>994</v>
      </c>
      <c r="E400" s="2">
        <v>3114</v>
      </c>
      <c r="F400" s="2">
        <v>-2187</v>
      </c>
      <c r="G400" s="2">
        <v>-573</v>
      </c>
      <c r="H400" s="2" t="s">
        <v>2556</v>
      </c>
      <c r="I400" s="2" t="s">
        <v>2519</v>
      </c>
      <c r="J400" s="2">
        <v>1</v>
      </c>
      <c r="L400" t="str">
        <f t="shared" si="6"/>
        <v>{ name: "Midla Grove", landmark: "Named Location", type: "", region: 11, level: "Depths", x: 3114, y: -2187, z: -573, zoom: [3,4], size: "S", weight: 1, details: "" },</v>
      </c>
    </row>
    <row r="401" spans="1:12" x14ac:dyDescent="0.2">
      <c r="A401" t="s">
        <v>1565</v>
      </c>
      <c r="C401" s="2">
        <v>11</v>
      </c>
      <c r="D401" s="2" t="s">
        <v>994</v>
      </c>
      <c r="E401" s="2">
        <v>3832</v>
      </c>
      <c r="F401" s="2">
        <v>-2028</v>
      </c>
      <c r="G401" s="2">
        <v>-458</v>
      </c>
      <c r="H401" s="2" t="s">
        <v>2556</v>
      </c>
      <c r="I401" s="2" t="s">
        <v>2519</v>
      </c>
      <c r="J401" s="2">
        <v>1</v>
      </c>
      <c r="L401" t="str">
        <f t="shared" si="6"/>
        <v>{ name: "Retsam Grove", landmark: "Named Location", type: "", region: 11, level: "Depths", x: 3832, y: -2028, z: -458, zoom: [3,4], size: "S", weight: 1, details: "" },</v>
      </c>
    </row>
    <row r="402" spans="1:12" x14ac:dyDescent="0.2">
      <c r="A402" t="s">
        <v>1694</v>
      </c>
      <c r="C402" s="2">
        <v>11</v>
      </c>
      <c r="D402" s="2" t="s">
        <v>994</v>
      </c>
      <c r="E402" s="2">
        <v>4223</v>
      </c>
      <c r="F402" s="2">
        <v>-1912</v>
      </c>
      <c r="G402" s="2">
        <v>-804</v>
      </c>
      <c r="H402" s="2" t="s">
        <v>2556</v>
      </c>
      <c r="I402" s="2" t="s">
        <v>2519</v>
      </c>
      <c r="J402" s="2">
        <v>1</v>
      </c>
      <c r="L402" t="str">
        <f t="shared" si="6"/>
        <v>{ name: "Walnot Canyon Mine", landmark: "Named Location", type: "", region: 11, level: "Depths", x: 4223, y: -1912, z: -804, zoom: [3,4], size: "S", weight: 1, details: "" },</v>
      </c>
    </row>
    <row r="403" spans="1:12" x14ac:dyDescent="0.2">
      <c r="A403" t="s">
        <v>1700</v>
      </c>
      <c r="C403" s="2">
        <v>11</v>
      </c>
      <c r="D403" s="2" t="s">
        <v>994</v>
      </c>
      <c r="E403" s="2">
        <v>3837</v>
      </c>
      <c r="F403" s="2">
        <v>-1273</v>
      </c>
      <c r="G403" s="2">
        <v>-520</v>
      </c>
      <c r="H403" s="2" t="s">
        <v>2556</v>
      </c>
      <c r="I403" s="2" t="s">
        <v>2519</v>
      </c>
      <c r="J403" s="2">
        <v>2</v>
      </c>
      <c r="L403" t="str">
        <f t="shared" si="6"/>
        <v>{ name: "Wellspring of Wisdom", landmark: "Named Location", type: "", region: 11, level: "Depths", x: 3837, y: -1273, z: -520, zoom: [3,4], size: "S", weight: 2, details: "" },</v>
      </c>
    </row>
    <row r="404" spans="1:12" x14ac:dyDescent="0.2">
      <c r="A404" s="25" t="s">
        <v>1501</v>
      </c>
      <c r="B404" t="s">
        <v>2543</v>
      </c>
      <c r="C404" s="2">
        <v>11</v>
      </c>
      <c r="D404" s="2" t="s">
        <v>783</v>
      </c>
      <c r="E404" s="2">
        <v>2643</v>
      </c>
      <c r="F404" s="2">
        <v>-1964</v>
      </c>
      <c r="G404" s="2">
        <v>2000</v>
      </c>
      <c r="H404" s="2">
        <v>1</v>
      </c>
      <c r="I404" s="2" t="s">
        <v>2546</v>
      </c>
      <c r="J404" s="2">
        <v>1</v>
      </c>
      <c r="L404" t="str">
        <f t="shared" si="6"/>
        <v>{ name: "Necluda Sky", landmark: "Named Location", type: "Province", region: 11, level: "Sky", x: 2643, y: -1964, z: 2000, zoom: 1, size: "L", weight: 1, details: "" },</v>
      </c>
    </row>
    <row r="405" spans="1:12" x14ac:dyDescent="0.2">
      <c r="A405" s="25" t="s">
        <v>1009</v>
      </c>
      <c r="B405" t="s">
        <v>2542</v>
      </c>
      <c r="C405" s="2">
        <v>11</v>
      </c>
      <c r="D405" s="2" t="s">
        <v>783</v>
      </c>
      <c r="E405" s="2">
        <v>4368</v>
      </c>
      <c r="F405" s="2">
        <v>-1255</v>
      </c>
      <c r="G405" s="2">
        <v>2000</v>
      </c>
      <c r="H405" s="2" t="s">
        <v>2832</v>
      </c>
      <c r="I405" s="2" t="s">
        <v>2546</v>
      </c>
      <c r="J405" s="2">
        <v>1</v>
      </c>
      <c r="L405" t="str">
        <f t="shared" si="6"/>
        <v>{ name: "South Lanayru Sky Archipelago", landmark: "Named Location", type: "Subregion", region: 11, level: "Sky", x: 4368, y: -1255, z: 2000, zoom: [2,3,4], size: "L", weight: 1, details: "" },</v>
      </c>
    </row>
    <row r="406" spans="1:12" x14ac:dyDescent="0.2">
      <c r="A406" s="25" t="s">
        <v>1014</v>
      </c>
      <c r="C406" s="2">
        <v>11</v>
      </c>
      <c r="D406" s="2" t="s">
        <v>783</v>
      </c>
      <c r="E406" s="2">
        <v>4579</v>
      </c>
      <c r="F406" s="2">
        <v>-919</v>
      </c>
      <c r="G406" s="2">
        <v>2619</v>
      </c>
      <c r="H406" s="2" t="s">
        <v>2556</v>
      </c>
      <c r="I406" s="2" t="s">
        <v>2545</v>
      </c>
      <c r="J406" s="2">
        <v>2</v>
      </c>
      <c r="L406" t="str">
        <f t="shared" si="6"/>
        <v>{ name: "Valor Island", landmark: "Named Location", type: "", region: 11, level: "Sky", x: 4579, y: -919, z: 2619, zoom: [3,4], size: "M", weight: 2, details: "" },</v>
      </c>
    </row>
    <row r="407" spans="1:12" x14ac:dyDescent="0.2">
      <c r="A407" t="s">
        <v>804</v>
      </c>
      <c r="B407" t="s">
        <v>8</v>
      </c>
      <c r="C407" s="2">
        <v>11</v>
      </c>
      <c r="D407" s="2" t="s">
        <v>785</v>
      </c>
      <c r="E407" s="2">
        <v>3882</v>
      </c>
      <c r="F407" s="2">
        <v>-1120</v>
      </c>
      <c r="G407" s="2">
        <v>0</v>
      </c>
      <c r="H407" s="2">
        <v>2</v>
      </c>
      <c r="I407" s="2" t="s">
        <v>2546</v>
      </c>
      <c r="J407" s="2">
        <v>1</v>
      </c>
      <c r="L407" t="str">
        <f t="shared" si="6"/>
        <v>{ name: "Mount Lanayru", landmark: "Named Location", type: "Region", region: 11, level: "Surface", x: 3882, y: -1120, z: 0, zoom: 2, size: "L", weight: 1, details: "" },</v>
      </c>
    </row>
    <row r="408" spans="1:12" x14ac:dyDescent="0.2">
      <c r="A408" t="s">
        <v>807</v>
      </c>
      <c r="B408" t="s">
        <v>8</v>
      </c>
      <c r="C408" s="2">
        <v>11</v>
      </c>
      <c r="D408" s="2" t="s">
        <v>785</v>
      </c>
      <c r="E408" s="2">
        <v>4141</v>
      </c>
      <c r="F408" s="2">
        <v>-2845</v>
      </c>
      <c r="G408" s="2">
        <v>0</v>
      </c>
      <c r="H408" s="2">
        <v>2</v>
      </c>
      <c r="I408" s="2" t="s">
        <v>2519</v>
      </c>
      <c r="J408" s="2">
        <v>1</v>
      </c>
      <c r="L408" t="str">
        <f t="shared" si="6"/>
        <v>{ name: "Necluda Sea", landmark: "Named Location", type: "Region", region: 11, level: "Surface", x: 4141, y: -2845, z: 0, zoom: 2, size: "S", weight: 1, details: "" },</v>
      </c>
    </row>
    <row r="409" spans="1:12" x14ac:dyDescent="0.2">
      <c r="A409" t="s">
        <v>1328</v>
      </c>
      <c r="C409" s="2">
        <v>11</v>
      </c>
      <c r="D409" s="2" t="s">
        <v>785</v>
      </c>
      <c r="E409" s="2">
        <v>3367</v>
      </c>
      <c r="F409" s="2">
        <v>-1975</v>
      </c>
      <c r="G409" s="2">
        <v>142</v>
      </c>
      <c r="H409" s="2">
        <v>4</v>
      </c>
      <c r="I409" s="2" t="s">
        <v>2519</v>
      </c>
      <c r="J409" s="2">
        <v>1</v>
      </c>
      <c r="L409" t="str">
        <f t="shared" si="6"/>
        <v>{ name: "Hateno School", landmark: "Named Location", type: "", region: 11, level: "Surface", x: 3367, y: -1975, z: 142, zoom: 4, size: "S", weight: 1, details: "" },</v>
      </c>
    </row>
    <row r="410" spans="1:12" x14ac:dyDescent="0.2">
      <c r="A410" t="s">
        <v>1101</v>
      </c>
      <c r="C410" s="2">
        <v>11</v>
      </c>
      <c r="D410" s="2" t="s">
        <v>785</v>
      </c>
      <c r="E410" s="2">
        <v>4603</v>
      </c>
      <c r="F410" s="2">
        <v>-1830</v>
      </c>
      <c r="G410" s="2">
        <v>0</v>
      </c>
      <c r="H410" s="2" t="s">
        <v>2556</v>
      </c>
      <c r="I410" s="2" t="s">
        <v>2519</v>
      </c>
      <c r="J410" s="2">
        <v>1</v>
      </c>
      <c r="L410" t="str">
        <f t="shared" si="6"/>
        <v>{ name: "Afromsia Coast", landmark: "Named Location", type: "", region: 11, level: "Surface", x: 4603, y: -1830, z: 0, zoom: [3,4], size: "S", weight: 1, details: "" },</v>
      </c>
    </row>
    <row r="411" spans="1:12" x14ac:dyDescent="0.2">
      <c r="A411" t="s">
        <v>1154</v>
      </c>
      <c r="C411" s="2">
        <v>11</v>
      </c>
      <c r="D411" s="2" t="s">
        <v>785</v>
      </c>
      <c r="E411" s="2">
        <v>3062</v>
      </c>
      <c r="F411" s="2">
        <v>-2042</v>
      </c>
      <c r="G411" s="2">
        <v>0</v>
      </c>
      <c r="H411" s="2" t="s">
        <v>2556</v>
      </c>
      <c r="I411" s="2" t="s">
        <v>2519</v>
      </c>
      <c r="J411" s="2">
        <v>1</v>
      </c>
      <c r="L411" t="str">
        <f t="shared" si="6"/>
        <v>{ name: "Camphor Pond", landmark: "Named Location", type: "", region: 11, level: "Surface", x: 3062, y: -2042, z: 0, zoom: [3,4], size: "S", weight: 1, details: "" },</v>
      </c>
    </row>
    <row r="412" spans="1:12" x14ac:dyDescent="0.2">
      <c r="A412" t="s">
        <v>1024</v>
      </c>
      <c r="C412" s="2">
        <v>11</v>
      </c>
      <c r="D412" s="2" t="s">
        <v>785</v>
      </c>
      <c r="E412" s="2">
        <v>2601</v>
      </c>
      <c r="F412" s="2">
        <v>-1780</v>
      </c>
      <c r="G412" s="2">
        <v>0</v>
      </c>
      <c r="H412" s="2" t="s">
        <v>2556</v>
      </c>
      <c r="I412" s="2" t="s">
        <v>2546</v>
      </c>
      <c r="J412" s="2">
        <v>1</v>
      </c>
      <c r="L412" t="str">
        <f t="shared" si="6"/>
        <v>{ name: "Cliffs of Quince", landmark: "Named Location", type: "", region: 11, level: "Surface", x: 2601, y: -1780, z: 0, zoom: [3,4], size: "L", weight: 1, details: "" },</v>
      </c>
    </row>
    <row r="413" spans="1:12" x14ac:dyDescent="0.2">
      <c r="A413" t="s">
        <v>1196</v>
      </c>
      <c r="C413" s="2">
        <v>11</v>
      </c>
      <c r="D413" s="2" t="s">
        <v>785</v>
      </c>
      <c r="E413" s="2">
        <v>4283</v>
      </c>
      <c r="F413" s="2">
        <v>-2355</v>
      </c>
      <c r="G413" s="2">
        <v>0</v>
      </c>
      <c r="H413" s="2" t="s">
        <v>2556</v>
      </c>
      <c r="I413" s="2" t="s">
        <v>2519</v>
      </c>
      <c r="J413" s="2">
        <v>1</v>
      </c>
      <c r="L413" t="str">
        <f t="shared" si="6"/>
        <v>{ name: "Deepback Bay", landmark: "Named Location", type: "", region: 11, level: "Surface", x: 4283, y: -2355, z: 0, zoom: [3,4], size: "S", weight: 1, details: "" },</v>
      </c>
    </row>
    <row r="414" spans="1:12" x14ac:dyDescent="0.2">
      <c r="A414" t="s">
        <v>1238</v>
      </c>
      <c r="C414" s="2">
        <v>11</v>
      </c>
      <c r="D414" s="2" t="s">
        <v>785</v>
      </c>
      <c r="E414" s="2">
        <v>3351</v>
      </c>
      <c r="F414" s="2">
        <v>-2531</v>
      </c>
      <c r="G414" s="2">
        <v>0</v>
      </c>
      <c r="H414" s="2" t="s">
        <v>2556</v>
      </c>
      <c r="I414" s="2" t="s">
        <v>2546</v>
      </c>
      <c r="J414" s="2">
        <v>1</v>
      </c>
      <c r="L414" t="str">
        <f t="shared" si="6"/>
        <v>{ name: "Ebon Mountain", landmark: "Named Location", type: "", region: 11, level: "Surface", x: 3351, y: -2531, z: 0, zoom: [3,4], size: "L", weight: 1, details: "" },</v>
      </c>
    </row>
    <row r="415" spans="1:12" x14ac:dyDescent="0.2">
      <c r="A415" t="s">
        <v>1258</v>
      </c>
      <c r="C415" s="2">
        <v>11</v>
      </c>
      <c r="D415" s="2" t="s">
        <v>785</v>
      </c>
      <c r="E415" s="2">
        <v>2822</v>
      </c>
      <c r="F415" s="2">
        <v>-1952</v>
      </c>
      <c r="G415" s="2">
        <v>0</v>
      </c>
      <c r="H415" s="2" t="s">
        <v>2556</v>
      </c>
      <c r="I415" s="2" t="s">
        <v>2519</v>
      </c>
      <c r="J415" s="2">
        <v>1</v>
      </c>
      <c r="L415" t="str">
        <f t="shared" si="6"/>
        <v>{ name: "Fir River", landmark: "Named Location", type: "", region: 11, level: "Surface", x: 2822, y: -1952, z: 0, zoom: [3,4], size: "S", weight: 1, details: "" },</v>
      </c>
    </row>
    <row r="416" spans="1:12" x14ac:dyDescent="0.2">
      <c r="A416" t="s">
        <v>1260</v>
      </c>
      <c r="C416" s="2">
        <v>11</v>
      </c>
      <c r="D416" s="2" t="s">
        <v>785</v>
      </c>
      <c r="E416" s="2">
        <v>3266</v>
      </c>
      <c r="F416" s="2">
        <v>-2233</v>
      </c>
      <c r="G416" s="2">
        <v>0</v>
      </c>
      <c r="H416" s="2" t="s">
        <v>2556</v>
      </c>
      <c r="I416" s="2" t="s">
        <v>2519</v>
      </c>
      <c r="J416" s="2">
        <v>1</v>
      </c>
      <c r="L416" t="str">
        <f t="shared" si="6"/>
        <v>{ name: "Firly Pond", landmark: "Named Location", type: "", region: 11, level: "Surface", x: 3266, y: -2233, z: 0, zoom: [3,4], size: "S", weight: 1, details: "" },</v>
      </c>
    </row>
    <row r="417" spans="1:12" x14ac:dyDescent="0.2">
      <c r="A417" t="s">
        <v>1289</v>
      </c>
      <c r="C417" s="2">
        <v>11</v>
      </c>
      <c r="D417" s="2" t="s">
        <v>785</v>
      </c>
      <c r="E417" s="2">
        <v>3202</v>
      </c>
      <c r="F417" s="2">
        <v>-2083</v>
      </c>
      <c r="G417" s="2">
        <v>0</v>
      </c>
      <c r="H417" s="2" t="s">
        <v>2556</v>
      </c>
      <c r="I417" s="2" t="s">
        <v>2519</v>
      </c>
      <c r="J417" s="2">
        <v>1</v>
      </c>
      <c r="L417" t="str">
        <f t="shared" si="6"/>
        <v>{ name: "Ginner Woods", landmark: "Named Location", type: "", region: 11, level: "Surface", x: 3202, y: -2083, z: 0, zoom: [3,4], size: "S", weight: 1, details: "" },</v>
      </c>
    </row>
    <row r="418" spans="1:12" x14ac:dyDescent="0.2">
      <c r="A418" t="s">
        <v>1325</v>
      </c>
      <c r="C418" s="2">
        <v>11</v>
      </c>
      <c r="D418" s="2" t="s">
        <v>785</v>
      </c>
      <c r="E418" s="2">
        <v>4021</v>
      </c>
      <c r="F418" s="2">
        <v>-2423</v>
      </c>
      <c r="G418" s="2">
        <v>0</v>
      </c>
      <c r="H418" s="2" t="s">
        <v>2556</v>
      </c>
      <c r="I418" s="2" t="s">
        <v>2519</v>
      </c>
      <c r="J418" s="2">
        <v>1</v>
      </c>
      <c r="L418" t="str">
        <f t="shared" si="6"/>
        <v>{ name: "Hateno Bay", landmark: "Named Location", type: "", region: 11, level: "Surface", x: 4021, y: -2423, z: 0, zoom: [3,4], size: "S", weight: 1, details: "" },</v>
      </c>
    </row>
    <row r="419" spans="1:12" x14ac:dyDescent="0.2">
      <c r="A419" t="s">
        <v>1326</v>
      </c>
      <c r="C419" s="2">
        <v>11</v>
      </c>
      <c r="D419" s="2" t="s">
        <v>785</v>
      </c>
      <c r="E419" s="2">
        <v>4017</v>
      </c>
      <c r="F419" s="2">
        <v>-2315</v>
      </c>
      <c r="G419" s="2">
        <v>0</v>
      </c>
      <c r="H419" s="2" t="s">
        <v>2556</v>
      </c>
      <c r="I419" s="2" t="s">
        <v>2545</v>
      </c>
      <c r="J419" s="2">
        <v>1</v>
      </c>
      <c r="L419" t="str">
        <f t="shared" si="6"/>
        <v>{ name: "Hateno Beach", landmark: "Named Location", type: "", region: 11, level: "Surface", x: 4017, y: -2315, z: 0, zoom: [3,4], size: "M", weight: 1, details: "" },</v>
      </c>
    </row>
    <row r="420" spans="1:12" x14ac:dyDescent="0.2">
      <c r="A420" t="s">
        <v>1392</v>
      </c>
      <c r="C420" s="2">
        <v>11</v>
      </c>
      <c r="D420" s="2" t="s">
        <v>785</v>
      </c>
      <c r="E420" s="2">
        <v>3685</v>
      </c>
      <c r="F420" s="2">
        <v>-2503</v>
      </c>
      <c r="G420" s="2">
        <v>0</v>
      </c>
      <c r="H420" s="2" t="s">
        <v>2556</v>
      </c>
      <c r="I420" s="2" t="s">
        <v>2519</v>
      </c>
      <c r="J420" s="2">
        <v>1</v>
      </c>
      <c r="L420" t="str">
        <f t="shared" si="6"/>
        <v>{ name: "Kitano Bay", landmark: "Named Location", type: "", region: 11, level: "Surface", x: 3685, y: -2503, z: 0, zoom: [3,4], size: "S", weight: 1, details: "" },</v>
      </c>
    </row>
    <row r="421" spans="1:12" x14ac:dyDescent="0.2">
      <c r="A421" t="s">
        <v>1406</v>
      </c>
      <c r="C421" s="2">
        <v>11</v>
      </c>
      <c r="D421" s="2" t="s">
        <v>785</v>
      </c>
      <c r="E421" s="2">
        <v>2967</v>
      </c>
      <c r="F421" s="2">
        <v>-2224</v>
      </c>
      <c r="G421" s="2">
        <v>0</v>
      </c>
      <c r="H421" s="2" t="s">
        <v>2556</v>
      </c>
      <c r="I421" s="2" t="s">
        <v>2519</v>
      </c>
      <c r="J421" s="2">
        <v>1</v>
      </c>
      <c r="L421" t="str">
        <f t="shared" si="6"/>
        <v>{ name: "Lake Jarrah", landmark: "Named Location", type: "", region: 11, level: "Surface", x: 2967, y: -2224, z: 0, zoom: [3,4], size: "S", weight: 1, details: "" },</v>
      </c>
    </row>
    <row r="422" spans="1:12" x14ac:dyDescent="0.2">
      <c r="A422" t="s">
        <v>1413</v>
      </c>
      <c r="C422" s="2">
        <v>11</v>
      </c>
      <c r="D422" s="2" t="s">
        <v>785</v>
      </c>
      <c r="E422" s="2">
        <v>3722</v>
      </c>
      <c r="F422" s="2">
        <v>-1906</v>
      </c>
      <c r="G422" s="2">
        <v>0</v>
      </c>
      <c r="H422" s="2" t="s">
        <v>2556</v>
      </c>
      <c r="I422" s="2" t="s">
        <v>2519</v>
      </c>
      <c r="J422" s="2">
        <v>1</v>
      </c>
      <c r="L422" t="str">
        <f t="shared" si="6"/>
        <v>{ name: "Lake Sumac", landmark: "Named Location", type: "", region: 11, level: "Surface", x: 3722, y: -1906, z: 0, zoom: [3,4], size: "S", weight: 1, details: "" },</v>
      </c>
    </row>
    <row r="423" spans="1:12" x14ac:dyDescent="0.2">
      <c r="A423" t="s">
        <v>1417</v>
      </c>
      <c r="C423" s="2">
        <v>11</v>
      </c>
      <c r="D423" s="2" t="s">
        <v>785</v>
      </c>
      <c r="E423" s="2">
        <v>2929</v>
      </c>
      <c r="F423" s="2">
        <v>-1245</v>
      </c>
      <c r="G423" s="2">
        <v>0</v>
      </c>
      <c r="H423" s="2" t="s">
        <v>2556</v>
      </c>
      <c r="I423" s="2" t="s">
        <v>2546</v>
      </c>
      <c r="J423" s="2">
        <v>1</v>
      </c>
      <c r="L423" t="str">
        <f t="shared" si="6"/>
        <v>{ name: "Lanayru Bluff", landmark: "Named Location", type: "", region: 11, level: "Surface", x: 2929, y: -1245, z: 0, zoom: [3,4], size: "L", weight: 1, details: "" },</v>
      </c>
    </row>
    <row r="424" spans="1:12" x14ac:dyDescent="0.2">
      <c r="A424" t="s">
        <v>1421</v>
      </c>
      <c r="C424" s="2">
        <v>11</v>
      </c>
      <c r="D424" s="2" t="s">
        <v>785</v>
      </c>
      <c r="E424" s="2">
        <v>3994</v>
      </c>
      <c r="F424" s="2">
        <v>-1596</v>
      </c>
      <c r="G424" s="2">
        <v>0</v>
      </c>
      <c r="H424" s="2" t="s">
        <v>2556</v>
      </c>
      <c r="I424" s="2" t="s">
        <v>2546</v>
      </c>
      <c r="J424" s="2">
        <v>1</v>
      </c>
      <c r="L424" t="str">
        <f t="shared" si="6"/>
        <v>{ name: "Lanayru Range", landmark: "Named Location", type: "", region: 11, level: "Surface", x: 3994, y: -1596, z: 0, zoom: [3,4], size: "L", weight: 1, details: "" },</v>
      </c>
    </row>
    <row r="425" spans="1:12" x14ac:dyDescent="0.2">
      <c r="A425" t="s">
        <v>1422</v>
      </c>
      <c r="C425" s="2">
        <v>11</v>
      </c>
      <c r="D425" s="2" t="s">
        <v>785</v>
      </c>
      <c r="E425" s="2">
        <v>3222</v>
      </c>
      <c r="F425" s="2">
        <v>-1172</v>
      </c>
      <c r="G425" s="2">
        <v>157</v>
      </c>
      <c r="H425" s="2" t="s">
        <v>2556</v>
      </c>
      <c r="I425" s="2" t="s">
        <v>2519</v>
      </c>
      <c r="J425" s="2">
        <v>1</v>
      </c>
      <c r="L425" t="str">
        <f t="shared" si="6"/>
        <v>{ name: "Lanayru Road - East Gate", landmark: "Named Location", type: "", region: 11, level: "Surface", x: 3222, y: -1172, z: 157, zoom: [3,4], size: "S", weight: 1, details: "" },</v>
      </c>
    </row>
    <row r="426" spans="1:12" x14ac:dyDescent="0.2">
      <c r="A426" t="s">
        <v>1443</v>
      </c>
      <c r="C426" s="2">
        <v>11</v>
      </c>
      <c r="D426" s="2" t="s">
        <v>785</v>
      </c>
      <c r="E426" s="2">
        <v>3481</v>
      </c>
      <c r="F426" s="2">
        <v>-2880</v>
      </c>
      <c r="G426" s="2">
        <v>0</v>
      </c>
      <c r="H426" s="2" t="s">
        <v>2556</v>
      </c>
      <c r="I426" s="2" t="s">
        <v>2519</v>
      </c>
      <c r="J426" s="2">
        <v>1</v>
      </c>
      <c r="L426" t="str">
        <f t="shared" si="6"/>
        <v>{ name: "Loshlo Harbor", landmark: "Named Location", type: "", region: 11, level: "Surface", x: 3481, y: -2880, z: 0, zoom: [3,4], size: "S", weight: 1, details: "" },</v>
      </c>
    </row>
    <row r="427" spans="1:12" x14ac:dyDescent="0.2">
      <c r="A427" t="s">
        <v>1455</v>
      </c>
      <c r="C427" s="2">
        <v>11</v>
      </c>
      <c r="D427" s="2" t="s">
        <v>785</v>
      </c>
      <c r="E427" s="2">
        <v>3822</v>
      </c>
      <c r="F427" s="2">
        <v>-1689</v>
      </c>
      <c r="G427" s="2">
        <v>0</v>
      </c>
      <c r="H427" s="2" t="s">
        <v>2556</v>
      </c>
      <c r="I427" s="2" t="s">
        <v>2546</v>
      </c>
      <c r="J427" s="2">
        <v>1</v>
      </c>
      <c r="L427" t="str">
        <f t="shared" si="6"/>
        <v>{ name: "Madorna Mountain", landmark: "Named Location", type: "", region: 11, level: "Surface", x: 3822, y: -1689, z: 0, zoom: [3,4], size: "L", weight: 1, details: "" },</v>
      </c>
    </row>
    <row r="428" spans="1:12" x14ac:dyDescent="0.2">
      <c r="A428" t="s">
        <v>1052</v>
      </c>
      <c r="C428" s="2">
        <v>11</v>
      </c>
      <c r="D428" s="2" t="s">
        <v>785</v>
      </c>
      <c r="E428" s="2">
        <v>4663</v>
      </c>
      <c r="F428" s="2">
        <v>-2372</v>
      </c>
      <c r="G428" s="2">
        <v>0</v>
      </c>
      <c r="H428" s="2" t="s">
        <v>2556</v>
      </c>
      <c r="I428" s="2" t="s">
        <v>2545</v>
      </c>
      <c r="J428" s="2">
        <v>1</v>
      </c>
      <c r="L428" t="str">
        <f t="shared" si="6"/>
        <v>{ name: "Mapla Point", landmark: "Named Location", type: "", region: 11, level: "Surface", x: 4663, y: -2372, z: 0, zoom: [3,4], size: "M", weight: 1, details: "" },</v>
      </c>
    </row>
    <row r="429" spans="1:12" x14ac:dyDescent="0.2">
      <c r="A429" t="s">
        <v>1055</v>
      </c>
      <c r="C429" s="2">
        <v>11</v>
      </c>
      <c r="D429" s="2" t="s">
        <v>785</v>
      </c>
      <c r="E429" s="2">
        <v>3101</v>
      </c>
      <c r="F429" s="2">
        <v>-2164</v>
      </c>
      <c r="G429" s="2">
        <v>0</v>
      </c>
      <c r="H429" s="2" t="s">
        <v>2556</v>
      </c>
      <c r="I429" s="2" t="s">
        <v>2519</v>
      </c>
      <c r="J429" s="2">
        <v>1</v>
      </c>
      <c r="L429" t="str">
        <f t="shared" si="6"/>
        <v>{ name: "Midla Woods", landmark: "Named Location", type: "", region: 11, level: "Surface", x: 3101, y: -2164, z: 0, zoom: [3,4], size: "S", weight: 1, details: "" },</v>
      </c>
    </row>
    <row r="430" spans="1:12" x14ac:dyDescent="0.2">
      <c r="A430" t="s">
        <v>844</v>
      </c>
      <c r="C430" s="2">
        <v>11</v>
      </c>
      <c r="D430" s="2" t="s">
        <v>785</v>
      </c>
      <c r="E430" s="2">
        <v>3508</v>
      </c>
      <c r="F430" s="2">
        <v>-1418</v>
      </c>
      <c r="G430" s="2">
        <v>0</v>
      </c>
      <c r="H430" s="2" t="s">
        <v>2556</v>
      </c>
      <c r="I430" s="2" t="s">
        <v>2545</v>
      </c>
      <c r="J430" s="2">
        <v>1</v>
      </c>
      <c r="L430" t="str">
        <f t="shared" si="6"/>
        <v>{ name: "Naydra Snowfield", landmark: "Named Location", type: "", region: 11, level: "Surface", x: 3508, y: -1418, z: 0, zoom: [3,4], size: "M", weight: 1, details: "" },</v>
      </c>
    </row>
    <row r="431" spans="1:12" x14ac:dyDescent="0.2">
      <c r="A431" t="s">
        <v>1061</v>
      </c>
      <c r="C431" s="2">
        <v>11</v>
      </c>
      <c r="D431" s="2" t="s">
        <v>785</v>
      </c>
      <c r="E431" s="2">
        <v>3209</v>
      </c>
      <c r="F431" s="2">
        <v>-1699</v>
      </c>
      <c r="G431" s="2">
        <v>0</v>
      </c>
      <c r="H431" s="2" t="s">
        <v>2556</v>
      </c>
      <c r="I431" s="2" t="s">
        <v>2519</v>
      </c>
      <c r="J431" s="2">
        <v>1</v>
      </c>
      <c r="L431" t="str">
        <f t="shared" si="6"/>
        <v>{ name: "Nirvata Lake", landmark: "Named Location", type: "", region: 11, level: "Surface", x: 3209, y: -1699, z: 0, zoom: [3,4], size: "S", weight: 1, details: "" },</v>
      </c>
    </row>
    <row r="432" spans="1:12" x14ac:dyDescent="0.2">
      <c r="A432" t="s">
        <v>1508</v>
      </c>
      <c r="C432" s="2">
        <v>11</v>
      </c>
      <c r="D432" s="2" t="s">
        <v>785</v>
      </c>
      <c r="E432" s="2">
        <v>3201</v>
      </c>
      <c r="F432" s="2">
        <v>-1386</v>
      </c>
      <c r="G432" s="2">
        <v>0</v>
      </c>
      <c r="H432" s="2" t="s">
        <v>2556</v>
      </c>
      <c r="I432" s="2" t="s">
        <v>2546</v>
      </c>
      <c r="J432" s="2">
        <v>1</v>
      </c>
      <c r="L432" t="str">
        <f t="shared" si="6"/>
        <v>{ name: "Nirvata Plateau", landmark: "Named Location", type: "", region: 11, level: "Surface", x: 3201, y: -1386, z: 0, zoom: [3,4], size: "L", weight: 1, details: "" },</v>
      </c>
    </row>
    <row r="433" spans="1:12" x14ac:dyDescent="0.2">
      <c r="A433" t="s">
        <v>1521</v>
      </c>
      <c r="C433" s="2">
        <v>11</v>
      </c>
      <c r="D433" s="2" t="s">
        <v>785</v>
      </c>
      <c r="E433" s="2">
        <v>2474</v>
      </c>
      <c r="F433" s="2">
        <v>-2086</v>
      </c>
      <c r="G433" s="2">
        <v>0</v>
      </c>
      <c r="H433" s="2" t="s">
        <v>2556</v>
      </c>
      <c r="I433" s="2" t="s">
        <v>2519</v>
      </c>
      <c r="J433" s="2">
        <v>2</v>
      </c>
      <c r="L433" t="str">
        <f t="shared" si="6"/>
        <v>{ name: "Oakle's Navel", landmark: "Named Location", type: "", region: 11, level: "Surface", x: 2474, y: -2086, z: 0, zoom: [3,4], size: "S", weight: 2, details: "" },</v>
      </c>
    </row>
    <row r="434" spans="1:12" x14ac:dyDescent="0.2">
      <c r="A434" t="s">
        <v>1531</v>
      </c>
      <c r="C434" s="2">
        <v>11</v>
      </c>
      <c r="D434" s="2" t="s">
        <v>785</v>
      </c>
      <c r="E434" s="2">
        <v>3060</v>
      </c>
      <c r="F434" s="2">
        <v>-1883</v>
      </c>
      <c r="G434" s="2">
        <v>0</v>
      </c>
      <c r="H434" s="2" t="s">
        <v>2556</v>
      </c>
      <c r="I434" s="2" t="s">
        <v>2545</v>
      </c>
      <c r="J434" s="2">
        <v>1</v>
      </c>
      <c r="L434" t="str">
        <f t="shared" si="6"/>
        <v>{ name: "Ovli Plain", landmark: "Named Location", type: "", region: 11, level: "Surface", x: 3060, y: -1883, z: 0, zoom: [3,4], size: "M", weight: 1, details: "" },</v>
      </c>
    </row>
    <row r="435" spans="1:12" x14ac:dyDescent="0.2">
      <c r="A435" t="s">
        <v>1537</v>
      </c>
      <c r="C435" s="2">
        <v>11</v>
      </c>
      <c r="D435" s="2" t="s">
        <v>785</v>
      </c>
      <c r="E435" s="2">
        <v>2912</v>
      </c>
      <c r="F435" s="2">
        <v>-1463</v>
      </c>
      <c r="G435" s="2">
        <v>0</v>
      </c>
      <c r="H435" s="2" t="s">
        <v>2556</v>
      </c>
      <c r="I435" s="2" t="s">
        <v>2546</v>
      </c>
      <c r="J435" s="2">
        <v>1</v>
      </c>
      <c r="L435" t="str">
        <f t="shared" si="6"/>
        <v>{ name: "Peak of Awakening", landmark: "Named Location", type: "", region: 11, level: "Surface", x: 2912, y: -1463, z: 0, zoom: [3,4], size: "L", weight: 1, details: "" },</v>
      </c>
    </row>
    <row r="436" spans="1:12" x14ac:dyDescent="0.2">
      <c r="A436" t="s">
        <v>1550</v>
      </c>
      <c r="C436" s="2">
        <v>11</v>
      </c>
      <c r="D436" s="2" t="s">
        <v>785</v>
      </c>
      <c r="E436" s="2">
        <v>3261</v>
      </c>
      <c r="F436" s="2">
        <v>-1314</v>
      </c>
      <c r="G436" s="2">
        <v>0</v>
      </c>
      <c r="H436" s="2" t="s">
        <v>2556</v>
      </c>
      <c r="I436" s="2" t="s">
        <v>2519</v>
      </c>
      <c r="J436" s="2">
        <v>1</v>
      </c>
      <c r="L436" t="str">
        <f t="shared" si="6"/>
        <v>{ name: "Purifier Lake", landmark: "Named Location", type: "", region: 11, level: "Surface", x: 3261, y: -1314, z: 0, zoom: [3,4], size: "S", weight: 1, details: "" },</v>
      </c>
    </row>
    <row r="437" spans="1:12" x14ac:dyDescent="0.2">
      <c r="A437" t="s">
        <v>1564</v>
      </c>
      <c r="C437" s="2">
        <v>11</v>
      </c>
      <c r="D437" s="2" t="s">
        <v>785</v>
      </c>
      <c r="E437" s="2">
        <v>3853</v>
      </c>
      <c r="F437" s="2">
        <v>-2012</v>
      </c>
      <c r="G437" s="2">
        <v>0</v>
      </c>
      <c r="H437" s="2" t="s">
        <v>2556</v>
      </c>
      <c r="I437" s="2" t="s">
        <v>2519</v>
      </c>
      <c r="J437" s="2">
        <v>1</v>
      </c>
      <c r="L437" t="str">
        <f t="shared" si="6"/>
        <v>{ name: "Retsam Forest", landmark: "Named Location", type: "", region: 11, level: "Surface", x: 3853, y: -2012, z: 0, zoom: [3,4], size: "S", weight: 1, details: "" },</v>
      </c>
    </row>
    <row r="438" spans="1:12" x14ac:dyDescent="0.2">
      <c r="A438" t="s">
        <v>1580</v>
      </c>
      <c r="C438" s="2">
        <v>11</v>
      </c>
      <c r="D438" s="2" t="s">
        <v>785</v>
      </c>
      <c r="E438" s="2">
        <v>2700</v>
      </c>
      <c r="F438" s="2">
        <v>-1571</v>
      </c>
      <c r="G438" s="2">
        <v>0</v>
      </c>
      <c r="H438" s="2" t="s">
        <v>2556</v>
      </c>
      <c r="I438" s="2" t="s">
        <v>2545</v>
      </c>
      <c r="J438" s="2">
        <v>1</v>
      </c>
      <c r="L438" t="str">
        <f t="shared" si="6"/>
        <v>{ name: "Robred Dropoff", landmark: "Named Location", type: "", region: 11, level: "Surface", x: 2700, y: -1571, z: 0, zoom: [3,4], size: "M", weight: 1, details: "" },</v>
      </c>
    </row>
    <row r="439" spans="1:12" x14ac:dyDescent="0.2">
      <c r="A439" t="s">
        <v>1623</v>
      </c>
      <c r="C439" s="2">
        <v>11</v>
      </c>
      <c r="D439" s="2" t="s">
        <v>785</v>
      </c>
      <c r="E439" s="2">
        <v>4403</v>
      </c>
      <c r="F439" s="2">
        <v>-2205</v>
      </c>
      <c r="G439" s="2">
        <v>0</v>
      </c>
      <c r="H439" s="2" t="s">
        <v>2556</v>
      </c>
      <c r="I439" s="2" t="s">
        <v>2546</v>
      </c>
      <c r="J439" s="2">
        <v>1</v>
      </c>
      <c r="L439" t="str">
        <f t="shared" si="6"/>
        <v>{ name: "Solewood Range", landmark: "Named Location", type: "", region: 11, level: "Surface", x: 4403, y: -2205, z: 0, zoom: [3,4], size: "L", weight: 1, details: "" },</v>
      </c>
    </row>
    <row r="440" spans="1:12" x14ac:dyDescent="0.2">
      <c r="A440" t="s">
        <v>1637</v>
      </c>
      <c r="C440" s="2">
        <v>11</v>
      </c>
      <c r="D440" s="2" t="s">
        <v>785</v>
      </c>
      <c r="E440" s="2">
        <v>3926</v>
      </c>
      <c r="F440" s="2">
        <v>-1335</v>
      </c>
      <c r="G440" s="2">
        <v>450</v>
      </c>
      <c r="H440" s="2" t="s">
        <v>2556</v>
      </c>
      <c r="I440" s="2" t="s">
        <v>2519</v>
      </c>
      <c r="J440" s="2">
        <v>1</v>
      </c>
      <c r="L440" t="str">
        <f t="shared" si="6"/>
        <v>{ name: "Spring of Wisdom", landmark: "Named Location", type: "", region: 11, level: "Surface", x: 3926, y: -1335, z: 450, zoom: [3,4], size: "S", weight: 1, details: "" },</v>
      </c>
    </row>
    <row r="441" spans="1:12" x14ac:dyDescent="0.2">
      <c r="A441" t="s">
        <v>1663</v>
      </c>
      <c r="C441" s="2">
        <v>11</v>
      </c>
      <c r="D441" s="2" t="s">
        <v>785</v>
      </c>
      <c r="E441" s="2">
        <v>4480</v>
      </c>
      <c r="F441" s="2">
        <v>-897</v>
      </c>
      <c r="G441" s="2">
        <v>0</v>
      </c>
      <c r="H441" s="2" t="s">
        <v>2556</v>
      </c>
      <c r="I441" s="2" t="s">
        <v>2519</v>
      </c>
      <c r="J441" s="2">
        <v>1</v>
      </c>
      <c r="L441" t="str">
        <f t="shared" si="6"/>
        <v>{ name: "Tarm Point", landmark: "Named Location", type: "", region: 11, level: "Surface", x: 4480, y: -897, z: 0, zoom: [3,4], size: "S", weight: 1, details: "" },</v>
      </c>
    </row>
    <row r="442" spans="1:12" x14ac:dyDescent="0.2">
      <c r="A442" t="s">
        <v>1670</v>
      </c>
      <c r="C442" s="2">
        <v>11</v>
      </c>
      <c r="D442" s="2" t="s">
        <v>785</v>
      </c>
      <c r="E442" s="2">
        <v>4008</v>
      </c>
      <c r="F442" s="2">
        <v>-2945</v>
      </c>
      <c r="G442" s="2">
        <v>0</v>
      </c>
      <c r="H442" s="2" t="s">
        <v>2556</v>
      </c>
      <c r="I442" s="2" t="s">
        <v>2545</v>
      </c>
      <c r="J442" s="2">
        <v>1</v>
      </c>
      <c r="L442" t="str">
        <f t="shared" si="6"/>
        <v>{ name: "Tenoko Island", landmark: "Named Location", type: "", region: 11, level: "Surface", x: 4008, y: -2945, z: 0, zoom: [3,4], size: "M", weight: 1, details: "" },</v>
      </c>
    </row>
    <row r="443" spans="1:12" x14ac:dyDescent="0.2">
      <c r="A443" t="s">
        <v>1695</v>
      </c>
      <c r="C443" s="2">
        <v>11</v>
      </c>
      <c r="D443" s="2" t="s">
        <v>785</v>
      </c>
      <c r="E443" s="2">
        <v>4170</v>
      </c>
      <c r="F443" s="2">
        <v>-1922</v>
      </c>
      <c r="G443" s="2">
        <v>0</v>
      </c>
      <c r="H443" s="2" t="s">
        <v>2556</v>
      </c>
      <c r="I443" s="2" t="s">
        <v>2546</v>
      </c>
      <c r="J443" s="2">
        <v>1</v>
      </c>
      <c r="L443" t="str">
        <f t="shared" si="6"/>
        <v>{ name: "Walnot Mountain", landmark: "Named Location", type: "", region: 11, level: "Surface", x: 4170, y: -1922, z: 0, zoom: [3,4], size: "L", weight: 1, details: "" },</v>
      </c>
    </row>
    <row r="444" spans="1:12" x14ac:dyDescent="0.2">
      <c r="A444" t="s">
        <v>1715</v>
      </c>
      <c r="C444" s="2">
        <v>11</v>
      </c>
      <c r="D444" s="2" t="s">
        <v>785</v>
      </c>
      <c r="E444" s="2">
        <v>4518</v>
      </c>
      <c r="F444" s="2">
        <v>-988</v>
      </c>
      <c r="G444" s="2">
        <v>0</v>
      </c>
      <c r="H444" s="2" t="s">
        <v>2556</v>
      </c>
      <c r="I444" s="2" t="s">
        <v>2545</v>
      </c>
      <c r="J444" s="2">
        <v>1</v>
      </c>
      <c r="L444" t="str">
        <f t="shared" si="6"/>
        <v>{ name: "Wintre Island", landmark: "Named Location", type: "", region: 11, level: "Surface", x: 4518, y: -988, z: 0, zoom: [3,4], size: "M", weight: 1, details: "" },</v>
      </c>
    </row>
    <row r="445" spans="1:12" x14ac:dyDescent="0.2">
      <c r="A445" t="s">
        <v>1723</v>
      </c>
      <c r="C445" s="2">
        <v>11</v>
      </c>
      <c r="D445" s="2" t="s">
        <v>785</v>
      </c>
      <c r="E445" s="2">
        <v>3493</v>
      </c>
      <c r="F445" s="2">
        <v>-1965</v>
      </c>
      <c r="G445" s="2">
        <v>0</v>
      </c>
      <c r="H445" s="2" t="s">
        <v>2556</v>
      </c>
      <c r="I445" s="2" t="s">
        <v>2519</v>
      </c>
      <c r="J445" s="2">
        <v>1</v>
      </c>
      <c r="L445" t="str">
        <f t="shared" si="6"/>
        <v>{ name: "Zelkoa Pond", landmark: "Named Location", type: "", region: 11, level: "Surface", x: 3493, y: -1965, z: 0, zoom: [3,4], size: "S", weight: 1, details: "" },</v>
      </c>
    </row>
    <row r="446" spans="1:12" x14ac:dyDescent="0.2">
      <c r="A446" s="25" t="s">
        <v>1099</v>
      </c>
      <c r="C446" s="2">
        <v>12</v>
      </c>
      <c r="D446" s="2" t="s">
        <v>994</v>
      </c>
      <c r="E446" s="2">
        <v>2967</v>
      </c>
      <c r="F446" s="2">
        <v>-3606</v>
      </c>
      <c r="G446" s="2">
        <v>-306</v>
      </c>
      <c r="H446" s="2" t="s">
        <v>2559</v>
      </c>
      <c r="I446" s="2" t="s">
        <v>2545</v>
      </c>
      <c r="J446" s="2">
        <v>4</v>
      </c>
      <c r="L446" t="str">
        <f t="shared" si="6"/>
        <v>{ name: "Abandoned Lurelin Mine", landmark: "Named Location", type: "", region: 12, level: "Depths", x: 2967, y: -3606, z: -306, zoom: [1,2,3,4], size: "M", weight: 4, details: "" },</v>
      </c>
    </row>
    <row r="447" spans="1:12" x14ac:dyDescent="0.2">
      <c r="A447" t="s">
        <v>1114</v>
      </c>
      <c r="C447" s="2">
        <v>12</v>
      </c>
      <c r="D447" s="2" t="s">
        <v>994</v>
      </c>
      <c r="E447" s="2">
        <v>2589</v>
      </c>
      <c r="F447" s="2">
        <v>-3504</v>
      </c>
      <c r="G447" s="2">
        <v>-630</v>
      </c>
      <c r="H447" s="2" t="s">
        <v>2556</v>
      </c>
      <c r="I447" s="2" t="s">
        <v>2519</v>
      </c>
      <c r="J447" s="2">
        <v>1</v>
      </c>
      <c r="L447" t="str">
        <f t="shared" si="6"/>
        <v>{ name: "Ancient Observation Deck", landmark: "Named Location", type: "", region: 12, level: "Depths", x: 2589, y: -3504, z: -630, zoom: [3,4], size: "S", weight: 1, details: "" },</v>
      </c>
    </row>
    <row r="448" spans="1:12" x14ac:dyDescent="0.2">
      <c r="A448" t="s">
        <v>1152</v>
      </c>
      <c r="C448" s="2">
        <v>12</v>
      </c>
      <c r="D448" s="2" t="s">
        <v>994</v>
      </c>
      <c r="E448" s="2">
        <v>2020</v>
      </c>
      <c r="F448" s="2">
        <v>-2102</v>
      </c>
      <c r="G448" s="2">
        <v>-601</v>
      </c>
      <c r="H448" s="2" t="s">
        <v>2556</v>
      </c>
      <c r="I448" s="2" t="s">
        <v>2519</v>
      </c>
      <c r="J448" s="2">
        <v>1</v>
      </c>
      <c r="L448" t="str">
        <f t="shared" si="6"/>
        <v>{ name: "Bubinga Grove", landmark: "Named Location", type: "", region: 12, level: "Depths", x: 2020, y: -2102, z: -601, zoom: [3,4], size: "S", weight: 1, details: "" },</v>
      </c>
    </row>
    <row r="449" spans="1:12" x14ac:dyDescent="0.2">
      <c r="A449" t="s">
        <v>1181</v>
      </c>
      <c r="C449" s="2">
        <v>12</v>
      </c>
      <c r="D449" s="2" t="s">
        <v>994</v>
      </c>
      <c r="E449" s="2">
        <v>3734</v>
      </c>
      <c r="F449" s="2">
        <v>-3743</v>
      </c>
      <c r="G449" s="2">
        <v>-452</v>
      </c>
      <c r="H449" s="2" t="s">
        <v>2556</v>
      </c>
      <c r="I449" s="2" t="s">
        <v>2519</v>
      </c>
      <c r="J449" s="2">
        <v>1</v>
      </c>
      <c r="L449" t="str">
        <f t="shared" si="6"/>
        <v>{ name: "Cresia Pit Mine", landmark: "Named Location", type: "", region: 12, level: "Depths", x: 3734, y: -3743, z: -452, zoom: [3,4], size: "S", weight: 1, details: "" },</v>
      </c>
    </row>
    <row r="450" spans="1:12" x14ac:dyDescent="0.2">
      <c r="A450" t="s">
        <v>1223</v>
      </c>
      <c r="C450" s="2">
        <v>12</v>
      </c>
      <c r="D450" s="2" t="s">
        <v>994</v>
      </c>
      <c r="E450" s="2">
        <v>3153</v>
      </c>
      <c r="F450" s="2">
        <v>-3276</v>
      </c>
      <c r="G450" s="2">
        <v>-709</v>
      </c>
      <c r="H450" s="2" t="s">
        <v>2556</v>
      </c>
      <c r="I450" s="2" t="s">
        <v>2519</v>
      </c>
      <c r="J450" s="2">
        <v>1</v>
      </c>
      <c r="L450" t="str">
        <f t="shared" ref="L450:L513" si="7">"{ name: "&amp;CHAR(34)&amp;A450&amp;CHAR(34)&amp;", landmark: "&amp;CHAR(34)&amp;"Named Location"&amp;CHAR(34)&amp;", type: "&amp;CHAR(34)&amp;B450&amp;CHAR(34)&amp;", region: "&amp;C450&amp;", level: "&amp;CHAR(34)&amp;D450&amp;CHAR(34)&amp;", x: "&amp;INT(E450)&amp;", y: "&amp;INT(F450)&amp;", z: "&amp;INT(G450)&amp;", zoom: "&amp;IF(LEN(H450)&gt;1,"["&amp;H450&amp;"]",H450)&amp;", size: "&amp;CHAR(34)&amp;I450&amp;CHAR(34)&amp;", weight: "&amp;J450&amp;", details: "&amp;CHAR(34)&amp;K450&amp;CHAR(34)&amp;" },"</f>
        <v>{ name: "Dunsel Canyon Mine", landmark: "Named Location", type: "", region: 12, level: "Depths", x: 3153, y: -3276, z: -709, zoom: [3,4], size: "S", weight: 1, details: "" },</v>
      </c>
    </row>
    <row r="451" spans="1:12" x14ac:dyDescent="0.2">
      <c r="A451" t="s">
        <v>1267</v>
      </c>
      <c r="C451" s="2">
        <v>12</v>
      </c>
      <c r="D451" s="2" t="s">
        <v>994</v>
      </c>
      <c r="E451" s="2">
        <v>1936</v>
      </c>
      <c r="F451" s="2">
        <v>-2779</v>
      </c>
      <c r="G451" s="2">
        <v>-854</v>
      </c>
      <c r="H451" s="2" t="s">
        <v>2556</v>
      </c>
      <c r="I451" s="2" t="s">
        <v>2519</v>
      </c>
      <c r="J451" s="2">
        <v>1</v>
      </c>
      <c r="L451" t="str">
        <f t="shared" si="7"/>
        <v>{ name: "Floria Canyon Mine", landmark: "Named Location", type: "", region: 12, level: "Depths", x: 1936, y: -2779, z: -854, zoom: [3,4], size: "S", weight: 1, details: "" },</v>
      </c>
    </row>
    <row r="452" spans="1:12" x14ac:dyDescent="0.2">
      <c r="A452" t="s">
        <v>1351</v>
      </c>
      <c r="C452" s="2">
        <v>12</v>
      </c>
      <c r="D452" s="2" t="s">
        <v>994</v>
      </c>
      <c r="E452" s="2">
        <v>1943</v>
      </c>
      <c r="F452" s="2">
        <v>-2392</v>
      </c>
      <c r="G452" s="2">
        <v>-595</v>
      </c>
      <c r="H452" s="2" t="s">
        <v>2556</v>
      </c>
      <c r="I452" s="2" t="s">
        <v>2519</v>
      </c>
      <c r="J452" s="2">
        <v>1</v>
      </c>
      <c r="L452" t="str">
        <f t="shared" si="7"/>
        <v>{ name: "Hickaly Grove", landmark: "Named Location", type: "", region: 12, level: "Depths", x: 1943, y: -2392, z: -595, zoom: [3,4], size: "S", weight: 1, details: "" },</v>
      </c>
    </row>
    <row r="453" spans="1:12" x14ac:dyDescent="0.2">
      <c r="A453" t="s">
        <v>1440</v>
      </c>
      <c r="C453" s="2">
        <v>12</v>
      </c>
      <c r="D453" s="2" t="s">
        <v>994</v>
      </c>
      <c r="E453" s="2">
        <v>4585</v>
      </c>
      <c r="F453" s="2">
        <v>-3608</v>
      </c>
      <c r="G453" s="2">
        <v>-378</v>
      </c>
      <c r="H453" s="2" t="s">
        <v>2556</v>
      </c>
      <c r="I453" s="2" t="s">
        <v>2519</v>
      </c>
      <c r="J453" s="2">
        <v>2</v>
      </c>
      <c r="L453" t="str">
        <f t="shared" si="7"/>
        <v>{ name: "Lone Island Coliseum", landmark: "Named Location", type: "", region: 12, level: "Depths", x: 4585, y: -3608, z: -378, zoom: [3,4], size: "S", weight: 2, details: "" },</v>
      </c>
    </row>
    <row r="454" spans="1:12" x14ac:dyDescent="0.2">
      <c r="A454" t="s">
        <v>1463</v>
      </c>
      <c r="C454" s="2">
        <v>12</v>
      </c>
      <c r="D454" s="2" t="s">
        <v>994</v>
      </c>
      <c r="E454" s="2">
        <v>2512</v>
      </c>
      <c r="F454" s="2">
        <v>-2483</v>
      </c>
      <c r="G454" s="2">
        <v>-503</v>
      </c>
      <c r="H454" s="2" t="s">
        <v>2556</v>
      </c>
      <c r="I454" s="2" t="s">
        <v>2519</v>
      </c>
      <c r="J454" s="2">
        <v>1</v>
      </c>
      <c r="L454" t="str">
        <f t="shared" si="7"/>
        <v>{ name: "Meda Canyon Mine", landmark: "Named Location", type: "", region: 12, level: "Depths", x: 2512, y: -2483, z: -503, zoom: [3,4], size: "S", weight: 1, details: "" },</v>
      </c>
    </row>
    <row r="455" spans="1:12" x14ac:dyDescent="0.2">
      <c r="A455" t="s">
        <v>1464</v>
      </c>
      <c r="C455" s="2">
        <v>12</v>
      </c>
      <c r="D455" s="2" t="s">
        <v>994</v>
      </c>
      <c r="E455" s="2">
        <v>2253</v>
      </c>
      <c r="F455" s="2">
        <v>-2366</v>
      </c>
      <c r="G455" s="2">
        <v>-556</v>
      </c>
      <c r="H455" s="2" t="s">
        <v>2556</v>
      </c>
      <c r="I455" s="2" t="s">
        <v>2546</v>
      </c>
      <c r="J455" s="2">
        <v>2</v>
      </c>
      <c r="L455" t="str">
        <f t="shared" si="7"/>
        <v>{ name: "Meda Lavafalls", landmark: "Named Location", type: "", region: 12, level: "Depths", x: 2253, y: -2366, z: -556, zoom: [3,4], size: "L", weight: 2, details: "" },</v>
      </c>
    </row>
    <row r="456" spans="1:12" x14ac:dyDescent="0.2">
      <c r="A456" t="s">
        <v>1588</v>
      </c>
      <c r="C456" s="2">
        <v>12</v>
      </c>
      <c r="D456" s="2" t="s">
        <v>994</v>
      </c>
      <c r="E456" s="2">
        <v>2368</v>
      </c>
      <c r="F456" s="2">
        <v>-2201</v>
      </c>
      <c r="G456" s="2">
        <v>-597</v>
      </c>
      <c r="H456" s="2" t="s">
        <v>2556</v>
      </c>
      <c r="I456" s="2" t="s">
        <v>2519</v>
      </c>
      <c r="J456" s="2">
        <v>1</v>
      </c>
      <c r="L456" t="str">
        <f t="shared" si="7"/>
        <v>{ name: "Rozudo Canyon Mine", landmark: "Named Location", type: "", region: 12, level: "Depths", x: 2368, y: -2201, z: -597, zoom: [3,4], size: "S", weight: 1, details: "" },</v>
      </c>
    </row>
    <row r="457" spans="1:12" x14ac:dyDescent="0.2">
      <c r="A457" t="s">
        <v>1606</v>
      </c>
      <c r="C457" s="2">
        <v>12</v>
      </c>
      <c r="D457" s="2" t="s">
        <v>994</v>
      </c>
      <c r="E457" s="2">
        <v>2242</v>
      </c>
      <c r="F457" s="2">
        <v>-1880</v>
      </c>
      <c r="G457" s="2">
        <v>-467</v>
      </c>
      <c r="H457" s="2" t="s">
        <v>2556</v>
      </c>
      <c r="I457" s="2" t="s">
        <v>2519</v>
      </c>
      <c r="J457" s="2">
        <v>2</v>
      </c>
      <c r="L457" t="str">
        <f t="shared" si="7"/>
        <v>{ name: "Secluded Coliseum", landmark: "Named Location", type: "", region: 12, level: "Depths", x: 2242, y: -1880, z: -467, zoom: [3,4], size: "S", weight: 2, details: "" },</v>
      </c>
    </row>
    <row r="458" spans="1:12" x14ac:dyDescent="0.2">
      <c r="A458" t="s">
        <v>1661</v>
      </c>
      <c r="C458" s="2">
        <v>12</v>
      </c>
      <c r="D458" s="2" t="s">
        <v>994</v>
      </c>
      <c r="E458" s="2">
        <v>2500</v>
      </c>
      <c r="F458" s="2">
        <v>-2673</v>
      </c>
      <c r="G458" s="2">
        <v>-733</v>
      </c>
      <c r="H458" s="2" t="s">
        <v>2556</v>
      </c>
      <c r="I458" s="2" t="s">
        <v>2519</v>
      </c>
      <c r="J458" s="2">
        <v>1</v>
      </c>
      <c r="L458" t="str">
        <f t="shared" si="7"/>
        <v>{ name: "Taran Canyon Mine", landmark: "Named Location", type: "", region: 12, level: "Depths", x: 2500, y: -2673, z: -733, zoom: [3,4], size: "S", weight: 1, details: "" },</v>
      </c>
    </row>
    <row r="459" spans="1:12" x14ac:dyDescent="0.2">
      <c r="A459" t="s">
        <v>1682</v>
      </c>
      <c r="C459" s="2">
        <v>12</v>
      </c>
      <c r="D459" s="2" t="s">
        <v>994</v>
      </c>
      <c r="E459" s="2">
        <v>2520</v>
      </c>
      <c r="F459" s="2">
        <v>-3602</v>
      </c>
      <c r="G459" s="2">
        <v>-626</v>
      </c>
      <c r="H459" s="2" t="s">
        <v>2556</v>
      </c>
      <c r="I459" s="2" t="s">
        <v>2519</v>
      </c>
      <c r="J459" s="2">
        <v>2</v>
      </c>
      <c r="L459" t="str">
        <f t="shared" si="7"/>
        <v>{ name: "Tuft Canyon Mine", landmark: "Named Location", type: "", region: 12, level: "Depths", x: 2520, y: -3602, z: -626, zoom: [3,4], size: "S", weight: 2, details: "" },</v>
      </c>
    </row>
    <row r="460" spans="1:12" x14ac:dyDescent="0.2">
      <c r="A460" s="25" t="s">
        <v>1502</v>
      </c>
      <c r="B460" t="s">
        <v>2542</v>
      </c>
      <c r="C460" s="2">
        <v>12</v>
      </c>
      <c r="D460" s="2" t="s">
        <v>783</v>
      </c>
      <c r="E460" s="2">
        <v>2541</v>
      </c>
      <c r="F460" s="2">
        <v>-2271</v>
      </c>
      <c r="G460" s="2">
        <v>2000</v>
      </c>
      <c r="H460" s="2" t="s">
        <v>2832</v>
      </c>
      <c r="I460" s="2" t="s">
        <v>2546</v>
      </c>
      <c r="J460" s="2">
        <v>1</v>
      </c>
      <c r="L460" t="str">
        <f t="shared" si="7"/>
        <v>{ name: "Necluda Sky Archipelago", landmark: "Named Location", type: "Subregion", region: 12, level: "Sky", x: 2541, y: -2271, z: 2000, zoom: [2,3,4], size: "L", weight: 1, details: "" },</v>
      </c>
    </row>
    <row r="461" spans="1:12" x14ac:dyDescent="0.2">
      <c r="A461" s="25" t="s">
        <v>1010</v>
      </c>
      <c r="B461" t="s">
        <v>2542</v>
      </c>
      <c r="C461" s="2">
        <v>12</v>
      </c>
      <c r="D461" s="2" t="s">
        <v>783</v>
      </c>
      <c r="E461" s="2">
        <v>2559</v>
      </c>
      <c r="F461" s="2">
        <v>-3751</v>
      </c>
      <c r="G461" s="2">
        <v>2000</v>
      </c>
      <c r="H461" s="2" t="s">
        <v>2832</v>
      </c>
      <c r="I461" s="2" t="s">
        <v>2546</v>
      </c>
      <c r="J461" s="2">
        <v>1</v>
      </c>
      <c r="L461" t="str">
        <f t="shared" si="7"/>
        <v>{ name: "South Necluda Sky Archipelago", landmark: "Named Location", type: "Subregion", region: 12, level: "Sky", x: 2559, y: -3751, z: 2000, zoom: [2,3,4], size: "L", weight: 1, details: "" },</v>
      </c>
    </row>
    <row r="462" spans="1:12" x14ac:dyDescent="0.2">
      <c r="A462" t="s">
        <v>805</v>
      </c>
      <c r="B462" t="s">
        <v>8</v>
      </c>
      <c r="C462" s="2">
        <v>12</v>
      </c>
      <c r="D462" s="2" t="s">
        <v>785</v>
      </c>
      <c r="E462" s="2">
        <v>2679</v>
      </c>
      <c r="F462" s="2">
        <v>-2507</v>
      </c>
      <c r="G462" s="2">
        <v>0</v>
      </c>
      <c r="H462" s="2">
        <v>2</v>
      </c>
      <c r="I462" s="2" t="s">
        <v>2545</v>
      </c>
      <c r="J462" s="2">
        <v>1</v>
      </c>
      <c r="L462" t="str">
        <f t="shared" si="7"/>
        <v>{ name: "East Necluda", landmark: "Named Location", type: "Region", region: 12, level: "Surface", x: 2679, y: -2507, z: 0, zoom: 2, size: "M", weight: 1, details: "" },</v>
      </c>
    </row>
    <row r="463" spans="1:12" x14ac:dyDescent="0.2">
      <c r="A463" t="s">
        <v>1276</v>
      </c>
      <c r="C463" s="2">
        <v>12</v>
      </c>
      <c r="D463" s="2" t="s">
        <v>785</v>
      </c>
      <c r="E463" s="2">
        <v>3274</v>
      </c>
      <c r="F463" s="2">
        <v>-3412</v>
      </c>
      <c r="G463" s="2">
        <v>0</v>
      </c>
      <c r="H463" s="2">
        <v>4</v>
      </c>
      <c r="I463" s="2" t="s">
        <v>2545</v>
      </c>
      <c r="J463" s="2">
        <v>1</v>
      </c>
      <c r="L463" t="str">
        <f t="shared" si="7"/>
        <v>{ name: "Gama Cove", landmark: "Named Location", type: "", region: 12, level: "Surface", x: 3274, y: -3412, z: 0, zoom: 4, size: "M", weight: 1, details: "" },</v>
      </c>
    </row>
    <row r="464" spans="1:12" x14ac:dyDescent="0.2">
      <c r="A464" t="s">
        <v>1125</v>
      </c>
      <c r="C464" s="2">
        <v>12</v>
      </c>
      <c r="D464" s="2" t="s">
        <v>785</v>
      </c>
      <c r="E464" s="2">
        <v>1936</v>
      </c>
      <c r="F464" s="2">
        <v>-3879</v>
      </c>
      <c r="G464" s="2">
        <v>0</v>
      </c>
      <c r="H464" s="2" t="s">
        <v>2556</v>
      </c>
      <c r="I464" s="26" t="s">
        <v>2519</v>
      </c>
      <c r="J464" s="2">
        <v>1</v>
      </c>
      <c r="L464" t="str">
        <f t="shared" si="7"/>
        <v>{ name: "Aris Beach", landmark: "Named Location", type: "", region: 12, level: "Surface", x: 1936, y: -3879, z: 0, zoom: [3,4], size: "S", weight: 1, details: "" },</v>
      </c>
    </row>
    <row r="465" spans="1:12" x14ac:dyDescent="0.2">
      <c r="A465" t="s">
        <v>1021</v>
      </c>
      <c r="C465" s="2">
        <v>12</v>
      </c>
      <c r="D465" s="2" t="s">
        <v>785</v>
      </c>
      <c r="E465" s="2">
        <v>1978</v>
      </c>
      <c r="F465" s="2">
        <v>-1842</v>
      </c>
      <c r="G465" s="2">
        <v>0</v>
      </c>
      <c r="H465" s="2" t="s">
        <v>2556</v>
      </c>
      <c r="I465" s="2" t="s">
        <v>2519</v>
      </c>
      <c r="J465" s="2">
        <v>1</v>
      </c>
      <c r="L465" t="str">
        <f t="shared" si="7"/>
        <v>{ name: "Ash Swamp", landmark: "Named Location", type: "", region: 12, level: "Surface", x: 1978, y: -1842, z: 0, zoom: [3,4], size: "S", weight: 1, details: "" },</v>
      </c>
    </row>
    <row r="466" spans="1:12" x14ac:dyDescent="0.2">
      <c r="A466" t="s">
        <v>1127</v>
      </c>
      <c r="C466" s="2">
        <v>12</v>
      </c>
      <c r="D466" s="2" t="s">
        <v>785</v>
      </c>
      <c r="E466" s="2">
        <v>2469</v>
      </c>
      <c r="F466" s="2">
        <v>-3260</v>
      </c>
      <c r="G466" s="2">
        <v>0</v>
      </c>
      <c r="H466" s="2" t="s">
        <v>2556</v>
      </c>
      <c r="I466" s="26" t="s">
        <v>2545</v>
      </c>
      <c r="J466" s="2">
        <v>1</v>
      </c>
      <c r="L466" t="str">
        <f t="shared" si="7"/>
        <v>{ name: "Atun Valley", landmark: "Named Location", type: "", region: 12, level: "Surface", x: 2469, y: -3260, z: 0, zoom: [3,4], size: "M", weight: 1, details: "" },</v>
      </c>
    </row>
    <row r="467" spans="1:12" x14ac:dyDescent="0.2">
      <c r="A467" t="s">
        <v>1136</v>
      </c>
      <c r="C467" s="2">
        <v>12</v>
      </c>
      <c r="D467" s="2" t="s">
        <v>785</v>
      </c>
      <c r="E467" s="2">
        <v>2133</v>
      </c>
      <c r="F467" s="2">
        <v>-1914</v>
      </c>
      <c r="G467" s="2">
        <v>0</v>
      </c>
      <c r="H467" s="2" t="s">
        <v>2556</v>
      </c>
      <c r="I467" s="2" t="s">
        <v>2545</v>
      </c>
      <c r="J467" s="2">
        <v>1</v>
      </c>
      <c r="L467" t="str">
        <f t="shared" si="7"/>
        <v>{ name: "Blatchery Plain", landmark: "Named Location", type: "", region: 12, level: "Surface", x: 2133, y: -1914, z: 0, zoom: [3,4], size: "M", weight: 1, details: "" },</v>
      </c>
    </row>
    <row r="468" spans="1:12" x14ac:dyDescent="0.2">
      <c r="A468" t="s">
        <v>1147</v>
      </c>
      <c r="C468" s="2">
        <v>12</v>
      </c>
      <c r="D468" s="2" t="s">
        <v>785</v>
      </c>
      <c r="E468" s="2">
        <v>2135</v>
      </c>
      <c r="F468" s="2">
        <v>-2578</v>
      </c>
      <c r="G468" s="2">
        <v>0</v>
      </c>
      <c r="H468" s="2" t="s">
        <v>2556</v>
      </c>
      <c r="I468" s="26" t="s">
        <v>2546</v>
      </c>
      <c r="J468" s="2">
        <v>1</v>
      </c>
      <c r="L468" t="str">
        <f t="shared" si="7"/>
        <v>{ name: "Breman Peak", landmark: "Named Location", type: "", region: 12, level: "Surface", x: 2135, y: -2578, z: 0, zoom: [3,4], size: "L", weight: 1, details: "" },</v>
      </c>
    </row>
    <row r="469" spans="1:12" x14ac:dyDescent="0.2">
      <c r="A469" t="s">
        <v>1151</v>
      </c>
      <c r="C469" s="2">
        <v>12</v>
      </c>
      <c r="D469" s="2" t="s">
        <v>785</v>
      </c>
      <c r="E469" s="2">
        <v>2085</v>
      </c>
      <c r="F469" s="2">
        <v>-2094</v>
      </c>
      <c r="G469" s="2">
        <v>0</v>
      </c>
      <c r="H469" s="2" t="s">
        <v>2556</v>
      </c>
      <c r="I469" s="2" t="s">
        <v>2519</v>
      </c>
      <c r="J469" s="2">
        <v>1</v>
      </c>
      <c r="L469" t="str">
        <f t="shared" si="7"/>
        <v>{ name: "Bubinga Forest", landmark: "Named Location", type: "", region: 12, level: "Surface", x: 2085, y: -2094, z: 0, zoom: [3,4], size: "S", weight: 1, details: "" },</v>
      </c>
    </row>
    <row r="470" spans="1:12" x14ac:dyDescent="0.2">
      <c r="A470" t="s">
        <v>1156</v>
      </c>
      <c r="C470" s="2">
        <v>12</v>
      </c>
      <c r="D470" s="2" t="s">
        <v>785</v>
      </c>
      <c r="E470" s="2">
        <v>3545</v>
      </c>
      <c r="F470" s="2">
        <v>-3261</v>
      </c>
      <c r="G470" s="2">
        <v>0</v>
      </c>
      <c r="H470" s="2" t="s">
        <v>2556</v>
      </c>
      <c r="I470" s="26" t="s">
        <v>2519</v>
      </c>
      <c r="J470" s="2">
        <v>1</v>
      </c>
      <c r="L470" t="str">
        <f t="shared" si="7"/>
        <v>{ name: "Cape Cales", landmark: "Named Location", type: "", region: 12, level: "Surface", x: 3545, y: -3261, z: 0, zoom: [3,4], size: "S", weight: 1, details: "" },</v>
      </c>
    </row>
    <row r="471" spans="1:12" x14ac:dyDescent="0.2">
      <c r="A471" t="s">
        <v>1157</v>
      </c>
      <c r="C471" s="2">
        <v>12</v>
      </c>
      <c r="D471" s="2" t="s">
        <v>785</v>
      </c>
      <c r="E471" s="2">
        <v>3421</v>
      </c>
      <c r="F471" s="2">
        <v>-3807</v>
      </c>
      <c r="G471" s="2">
        <v>0</v>
      </c>
      <c r="H471" s="2" t="s">
        <v>2556</v>
      </c>
      <c r="I471" s="26" t="s">
        <v>2545</v>
      </c>
      <c r="J471" s="2">
        <v>1</v>
      </c>
      <c r="L471" t="str">
        <f t="shared" si="7"/>
        <v>{ name: "Cape Cresia", landmark: "Named Location", type: "", region: 12, level: "Surface", x: 3421, y: -3807, z: 0, zoom: [3,4], size: "M", weight: 1, details: "" },</v>
      </c>
    </row>
    <row r="472" spans="1:12" x14ac:dyDescent="0.2">
      <c r="A472" t="s">
        <v>1167</v>
      </c>
      <c r="C472" s="2">
        <v>12</v>
      </c>
      <c r="D472" s="2" t="s">
        <v>785</v>
      </c>
      <c r="E472" s="2">
        <v>2585</v>
      </c>
      <c r="F472" s="2">
        <v>-3897</v>
      </c>
      <c r="G472" s="2">
        <v>0</v>
      </c>
      <c r="H472" s="2" t="s">
        <v>2556</v>
      </c>
      <c r="I472" s="26" t="s">
        <v>2545</v>
      </c>
      <c r="J472" s="2">
        <v>1</v>
      </c>
      <c r="L472" t="str">
        <f t="shared" si="7"/>
        <v>{ name: "Clarnet Coast", landmark: "Named Location", type: "", region: 12, level: "Surface", x: 2585, y: -3897, z: 0, zoom: [3,4], size: "M", weight: 1, details: "" },</v>
      </c>
    </row>
    <row r="473" spans="1:12" x14ac:dyDescent="0.2">
      <c r="A473" t="s">
        <v>1177</v>
      </c>
      <c r="C473" s="2">
        <v>12</v>
      </c>
      <c r="D473" s="2" t="s">
        <v>785</v>
      </c>
      <c r="E473" s="2">
        <v>2270</v>
      </c>
      <c r="F473" s="2">
        <v>-2942</v>
      </c>
      <c r="G473" s="2">
        <v>0</v>
      </c>
      <c r="H473" s="2" t="s">
        <v>2556</v>
      </c>
      <c r="I473" s="26" t="s">
        <v>2545</v>
      </c>
      <c r="J473" s="2">
        <v>1</v>
      </c>
      <c r="L473" t="str">
        <f t="shared" si="7"/>
        <v>{ name: "Courage Steppe", landmark: "Named Location", type: "", region: 12, level: "Surface", x: 2270, y: -2942, z: 0, zoom: [3,4], size: "M", weight: 1, details: "" },</v>
      </c>
    </row>
    <row r="474" spans="1:12" x14ac:dyDescent="0.2">
      <c r="A474" t="s">
        <v>1224</v>
      </c>
      <c r="C474" s="2">
        <v>12</v>
      </c>
      <c r="D474" s="2" t="s">
        <v>785</v>
      </c>
      <c r="E474" s="2">
        <v>3003</v>
      </c>
      <c r="F474" s="2">
        <v>-3082</v>
      </c>
      <c r="G474" s="2">
        <v>0</v>
      </c>
      <c r="H474" s="2" t="s">
        <v>2556</v>
      </c>
      <c r="I474" s="26" t="s">
        <v>2546</v>
      </c>
      <c r="J474" s="2">
        <v>1</v>
      </c>
      <c r="L474" t="str">
        <f t="shared" si="7"/>
        <v>{ name: "Dunsel Plateau", landmark: "Named Location", type: "", region: 12, level: "Surface", x: 3003, y: -3082, z: 0, zoom: [3,4], size: "L", weight: 1, details: "" },</v>
      </c>
    </row>
    <row r="475" spans="1:12" x14ac:dyDescent="0.2">
      <c r="A475" t="s">
        <v>1248</v>
      </c>
      <c r="C475" s="2">
        <v>12</v>
      </c>
      <c r="D475" s="2" t="s">
        <v>785</v>
      </c>
      <c r="E475" s="2">
        <v>4588</v>
      </c>
      <c r="F475" s="2">
        <v>-3632</v>
      </c>
      <c r="G475" s="2">
        <v>0</v>
      </c>
      <c r="H475" s="2" t="s">
        <v>2556</v>
      </c>
      <c r="I475" s="2" t="s">
        <v>2545</v>
      </c>
      <c r="J475" s="2">
        <v>1</v>
      </c>
      <c r="L475" t="str">
        <f t="shared" si="7"/>
        <v>{ name: "Eventide Island", landmark: "Named Location", type: "", region: 12, level: "Surface", x: 4588, y: -3632, z: 0, zoom: [3,4], size: "M", weight: 1, details: "" },</v>
      </c>
    </row>
    <row r="476" spans="1:12" x14ac:dyDescent="0.2">
      <c r="A476" t="s">
        <v>1259</v>
      </c>
      <c r="C476" s="2">
        <v>12</v>
      </c>
      <c r="D476" s="2" t="s">
        <v>785</v>
      </c>
      <c r="E476" s="2">
        <v>2949</v>
      </c>
      <c r="F476" s="2">
        <v>-2380</v>
      </c>
      <c r="G476" s="2">
        <v>0</v>
      </c>
      <c r="H476" s="2" t="s">
        <v>2556</v>
      </c>
      <c r="I476" s="2" t="s">
        <v>2545</v>
      </c>
      <c r="J476" s="2">
        <v>1</v>
      </c>
      <c r="L476" t="str">
        <f t="shared" si="7"/>
        <v>{ name: "Firly Plateau", landmark: "Named Location", type: "", region: 12, level: "Surface", x: 2949, y: -2380, z: 0, zoom: [3,4], size: "M", weight: 1, details: "" },</v>
      </c>
    </row>
    <row r="477" spans="1:12" x14ac:dyDescent="0.2">
      <c r="A477" t="s">
        <v>1295</v>
      </c>
      <c r="C477" s="2">
        <v>12</v>
      </c>
      <c r="D477" s="2" t="s">
        <v>785</v>
      </c>
      <c r="E477" s="2">
        <v>3194</v>
      </c>
      <c r="F477" s="2">
        <v>-3560</v>
      </c>
      <c r="G477" s="2">
        <v>0</v>
      </c>
      <c r="H477" s="2" t="s">
        <v>2556</v>
      </c>
      <c r="I477" s="2" t="s">
        <v>2519</v>
      </c>
      <c r="J477" s="2">
        <v>1</v>
      </c>
      <c r="L477" t="str">
        <f t="shared" si="7"/>
        <v>{ name: "Gogobi Shores", landmark: "Named Location", type: "", region: 12, level: "Surface", x: 3194, y: -3560, z: 0, zoom: [3,4], size: "S", weight: 1, details: "" },</v>
      </c>
    </row>
    <row r="478" spans="1:12" x14ac:dyDescent="0.2">
      <c r="A478" t="s">
        <v>1320</v>
      </c>
      <c r="C478" s="2">
        <v>12</v>
      </c>
      <c r="D478" s="2" t="s">
        <v>785</v>
      </c>
      <c r="E478" s="2">
        <v>2788</v>
      </c>
      <c r="F478" s="2">
        <v>-2731</v>
      </c>
      <c r="G478" s="2">
        <v>0</v>
      </c>
      <c r="H478" s="2" t="s">
        <v>2556</v>
      </c>
      <c r="I478" s="26" t="s">
        <v>2519</v>
      </c>
      <c r="J478" s="2">
        <v>1</v>
      </c>
      <c r="L478" t="str">
        <f t="shared" si="7"/>
        <v>{ name: "Hanu Pond", landmark: "Named Location", type: "", region: 12, level: "Surface", x: 2788, y: -2731, z: 0, zoom: [3,4], size: "S", weight: 1, details: "" },</v>
      </c>
    </row>
    <row r="479" spans="1:12" x14ac:dyDescent="0.2">
      <c r="A479" t="s">
        <v>1352</v>
      </c>
      <c r="C479" s="2">
        <v>12</v>
      </c>
      <c r="D479" s="2" t="s">
        <v>785</v>
      </c>
      <c r="E479" s="2">
        <v>1951</v>
      </c>
      <c r="F479" s="2">
        <v>-2442</v>
      </c>
      <c r="G479" s="2">
        <v>0</v>
      </c>
      <c r="H479" s="2" t="s">
        <v>2556</v>
      </c>
      <c r="I479" s="26" t="s">
        <v>2519</v>
      </c>
      <c r="J479" s="2">
        <v>1</v>
      </c>
      <c r="L479" t="str">
        <f t="shared" si="7"/>
        <v>{ name: "Hickaly Woods", landmark: "Named Location", type: "", region: 12, level: "Surface", x: 1951, y: -2442, z: 0, zoom: [3,4], size: "S", weight: 1, details: "" },</v>
      </c>
    </row>
    <row r="480" spans="1:12" x14ac:dyDescent="0.2">
      <c r="A480" t="s">
        <v>1389</v>
      </c>
      <c r="C480" s="2">
        <v>12</v>
      </c>
      <c r="D480" s="2" t="s">
        <v>785</v>
      </c>
      <c r="E480" s="2">
        <v>2995</v>
      </c>
      <c r="F480" s="2">
        <v>-2916</v>
      </c>
      <c r="G480" s="2">
        <v>0</v>
      </c>
      <c r="H480" s="2" t="s">
        <v>2556</v>
      </c>
      <c r="I480" s="26" t="s">
        <v>2519</v>
      </c>
      <c r="J480" s="2">
        <v>1</v>
      </c>
      <c r="L480" t="str">
        <f t="shared" si="7"/>
        <v>{ name: "Keya Pond", landmark: "Named Location", type: "", region: 12, level: "Surface", x: 2995, y: -2916, z: 0, zoom: [3,4], size: "S", weight: 1, details: "" },</v>
      </c>
    </row>
    <row r="481" spans="1:12" x14ac:dyDescent="0.2">
      <c r="A481" t="s">
        <v>1394</v>
      </c>
      <c r="C481" s="2">
        <v>12</v>
      </c>
      <c r="D481" s="2" t="s">
        <v>785</v>
      </c>
      <c r="E481" s="2">
        <v>4654</v>
      </c>
      <c r="F481" s="2">
        <v>-3743</v>
      </c>
      <c r="G481" s="2">
        <v>0</v>
      </c>
      <c r="H481" s="2" t="s">
        <v>2556</v>
      </c>
      <c r="I481" s="26" t="s">
        <v>2545</v>
      </c>
      <c r="J481" s="2">
        <v>1</v>
      </c>
      <c r="L481" t="str">
        <f t="shared" si="7"/>
        <v>{ name: "Koholit Rock", landmark: "Named Location", type: "", region: 12, level: "Surface", x: 4654, y: -3743, z: 0, zoom: [3,4], size: "M", weight: 1, details: "" },</v>
      </c>
    </row>
    <row r="482" spans="1:12" x14ac:dyDescent="0.2">
      <c r="A482" t="s">
        <v>1398</v>
      </c>
      <c r="C482" s="2">
        <v>12</v>
      </c>
      <c r="D482" s="2" t="s">
        <v>785</v>
      </c>
      <c r="E482" s="2">
        <v>2941</v>
      </c>
      <c r="F482" s="2">
        <v>-3656</v>
      </c>
      <c r="G482" s="2">
        <v>0</v>
      </c>
      <c r="H482" s="2" t="s">
        <v>2556</v>
      </c>
      <c r="I482" s="26" t="s">
        <v>2545</v>
      </c>
      <c r="J482" s="2">
        <v>1</v>
      </c>
      <c r="L482" t="str">
        <f t="shared" si="7"/>
        <v>{ name: "Korne Beach", landmark: "Named Location", type: "", region: 12, level: "Surface", x: 2941, y: -3656, z: 0, zoom: [3,4], size: "M", weight: 1, details: "" },</v>
      </c>
    </row>
    <row r="483" spans="1:12" x14ac:dyDescent="0.2">
      <c r="A483" t="s">
        <v>1041</v>
      </c>
      <c r="C483" s="2">
        <v>12</v>
      </c>
      <c r="D483" s="2" t="s">
        <v>785</v>
      </c>
      <c r="E483" s="2">
        <v>2397</v>
      </c>
      <c r="F483" s="2">
        <v>-2534</v>
      </c>
      <c r="G483" s="2">
        <v>0</v>
      </c>
      <c r="H483" s="2" t="s">
        <v>2556</v>
      </c>
      <c r="I483" s="26" t="s">
        <v>2519</v>
      </c>
      <c r="J483" s="2">
        <v>1</v>
      </c>
      <c r="L483" t="str">
        <f t="shared" si="7"/>
        <v>{ name: "Koto Pond", landmark: "Named Location", type: "", region: 12, level: "Surface", x: 2397, y: -2534, z: 0, zoom: [3,4], size: "S", weight: 1, details: "" },</v>
      </c>
    </row>
    <row r="484" spans="1:12" x14ac:dyDescent="0.2">
      <c r="A484" t="s">
        <v>1458</v>
      </c>
      <c r="C484" s="2">
        <v>12</v>
      </c>
      <c r="D484" s="2" t="s">
        <v>785</v>
      </c>
      <c r="E484" s="2">
        <v>2770</v>
      </c>
      <c r="F484" s="2">
        <v>-2282</v>
      </c>
      <c r="G484" s="2">
        <v>0</v>
      </c>
      <c r="H484" s="2" t="s">
        <v>2556</v>
      </c>
      <c r="I484" s="2" t="s">
        <v>2545</v>
      </c>
      <c r="J484" s="2">
        <v>1</v>
      </c>
      <c r="L484" t="str">
        <f t="shared" si="7"/>
        <v>{ name: "Marblod Plain", landmark: "Named Location", type: "", region: 12, level: "Surface", x: 2770, y: -2282, z: 0, zoom: [3,4], size: "M", weight: 1, details: "" },</v>
      </c>
    </row>
    <row r="485" spans="1:12" x14ac:dyDescent="0.2">
      <c r="A485" t="s">
        <v>1465</v>
      </c>
      <c r="C485" s="2">
        <v>12</v>
      </c>
      <c r="D485" s="2" t="s">
        <v>785</v>
      </c>
      <c r="E485" s="2">
        <v>2548</v>
      </c>
      <c r="F485" s="2">
        <v>-2461</v>
      </c>
      <c r="G485" s="2">
        <v>0</v>
      </c>
      <c r="H485" s="2" t="s">
        <v>2556</v>
      </c>
      <c r="I485" s="2" t="s">
        <v>2546</v>
      </c>
      <c r="J485" s="2">
        <v>1</v>
      </c>
      <c r="L485" t="str">
        <f t="shared" si="7"/>
        <v>{ name: "Meda Mountain", landmark: "Named Location", type: "", region: 12, level: "Surface", x: 2548, y: -2461, z: 0, zoom: [3,4], size: "L", weight: 1, details: "" },</v>
      </c>
    </row>
    <row r="486" spans="1:12" x14ac:dyDescent="0.2">
      <c r="A486" t="s">
        <v>1487</v>
      </c>
      <c r="C486" s="2">
        <v>12</v>
      </c>
      <c r="D486" s="2" t="s">
        <v>785</v>
      </c>
      <c r="E486" s="2">
        <v>3197</v>
      </c>
      <c r="F486" s="2">
        <v>-3171</v>
      </c>
      <c r="G486" s="2">
        <v>0</v>
      </c>
      <c r="H486" s="2" t="s">
        <v>2556</v>
      </c>
      <c r="I486" s="26" t="s">
        <v>2546</v>
      </c>
      <c r="J486" s="2">
        <v>1</v>
      </c>
      <c r="L486" t="str">
        <f t="shared" si="7"/>
        <v>{ name: "Mount Dunsel", landmark: "Named Location", type: "", region: 12, level: "Surface", x: 3197, y: -3171, z: 0, zoom: [3,4], size: "L", weight: 1, details: "" },</v>
      </c>
    </row>
    <row r="487" spans="1:12" x14ac:dyDescent="0.2">
      <c r="A487" t="s">
        <v>1489</v>
      </c>
      <c r="C487" s="2">
        <v>12</v>
      </c>
      <c r="D487" s="2" t="s">
        <v>785</v>
      </c>
      <c r="E487" s="2">
        <v>1931</v>
      </c>
      <c r="F487" s="2">
        <v>-2778</v>
      </c>
      <c r="G487" s="2">
        <v>0</v>
      </c>
      <c r="H487" s="2" t="s">
        <v>2556</v>
      </c>
      <c r="I487" s="26" t="s">
        <v>2546</v>
      </c>
      <c r="J487" s="2">
        <v>1</v>
      </c>
      <c r="L487" t="str">
        <f t="shared" si="7"/>
        <v>{ name: "Mount Floria", landmark: "Named Location", type: "", region: 12, level: "Surface", x: 1931, y: -2778, z: 0, zoom: [3,4], size: "L", weight: 1, details: "" },</v>
      </c>
    </row>
    <row r="488" spans="1:12" x14ac:dyDescent="0.2">
      <c r="A488" t="s">
        <v>1494</v>
      </c>
      <c r="C488" s="2">
        <v>12</v>
      </c>
      <c r="D488" s="2" t="s">
        <v>785</v>
      </c>
      <c r="E488" s="2">
        <v>2377</v>
      </c>
      <c r="F488" s="2">
        <v>-2195</v>
      </c>
      <c r="G488" s="2">
        <v>0</v>
      </c>
      <c r="H488" s="2" t="s">
        <v>2556</v>
      </c>
      <c r="I488" s="2" t="s">
        <v>2546</v>
      </c>
      <c r="J488" s="2">
        <v>1</v>
      </c>
      <c r="L488" t="str">
        <f t="shared" si="7"/>
        <v>{ name: "Mount Rozudo", landmark: "Named Location", type: "", region: 12, level: "Surface", x: 2377, y: -2195, z: 0, zoom: [3,4], size: "L", weight: 1, details: "" },</v>
      </c>
    </row>
    <row r="489" spans="1:12" x14ac:dyDescent="0.2">
      <c r="A489" t="s">
        <v>1495</v>
      </c>
      <c r="C489" s="2">
        <v>12</v>
      </c>
      <c r="D489" s="2" t="s">
        <v>785</v>
      </c>
      <c r="E489" s="2">
        <v>2484</v>
      </c>
      <c r="F489" s="2">
        <v>-2676</v>
      </c>
      <c r="G489" s="2">
        <v>0</v>
      </c>
      <c r="H489" s="2" t="s">
        <v>2556</v>
      </c>
      <c r="I489" s="26" t="s">
        <v>2546</v>
      </c>
      <c r="J489" s="2">
        <v>1</v>
      </c>
      <c r="L489" t="str">
        <f t="shared" si="7"/>
        <v>{ name: "Mount Taran", landmark: "Named Location", type: "", region: 12, level: "Surface", x: 2484, y: -2676, z: 0, zoom: [3,4], size: "L", weight: 1, details: "" },</v>
      </c>
    </row>
    <row r="490" spans="1:12" x14ac:dyDescent="0.2">
      <c r="A490" t="s">
        <v>1065</v>
      </c>
      <c r="C490" s="2">
        <v>12</v>
      </c>
      <c r="D490" s="2" t="s">
        <v>785</v>
      </c>
      <c r="E490" s="2">
        <v>3497</v>
      </c>
      <c r="F490" s="2">
        <v>-3460</v>
      </c>
      <c r="G490" s="2">
        <v>0</v>
      </c>
      <c r="H490" s="2" t="s">
        <v>2556</v>
      </c>
      <c r="I490" s="26" t="s">
        <v>2545</v>
      </c>
      <c r="J490" s="2">
        <v>1</v>
      </c>
      <c r="L490" t="str">
        <f t="shared" si="7"/>
        <v>{ name: "Palmorae Beach", landmark: "Named Location", type: "", region: 12, level: "Surface", x: 3497, y: -3460, z: 0, zoom: [3,4], size: "M", weight: 1, details: "" },</v>
      </c>
    </row>
    <row r="491" spans="1:12" x14ac:dyDescent="0.2">
      <c r="A491" t="s">
        <v>1533</v>
      </c>
      <c r="C491" s="2">
        <v>12</v>
      </c>
      <c r="D491" s="2" t="s">
        <v>785</v>
      </c>
      <c r="E491" s="2">
        <v>3548</v>
      </c>
      <c r="F491" s="2">
        <v>-3407</v>
      </c>
      <c r="G491" s="2">
        <v>8</v>
      </c>
      <c r="H491" s="2" t="s">
        <v>2556</v>
      </c>
      <c r="I491" s="2" t="s">
        <v>2519</v>
      </c>
      <c r="J491" s="2">
        <v>1</v>
      </c>
      <c r="L491" t="str">
        <f t="shared" si="7"/>
        <v>{ name: "Palmorae Ruins", landmark: "Named Location", type: "", region: 12, level: "Surface", x: 3548, y: -3407, z: 8, zoom: [3,4], size: "S", weight: 1, details: "" },</v>
      </c>
    </row>
    <row r="492" spans="1:12" x14ac:dyDescent="0.2">
      <c r="A492" t="s">
        <v>1553</v>
      </c>
      <c r="C492" s="2">
        <v>12</v>
      </c>
      <c r="D492" s="2" t="s">
        <v>785</v>
      </c>
      <c r="E492" s="2">
        <v>2420</v>
      </c>
      <c r="F492" s="2">
        <v>-2782</v>
      </c>
      <c r="G492" s="2">
        <v>0</v>
      </c>
      <c r="H492" s="2" t="s">
        <v>2556</v>
      </c>
      <c r="I492" s="26" t="s">
        <v>2545</v>
      </c>
      <c r="J492" s="2">
        <v>1</v>
      </c>
      <c r="L492" t="str">
        <f t="shared" si="7"/>
        <v>{ name: "Rabella Wetlands", landmark: "Named Location", type: "", region: 12, level: "Surface", x: 2420, y: -2782, z: 0, zoom: [3,4], size: "M", weight: 1, details: "" },</v>
      </c>
    </row>
    <row r="493" spans="1:12" x14ac:dyDescent="0.2">
      <c r="A493" t="s">
        <v>1571</v>
      </c>
      <c r="C493" s="2">
        <v>12</v>
      </c>
      <c r="D493" s="2" t="s">
        <v>785</v>
      </c>
      <c r="E493" s="2">
        <v>3167</v>
      </c>
      <c r="F493" s="2">
        <v>-3721</v>
      </c>
      <c r="G493" s="2">
        <v>0</v>
      </c>
      <c r="H493" s="2" t="s">
        <v>2556</v>
      </c>
      <c r="I493" s="26" t="s">
        <v>2545</v>
      </c>
      <c r="J493" s="2">
        <v>1</v>
      </c>
      <c r="L493" t="str">
        <f t="shared" si="7"/>
        <v>{ name: "Rimba Beach", landmark: "Named Location", type: "", region: 12, level: "Surface", x: 3167, y: -3721, z: 0, zoom: [3,4], size: "M", weight: 1, details: "" },</v>
      </c>
    </row>
    <row r="494" spans="1:12" x14ac:dyDescent="0.2">
      <c r="A494" t="s">
        <v>1621</v>
      </c>
      <c r="C494" s="2">
        <v>12</v>
      </c>
      <c r="D494" s="2" t="s">
        <v>785</v>
      </c>
      <c r="E494" s="2">
        <v>3800</v>
      </c>
      <c r="F494" s="2">
        <v>-3657</v>
      </c>
      <c r="G494" s="2">
        <v>0</v>
      </c>
      <c r="H494" s="2" t="s">
        <v>2556</v>
      </c>
      <c r="I494" s="26" t="s">
        <v>2519</v>
      </c>
      <c r="J494" s="2">
        <v>1</v>
      </c>
      <c r="L494" t="str">
        <f t="shared" si="7"/>
        <v>{ name: "Soka Point", landmark: "Named Location", type: "", region: 12, level: "Surface", x: 3800, y: -3657, z: 0, zoom: [3,4], size: "S", weight: 1, details: "" },</v>
      </c>
    </row>
    <row r="495" spans="1:12" x14ac:dyDescent="0.2">
      <c r="A495" t="s">
        <v>1641</v>
      </c>
      <c r="C495" s="2">
        <v>12</v>
      </c>
      <c r="D495" s="2" t="s">
        <v>785</v>
      </c>
      <c r="E495" s="2">
        <v>2856</v>
      </c>
      <c r="F495" s="2">
        <v>-2616</v>
      </c>
      <c r="G495" s="2">
        <v>0</v>
      </c>
      <c r="H495" s="2" t="s">
        <v>2556</v>
      </c>
      <c r="I495" s="2" t="s">
        <v>2545</v>
      </c>
      <c r="J495" s="2">
        <v>1</v>
      </c>
      <c r="L495" t="str">
        <f t="shared" si="7"/>
        <v>{ name: "Stinger Cliffs", landmark: "Named Location", type: "", region: 12, level: "Surface", x: 2856, y: -2616, z: 0, zoom: [3,4], size: "M", weight: 1, details: "" },</v>
      </c>
    </row>
    <row r="496" spans="1:12" x14ac:dyDescent="0.2">
      <c r="A496" t="s">
        <v>1662</v>
      </c>
      <c r="C496" s="2">
        <v>12</v>
      </c>
      <c r="D496" s="2" t="s">
        <v>785</v>
      </c>
      <c r="E496" s="2">
        <v>2714</v>
      </c>
      <c r="F496" s="2">
        <v>-2854</v>
      </c>
      <c r="G496" s="2">
        <v>0</v>
      </c>
      <c r="H496" s="2" t="s">
        <v>2556</v>
      </c>
      <c r="I496" s="2" t="s">
        <v>2546</v>
      </c>
      <c r="J496" s="2">
        <v>1</v>
      </c>
      <c r="L496" t="str">
        <f t="shared" si="7"/>
        <v>{ name: "Taran Pass", landmark: "Named Location", type: "", region: 12, level: "Surface", x: 2714, y: -2854, z: 0, zoom: [3,4], size: "L", weight: 1, details: "" },</v>
      </c>
    </row>
    <row r="497" spans="1:12" x14ac:dyDescent="0.2">
      <c r="A497" t="s">
        <v>1085</v>
      </c>
      <c r="C497" s="2">
        <v>12</v>
      </c>
      <c r="D497" s="2" t="s">
        <v>785</v>
      </c>
      <c r="E497" s="2">
        <v>2382</v>
      </c>
      <c r="F497" s="2">
        <v>-3400</v>
      </c>
      <c r="G497" s="2">
        <v>0</v>
      </c>
      <c r="H497" s="2" t="s">
        <v>2556</v>
      </c>
      <c r="I497" s="26" t="s">
        <v>2546</v>
      </c>
      <c r="J497" s="2">
        <v>1</v>
      </c>
      <c r="L497" t="str">
        <f t="shared" si="7"/>
        <v>{ name: "Temto Hill", landmark: "Named Location", type: "", region: 12, level: "Surface", x: 2382, y: -3400, z: 0, zoom: [3,4], size: "L", weight: 1, details: "" },</v>
      </c>
    </row>
    <row r="498" spans="1:12" x14ac:dyDescent="0.2">
      <c r="A498" t="s">
        <v>1676</v>
      </c>
      <c r="C498" s="2">
        <v>12</v>
      </c>
      <c r="D498" s="2" t="s">
        <v>785</v>
      </c>
      <c r="E498" s="2">
        <v>4498</v>
      </c>
      <c r="F498" s="2">
        <v>-3553</v>
      </c>
      <c r="G498" s="2">
        <v>0</v>
      </c>
      <c r="H498" s="2" t="s">
        <v>2556</v>
      </c>
      <c r="I498" s="26" t="s">
        <v>2545</v>
      </c>
      <c r="J498" s="2">
        <v>1</v>
      </c>
      <c r="L498" t="str">
        <f t="shared" si="7"/>
        <v>{ name: "Toronbo Beach", landmark: "Named Location", type: "", region: 12, level: "Surface", x: 4498, y: -3553, z: 0, zoom: [3,4], size: "M", weight: 1, details: "" },</v>
      </c>
    </row>
    <row r="499" spans="1:12" x14ac:dyDescent="0.2">
      <c r="A499" t="s">
        <v>1683</v>
      </c>
      <c r="C499" s="2">
        <v>12</v>
      </c>
      <c r="D499" s="2" t="s">
        <v>785</v>
      </c>
      <c r="E499" s="2">
        <v>2567</v>
      </c>
      <c r="F499" s="2">
        <v>-3475</v>
      </c>
      <c r="G499" s="2">
        <v>0</v>
      </c>
      <c r="H499" s="2" t="s">
        <v>2556</v>
      </c>
      <c r="I499" s="26" t="s">
        <v>2546</v>
      </c>
      <c r="J499" s="2">
        <v>1</v>
      </c>
      <c r="L499" t="str">
        <f t="shared" si="7"/>
        <v>{ name: "Tuft Mountain", landmark: "Named Location", type: "", region: 12, level: "Surface", x: 2567, y: -3475, z: 0, zoom: [3,4], size: "L", weight: 1, details: "" },</v>
      </c>
    </row>
    <row r="500" spans="1:12" x14ac:dyDescent="0.2">
      <c r="A500" t="s">
        <v>1691</v>
      </c>
      <c r="C500" s="2">
        <v>12</v>
      </c>
      <c r="D500" s="2" t="s">
        <v>785</v>
      </c>
      <c r="E500" s="2">
        <v>2701</v>
      </c>
      <c r="F500" s="2">
        <v>-2945</v>
      </c>
      <c r="G500" s="2">
        <v>0</v>
      </c>
      <c r="H500" s="2" t="s">
        <v>2556</v>
      </c>
      <c r="I500" s="26" t="s">
        <v>2519</v>
      </c>
      <c r="J500" s="2">
        <v>1</v>
      </c>
      <c r="L500" t="str">
        <f t="shared" si="7"/>
        <v>{ name: "Uten Marsh", landmark: "Named Location", type: "", region: 12, level: "Surface", x: 2701, y: -2945, z: 0, zoom: [3,4], size: "S", weight: 1, details: "" },</v>
      </c>
    </row>
    <row r="501" spans="1:12" x14ac:dyDescent="0.2">
      <c r="A501" t="s">
        <v>1718</v>
      </c>
      <c r="C501" s="2">
        <v>12</v>
      </c>
      <c r="D501" s="2" t="s">
        <v>785</v>
      </c>
      <c r="E501" s="2">
        <v>2475</v>
      </c>
      <c r="F501" s="2">
        <v>-3584</v>
      </c>
      <c r="G501" s="2">
        <v>0</v>
      </c>
      <c r="H501" s="2" t="s">
        <v>2556</v>
      </c>
      <c r="I501" s="26" t="s">
        <v>2519</v>
      </c>
      <c r="J501" s="2">
        <v>1</v>
      </c>
      <c r="L501" t="str">
        <f t="shared" si="7"/>
        <v>{ name: "Yambi Lake", landmark: "Named Location", type: "", region: 12, level: "Surface", x: 2475, y: -3584, z: 0, zoom: [3,4], size: "S", weight: 1, details: "" },</v>
      </c>
    </row>
    <row r="502" spans="1:12" x14ac:dyDescent="0.2">
      <c r="A502" t="s">
        <v>1171</v>
      </c>
      <c r="C502" s="2">
        <v>13</v>
      </c>
      <c r="D502" s="2" t="s">
        <v>994</v>
      </c>
      <c r="E502" s="2">
        <v>869</v>
      </c>
      <c r="F502" s="2">
        <v>-2174</v>
      </c>
      <c r="G502" s="2">
        <v>-571</v>
      </c>
      <c r="H502" s="2" t="s">
        <v>2556</v>
      </c>
      <c r="I502" s="2" t="s">
        <v>2519</v>
      </c>
      <c r="J502" s="2">
        <v>1</v>
      </c>
      <c r="L502" t="str">
        <f t="shared" si="7"/>
        <v>{ name: "Construct Factory", landmark: "Named Location", type: "", region: 13, level: "Depths", x: 869, y: -2174, z: -571, zoom: [3,4], size: "S", weight: 1, details: "" },</v>
      </c>
    </row>
    <row r="503" spans="1:12" x14ac:dyDescent="0.2">
      <c r="A503" t="s">
        <v>1210</v>
      </c>
      <c r="C503" s="2">
        <v>13</v>
      </c>
      <c r="D503" s="2" t="s">
        <v>994</v>
      </c>
      <c r="E503" s="2">
        <v>906</v>
      </c>
      <c r="F503" s="2">
        <v>-2556</v>
      </c>
      <c r="G503" s="2">
        <v>-467</v>
      </c>
      <c r="H503" s="2" t="s">
        <v>2556</v>
      </c>
      <c r="I503" s="2" t="s">
        <v>2519</v>
      </c>
      <c r="J503" s="2">
        <v>1</v>
      </c>
      <c r="L503" t="str">
        <f t="shared" si="7"/>
        <v>{ name: "Dracozu Altar", landmark: "Named Location", type: "", region: 13, level: "Depths", x: 906, y: -2556, z: -467, zoom: [3,4], size: "S", weight: 1, details: "" },</v>
      </c>
    </row>
    <row r="504" spans="1:12" x14ac:dyDescent="0.2">
      <c r="A504" t="s">
        <v>1250</v>
      </c>
      <c r="C504" s="2">
        <v>13</v>
      </c>
      <c r="D504" s="2" t="s">
        <v>994</v>
      </c>
      <c r="E504" s="2">
        <v>-971</v>
      </c>
      <c r="F504" s="2">
        <v>-2601</v>
      </c>
      <c r="G504" s="2">
        <v>-683</v>
      </c>
      <c r="H504" s="2" t="s">
        <v>2556</v>
      </c>
      <c r="I504" s="2" t="s">
        <v>2519</v>
      </c>
      <c r="J504" s="2">
        <v>1</v>
      </c>
      <c r="L504" t="str">
        <f t="shared" si="7"/>
        <v>{ name: "Faloraa Canyon Mine", landmark: "Named Location", type: "", region: 13, level: "Depths", x: -971, y: -2601, z: -683, zoom: [3,4], size: "S", weight: 1, details: "" },</v>
      </c>
    </row>
    <row r="505" spans="1:12" x14ac:dyDescent="0.2">
      <c r="A505" t="s">
        <v>1429</v>
      </c>
      <c r="C505" s="2">
        <v>13</v>
      </c>
      <c r="D505" s="2" t="s">
        <v>994</v>
      </c>
      <c r="E505" s="2">
        <v>706</v>
      </c>
      <c r="F505" s="2">
        <v>-2432</v>
      </c>
      <c r="G505" s="2">
        <v>-524</v>
      </c>
      <c r="H505" s="2" t="s">
        <v>2556</v>
      </c>
      <c r="I505" s="2" t="s">
        <v>2519</v>
      </c>
      <c r="J505" s="2">
        <v>1</v>
      </c>
      <c r="L505" t="str">
        <f t="shared" si="7"/>
        <v>{ name: "Left-Arm Depot", landmark: "Named Location", type: "", region: 13, level: "Depths", x: 706, y: -2432, z: -524, zoom: [3,4], size: "S", weight: 1, details: "" },</v>
      </c>
    </row>
    <row r="506" spans="1:12" x14ac:dyDescent="0.2">
      <c r="A506" t="s">
        <v>1001</v>
      </c>
      <c r="C506" s="2">
        <v>13</v>
      </c>
      <c r="D506" s="2" t="s">
        <v>994</v>
      </c>
      <c r="E506" s="2">
        <v>1016</v>
      </c>
      <c r="F506" s="2">
        <v>-2293</v>
      </c>
      <c r="G506" s="2">
        <v>-533</v>
      </c>
      <c r="H506" s="2" t="s">
        <v>2556</v>
      </c>
      <c r="I506" s="2" t="s">
        <v>2519</v>
      </c>
      <c r="J506" s="2">
        <v>1</v>
      </c>
      <c r="L506" t="str">
        <f t="shared" si="7"/>
        <v>{ name: "Left-Leg Depot", landmark: "Named Location", type: "", region: 13, level: "Depths", x: 1016, y: -2293, z: -533, zoom: [3,4], size: "S", weight: 1, details: "" },</v>
      </c>
    </row>
    <row r="507" spans="1:12" x14ac:dyDescent="0.2">
      <c r="A507" t="s">
        <v>2560</v>
      </c>
      <c r="C507" s="2">
        <v>13</v>
      </c>
      <c r="D507" s="2" t="s">
        <v>994</v>
      </c>
      <c r="E507" s="2">
        <v>-339</v>
      </c>
      <c r="F507" s="2">
        <v>-3567</v>
      </c>
      <c r="G507" s="2">
        <v>-475</v>
      </c>
      <c r="H507" s="2" t="s">
        <v>2556</v>
      </c>
      <c r="I507" s="2" t="s">
        <v>2519</v>
      </c>
      <c r="J507" s="2">
        <v>1</v>
      </c>
      <c r="L507" t="str">
        <f t="shared" si="7"/>
        <v>{ name: "Pappetto Grove Depths", landmark: "Named Location", type: "", region: 13, level: "Depths", x: -339, y: -3567, z: -475, zoom: [3,4], size: "S", weight: 1, details: "" },</v>
      </c>
    </row>
    <row r="508" spans="1:12" x14ac:dyDescent="0.2">
      <c r="A508" t="s">
        <v>1567</v>
      </c>
      <c r="C508" s="2">
        <v>13</v>
      </c>
      <c r="D508" s="2" t="s">
        <v>994</v>
      </c>
      <c r="E508" s="2">
        <v>569</v>
      </c>
      <c r="F508" s="2">
        <v>-2112</v>
      </c>
      <c r="G508" s="2">
        <v>-509</v>
      </c>
      <c r="H508" s="2" t="s">
        <v>2556</v>
      </c>
      <c r="I508" s="2" t="s">
        <v>2519</v>
      </c>
      <c r="J508" s="2">
        <v>1</v>
      </c>
      <c r="L508" t="str">
        <f t="shared" si="7"/>
        <v>{ name: "Right-Arm Depot", landmark: "Named Location", type: "", region: 13, level: "Depths", x: 569, y: -2112, z: -509, zoom: [3,4], size: "S", weight: 1, details: "" },</v>
      </c>
    </row>
    <row r="509" spans="1:12" x14ac:dyDescent="0.2">
      <c r="A509" t="s">
        <v>1698</v>
      </c>
      <c r="C509" s="2">
        <v>13</v>
      </c>
      <c r="D509" s="2" t="s">
        <v>994</v>
      </c>
      <c r="E509" s="2">
        <v>904</v>
      </c>
      <c r="F509" s="2">
        <v>-2488</v>
      </c>
      <c r="G509" s="2">
        <v>-358</v>
      </c>
      <c r="H509" s="2" t="s">
        <v>2556</v>
      </c>
      <c r="I509" s="2" t="s">
        <v>2519</v>
      </c>
      <c r="J509" s="2">
        <v>1</v>
      </c>
      <c r="L509" t="str">
        <f t="shared" si="7"/>
        <v>{ name: "Wellspring of Courage", landmark: "Named Location", type: "", region: 13, level: "Depths", x: 904, y: -2488, z: -358, zoom: [3,4], size: "S", weight: 1, details: "" },</v>
      </c>
    </row>
    <row r="510" spans="1:12" x14ac:dyDescent="0.2">
      <c r="A510" s="25" t="s">
        <v>1253</v>
      </c>
      <c r="B510" t="s">
        <v>2543</v>
      </c>
      <c r="C510" s="2">
        <v>13</v>
      </c>
      <c r="D510" s="2" t="s">
        <v>783</v>
      </c>
      <c r="E510" s="2">
        <v>969</v>
      </c>
      <c r="F510" s="2">
        <v>-2825</v>
      </c>
      <c r="G510" s="2">
        <v>2000</v>
      </c>
      <c r="H510" s="2">
        <v>1</v>
      </c>
      <c r="I510" s="2" t="s">
        <v>2546</v>
      </c>
      <c r="J510" s="2">
        <v>1</v>
      </c>
      <c r="L510" t="str">
        <f t="shared" si="7"/>
        <v>{ name: "Faron Sky", landmark: "Named Location", type: "Province", region: 13, level: "Sky", x: 969, y: -2825, z: 2000, zoom: 1, size: "L", weight: 1, details: "" },</v>
      </c>
    </row>
    <row r="511" spans="1:12" x14ac:dyDescent="0.2">
      <c r="A511" s="25" t="s">
        <v>1254</v>
      </c>
      <c r="B511" t="s">
        <v>2542</v>
      </c>
      <c r="C511" s="2">
        <v>13</v>
      </c>
      <c r="D511" s="2" t="s">
        <v>783</v>
      </c>
      <c r="E511" s="2">
        <v>-56</v>
      </c>
      <c r="F511" s="2">
        <v>-2737</v>
      </c>
      <c r="G511" s="2">
        <v>2000</v>
      </c>
      <c r="H511" s="2" t="s">
        <v>2832</v>
      </c>
      <c r="I511" s="2" t="s">
        <v>2546</v>
      </c>
      <c r="J511" s="2">
        <v>1</v>
      </c>
      <c r="L511" t="str">
        <f t="shared" si="7"/>
        <v>{ name: "Faron Sky Archipelago", landmark: "Named Location", type: "Subregion", region: 13, level: "Sky", x: -56, y: -2737, z: 2000, zoom: [2,3,4], size: "L", weight: 1, details: "" },</v>
      </c>
    </row>
    <row r="512" spans="1:12" x14ac:dyDescent="0.2">
      <c r="A512" s="25" t="s">
        <v>1013</v>
      </c>
      <c r="B512" t="s">
        <v>2542</v>
      </c>
      <c r="C512" s="2">
        <v>13</v>
      </c>
      <c r="D512" s="2" t="s">
        <v>783</v>
      </c>
      <c r="E512" s="2">
        <v>912</v>
      </c>
      <c r="F512" s="2">
        <v>-3065</v>
      </c>
      <c r="G512" s="2">
        <v>2000</v>
      </c>
      <c r="H512" s="2" t="s">
        <v>2832</v>
      </c>
      <c r="I512" s="2" t="s">
        <v>2546</v>
      </c>
      <c r="J512" s="2">
        <v>1</v>
      </c>
      <c r="L512" t="str">
        <f t="shared" si="7"/>
        <v>{ name: "Thunderhead Isles", landmark: "Named Location", type: "Subregion", region: 13, level: "Sky", x: 912, y: -3065, z: 2000, zoom: [2,3,4], size: "L", weight: 1, details: "" },</v>
      </c>
    </row>
    <row r="513" spans="1:12" x14ac:dyDescent="0.2">
      <c r="A513" s="25" t="s">
        <v>795</v>
      </c>
      <c r="C513" s="2">
        <v>13</v>
      </c>
      <c r="D513" s="2" t="s">
        <v>783</v>
      </c>
      <c r="E513" s="2">
        <v>1460</v>
      </c>
      <c r="F513" s="2">
        <v>-3381</v>
      </c>
      <c r="G513" s="2">
        <v>1895</v>
      </c>
      <c r="H513" s="2" t="s">
        <v>2556</v>
      </c>
      <c r="I513" s="2" t="s">
        <v>2546</v>
      </c>
      <c r="J513" s="2">
        <v>1</v>
      </c>
      <c r="L513" t="str">
        <f t="shared" si="7"/>
        <v>{ name: "Dragonhead Island", landmark: "Named Location", type: "", region: 13, level: "Sky", x: 1460, y: -3381, z: 1895, zoom: [3,4], size: "L", weight: 1, details: "" },</v>
      </c>
    </row>
    <row r="514" spans="1:12" x14ac:dyDescent="0.2">
      <c r="A514" t="s">
        <v>1251</v>
      </c>
      <c r="B514" t="s">
        <v>2543</v>
      </c>
      <c r="C514" s="2">
        <v>13</v>
      </c>
      <c r="D514" s="2" t="s">
        <v>785</v>
      </c>
      <c r="E514" s="2">
        <v>969</v>
      </c>
      <c r="F514" s="2">
        <v>-2825</v>
      </c>
      <c r="G514" s="2">
        <v>0</v>
      </c>
      <c r="H514" s="2">
        <v>1</v>
      </c>
      <c r="I514" s="2" t="s">
        <v>2546</v>
      </c>
      <c r="J514" s="2">
        <v>1</v>
      </c>
      <c r="L514" t="str">
        <f t="shared" ref="L514:L577" si="8">"{ name: "&amp;CHAR(34)&amp;A514&amp;CHAR(34)&amp;", landmark: "&amp;CHAR(34)&amp;"Named Location"&amp;CHAR(34)&amp;", type: "&amp;CHAR(34)&amp;B514&amp;CHAR(34)&amp;", region: "&amp;C514&amp;", level: "&amp;CHAR(34)&amp;D514&amp;CHAR(34)&amp;", x: "&amp;INT(E514)&amp;", y: "&amp;INT(F514)&amp;", z: "&amp;INT(G514)&amp;", zoom: "&amp;IF(LEN(H514)&gt;1,"["&amp;H514&amp;"]",H514)&amp;", size: "&amp;CHAR(34)&amp;I514&amp;CHAR(34)&amp;", weight: "&amp;J514&amp;", details: "&amp;CHAR(34)&amp;K514&amp;CHAR(34)&amp;" },"</f>
        <v>{ name: "Faron", landmark: "Named Location", type: "Province", region: 13, level: "Surface", x: 969, y: -2825, z: 0, zoom: 1, size: "L", weight: 1, details: "" },</v>
      </c>
    </row>
    <row r="515" spans="1:12" x14ac:dyDescent="0.2">
      <c r="A515" t="s">
        <v>794</v>
      </c>
      <c r="B515" t="s">
        <v>8</v>
      </c>
      <c r="C515" s="2">
        <v>13</v>
      </c>
      <c r="D515" s="2" t="s">
        <v>785</v>
      </c>
      <c r="E515" s="2">
        <v>-423</v>
      </c>
      <c r="F515" s="2">
        <v>-3156</v>
      </c>
      <c r="G515" s="2">
        <v>0</v>
      </c>
      <c r="H515" s="2">
        <v>2</v>
      </c>
      <c r="I515" s="2" t="s">
        <v>2545</v>
      </c>
      <c r="J515" s="2">
        <v>1</v>
      </c>
      <c r="L515" t="str">
        <f t="shared" si="8"/>
        <v>{ name: "Faron Grasslands", landmark: "Named Location", type: "Region", region: 13, level: "Surface", x: -423, y: -3156, z: 0, zoom: 2, size: "M", weight: 1, details: "" },</v>
      </c>
    </row>
    <row r="516" spans="1:12" x14ac:dyDescent="0.2">
      <c r="A516" t="s">
        <v>1252</v>
      </c>
      <c r="B516" t="s">
        <v>8</v>
      </c>
      <c r="C516" s="2">
        <v>13</v>
      </c>
      <c r="D516" s="2" t="s">
        <v>785</v>
      </c>
      <c r="E516" s="2">
        <v>-51</v>
      </c>
      <c r="F516" s="2">
        <v>-3986</v>
      </c>
      <c r="G516" s="2">
        <v>0</v>
      </c>
      <c r="H516" s="2">
        <v>2</v>
      </c>
      <c r="I516" s="2" t="s">
        <v>2519</v>
      </c>
      <c r="J516" s="2">
        <v>1</v>
      </c>
      <c r="L516" t="str">
        <f t="shared" si="8"/>
        <v>{ name: "Faron Sea", landmark: "Named Location", type: "Region", region: 13, level: "Surface", x: -51, y: -3986, z: 0, zoom: 2, size: "S", weight: 1, details: "" },</v>
      </c>
    </row>
    <row r="517" spans="1:12" x14ac:dyDescent="0.2">
      <c r="A517" t="s">
        <v>796</v>
      </c>
      <c r="B517" t="s">
        <v>8</v>
      </c>
      <c r="C517" s="2">
        <v>13</v>
      </c>
      <c r="D517" s="2" t="s">
        <v>785</v>
      </c>
      <c r="E517" s="2">
        <v>-156</v>
      </c>
      <c r="F517" s="2">
        <v>-2541</v>
      </c>
      <c r="G517" s="2">
        <v>0</v>
      </c>
      <c r="H517" s="2">
        <v>2</v>
      </c>
      <c r="I517" s="2" t="s">
        <v>2519</v>
      </c>
      <c r="J517" s="2">
        <v>1</v>
      </c>
      <c r="L517" t="str">
        <f t="shared" si="8"/>
        <v>{ name: "Lake Hylia", landmark: "Named Location", type: "Region", region: 13, level: "Surface", x: -156, y: -2541, z: 0, zoom: 2, size: "S", weight: 1, details: "" },</v>
      </c>
    </row>
    <row r="518" spans="1:12" x14ac:dyDescent="0.2">
      <c r="A518" t="s">
        <v>1118</v>
      </c>
      <c r="C518" s="2">
        <v>13</v>
      </c>
      <c r="D518" s="2" t="s">
        <v>785</v>
      </c>
      <c r="E518" s="2">
        <v>1716</v>
      </c>
      <c r="F518" s="2">
        <v>-2620</v>
      </c>
      <c r="G518" s="2">
        <v>0</v>
      </c>
      <c r="H518" s="2" t="s">
        <v>2556</v>
      </c>
      <c r="I518" s="2" t="s">
        <v>2545</v>
      </c>
      <c r="J518" s="2">
        <v>1</v>
      </c>
      <c r="L518" t="str">
        <f t="shared" si="8"/>
        <v>{ name: "Angel Peak", landmark: "Named Location", type: "", region: 13, level: "Surface", x: 1716, y: -2620, z: 0, zoom: [3,4], size: "M", weight: 1, details: "" },</v>
      </c>
    </row>
    <row r="519" spans="1:12" x14ac:dyDescent="0.2">
      <c r="A519" t="s">
        <v>1131</v>
      </c>
      <c r="C519" s="2">
        <v>13</v>
      </c>
      <c r="D519" s="2" t="s">
        <v>785</v>
      </c>
      <c r="E519" s="2">
        <v>193</v>
      </c>
      <c r="F519" s="2">
        <v>-3135</v>
      </c>
      <c r="G519" s="2">
        <v>0</v>
      </c>
      <c r="H519" s="2" t="s">
        <v>2556</v>
      </c>
      <c r="I519" s="26" t="s">
        <v>2545</v>
      </c>
      <c r="J519" s="2">
        <v>1</v>
      </c>
      <c r="L519" t="str">
        <f t="shared" si="8"/>
        <v>{ name: "Barula Plain", landmark: "Named Location", type: "", region: 13, level: "Surface", x: 193, y: -3135, z: 0, zoom: [3,4], size: "M", weight: 1, details: "" },</v>
      </c>
    </row>
    <row r="520" spans="1:12" x14ac:dyDescent="0.2">
      <c r="A520" t="s">
        <v>1132</v>
      </c>
      <c r="C520" s="2">
        <v>13</v>
      </c>
      <c r="D520" s="2" t="s">
        <v>785</v>
      </c>
      <c r="E520" s="2">
        <v>563</v>
      </c>
      <c r="F520" s="2">
        <v>-1234</v>
      </c>
      <c r="G520" s="2">
        <v>0</v>
      </c>
      <c r="H520" s="2" t="s">
        <v>2556</v>
      </c>
      <c r="I520" s="26" t="s">
        <v>2519</v>
      </c>
      <c r="J520" s="2">
        <v>1</v>
      </c>
      <c r="L520" t="str">
        <f t="shared" si="8"/>
        <v>{ name: "Batrea Lake", landmark: "Named Location", type: "", region: 13, level: "Surface", x: 563, y: -1234, z: 0, zoom: [3,4], size: "S", weight: 1, details: "" },</v>
      </c>
    </row>
    <row r="521" spans="1:12" x14ac:dyDescent="0.2">
      <c r="A521" t="s">
        <v>1148</v>
      </c>
      <c r="C521" s="2">
        <v>13</v>
      </c>
      <c r="D521" s="2" t="s">
        <v>785</v>
      </c>
      <c r="E521" s="2">
        <v>-38</v>
      </c>
      <c r="F521" s="2">
        <v>-2512</v>
      </c>
      <c r="G521" s="2">
        <v>39</v>
      </c>
      <c r="H521" s="2" t="s">
        <v>2556</v>
      </c>
      <c r="I521" s="2" t="s">
        <v>2519</v>
      </c>
      <c r="J521" s="2">
        <v>1</v>
      </c>
      <c r="L521" t="str">
        <f t="shared" si="8"/>
        <v>{ name: "Bridge of Hylia", landmark: "Named Location", type: "", region: 13, level: "Surface", x: -38, y: -2512, z: 39, zoom: [3,4], size: "S", weight: 1, details: "" },</v>
      </c>
    </row>
    <row r="522" spans="1:12" x14ac:dyDescent="0.2">
      <c r="A522" t="s">
        <v>1150</v>
      </c>
      <c r="C522" s="2">
        <v>13</v>
      </c>
      <c r="D522" s="2" t="s">
        <v>785</v>
      </c>
      <c r="E522" s="2">
        <v>1478</v>
      </c>
      <c r="F522" s="2">
        <v>-3254</v>
      </c>
      <c r="G522" s="2">
        <v>0</v>
      </c>
      <c r="H522" s="2" t="s">
        <v>2556</v>
      </c>
      <c r="I522" s="2" t="s">
        <v>2545</v>
      </c>
      <c r="J522" s="2">
        <v>1</v>
      </c>
      <c r="L522" t="str">
        <f t="shared" si="8"/>
        <v>{ name: "Bronas Forest", landmark: "Named Location", type: "", region: 13, level: "Surface", x: 1478, y: -3254, z: 0, zoom: [3,4], size: "M", weight: 1, details: "" },</v>
      </c>
    </row>
    <row r="523" spans="1:12" x14ac:dyDescent="0.2">
      <c r="A523" t="s">
        <v>1153</v>
      </c>
      <c r="C523" s="2">
        <v>13</v>
      </c>
      <c r="D523" s="2" t="s">
        <v>785</v>
      </c>
      <c r="E523" s="2">
        <v>2020</v>
      </c>
      <c r="F523" s="2">
        <v>-3216</v>
      </c>
      <c r="G523" s="2">
        <v>0</v>
      </c>
      <c r="H523" s="2" t="s">
        <v>2556</v>
      </c>
      <c r="I523" s="26" t="s">
        <v>2519</v>
      </c>
      <c r="J523" s="2">
        <v>1</v>
      </c>
      <c r="L523" t="str">
        <f t="shared" si="8"/>
        <v>{ name: "Calora Lake", landmark: "Named Location", type: "", region: 13, level: "Surface", x: 2020, y: -3216, z: 0, zoom: [3,4], size: "S", weight: 1, details: "" },</v>
      </c>
    </row>
    <row r="524" spans="1:12" x14ac:dyDescent="0.2">
      <c r="A524" t="s">
        <v>1173</v>
      </c>
      <c r="C524" s="2">
        <v>13</v>
      </c>
      <c r="D524" s="2" t="s">
        <v>785</v>
      </c>
      <c r="E524" s="2">
        <v>-48</v>
      </c>
      <c r="F524" s="2">
        <v>-3056</v>
      </c>
      <c r="G524" s="2">
        <v>0</v>
      </c>
      <c r="H524" s="2" t="s">
        <v>2556</v>
      </c>
      <c r="I524" s="26" t="s">
        <v>2519</v>
      </c>
      <c r="J524" s="2">
        <v>1</v>
      </c>
      <c r="L524" t="str">
        <f t="shared" si="8"/>
        <v>{ name: "Cora Lake", landmark: "Named Location", type: "", region: 13, level: "Surface", x: -48, y: -3056, z: 0, zoom: [3,4], size: "S", weight: 1, details: "" },</v>
      </c>
    </row>
    <row r="525" spans="1:12" x14ac:dyDescent="0.2">
      <c r="A525" t="s">
        <v>1174</v>
      </c>
      <c r="C525" s="2">
        <v>13</v>
      </c>
      <c r="D525" s="2" t="s">
        <v>785</v>
      </c>
      <c r="E525" s="2">
        <v>1686</v>
      </c>
      <c r="F525" s="2">
        <v>-3089</v>
      </c>
      <c r="G525" s="2">
        <v>0</v>
      </c>
      <c r="H525" s="2" t="s">
        <v>2556</v>
      </c>
      <c r="I525" s="26" t="s">
        <v>2519</v>
      </c>
      <c r="J525" s="2">
        <v>1</v>
      </c>
      <c r="L525" t="str">
        <f t="shared" si="8"/>
        <v>{ name: "Corta Lake", landmark: "Named Location", type: "", region: 13, level: "Surface", x: 1686, y: -3089, z: 0, zoom: [3,4], size: "S", weight: 1, details: "" },</v>
      </c>
    </row>
    <row r="526" spans="1:12" x14ac:dyDescent="0.2">
      <c r="A526" t="s">
        <v>1187</v>
      </c>
      <c r="C526" s="2">
        <v>13</v>
      </c>
      <c r="D526" s="2" t="s">
        <v>785</v>
      </c>
      <c r="E526" s="2">
        <v>832</v>
      </c>
      <c r="F526" s="2">
        <v>-2700</v>
      </c>
      <c r="G526" s="2">
        <v>0</v>
      </c>
      <c r="H526" s="2" t="s">
        <v>2556</v>
      </c>
      <c r="I526" s="26" t="s">
        <v>2519</v>
      </c>
      <c r="J526" s="2">
        <v>1</v>
      </c>
      <c r="L526" t="str">
        <f t="shared" si="8"/>
        <v>{ name: "Damel Forest", landmark: "Named Location", type: "", region: 13, level: "Surface", x: 832, y: -2700, z: 0, zoom: [3,4], size: "S", weight: 1, details: "" },</v>
      </c>
    </row>
    <row r="527" spans="1:12" x14ac:dyDescent="0.2">
      <c r="A527" t="s">
        <v>1191</v>
      </c>
      <c r="C527" s="2">
        <v>13</v>
      </c>
      <c r="D527" s="2" t="s">
        <v>785</v>
      </c>
      <c r="E527" s="2">
        <v>-333</v>
      </c>
      <c r="F527" s="2">
        <v>-3683</v>
      </c>
      <c r="G527" s="2">
        <v>0</v>
      </c>
      <c r="H527" s="2" t="s">
        <v>2556</v>
      </c>
      <c r="I527" s="26" t="s">
        <v>2545</v>
      </c>
      <c r="J527" s="2">
        <v>1</v>
      </c>
      <c r="L527" t="str">
        <f t="shared" si="8"/>
        <v>{ name: "Darybon Plains", landmark: "Named Location", type: "", region: 13, level: "Surface", x: -333, y: -3683, z: 0, zoom: [3,4], size: "M", weight: 1, details: "" },</v>
      </c>
    </row>
    <row r="528" spans="1:12" x14ac:dyDescent="0.2">
      <c r="A528" t="s">
        <v>1201</v>
      </c>
      <c r="C528" s="2">
        <v>13</v>
      </c>
      <c r="D528" s="2" t="s">
        <v>785</v>
      </c>
      <c r="E528" s="2">
        <v>366</v>
      </c>
      <c r="F528" s="2">
        <v>-1883</v>
      </c>
      <c r="G528" s="2">
        <v>0</v>
      </c>
      <c r="H528" s="2" t="s">
        <v>2556</v>
      </c>
      <c r="I528" s="26" t="s">
        <v>2519</v>
      </c>
      <c r="J528" s="2">
        <v>1</v>
      </c>
      <c r="L528" t="str">
        <f t="shared" si="8"/>
        <v>{ name: "Deya Lake", landmark: "Named Location", type: "", region: 13, level: "Surface", x: 366, y: -1883, z: 0, zoom: [3,4], size: "S", weight: 1, details: "" },</v>
      </c>
    </row>
    <row r="529" spans="1:12" x14ac:dyDescent="0.2">
      <c r="A529" t="s">
        <v>1202</v>
      </c>
      <c r="C529" s="2">
        <v>13</v>
      </c>
      <c r="D529" s="2" t="s">
        <v>785</v>
      </c>
      <c r="E529" s="2">
        <v>291</v>
      </c>
      <c r="F529" s="2">
        <v>-1869</v>
      </c>
      <c r="G529" s="2">
        <v>22</v>
      </c>
      <c r="H529" s="2" t="s">
        <v>2556</v>
      </c>
      <c r="I529" s="26" t="s">
        <v>2519</v>
      </c>
      <c r="J529" s="2">
        <v>1</v>
      </c>
      <c r="L529" t="str">
        <f t="shared" si="8"/>
        <v>{ name: "Deya Village Ruins", landmark: "Named Location", type: "", region: 13, level: "Surface", x: 291, y: -1869, z: 22, zoom: [3,4], size: "S", weight: 1, details: "" },</v>
      </c>
    </row>
    <row r="530" spans="1:12" x14ac:dyDescent="0.2">
      <c r="A530" t="s">
        <v>1211</v>
      </c>
      <c r="C530" s="2">
        <v>13</v>
      </c>
      <c r="D530" s="2" t="s">
        <v>785</v>
      </c>
      <c r="E530" s="2">
        <v>928</v>
      </c>
      <c r="F530" s="2">
        <v>-2583</v>
      </c>
      <c r="G530" s="2">
        <v>0</v>
      </c>
      <c r="H530" s="2" t="s">
        <v>2556</v>
      </c>
      <c r="I530" s="26" t="s">
        <v>2519</v>
      </c>
      <c r="J530" s="2">
        <v>1</v>
      </c>
      <c r="L530" t="str">
        <f t="shared" si="8"/>
        <v>{ name: "Dracozu Lake", landmark: "Named Location", type: "", region: 13, level: "Surface", x: 928, y: -2583, z: 0, zoom: [3,4], size: "S", weight: 1, details: "" },</v>
      </c>
    </row>
    <row r="531" spans="1:12" x14ac:dyDescent="0.2">
      <c r="A531" t="s">
        <v>1212</v>
      </c>
      <c r="C531" s="2">
        <v>13</v>
      </c>
      <c r="D531" s="2" t="s">
        <v>785</v>
      </c>
      <c r="E531" s="2">
        <v>1024</v>
      </c>
      <c r="F531" s="2">
        <v>-2763</v>
      </c>
      <c r="G531" s="2">
        <v>0</v>
      </c>
      <c r="H531" s="2" t="s">
        <v>2556</v>
      </c>
      <c r="I531" s="26" t="s">
        <v>2519</v>
      </c>
      <c r="J531" s="2">
        <v>1</v>
      </c>
      <c r="L531" t="str">
        <f t="shared" si="8"/>
        <v>{ name: "Dracozu River", landmark: "Named Location", type: "", region: 13, level: "Surface", x: 1024, y: -2763, z: 0, zoom: [3,4], size: "S", weight: 1, details: "" },</v>
      </c>
    </row>
    <row r="532" spans="1:12" x14ac:dyDescent="0.2">
      <c r="A532" t="s">
        <v>1236</v>
      </c>
      <c r="C532" s="2">
        <v>13</v>
      </c>
      <c r="D532" s="2" t="s">
        <v>785</v>
      </c>
      <c r="E532" s="2">
        <v>1885</v>
      </c>
      <c r="F532" s="2">
        <v>-3326</v>
      </c>
      <c r="G532" s="2">
        <v>0</v>
      </c>
      <c r="H532" s="2" t="s">
        <v>2556</v>
      </c>
      <c r="I532" s="26" t="s">
        <v>2519</v>
      </c>
      <c r="J532" s="2">
        <v>1</v>
      </c>
      <c r="L532" t="str">
        <f t="shared" si="8"/>
        <v>{ name: "Ebara Forest", landmark: "Named Location", type: "", region: 13, level: "Surface", x: 1885, y: -3326, z: 0, zoom: [3,4], size: "S", weight: 1, details: "" },</v>
      </c>
    </row>
    <row r="533" spans="1:12" x14ac:dyDescent="0.2">
      <c r="A533" t="s">
        <v>1255</v>
      </c>
      <c r="C533" s="2">
        <v>13</v>
      </c>
      <c r="D533" s="2" t="s">
        <v>785</v>
      </c>
      <c r="E533" s="2">
        <v>407</v>
      </c>
      <c r="F533" s="2">
        <v>-3002</v>
      </c>
      <c r="G533" s="2">
        <v>12</v>
      </c>
      <c r="H533" s="2" t="s">
        <v>2556</v>
      </c>
      <c r="I533" s="2" t="s">
        <v>2519</v>
      </c>
      <c r="J533" s="2">
        <v>1</v>
      </c>
      <c r="L533" t="str">
        <f t="shared" si="8"/>
        <v>{ name: "Faron Woods", landmark: "Named Location", type: "", region: 13, level: "Surface", x: 407, y: -3002, z: 12, zoom: [3,4], size: "S", weight: 1, details: "" },</v>
      </c>
    </row>
    <row r="534" spans="1:12" x14ac:dyDescent="0.2">
      <c r="A534" t="s">
        <v>1256</v>
      </c>
      <c r="C534" s="2">
        <v>13</v>
      </c>
      <c r="D534" s="2" t="s">
        <v>785</v>
      </c>
      <c r="E534" s="2">
        <v>556</v>
      </c>
      <c r="F534" s="2">
        <v>-2488</v>
      </c>
      <c r="G534" s="2">
        <v>0</v>
      </c>
      <c r="H534" s="2" t="s">
        <v>2556</v>
      </c>
      <c r="I534" s="26" t="s">
        <v>2545</v>
      </c>
      <c r="J534" s="2">
        <v>1</v>
      </c>
      <c r="L534" t="str">
        <f t="shared" si="8"/>
        <v>{ name: "Farosh Hills", landmark: "Named Location", type: "", region: 13, level: "Surface", x: 556, y: -2488, z: 0, zoom: [3,4], size: "M", weight: 1, details: "" },</v>
      </c>
    </row>
    <row r="535" spans="1:12" x14ac:dyDescent="0.2">
      <c r="A535" t="s">
        <v>1257</v>
      </c>
      <c r="C535" s="2">
        <v>13</v>
      </c>
      <c r="D535" s="2" t="s">
        <v>785</v>
      </c>
      <c r="E535" s="2">
        <v>423</v>
      </c>
      <c r="F535" s="2">
        <v>-2953</v>
      </c>
      <c r="G535" s="2">
        <v>0</v>
      </c>
      <c r="H535" s="2" t="s">
        <v>2556</v>
      </c>
      <c r="I535" s="26" t="s">
        <v>2519</v>
      </c>
      <c r="J535" s="2">
        <v>1</v>
      </c>
      <c r="L535" t="str">
        <f t="shared" si="8"/>
        <v>{ name: "Finra Woods", landmark: "Named Location", type: "", region: 13, level: "Surface", x: 423, y: -2953, z: 0, zoom: [3,4], size: "S", weight: 1, details: "" },</v>
      </c>
    </row>
    <row r="536" spans="1:12" x14ac:dyDescent="0.2">
      <c r="A536" t="s">
        <v>1266</v>
      </c>
      <c r="C536" s="2">
        <v>13</v>
      </c>
      <c r="D536" s="2" t="s">
        <v>785</v>
      </c>
      <c r="E536" s="2">
        <v>1731</v>
      </c>
      <c r="F536" s="2">
        <v>-3455</v>
      </c>
      <c r="G536" s="2">
        <v>54</v>
      </c>
      <c r="H536" s="2" t="s">
        <v>2556</v>
      </c>
      <c r="I536" s="2" t="s">
        <v>2519</v>
      </c>
      <c r="J536" s="2">
        <v>1</v>
      </c>
      <c r="L536" t="str">
        <f t="shared" si="8"/>
        <v>{ name: "Floria Bridge", landmark: "Named Location", type: "", region: 13, level: "Surface", x: 1731, y: -3455, z: 54, zoom: [3,4], size: "S", weight: 1, details: "" },</v>
      </c>
    </row>
    <row r="537" spans="1:12" x14ac:dyDescent="0.2">
      <c r="A537" t="s">
        <v>1268</v>
      </c>
      <c r="C537" s="2">
        <v>13</v>
      </c>
      <c r="D537" s="2" t="s">
        <v>785</v>
      </c>
      <c r="E537" s="2">
        <v>1773</v>
      </c>
      <c r="F537" s="2">
        <v>-3256</v>
      </c>
      <c r="G537" s="2">
        <v>0</v>
      </c>
      <c r="H537" s="2" t="s">
        <v>2556</v>
      </c>
      <c r="I537" s="26" t="s">
        <v>2519</v>
      </c>
      <c r="J537" s="2">
        <v>1</v>
      </c>
      <c r="L537" t="str">
        <f t="shared" si="8"/>
        <v>{ name: "Floria Falls", landmark: "Named Location", type: "", region: 13, level: "Surface", x: 1773, y: -3256, z: 0, zoom: [3,4], size: "S", weight: 1, details: "" },</v>
      </c>
    </row>
    <row r="538" spans="1:12" x14ac:dyDescent="0.2">
      <c r="A538" t="s">
        <v>1269</v>
      </c>
      <c r="C538" s="2">
        <v>13</v>
      </c>
      <c r="D538" s="2" t="s">
        <v>785</v>
      </c>
      <c r="E538" s="2">
        <v>1277</v>
      </c>
      <c r="F538" s="2">
        <v>-3327</v>
      </c>
      <c r="G538" s="2">
        <v>0</v>
      </c>
      <c r="H538" s="2" t="s">
        <v>2556</v>
      </c>
      <c r="I538" s="26" t="s">
        <v>2519</v>
      </c>
      <c r="J538" s="2">
        <v>1</v>
      </c>
      <c r="L538" t="str">
        <f t="shared" si="8"/>
        <v>{ name: "Floria River", landmark: "Named Location", type: "", region: 13, level: "Surface", x: 1277, y: -3327, z: 0, zoom: [3,4], size: "S", weight: 1, details: "" },</v>
      </c>
    </row>
    <row r="539" spans="1:12" x14ac:dyDescent="0.2">
      <c r="A539" t="s">
        <v>1275</v>
      </c>
      <c r="C539" s="2">
        <v>13</v>
      </c>
      <c r="D539" s="2" t="s">
        <v>785</v>
      </c>
      <c r="E539" s="2">
        <v>447</v>
      </c>
      <c r="F539" s="2">
        <v>-3335</v>
      </c>
      <c r="G539" s="2">
        <v>0</v>
      </c>
      <c r="H539" s="2" t="s">
        <v>2556</v>
      </c>
      <c r="I539" s="26" t="s">
        <v>2545</v>
      </c>
      <c r="J539" s="2">
        <v>1</v>
      </c>
      <c r="L539" t="str">
        <f t="shared" si="8"/>
        <v>{ name: "Fural Plain", landmark: "Named Location", type: "", region: 13, level: "Surface", x: 447, y: -3335, z: 0, zoom: [3,4], size: "M", weight: 1, details: "" },</v>
      </c>
    </row>
    <row r="540" spans="1:12" x14ac:dyDescent="0.2">
      <c r="A540" t="s">
        <v>1313</v>
      </c>
      <c r="C540" s="2">
        <v>13</v>
      </c>
      <c r="D540" s="2" t="s">
        <v>785</v>
      </c>
      <c r="E540" s="2">
        <v>-754</v>
      </c>
      <c r="F540" s="2">
        <v>-2916</v>
      </c>
      <c r="G540" s="2">
        <v>0</v>
      </c>
      <c r="H540" s="2" t="s">
        <v>2556</v>
      </c>
      <c r="I540" s="26" t="s">
        <v>2545</v>
      </c>
      <c r="J540" s="2">
        <v>1</v>
      </c>
      <c r="L540" t="str">
        <f t="shared" si="8"/>
        <v>{ name: "Grinnden Plains", landmark: "Named Location", type: "", region: 13, level: "Surface", x: -754, y: -2916, z: 0, zoom: [3,4], size: "M", weight: 1, details: "" },</v>
      </c>
    </row>
    <row r="541" spans="1:12" x14ac:dyDescent="0.2">
      <c r="A541" t="s">
        <v>1317</v>
      </c>
      <c r="C541" s="2">
        <v>13</v>
      </c>
      <c r="D541" s="2" t="s">
        <v>785</v>
      </c>
      <c r="E541" s="2">
        <v>870</v>
      </c>
      <c r="F541" s="2">
        <v>-3364</v>
      </c>
      <c r="G541" s="2">
        <v>0</v>
      </c>
      <c r="H541" s="2" t="s">
        <v>2556</v>
      </c>
      <c r="I541" s="26" t="s">
        <v>2545</v>
      </c>
      <c r="J541" s="2">
        <v>1</v>
      </c>
      <c r="L541" t="str">
        <f t="shared" si="8"/>
        <v>{ name: "Guchini Plain", landmark: "Named Location", type: "", region: 13, level: "Surface", x: 870, y: -3364, z: 0, zoom: [3,4], size: "M", weight: 1, details: "" },</v>
      </c>
    </row>
    <row r="542" spans="1:12" x14ac:dyDescent="0.2">
      <c r="A542" t="s">
        <v>1318</v>
      </c>
      <c r="C542" s="2">
        <v>13</v>
      </c>
      <c r="D542" s="2" t="s">
        <v>785</v>
      </c>
      <c r="E542" s="2">
        <v>1004</v>
      </c>
      <c r="F542" s="2">
        <v>-3457</v>
      </c>
      <c r="G542" s="2">
        <v>-91</v>
      </c>
      <c r="H542" s="2" t="s">
        <v>2556</v>
      </c>
      <c r="I542" s="2" t="s">
        <v>2545</v>
      </c>
      <c r="J542" s="2">
        <v>1</v>
      </c>
      <c r="L542" t="str">
        <f t="shared" si="8"/>
        <v>{ name: "Guchini Plain Barrows", landmark: "Named Location", type: "", region: 13, level: "Surface", x: 1004, y: -3457, z: -91, zoom: [3,4], size: "M", weight: 1, details: "" },</v>
      </c>
    </row>
    <row r="543" spans="1:12" x14ac:dyDescent="0.2">
      <c r="A543" t="s">
        <v>1036</v>
      </c>
      <c r="C543" s="2">
        <v>13</v>
      </c>
      <c r="D543" s="2" t="s">
        <v>785</v>
      </c>
      <c r="E543" s="2">
        <v>377</v>
      </c>
      <c r="F543" s="2">
        <v>-3478</v>
      </c>
      <c r="G543" s="2">
        <v>0</v>
      </c>
      <c r="H543" s="2" t="s">
        <v>2556</v>
      </c>
      <c r="I543" s="26" t="s">
        <v>2519</v>
      </c>
      <c r="J543" s="2">
        <v>1</v>
      </c>
      <c r="L543" t="str">
        <f t="shared" si="8"/>
        <v>{ name: "Haran Lake", landmark: "Named Location", type: "", region: 13, level: "Surface", x: 377, y: -3478, z: 0, zoom: [3,4], size: "S", weight: 1, details: "" },</v>
      </c>
    </row>
    <row r="544" spans="1:12" x14ac:dyDescent="0.2">
      <c r="A544" t="s">
        <v>1322</v>
      </c>
      <c r="C544" s="2">
        <v>13</v>
      </c>
      <c r="D544" s="2" t="s">
        <v>785</v>
      </c>
      <c r="E544" s="2">
        <v>95</v>
      </c>
      <c r="F544" s="2">
        <v>-3394</v>
      </c>
      <c r="G544" s="2">
        <v>0</v>
      </c>
      <c r="H544" s="2" t="s">
        <v>2556</v>
      </c>
      <c r="I544" s="26" t="s">
        <v>2545</v>
      </c>
      <c r="J544" s="2">
        <v>1</v>
      </c>
      <c r="L544" t="str">
        <f t="shared" si="8"/>
        <v>{ name: "Harfin Valley", landmark: "Named Location", type: "", region: 13, level: "Surface", x: 95, y: -3394, z: 0, zoom: [3,4], size: "M", weight: 1, details: "" },</v>
      </c>
    </row>
    <row r="545" spans="1:12" x14ac:dyDescent="0.2">
      <c r="A545" t="s">
        <v>1323</v>
      </c>
      <c r="C545" s="2">
        <v>13</v>
      </c>
      <c r="D545" s="2" t="s">
        <v>785</v>
      </c>
      <c r="E545" s="2">
        <v>904</v>
      </c>
      <c r="F545" s="2">
        <v>-2873</v>
      </c>
      <c r="G545" s="2">
        <v>0</v>
      </c>
      <c r="H545" s="2" t="s">
        <v>2556</v>
      </c>
      <c r="I545" s="26" t="s">
        <v>2519</v>
      </c>
      <c r="J545" s="2">
        <v>1</v>
      </c>
      <c r="L545" t="str">
        <f t="shared" si="8"/>
        <v>{ name: "Harker Lake", landmark: "Named Location", type: "", region: 13, level: "Surface", x: 904, y: -2873, z: 0, zoom: [3,4], size: "S", weight: 1, details: "" },</v>
      </c>
    </row>
    <row r="546" spans="1:12" x14ac:dyDescent="0.2">
      <c r="A546" t="s">
        <v>1350</v>
      </c>
      <c r="C546" s="2">
        <v>13</v>
      </c>
      <c r="D546" s="2" t="s">
        <v>785</v>
      </c>
      <c r="E546" s="2">
        <v>1017</v>
      </c>
      <c r="F546" s="2">
        <v>-3512</v>
      </c>
      <c r="G546" s="2">
        <v>0</v>
      </c>
      <c r="H546" s="2" t="s">
        <v>2556</v>
      </c>
      <c r="I546" s="26" t="s">
        <v>2519</v>
      </c>
      <c r="J546" s="2">
        <v>1</v>
      </c>
      <c r="L546" t="str">
        <f t="shared" si="8"/>
        <v>{ name: "Herin Lake", landmark: "Named Location", type: "", region: 13, level: "Surface", x: 1017, y: -3512, z: 0, zoom: [3,4], size: "S", weight: 1, details: "" },</v>
      </c>
    </row>
    <row r="547" spans="1:12" x14ac:dyDescent="0.2">
      <c r="A547" t="s">
        <v>846</v>
      </c>
      <c r="C547" s="2">
        <v>13</v>
      </c>
      <c r="D547" s="2" t="s">
        <v>785</v>
      </c>
      <c r="E547" s="2">
        <v>430</v>
      </c>
      <c r="F547" s="2">
        <v>-1760</v>
      </c>
      <c r="G547" s="2">
        <v>0</v>
      </c>
      <c r="H547" s="2" t="s">
        <v>2556</v>
      </c>
      <c r="I547" s="26" t="s">
        <v>2546</v>
      </c>
      <c r="J547" s="2">
        <v>1</v>
      </c>
      <c r="L547" t="str">
        <f t="shared" si="8"/>
        <v>{ name: "Hills of Baumer", landmark: "Named Location", type: "", region: 13, level: "Surface", x: 430, y: -1760, z: 0, zoom: [3,4], size: "L", weight: 1, details: "" },</v>
      </c>
    </row>
    <row r="548" spans="1:12" x14ac:dyDescent="0.2">
      <c r="A548" t="s">
        <v>1358</v>
      </c>
      <c r="C548" s="2">
        <v>13</v>
      </c>
      <c r="D548" s="2" t="s">
        <v>785</v>
      </c>
      <c r="E548" s="2">
        <v>597</v>
      </c>
      <c r="F548" s="2">
        <v>-3722</v>
      </c>
      <c r="G548" s="2">
        <v>57</v>
      </c>
      <c r="H548" s="2" t="s">
        <v>2556</v>
      </c>
      <c r="I548" s="2" t="s">
        <v>2519</v>
      </c>
      <c r="J548" s="2">
        <v>1</v>
      </c>
      <c r="L548" t="str">
        <f t="shared" si="8"/>
        <v>{ name: "Horse God Bridge", landmark: "Named Location", type: "", region: 13, level: "Surface", x: 597, y: -3722, z: 57, zoom: [3,4], size: "S", weight: 1, details: "" },</v>
      </c>
    </row>
    <row r="549" spans="1:12" x14ac:dyDescent="0.2">
      <c r="A549" t="s">
        <v>1361</v>
      </c>
      <c r="C549" s="2">
        <v>13</v>
      </c>
      <c r="D549" s="2" t="s">
        <v>785</v>
      </c>
      <c r="E549" s="2">
        <v>-330</v>
      </c>
      <c r="F549" s="2">
        <v>-2638</v>
      </c>
      <c r="G549" s="2">
        <v>0</v>
      </c>
      <c r="H549" s="2" t="s">
        <v>2556</v>
      </c>
      <c r="I549" s="26" t="s">
        <v>2545</v>
      </c>
      <c r="J549" s="2">
        <v>1</v>
      </c>
      <c r="L549" t="str">
        <f t="shared" si="8"/>
        <v>{ name: "Hylia Island", landmark: "Named Location", type: "", region: 13, level: "Surface", x: -330, y: -2638, z: 0, zoom: [3,4], size: "M", weight: 1, details: "" },</v>
      </c>
    </row>
    <row r="550" spans="1:12" x14ac:dyDescent="0.2">
      <c r="A550" t="s">
        <v>1368</v>
      </c>
      <c r="C550" s="2">
        <v>13</v>
      </c>
      <c r="D550" s="2" t="s">
        <v>785</v>
      </c>
      <c r="E550" s="2">
        <v>765</v>
      </c>
      <c r="F550" s="2">
        <v>-3789</v>
      </c>
      <c r="G550" s="2">
        <v>0</v>
      </c>
      <c r="H550" s="2" t="s">
        <v>2556</v>
      </c>
      <c r="I550" s="26" t="s">
        <v>2546</v>
      </c>
      <c r="J550" s="2">
        <v>1</v>
      </c>
      <c r="L550" t="str">
        <f t="shared" si="8"/>
        <v>{ name: "Ibara Butte", landmark: "Named Location", type: "", region: 13, level: "Surface", x: 765, y: -3789, z: 0, zoom: [3,4], size: "L", weight: 1, details: "" },</v>
      </c>
    </row>
    <row r="551" spans="1:12" x14ac:dyDescent="0.2">
      <c r="A551" t="s">
        <v>1379</v>
      </c>
      <c r="C551" s="2">
        <v>13</v>
      </c>
      <c r="D551" s="2" t="s">
        <v>785</v>
      </c>
      <c r="E551" s="2">
        <v>1507</v>
      </c>
      <c r="F551" s="2">
        <v>-2466</v>
      </c>
      <c r="G551" s="2">
        <v>0</v>
      </c>
      <c r="H551" s="2" t="s">
        <v>2556</v>
      </c>
      <c r="I551" s="26" t="s">
        <v>2546</v>
      </c>
      <c r="J551" s="2">
        <v>1</v>
      </c>
      <c r="L551" t="str">
        <f t="shared" si="8"/>
        <v>{ name: "Jia Highlands", landmark: "Named Location", type: "", region: 13, level: "Surface", x: 1507, y: -2466, z: 0, zoom: [3,4], size: "L", weight: 1, details: "" },</v>
      </c>
    </row>
    <row r="552" spans="1:12" x14ac:dyDescent="0.2">
      <c r="A552" t="s">
        <v>1383</v>
      </c>
      <c r="C552" s="2">
        <v>13</v>
      </c>
      <c r="D552" s="2" t="s">
        <v>785</v>
      </c>
      <c r="E552" s="2">
        <v>1436</v>
      </c>
      <c r="F552" s="2">
        <v>-2989</v>
      </c>
      <c r="G552" s="2">
        <v>0</v>
      </c>
      <c r="H552" s="2" t="s">
        <v>2556</v>
      </c>
      <c r="I552" s="2" t="s">
        <v>2545</v>
      </c>
      <c r="J552" s="2">
        <v>1</v>
      </c>
      <c r="L552" t="str">
        <f t="shared" si="8"/>
        <v>{ name: "Kamah Plateau", landmark: "Named Location", type: "", region: 13, level: "Surface", x: 1436, y: -2989, z: 0, zoom: [3,4], size: "M", weight: 1, details: "" },</v>
      </c>
    </row>
    <row r="553" spans="1:12" x14ac:dyDescent="0.2">
      <c r="A553" t="s">
        <v>1388</v>
      </c>
      <c r="C553" s="2">
        <v>13</v>
      </c>
      <c r="D553" s="2" t="s">
        <v>785</v>
      </c>
      <c r="E553" s="2">
        <v>1493</v>
      </c>
      <c r="F553" s="2">
        <v>-2867</v>
      </c>
      <c r="G553" s="2">
        <v>0</v>
      </c>
      <c r="H553" s="2" t="s">
        <v>2556</v>
      </c>
      <c r="I553" s="2" t="s">
        <v>2545</v>
      </c>
      <c r="J553" s="2">
        <v>1</v>
      </c>
      <c r="L553" t="str">
        <f t="shared" si="8"/>
        <v>{ name: "Keelay Plain", landmark: "Named Location", type: "", region: 13, level: "Surface", x: 1493, y: -2867, z: 0, zoom: [3,4], size: "M", weight: 1, details: "" },</v>
      </c>
    </row>
    <row r="554" spans="1:12" x14ac:dyDescent="0.2">
      <c r="A554" t="s">
        <v>1396</v>
      </c>
      <c r="C554" s="2">
        <v>13</v>
      </c>
      <c r="D554" s="2" t="s">
        <v>785</v>
      </c>
      <c r="E554" s="2">
        <v>699</v>
      </c>
      <c r="F554" s="2">
        <v>-3932</v>
      </c>
      <c r="G554" s="2">
        <v>0</v>
      </c>
      <c r="H554" s="2" t="s">
        <v>2556</v>
      </c>
      <c r="I554" s="26" t="s">
        <v>2545</v>
      </c>
      <c r="J554" s="2">
        <v>1</v>
      </c>
      <c r="L554" t="str">
        <f t="shared" si="8"/>
        <v>{ name: "Komo Shoreline", landmark: "Named Location", type: "", region: 13, level: "Surface", x: 699, y: -3932, z: 0, zoom: [3,4], size: "M", weight: 1, details: "" },</v>
      </c>
    </row>
    <row r="555" spans="1:12" x14ac:dyDescent="0.2">
      <c r="A555" t="s">
        <v>1403</v>
      </c>
      <c r="C555" s="2">
        <v>13</v>
      </c>
      <c r="D555" s="2" t="s">
        <v>785</v>
      </c>
      <c r="E555" s="2">
        <v>1738</v>
      </c>
      <c r="F555" s="2">
        <v>-3532</v>
      </c>
      <c r="G555" s="2">
        <v>0</v>
      </c>
      <c r="H555" s="2" t="s">
        <v>2556</v>
      </c>
      <c r="I555" s="26" t="s">
        <v>2519</v>
      </c>
      <c r="J555" s="2">
        <v>1</v>
      </c>
      <c r="L555" t="str">
        <f t="shared" si="8"/>
        <v>{ name: "Lake Floria", landmark: "Named Location", type: "", region: 13, level: "Surface", x: 1738, y: -3532, z: 0, zoom: [3,4], size: "S", weight: 1, details: "" },</v>
      </c>
    </row>
    <row r="556" spans="1:12" x14ac:dyDescent="0.2">
      <c r="A556" t="s">
        <v>1410</v>
      </c>
      <c r="C556" s="2">
        <v>13</v>
      </c>
      <c r="D556" s="2" t="s">
        <v>785</v>
      </c>
      <c r="E556" s="2">
        <v>635</v>
      </c>
      <c r="F556" s="2">
        <v>-3635</v>
      </c>
      <c r="G556" s="2">
        <v>0</v>
      </c>
      <c r="H556" s="2" t="s">
        <v>2556</v>
      </c>
      <c r="I556" s="26" t="s">
        <v>2519</v>
      </c>
      <c r="J556" s="2">
        <v>1</v>
      </c>
      <c r="L556" t="str">
        <f t="shared" si="8"/>
        <v>{ name: "Lake of the Horse God", landmark: "Named Location", type: "", region: 13, level: "Surface", x: 635, y: -3635, z: 0, zoom: [3,4], size: "S", weight: 1, details: "" },</v>
      </c>
    </row>
    <row r="557" spans="1:12" x14ac:dyDescent="0.2">
      <c r="A557" t="s">
        <v>1428</v>
      </c>
      <c r="C557" s="2">
        <v>13</v>
      </c>
      <c r="D557" s="2" t="s">
        <v>785</v>
      </c>
      <c r="E557" s="2">
        <v>-174</v>
      </c>
      <c r="F557" s="2">
        <v>-3850</v>
      </c>
      <c r="G557" s="2">
        <v>0</v>
      </c>
      <c r="H557" s="2" t="s">
        <v>2556</v>
      </c>
      <c r="I557" s="26" t="s">
        <v>2545</v>
      </c>
      <c r="J557" s="2">
        <v>1</v>
      </c>
      <c r="L557" t="str">
        <f t="shared" si="8"/>
        <v>{ name: "Laverra Beach", landmark: "Named Location", type: "", region: 13, level: "Surface", x: -174, y: -3850, z: 0, zoom: [3,4], size: "M", weight: 1, details: "" },</v>
      </c>
    </row>
    <row r="558" spans="1:12" x14ac:dyDescent="0.2">
      <c r="A558" t="s">
        <v>1461</v>
      </c>
      <c r="C558" s="2">
        <v>13</v>
      </c>
      <c r="D558" s="2" t="s">
        <v>785</v>
      </c>
      <c r="E558" s="2">
        <v>1207</v>
      </c>
      <c r="F558" s="2">
        <v>-3729</v>
      </c>
      <c r="G558" s="2">
        <v>0</v>
      </c>
      <c r="H558" s="2" t="s">
        <v>2556</v>
      </c>
      <c r="I558" s="26" t="s">
        <v>2545</v>
      </c>
      <c r="J558" s="2">
        <v>1</v>
      </c>
      <c r="L558" t="str">
        <f t="shared" si="8"/>
        <v>{ name: "Martha's Landing", landmark: "Named Location", type: "", region: 13, level: "Surface", x: 1207, y: -3729, z: 0, zoom: [3,4], size: "M", weight: 1, details: "" },</v>
      </c>
    </row>
    <row r="559" spans="1:12" x14ac:dyDescent="0.2">
      <c r="A559" t="s">
        <v>1469</v>
      </c>
      <c r="C559" s="2">
        <v>13</v>
      </c>
      <c r="D559" s="2" t="s">
        <v>785</v>
      </c>
      <c r="E559" s="2">
        <v>-15</v>
      </c>
      <c r="F559" s="2">
        <v>-3252</v>
      </c>
      <c r="G559" s="2">
        <v>0</v>
      </c>
      <c r="H559" s="2" t="s">
        <v>2556</v>
      </c>
      <c r="I559" s="26" t="s">
        <v>2519</v>
      </c>
      <c r="J559" s="2">
        <v>1</v>
      </c>
      <c r="L559" t="str">
        <f t="shared" si="8"/>
        <v>{ name: "Menoat River", landmark: "Named Location", type: "", region: 13, level: "Surface", x: -15, y: -3252, z: 0, zoom: [3,4], size: "S", weight: 1, details: "" },</v>
      </c>
    </row>
    <row r="560" spans="1:12" x14ac:dyDescent="0.2">
      <c r="A560" t="s">
        <v>1488</v>
      </c>
      <c r="C560" s="2">
        <v>13</v>
      </c>
      <c r="D560" s="2" t="s">
        <v>785</v>
      </c>
      <c r="E560" s="2">
        <v>-926</v>
      </c>
      <c r="F560" s="2">
        <v>-2629</v>
      </c>
      <c r="G560" s="2">
        <v>0</v>
      </c>
      <c r="H560" s="2" t="s">
        <v>2556</v>
      </c>
      <c r="I560" s="26" t="s">
        <v>2546</v>
      </c>
      <c r="J560" s="2">
        <v>1</v>
      </c>
      <c r="L560" t="str">
        <f t="shared" si="8"/>
        <v>{ name: "Mount Faloraa", landmark: "Named Location", type: "", region: 13, level: "Surface", x: -926, y: -2629, z: 0, zoom: [3,4], size: "L", weight: 1, details: "" },</v>
      </c>
    </row>
    <row r="561" spans="1:12" x14ac:dyDescent="0.2">
      <c r="A561" t="s">
        <v>1499</v>
      </c>
      <c r="C561" s="2">
        <v>13</v>
      </c>
      <c r="D561" s="2" t="s">
        <v>785</v>
      </c>
      <c r="E561" s="2">
        <v>-630</v>
      </c>
      <c r="F561" s="2">
        <v>-3839</v>
      </c>
      <c r="G561" s="2">
        <v>0</v>
      </c>
      <c r="H561" s="2" t="s">
        <v>2556</v>
      </c>
      <c r="I561" s="26" t="s">
        <v>2545</v>
      </c>
      <c r="J561" s="2">
        <v>1</v>
      </c>
      <c r="L561" t="str">
        <f t="shared" si="8"/>
        <v>{ name: "Nautelle Wetlands", landmark: "Named Location", type: "", region: 13, level: "Surface", x: -630, y: -3839, z: 0, zoom: [3,4], size: "M", weight: 1, details: "" },</v>
      </c>
    </row>
    <row r="562" spans="1:12" x14ac:dyDescent="0.2">
      <c r="A562" t="s">
        <v>1505</v>
      </c>
      <c r="C562" s="2">
        <v>13</v>
      </c>
      <c r="D562" s="2" t="s">
        <v>785</v>
      </c>
      <c r="E562" s="2">
        <v>220</v>
      </c>
      <c r="F562" s="2">
        <v>-3632</v>
      </c>
      <c r="G562" s="2">
        <v>0</v>
      </c>
      <c r="H562" s="2" t="s">
        <v>2556</v>
      </c>
      <c r="I562" s="26" t="s">
        <v>2545</v>
      </c>
      <c r="J562" s="2">
        <v>1</v>
      </c>
      <c r="L562" t="str">
        <f t="shared" si="8"/>
        <v>{ name: "Nette Plateau", landmark: "Named Location", type: "", region: 13, level: "Surface", x: 220, y: -3632, z: 0, zoom: [3,4], size: "M", weight: 1, details: "" },</v>
      </c>
    </row>
    <row r="563" spans="1:12" x14ac:dyDescent="0.2">
      <c r="A563" t="s">
        <v>1526</v>
      </c>
      <c r="C563" s="2">
        <v>13</v>
      </c>
      <c r="D563" s="2" t="s">
        <v>785</v>
      </c>
      <c r="E563" s="2">
        <v>-783</v>
      </c>
      <c r="F563" s="2">
        <v>-3563</v>
      </c>
      <c r="G563" s="2">
        <v>0</v>
      </c>
      <c r="H563" s="2" t="s">
        <v>2556</v>
      </c>
      <c r="I563" s="26" t="s">
        <v>2545</v>
      </c>
      <c r="J563" s="2">
        <v>1</v>
      </c>
      <c r="L563" t="str">
        <f t="shared" si="8"/>
        <v>{ name: "Oseira Plains", landmark: "Named Location", type: "", region: 13, level: "Surface", x: -783, y: -3563, z: 0, zoom: [3,4], size: "M", weight: 1, details: "" },</v>
      </c>
    </row>
    <row r="564" spans="1:12" x14ac:dyDescent="0.2">
      <c r="A564" t="s">
        <v>1532</v>
      </c>
      <c r="C564" s="2">
        <v>13</v>
      </c>
      <c r="D564" s="2" t="s">
        <v>785</v>
      </c>
      <c r="E564" s="2">
        <v>690</v>
      </c>
      <c r="F564" s="2">
        <v>-3058</v>
      </c>
      <c r="G564" s="2">
        <v>0</v>
      </c>
      <c r="H564" s="2" t="s">
        <v>2556</v>
      </c>
      <c r="I564" s="26" t="s">
        <v>2519</v>
      </c>
      <c r="J564" s="2">
        <v>1</v>
      </c>
      <c r="L564" t="str">
        <f t="shared" si="8"/>
        <v>{ name: "Pagos Woods", landmark: "Named Location", type: "", region: 13, level: "Surface", x: 690, y: -3058, z: 0, zoom: [3,4], size: "S", weight: 1, details: "" },</v>
      </c>
    </row>
    <row r="565" spans="1:12" x14ac:dyDescent="0.2">
      <c r="A565" t="s">
        <v>1067</v>
      </c>
      <c r="C565" s="2">
        <v>13</v>
      </c>
      <c r="D565" s="2" t="s">
        <v>785</v>
      </c>
      <c r="E565" s="2">
        <v>-339</v>
      </c>
      <c r="F565" s="2">
        <v>-3567</v>
      </c>
      <c r="G565" s="2">
        <v>0</v>
      </c>
      <c r="H565" s="2" t="s">
        <v>2556</v>
      </c>
      <c r="I565" s="2" t="s">
        <v>2519</v>
      </c>
      <c r="J565" s="2">
        <v>1</v>
      </c>
      <c r="L565" t="str">
        <f t="shared" si="8"/>
        <v>{ name: "Pappetto Grove", landmark: "Named Location", type: "", region: 13, level: "Surface", x: -339, y: -3567, z: 0, zoom: [3,4], size: "S", weight: 1, details: "" },</v>
      </c>
    </row>
    <row r="566" spans="1:12" x14ac:dyDescent="0.2">
      <c r="A566" t="s">
        <v>1534</v>
      </c>
      <c r="C566" s="2">
        <v>13</v>
      </c>
      <c r="D566" s="2" t="s">
        <v>785</v>
      </c>
      <c r="E566" s="2">
        <v>-348</v>
      </c>
      <c r="F566" s="2">
        <v>-3299</v>
      </c>
      <c r="G566" s="2">
        <v>0</v>
      </c>
      <c r="H566" s="2" t="s">
        <v>2556</v>
      </c>
      <c r="I566" s="26" t="s">
        <v>2545</v>
      </c>
      <c r="J566" s="2">
        <v>1</v>
      </c>
      <c r="L566" t="str">
        <f t="shared" si="8"/>
        <v>{ name: "Parache Plains", landmark: "Named Location", type: "", region: 13, level: "Surface", x: -348, y: -3299, z: 0, zoom: [3,4], size: "M", weight: 1, details: "" },</v>
      </c>
    </row>
    <row r="567" spans="1:12" x14ac:dyDescent="0.2">
      <c r="A567" t="s">
        <v>1543</v>
      </c>
      <c r="C567" s="2">
        <v>13</v>
      </c>
      <c r="D567" s="2" t="s">
        <v>785</v>
      </c>
      <c r="E567" s="2">
        <v>813</v>
      </c>
      <c r="F567" s="2">
        <v>-2177</v>
      </c>
      <c r="G567" s="2">
        <v>0</v>
      </c>
      <c r="H567" s="2" t="s">
        <v>2556</v>
      </c>
      <c r="I567" s="26" t="s">
        <v>2546</v>
      </c>
      <c r="J567" s="2">
        <v>1</v>
      </c>
      <c r="L567" t="str">
        <f t="shared" si="8"/>
        <v>{ name: "Popla Foothills", landmark: "Named Location", type: "", region: 13, level: "Surface", x: 813, y: -2177, z: 0, zoom: [3,4], size: "L", weight: 1, details: "" },</v>
      </c>
    </row>
    <row r="568" spans="1:12" x14ac:dyDescent="0.2">
      <c r="A568" t="s">
        <v>1549</v>
      </c>
      <c r="C568" s="2">
        <v>13</v>
      </c>
      <c r="D568" s="2" t="s">
        <v>785</v>
      </c>
      <c r="E568" s="2">
        <v>232</v>
      </c>
      <c r="F568" s="2">
        <v>-3897</v>
      </c>
      <c r="G568" s="2">
        <v>0</v>
      </c>
      <c r="H568" s="2" t="s">
        <v>2556</v>
      </c>
      <c r="I568" s="26" t="s">
        <v>2519</v>
      </c>
      <c r="J568" s="2">
        <v>1</v>
      </c>
      <c r="L568" t="str">
        <f t="shared" si="8"/>
        <v>{ name: "Puffer Beach", landmark: "Named Location", type: "", region: 13, level: "Surface", x: 232, y: -3897, z: 0, zoom: [3,4], size: "S", weight: 1, details: "" },</v>
      </c>
    </row>
    <row r="569" spans="1:12" x14ac:dyDescent="0.2">
      <c r="A569" t="s">
        <v>1557</v>
      </c>
      <c r="C569" s="2">
        <v>13</v>
      </c>
      <c r="D569" s="2" t="s">
        <v>785</v>
      </c>
      <c r="E569" s="2">
        <v>1855</v>
      </c>
      <c r="F569" s="2">
        <v>-3680</v>
      </c>
      <c r="G569" s="2">
        <v>0</v>
      </c>
      <c r="H569" s="2" t="s">
        <v>2556</v>
      </c>
      <c r="I569" s="26" t="s">
        <v>2519</v>
      </c>
      <c r="J569" s="2">
        <v>1</v>
      </c>
      <c r="L569" t="str">
        <f t="shared" si="8"/>
        <v>{ name: "Rassla Lake", landmark: "Named Location", type: "", region: 13, level: "Surface", x: 1855, y: -3680, z: 0, zoom: [3,4], size: "S", weight: 1, details: "" },</v>
      </c>
    </row>
    <row r="570" spans="1:12" x14ac:dyDescent="0.2">
      <c r="A570" t="s">
        <v>1573</v>
      </c>
      <c r="C570" s="2">
        <v>13</v>
      </c>
      <c r="D570" s="2" t="s">
        <v>785</v>
      </c>
      <c r="E570" s="2">
        <v>1789</v>
      </c>
      <c r="F570" s="2">
        <v>-2943</v>
      </c>
      <c r="G570" s="2">
        <v>0</v>
      </c>
      <c r="H570" s="2" t="s">
        <v>2556</v>
      </c>
      <c r="I570" s="2" t="s">
        <v>2519</v>
      </c>
      <c r="J570" s="2">
        <v>1</v>
      </c>
      <c r="L570" t="str">
        <f t="shared" si="8"/>
        <v>{ name: "Riola Spring", landmark: "Named Location", type: "", region: 13, level: "Surface", x: 1789, y: -2943, z: 0, zoom: [3,4], size: "S", weight: 1, details: "" },</v>
      </c>
    </row>
    <row r="571" spans="1:12" x14ac:dyDescent="0.2">
      <c r="A571" t="s">
        <v>1581</v>
      </c>
      <c r="C571" s="2">
        <v>13</v>
      </c>
      <c r="D571" s="2" t="s">
        <v>785</v>
      </c>
      <c r="E571" s="2">
        <v>1864</v>
      </c>
      <c r="F571" s="2">
        <v>-3130</v>
      </c>
      <c r="G571" s="2">
        <v>0</v>
      </c>
      <c r="H571" s="2" t="s">
        <v>2556</v>
      </c>
      <c r="I571" s="26" t="s">
        <v>2519</v>
      </c>
      <c r="J571" s="2">
        <v>1</v>
      </c>
      <c r="L571" t="str">
        <f t="shared" si="8"/>
        <v>{ name: "Rodai Lake", landmark: "Named Location", type: "", region: 13, level: "Surface", x: 1864, y: -3130, z: 0, zoom: [3,4], size: "S", weight: 1, details: "" },</v>
      </c>
    </row>
    <row r="572" spans="1:12" x14ac:dyDescent="0.2">
      <c r="A572" t="s">
        <v>1602</v>
      </c>
      <c r="C572" s="2">
        <v>13</v>
      </c>
      <c r="D572" s="2" t="s">
        <v>785</v>
      </c>
      <c r="E572" s="2">
        <v>1025</v>
      </c>
      <c r="F572" s="2">
        <v>-3235</v>
      </c>
      <c r="G572" s="2">
        <v>20</v>
      </c>
      <c r="H572" s="2" t="s">
        <v>2556</v>
      </c>
      <c r="I572" s="2" t="s">
        <v>2519</v>
      </c>
      <c r="J572" s="2">
        <v>1</v>
      </c>
      <c r="L572" t="str">
        <f t="shared" si="8"/>
        <v>{ name: "Sarjon Bridge", landmark: "Named Location", type: "", region: 13, level: "Surface", x: 1025, y: -3235, z: 20, zoom: [3,4], size: "S", weight: 1, details: "" },</v>
      </c>
    </row>
    <row r="573" spans="1:12" x14ac:dyDescent="0.2">
      <c r="A573" t="s">
        <v>1603</v>
      </c>
      <c r="C573" s="2">
        <v>13</v>
      </c>
      <c r="D573" s="2" t="s">
        <v>785</v>
      </c>
      <c r="E573" s="2">
        <v>1132</v>
      </c>
      <c r="F573" s="2">
        <v>-3279</v>
      </c>
      <c r="G573" s="2">
        <v>0</v>
      </c>
      <c r="H573" s="2" t="s">
        <v>2556</v>
      </c>
      <c r="I573" s="26" t="s">
        <v>2519</v>
      </c>
      <c r="J573" s="2">
        <v>1</v>
      </c>
      <c r="L573" t="str">
        <f t="shared" si="8"/>
        <v>{ name: "Sarjon Woods", landmark: "Named Location", type: "", region: 13, level: "Surface", x: 1132, y: -3279, z: 0, zoom: [3,4], size: "S", weight: 1, details: "" },</v>
      </c>
    </row>
    <row r="574" spans="1:12" x14ac:dyDescent="0.2">
      <c r="A574" t="s">
        <v>1630</v>
      </c>
      <c r="C574" s="2">
        <v>13</v>
      </c>
      <c r="D574" s="2" t="s">
        <v>785</v>
      </c>
      <c r="E574" s="2">
        <v>870</v>
      </c>
      <c r="F574" s="2">
        <v>-1604</v>
      </c>
      <c r="G574" s="2">
        <v>0</v>
      </c>
      <c r="H574" s="2" t="s">
        <v>2556</v>
      </c>
      <c r="I574" s="2" t="s">
        <v>2519</v>
      </c>
      <c r="J574" s="2">
        <v>1</v>
      </c>
      <c r="L574" t="str">
        <f t="shared" si="8"/>
        <v>{ name: "South Nabi Lake", landmark: "Named Location", type: "", region: 13, level: "Surface", x: 870, y: -1604, z: 0, zoom: [3,4], size: "S", weight: 1, details: "" },</v>
      </c>
    </row>
    <row r="575" spans="1:12" x14ac:dyDescent="0.2">
      <c r="A575" t="s">
        <v>1080</v>
      </c>
      <c r="C575" s="2">
        <v>13</v>
      </c>
      <c r="D575" s="2" t="s">
        <v>785</v>
      </c>
      <c r="E575" s="2">
        <v>880</v>
      </c>
      <c r="F575" s="2">
        <v>-2388</v>
      </c>
      <c r="G575" s="2">
        <v>18</v>
      </c>
      <c r="H575" s="2" t="s">
        <v>2556</v>
      </c>
      <c r="I575" s="2" t="s">
        <v>2519</v>
      </c>
      <c r="J575" s="2">
        <v>1</v>
      </c>
      <c r="L575" t="str">
        <f t="shared" si="8"/>
        <v>{ name: "Spring of Courage", landmark: "Named Location", type: "", region: 13, level: "Surface", x: 880, y: -2388, z: 18, zoom: [3,4], size: "S", weight: 1, details: "" },</v>
      </c>
    </row>
    <row r="576" spans="1:12" x14ac:dyDescent="0.2">
      <c r="A576" t="s">
        <v>1638</v>
      </c>
      <c r="C576" s="2">
        <v>13</v>
      </c>
      <c r="D576" s="2" t="s">
        <v>785</v>
      </c>
      <c r="E576" s="2">
        <v>917</v>
      </c>
      <c r="F576" s="2">
        <v>-1785</v>
      </c>
      <c r="G576" s="2">
        <v>0</v>
      </c>
      <c r="H576" s="2" t="s">
        <v>2556</v>
      </c>
      <c r="I576" s="26" t="s">
        <v>2519</v>
      </c>
      <c r="J576" s="2">
        <v>1</v>
      </c>
      <c r="L576" t="str">
        <f t="shared" si="8"/>
        <v>{ name: "Squabble River", landmark: "Named Location", type: "", region: 13, level: "Surface", x: 917, y: -1785, z: 0, zoom: [3,4], size: "S", weight: 1, details: "" },</v>
      </c>
    </row>
    <row r="577" spans="1:12" x14ac:dyDescent="0.2">
      <c r="A577" t="s">
        <v>1660</v>
      </c>
      <c r="C577" s="2">
        <v>13</v>
      </c>
      <c r="D577" s="2" t="s">
        <v>785</v>
      </c>
      <c r="E577" s="2">
        <v>-1228</v>
      </c>
      <c r="F577" s="2">
        <v>-2726</v>
      </c>
      <c r="G577" s="2">
        <v>0</v>
      </c>
      <c r="H577" s="2" t="s">
        <v>2556</v>
      </c>
      <c r="I577" s="26" t="s">
        <v>2545</v>
      </c>
      <c r="J577" s="2">
        <v>1</v>
      </c>
      <c r="L577" t="str">
        <f t="shared" si="8"/>
        <v>{ name: "Taobab Grassland", landmark: "Named Location", type: "", region: 13, level: "Surface", x: -1228, y: -2726, z: 0, zoom: [3,4], size: "M", weight: 1, details: "" },</v>
      </c>
    </row>
    <row r="578" spans="1:12" x14ac:dyDescent="0.2">
      <c r="A578" t="s">
        <v>1673</v>
      </c>
      <c r="C578" s="2">
        <v>13</v>
      </c>
      <c r="D578" s="2" t="s">
        <v>785</v>
      </c>
      <c r="E578" s="2">
        <v>1329</v>
      </c>
      <c r="F578" s="2">
        <v>-2564</v>
      </c>
      <c r="G578" s="2">
        <v>0</v>
      </c>
      <c r="H578" s="2" t="s">
        <v>2556</v>
      </c>
      <c r="I578" s="2" t="s">
        <v>2545</v>
      </c>
      <c r="J578" s="2">
        <v>1</v>
      </c>
      <c r="L578" t="str">
        <f t="shared" ref="L578:L641" si="9">"{ name: "&amp;CHAR(34)&amp;A578&amp;CHAR(34)&amp;", landmark: "&amp;CHAR(34)&amp;"Named Location"&amp;CHAR(34)&amp;", type: "&amp;CHAR(34)&amp;B578&amp;CHAR(34)&amp;", region: "&amp;C578&amp;", level: "&amp;CHAR(34)&amp;D578&amp;CHAR(34)&amp;", x: "&amp;INT(E578)&amp;", y: "&amp;INT(F578)&amp;", z: "&amp;INT(G578)&amp;", zoom: "&amp;IF(LEN(H578)&gt;1,"["&amp;H578&amp;"]",H578)&amp;", size: "&amp;CHAR(34)&amp;I578&amp;CHAR(34)&amp;", weight: "&amp;J578&amp;", details: "&amp;CHAR(34)&amp;K578&amp;CHAR(34)&amp;" },"</f>
        <v>{ name: "Tobio's Hollow", landmark: "Named Location", type: "", region: 13, level: "Surface", x: 1329, y: -2564, z: 0, zoom: [3,4], size: "M", weight: 1, details: "" },</v>
      </c>
    </row>
    <row r="579" spans="1:12" x14ac:dyDescent="0.2">
      <c r="A579" t="s">
        <v>1685</v>
      </c>
      <c r="C579" s="2">
        <v>13</v>
      </c>
      <c r="D579" s="2" t="s">
        <v>785</v>
      </c>
      <c r="E579" s="2">
        <v>1609</v>
      </c>
      <c r="F579" s="2">
        <v>-3630</v>
      </c>
      <c r="G579" s="2">
        <v>0</v>
      </c>
      <c r="H579" s="2" t="s">
        <v>2556</v>
      </c>
      <c r="I579" s="26" t="s">
        <v>2545</v>
      </c>
      <c r="J579" s="2">
        <v>1</v>
      </c>
      <c r="L579" t="str">
        <f t="shared" si="9"/>
        <v>{ name: "Ubota Point", landmark: "Named Location", type: "", region: 13, level: "Surface", x: 1609, y: -3630, z: 0, zoom: [3,4], size: "M", weight: 1, details: "" },</v>
      </c>
    </row>
    <row r="580" spans="1:12" x14ac:dyDescent="0.2">
      <c r="A580" t="s">
        <v>1727</v>
      </c>
      <c r="C580" s="2">
        <v>13</v>
      </c>
      <c r="D580" s="2" t="s">
        <v>785</v>
      </c>
      <c r="E580" s="2">
        <v>-557</v>
      </c>
      <c r="F580" s="2">
        <v>-3222</v>
      </c>
      <c r="G580" s="2">
        <v>0</v>
      </c>
      <c r="H580" s="2" t="s">
        <v>2556</v>
      </c>
      <c r="I580" s="26" t="s">
        <v>2546</v>
      </c>
      <c r="J580" s="2">
        <v>1</v>
      </c>
      <c r="L580" t="str">
        <f t="shared" si="9"/>
        <v>{ name: "Zokassa Ridge", landmark: "Named Location", type: "", region: 13, level: "Surface", x: -557, y: -3222, z: 0, zoom: [3,4], size: "L", weight: 1, details: "" },</v>
      </c>
    </row>
    <row r="581" spans="1:12" x14ac:dyDescent="0.2">
      <c r="A581" t="s">
        <v>1728</v>
      </c>
      <c r="C581" s="2">
        <v>13</v>
      </c>
      <c r="D581" s="2" t="s">
        <v>785</v>
      </c>
      <c r="E581" s="2">
        <v>898</v>
      </c>
      <c r="F581" s="2">
        <v>-2987</v>
      </c>
      <c r="G581" s="2">
        <v>16</v>
      </c>
      <c r="H581" s="2" t="s">
        <v>2556</v>
      </c>
      <c r="I581" s="2" t="s">
        <v>2519</v>
      </c>
      <c r="J581" s="2">
        <v>1</v>
      </c>
      <c r="L581" t="str">
        <f t="shared" si="9"/>
        <v>{ name: "Zonai Ruins", landmark: "Named Location", type: "", region: 13, level: "Surface", x: 898, y: -2987, z: 16, zoom: [3,4], size: "S", weight: 1, details: "" },</v>
      </c>
    </row>
    <row r="582" spans="1:12" x14ac:dyDescent="0.2">
      <c r="A582" s="25" t="s">
        <v>1093</v>
      </c>
      <c r="C582" s="2">
        <v>14</v>
      </c>
      <c r="D582" s="2" t="s">
        <v>994</v>
      </c>
      <c r="E582" s="2">
        <v>-3816</v>
      </c>
      <c r="F582" s="2">
        <v>-2890</v>
      </c>
      <c r="G582" s="2">
        <v>-383</v>
      </c>
      <c r="H582" s="2" t="s">
        <v>2559</v>
      </c>
      <c r="I582" s="2" t="s">
        <v>2545</v>
      </c>
      <c r="J582" s="2">
        <v>4</v>
      </c>
      <c r="L582" t="str">
        <f t="shared" si="9"/>
        <v>{ name: "Abandoned Gerudo Mine", landmark: "Named Location", type: "", region: 14, level: "Depths", x: -3816, y: -2890, z: -383, zoom: [1,2,3,4], size: "M", weight: 4, details: "" },</v>
      </c>
    </row>
    <row r="583" spans="1:12" x14ac:dyDescent="0.2">
      <c r="A583" s="25" t="s">
        <v>1097</v>
      </c>
      <c r="C583" s="2">
        <v>14</v>
      </c>
      <c r="D583" s="2" t="s">
        <v>994</v>
      </c>
      <c r="E583" s="2">
        <v>-3224</v>
      </c>
      <c r="F583" s="2">
        <v>-2462</v>
      </c>
      <c r="G583" s="2">
        <v>-475</v>
      </c>
      <c r="H583" s="2" t="s">
        <v>2559</v>
      </c>
      <c r="I583" s="2" t="s">
        <v>2545</v>
      </c>
      <c r="J583" s="2">
        <v>4</v>
      </c>
      <c r="L583" t="str">
        <f t="shared" si="9"/>
        <v>{ name: "Abandoned Kara Kara Mine", landmark: "Named Location", type: "", region: 14, level: "Depths", x: -3224, y: -2462, z: -475, zoom: [1,2,3,4], size: "M", weight: 4, details: "" },</v>
      </c>
    </row>
    <row r="584" spans="1:12" x14ac:dyDescent="0.2">
      <c r="A584" t="s">
        <v>1192</v>
      </c>
      <c r="C584" s="2">
        <v>14</v>
      </c>
      <c r="D584" s="2" t="s">
        <v>994</v>
      </c>
      <c r="E584" s="2">
        <v>-1391</v>
      </c>
      <c r="F584" s="2">
        <v>-3604</v>
      </c>
      <c r="G584" s="2">
        <v>-917</v>
      </c>
      <c r="H584" s="2" t="s">
        <v>2556</v>
      </c>
      <c r="I584" s="2" t="s">
        <v>2519</v>
      </c>
      <c r="J584" s="2">
        <v>1</v>
      </c>
      <c r="L584" t="str">
        <f t="shared" si="9"/>
        <v>{ name: "Daval Canyon Mine", landmark: "Named Location", type: "", region: 14, level: "Depths", x: -1391, y: -3604, z: -917, zoom: [3,4], size: "S", weight: 1, details: "" },</v>
      </c>
    </row>
    <row r="585" spans="1:12" x14ac:dyDescent="0.2">
      <c r="A585" t="s">
        <v>1199</v>
      </c>
      <c r="C585" s="2">
        <v>14</v>
      </c>
      <c r="D585" s="2" t="s">
        <v>994</v>
      </c>
      <c r="E585" s="2">
        <v>-4309</v>
      </c>
      <c r="F585" s="2">
        <v>-3813</v>
      </c>
      <c r="G585" s="2">
        <v>-469</v>
      </c>
      <c r="H585" s="2" t="s">
        <v>2556</v>
      </c>
      <c r="I585" s="2" t="s">
        <v>2519</v>
      </c>
      <c r="J585" s="2">
        <v>2</v>
      </c>
      <c r="L585" t="str">
        <f t="shared" si="9"/>
        <v>{ name: "Desert Coliseum", landmark: "Named Location", type: "", region: 14, level: "Depths", x: -4309, y: -3813, z: -469, zoom: [3,4], size: "S", weight: 2, details: "" },</v>
      </c>
    </row>
    <row r="586" spans="1:12" x14ac:dyDescent="0.2">
      <c r="A586" t="s">
        <v>1281</v>
      </c>
      <c r="C586" s="2">
        <v>14</v>
      </c>
      <c r="D586" s="2" t="s">
        <v>994</v>
      </c>
      <c r="E586" s="2">
        <v>-4616</v>
      </c>
      <c r="F586" s="2">
        <v>-3692</v>
      </c>
      <c r="G586" s="2">
        <v>-477</v>
      </c>
      <c r="H586" s="2" t="s">
        <v>2556</v>
      </c>
      <c r="I586" s="2" t="s">
        <v>2545</v>
      </c>
      <c r="J586" s="2">
        <v>1</v>
      </c>
      <c r="L586" t="str">
        <f t="shared" si="9"/>
        <v>{ name: "Gerudo Dark Skeleton", landmark: "Named Location", type: "", region: 14, level: "Depths", x: -4616, y: -3692, z: -477, zoom: [3,4], size: "M", weight: 1, details: "" },</v>
      </c>
    </row>
    <row r="587" spans="1:12" x14ac:dyDescent="0.2">
      <c r="A587" t="s">
        <v>1285</v>
      </c>
      <c r="C587" s="2">
        <v>14</v>
      </c>
      <c r="D587" s="2" t="s">
        <v>994</v>
      </c>
      <c r="E587" s="2">
        <v>-4102</v>
      </c>
      <c r="F587" s="2">
        <v>-3739</v>
      </c>
      <c r="G587" s="2">
        <v>-471</v>
      </c>
      <c r="H587" s="2" t="s">
        <v>2556</v>
      </c>
      <c r="I587" s="2" t="s">
        <v>2519</v>
      </c>
      <c r="J587" s="2">
        <v>1</v>
      </c>
      <c r="L587" t="str">
        <f t="shared" si="9"/>
        <v>{ name: "Gerudo Underground Cemetery", landmark: "Named Location", type: "", region: 14, level: "Depths", x: -4102, y: -3739, z: -471, zoom: [3,4], size: "S", weight: 1, details: "" },</v>
      </c>
    </row>
    <row r="588" spans="1:12" x14ac:dyDescent="0.2">
      <c r="A588" t="s">
        <v>1307</v>
      </c>
      <c r="C588" s="2">
        <v>14</v>
      </c>
      <c r="D588" s="2" t="s">
        <v>994</v>
      </c>
      <c r="E588" s="2">
        <v>-1317</v>
      </c>
      <c r="F588" s="2">
        <v>-3432</v>
      </c>
      <c r="G588" s="2">
        <v>-819</v>
      </c>
      <c r="H588" s="2" t="s">
        <v>2556</v>
      </c>
      <c r="I588" s="2" t="s">
        <v>2519</v>
      </c>
      <c r="J588" s="2">
        <v>1</v>
      </c>
      <c r="L588" t="str">
        <f t="shared" si="9"/>
        <v>{ name: "Granajh Canyon Mine", landmark: "Named Location", type: "", region: 14, level: "Depths", x: -1317, y: -3432, z: -819, zoom: [3,4], size: "S", weight: 1, details: "" },</v>
      </c>
    </row>
    <row r="589" spans="1:12" x14ac:dyDescent="0.2">
      <c r="A589" t="s">
        <v>1498</v>
      </c>
      <c r="C589" s="2">
        <v>14</v>
      </c>
      <c r="D589" s="2" t="s">
        <v>994</v>
      </c>
      <c r="E589" s="2">
        <v>-1802</v>
      </c>
      <c r="F589" s="2">
        <v>-2089</v>
      </c>
      <c r="G589" s="2">
        <v>-603</v>
      </c>
      <c r="H589" s="2" t="s">
        <v>2556</v>
      </c>
      <c r="I589" s="2" t="s">
        <v>2519</v>
      </c>
      <c r="J589" s="2">
        <v>1</v>
      </c>
      <c r="L589" t="str">
        <f t="shared" si="9"/>
        <v>{ name: "Nabooru Canyon Mine", landmark: "Named Location", type: "", region: 14, level: "Depths", x: -1802, y: -2089, z: -603, zoom: [3,4], size: "S", weight: 1, details: "" },</v>
      </c>
    </row>
    <row r="590" spans="1:12" x14ac:dyDescent="0.2">
      <c r="A590" t="s">
        <v>1628</v>
      </c>
      <c r="C590" s="2">
        <v>14</v>
      </c>
      <c r="D590" s="2" t="s">
        <v>994</v>
      </c>
      <c r="E590" s="2">
        <v>-1795</v>
      </c>
      <c r="F590" s="2">
        <v>-3579</v>
      </c>
      <c r="G590" s="2">
        <v>-539</v>
      </c>
      <c r="H590" s="2" t="s">
        <v>2556</v>
      </c>
      <c r="I590" s="2" t="s">
        <v>2519</v>
      </c>
      <c r="J590" s="2">
        <v>1</v>
      </c>
      <c r="L590" t="str">
        <f t="shared" si="9"/>
        <v>{ name: "South Lomei Depths Labyrinth", landmark: "Named Location", type: "", region: 14, level: "Depths", x: -1795, y: -3579, z: -539, zoom: [3,4], size: "S", weight: 1, details: "" },</v>
      </c>
    </row>
    <row r="591" spans="1:12" x14ac:dyDescent="0.2">
      <c r="A591" s="25" t="s">
        <v>1283</v>
      </c>
      <c r="B591" t="s">
        <v>2543</v>
      </c>
      <c r="C591" s="2">
        <v>14</v>
      </c>
      <c r="D591" s="2" t="s">
        <v>783</v>
      </c>
      <c r="E591" s="2">
        <v>-3625</v>
      </c>
      <c r="F591" s="2">
        <v>-2759</v>
      </c>
      <c r="G591" s="2">
        <v>2000</v>
      </c>
      <c r="H591" s="2">
        <v>1</v>
      </c>
      <c r="I591" s="2" t="s">
        <v>2546</v>
      </c>
      <c r="J591" s="2">
        <v>1</v>
      </c>
      <c r="L591" t="str">
        <f t="shared" si="9"/>
        <v>{ name: "Gerudo Sky", landmark: "Named Location", type: "Province", region: 14, level: "Sky", x: -3625, y: -2759, z: 2000, zoom: 1, size: "L", weight: 1, details: "" },</v>
      </c>
    </row>
    <row r="592" spans="1:12" x14ac:dyDescent="0.2">
      <c r="A592" s="25" t="s">
        <v>995</v>
      </c>
      <c r="B592" t="s">
        <v>2542</v>
      </c>
      <c r="C592" s="2">
        <v>14</v>
      </c>
      <c r="D592" s="2" t="s">
        <v>783</v>
      </c>
      <c r="E592" s="2">
        <v>-1866</v>
      </c>
      <c r="F592" s="2">
        <v>-2316</v>
      </c>
      <c r="G592" s="2">
        <v>2000</v>
      </c>
      <c r="H592" s="2" t="s">
        <v>2832</v>
      </c>
      <c r="I592" s="2" t="s">
        <v>2546</v>
      </c>
      <c r="J592" s="2">
        <v>1</v>
      </c>
      <c r="L592" t="str">
        <f t="shared" si="9"/>
        <v>{ name: "East Gerudo Sky Archipelago", landmark: "Named Location", type: "Subregion", region: 14, level: "Sky", x: -1866, y: -2316, z: 2000, zoom: [2,3,4], size: "L", weight: 1, details: "" },</v>
      </c>
    </row>
    <row r="593" spans="1:12" x14ac:dyDescent="0.2">
      <c r="A593" s="25" t="s">
        <v>1627</v>
      </c>
      <c r="C593" s="2">
        <v>14</v>
      </c>
      <c r="D593" s="2" t="s">
        <v>783</v>
      </c>
      <c r="E593" s="2">
        <v>-1795</v>
      </c>
      <c r="F593" s="2">
        <v>-3615</v>
      </c>
      <c r="G593" s="2">
        <v>1208</v>
      </c>
      <c r="H593" s="2" t="s">
        <v>2556</v>
      </c>
      <c r="I593" s="2" t="s">
        <v>2546</v>
      </c>
      <c r="J593" s="2">
        <v>1</v>
      </c>
      <c r="L593" t="str">
        <f t="shared" si="9"/>
        <v>{ name: "South Lomei Castle Top Floor", landmark: "Named Location", type: "", region: 14, level: "Sky", x: -1795, y: -3615, z: 1208, zoom: [3,4], size: "L", weight: 1, details: "" },</v>
      </c>
    </row>
    <row r="594" spans="1:12" x14ac:dyDescent="0.2">
      <c r="A594" t="s">
        <v>1279</v>
      </c>
      <c r="B594" t="s">
        <v>2543</v>
      </c>
      <c r="C594" s="2">
        <v>14</v>
      </c>
      <c r="D594" s="2" t="s">
        <v>785</v>
      </c>
      <c r="E594" s="2">
        <v>-3989</v>
      </c>
      <c r="F594" s="2">
        <v>-3257</v>
      </c>
      <c r="G594" s="2">
        <v>0</v>
      </c>
      <c r="H594" s="2">
        <v>1</v>
      </c>
      <c r="I594" s="2" t="s">
        <v>2546</v>
      </c>
      <c r="J594" s="2">
        <v>1</v>
      </c>
      <c r="L594" t="str">
        <f t="shared" si="9"/>
        <v>{ name: "Gerudo", landmark: "Named Location", type: "Province", region: 14, level: "Surface", x: -3989, y: -3257, z: 0, zoom: 1, size: "L", weight: 1, details: "" },</v>
      </c>
    </row>
    <row r="595" spans="1:12" x14ac:dyDescent="0.2">
      <c r="A595" t="s">
        <v>798</v>
      </c>
      <c r="B595" t="s">
        <v>8</v>
      </c>
      <c r="C595" s="2">
        <v>14</v>
      </c>
      <c r="D595" s="2" t="s">
        <v>785</v>
      </c>
      <c r="E595" s="2">
        <v>-3682</v>
      </c>
      <c r="F595" s="2">
        <v>-3429</v>
      </c>
      <c r="G595" s="2">
        <v>0</v>
      </c>
      <c r="H595" s="2">
        <v>2</v>
      </c>
      <c r="I595" s="2" t="s">
        <v>2545</v>
      </c>
      <c r="J595" s="2">
        <v>1</v>
      </c>
      <c r="L595" t="str">
        <f t="shared" si="9"/>
        <v>{ name: "Gerudo Desert", landmark: "Named Location", type: "Region", region: 14, level: "Surface", x: -3682, y: -3429, z: 0, zoom: 2, size: "M", weight: 1, details: "" },</v>
      </c>
    </row>
    <row r="596" spans="1:12" x14ac:dyDescent="0.2">
      <c r="A596" t="s">
        <v>1124</v>
      </c>
      <c r="C596" s="2">
        <v>14</v>
      </c>
      <c r="D596" s="2" t="s">
        <v>785</v>
      </c>
      <c r="E596" s="2">
        <v>-4157</v>
      </c>
      <c r="F596" s="2">
        <v>-3803</v>
      </c>
      <c r="G596" s="2">
        <v>28</v>
      </c>
      <c r="H596" s="2" t="s">
        <v>2556</v>
      </c>
      <c r="I596" s="2" t="s">
        <v>2519</v>
      </c>
      <c r="J596" s="2">
        <v>2</v>
      </c>
      <c r="L596" t="str">
        <f t="shared" si="9"/>
        <v>{ name: "Arbiter's Grounds", landmark: "Named Location", type: "", region: 14, level: "Surface", x: -4157, y: -3803, z: 28, zoom: [3,4], size: "S", weight: 2, details: "" },</v>
      </c>
    </row>
    <row r="597" spans="1:12" x14ac:dyDescent="0.2">
      <c r="A597" t="s">
        <v>1166</v>
      </c>
      <c r="C597" s="2">
        <v>14</v>
      </c>
      <c r="D597" s="2" t="s">
        <v>785</v>
      </c>
      <c r="E597" s="2">
        <v>-2042</v>
      </c>
      <c r="F597" s="2">
        <v>-3194</v>
      </c>
      <c r="G597" s="2">
        <v>0</v>
      </c>
      <c r="H597" s="2" t="s">
        <v>2556</v>
      </c>
      <c r="I597" s="2" t="s">
        <v>2519</v>
      </c>
      <c r="J597" s="2">
        <v>1</v>
      </c>
      <c r="L597" t="str">
        <f t="shared" si="9"/>
        <v>{ name: "Champion's Gate", landmark: "Named Location", type: "", region: 14, level: "Surface", x: -2042, y: -3194, z: 0, zoom: [3,4], size: "S", weight: 1, details: "" },</v>
      </c>
    </row>
    <row r="598" spans="1:12" x14ac:dyDescent="0.2">
      <c r="A598" t="s">
        <v>1193</v>
      </c>
      <c r="C598" s="2">
        <v>14</v>
      </c>
      <c r="D598" s="2" t="s">
        <v>785</v>
      </c>
      <c r="E598" s="2">
        <v>-1391</v>
      </c>
      <c r="F598" s="2">
        <v>-3600</v>
      </c>
      <c r="G598" s="2">
        <v>0</v>
      </c>
      <c r="H598" s="2" t="s">
        <v>2556</v>
      </c>
      <c r="I598" s="2" t="s">
        <v>2546</v>
      </c>
      <c r="J598" s="2">
        <v>1</v>
      </c>
      <c r="L598" t="str">
        <f t="shared" si="9"/>
        <v>{ name: "Daval Peak", landmark: "Named Location", type: "", region: 14, level: "Surface", x: -1391, y: -3600, z: 0, zoom: [3,4], size: "L", weight: 1, details: "" },</v>
      </c>
    </row>
    <row r="599" spans="1:12" x14ac:dyDescent="0.2">
      <c r="A599" t="s">
        <v>1200</v>
      </c>
      <c r="C599" s="2">
        <v>14</v>
      </c>
      <c r="D599" s="2" t="s">
        <v>785</v>
      </c>
      <c r="E599" s="2">
        <v>-3515</v>
      </c>
      <c r="F599" s="2">
        <v>-2731</v>
      </c>
      <c r="G599" s="2">
        <v>-26</v>
      </c>
      <c r="H599" s="2" t="s">
        <v>2556</v>
      </c>
      <c r="I599" s="2" t="s">
        <v>2545</v>
      </c>
      <c r="J599" s="2">
        <v>1</v>
      </c>
      <c r="L599" t="str">
        <f t="shared" si="9"/>
        <v>{ name: "Desert Rift", landmark: "Named Location", type: "", region: 14, level: "Surface", x: -3515, y: -2731, z: -26, zoom: [3,4], size: "M", weight: 1, details: "" },</v>
      </c>
    </row>
    <row r="600" spans="1:12" x14ac:dyDescent="0.2">
      <c r="A600" t="s">
        <v>1214</v>
      </c>
      <c r="C600" s="2">
        <v>14</v>
      </c>
      <c r="D600" s="2" t="s">
        <v>785</v>
      </c>
      <c r="E600" s="2">
        <v>-4785</v>
      </c>
      <c r="F600" s="2">
        <v>-3509</v>
      </c>
      <c r="G600" s="2">
        <v>0</v>
      </c>
      <c r="H600" s="2" t="s">
        <v>2556</v>
      </c>
      <c r="I600" s="2" t="s">
        <v>2545</v>
      </c>
      <c r="J600" s="2">
        <v>1</v>
      </c>
      <c r="L600" t="str">
        <f t="shared" si="9"/>
        <v>{ name: "Dragon's Exile", landmark: "Named Location", type: "", region: 14, level: "Surface", x: -4785, y: -3509, z: 0, zoom: [3,4], size: "M", weight: 1, details: "" },</v>
      </c>
    </row>
    <row r="601" spans="1:12" x14ac:dyDescent="0.2">
      <c r="A601" t="s">
        <v>1029</v>
      </c>
      <c r="C601" s="2">
        <v>14</v>
      </c>
      <c r="D601" s="2" t="s">
        <v>785</v>
      </c>
      <c r="E601" s="2">
        <v>-2538</v>
      </c>
      <c r="F601" s="2">
        <v>-3539</v>
      </c>
      <c r="G601" s="2">
        <v>0</v>
      </c>
      <c r="H601" s="2" t="s">
        <v>2556</v>
      </c>
      <c r="I601" s="2" t="s">
        <v>2545</v>
      </c>
      <c r="J601" s="2">
        <v>1</v>
      </c>
      <c r="L601" t="str">
        <f t="shared" si="9"/>
        <v>{ name: "East Barrens", landmark: "Named Location", type: "", region: 14, level: "Surface", x: -2538, y: -3539, z: 0, zoom: [3,4], size: "M", weight: 1, details: "" },</v>
      </c>
    </row>
    <row r="602" spans="1:12" x14ac:dyDescent="0.2">
      <c r="A602" t="s">
        <v>1229</v>
      </c>
      <c r="C602" s="2">
        <v>14</v>
      </c>
      <c r="D602" s="2" t="s">
        <v>785</v>
      </c>
      <c r="E602" s="2">
        <v>-1577</v>
      </c>
      <c r="F602" s="2">
        <v>-2988</v>
      </c>
      <c r="G602" s="2">
        <v>0</v>
      </c>
      <c r="H602" s="2" t="s">
        <v>2556</v>
      </c>
      <c r="I602" s="2" t="s">
        <v>2545</v>
      </c>
      <c r="J602" s="2">
        <v>1</v>
      </c>
      <c r="L602" t="str">
        <f t="shared" si="9"/>
        <v>{ name: "East Gerudo Mesa", landmark: "Named Location", type: "", region: 14, level: "Surface", x: -1577, y: -2988, z: 0, zoom: [3,4], size: "M", weight: 1, details: "" },</v>
      </c>
    </row>
    <row r="603" spans="1:12" x14ac:dyDescent="0.2">
      <c r="A603" t="s">
        <v>1230</v>
      </c>
      <c r="C603" s="2">
        <v>14</v>
      </c>
      <c r="D603" s="2" t="s">
        <v>785</v>
      </c>
      <c r="E603" s="2">
        <v>-2694</v>
      </c>
      <c r="F603" s="2">
        <v>-2859</v>
      </c>
      <c r="G603" s="2">
        <v>23</v>
      </c>
      <c r="H603" s="2" t="s">
        <v>2556</v>
      </c>
      <c r="I603" s="2" t="s">
        <v>2519</v>
      </c>
      <c r="J603" s="2">
        <v>2</v>
      </c>
      <c r="L603" t="str">
        <f t="shared" si="9"/>
        <v>{ name: "East Gerudo Ruins", landmark: "Named Location", type: "", region: 14, level: "Surface", x: -2694, y: -2859, z: 23, zoom: [3,4], size: "S", weight: 2, details: "" },</v>
      </c>
    </row>
    <row r="604" spans="1:12" x14ac:dyDescent="0.2">
      <c r="A604" t="s">
        <v>1033</v>
      </c>
      <c r="C604" s="2">
        <v>14</v>
      </c>
      <c r="D604" s="2" t="s">
        <v>785</v>
      </c>
      <c r="E604" s="2">
        <v>-2308</v>
      </c>
      <c r="F604" s="2">
        <v>-2216</v>
      </c>
      <c r="G604" s="2">
        <v>0</v>
      </c>
      <c r="H604" s="2" t="s">
        <v>2556</v>
      </c>
      <c r="I604" s="2" t="s">
        <v>2546</v>
      </c>
      <c r="J604" s="2">
        <v>1</v>
      </c>
      <c r="L604" t="str">
        <f t="shared" si="9"/>
        <v>{ name: "Gerudo Canyon", landmark: "Named Location", type: "", region: 14, level: "Surface", x: -2308, y: -2216, z: 0, zoom: [3,4], size: "L", weight: 1, details: "" },</v>
      </c>
    </row>
    <row r="605" spans="1:12" x14ac:dyDescent="0.2">
      <c r="A605" t="s">
        <v>997</v>
      </c>
      <c r="C605" s="2">
        <v>14</v>
      </c>
      <c r="D605" s="2" t="s">
        <v>785</v>
      </c>
      <c r="E605" s="2">
        <v>-1652</v>
      </c>
      <c r="F605" s="2">
        <v>-2012</v>
      </c>
      <c r="G605" s="2">
        <v>-15</v>
      </c>
      <c r="H605" s="2" t="s">
        <v>2556</v>
      </c>
      <c r="I605" s="2" t="s">
        <v>2546</v>
      </c>
      <c r="J605" s="2">
        <v>1</v>
      </c>
      <c r="L605" t="str">
        <f t="shared" si="9"/>
        <v>{ name: "Gerudo Canyon Pass", landmark: "Named Location", type: "", region: 14, level: "Surface", x: -1652, y: -2012, z: -15, zoom: [3,4], size: "L", weight: 1, details: "" },</v>
      </c>
    </row>
    <row r="606" spans="1:12" x14ac:dyDescent="0.2">
      <c r="A606" t="s">
        <v>1282</v>
      </c>
      <c r="C606" s="2">
        <v>14</v>
      </c>
      <c r="D606" s="2" t="s">
        <v>785</v>
      </c>
      <c r="E606" s="2">
        <v>-2924</v>
      </c>
      <c r="F606" s="2">
        <v>-2329</v>
      </c>
      <c r="G606" s="2">
        <v>33</v>
      </c>
      <c r="H606" s="2" t="s">
        <v>2556</v>
      </c>
      <c r="I606" s="2" t="s">
        <v>2545</v>
      </c>
      <c r="J606" s="2">
        <v>1</v>
      </c>
      <c r="L606" t="str">
        <f t="shared" si="9"/>
        <v>{ name: "Gerudo Desert Gateway", landmark: "Named Location", type: "", region: 14, level: "Surface", x: -2924, y: -2329, z: 33, zoom: [3,4], size: "M", weight: 1, details: "" },</v>
      </c>
    </row>
    <row r="607" spans="1:12" x14ac:dyDescent="0.2">
      <c r="A607" t="s">
        <v>1042</v>
      </c>
      <c r="C607" s="2">
        <v>14</v>
      </c>
      <c r="D607" s="2" t="s">
        <v>785</v>
      </c>
      <c r="E607" s="2">
        <v>-2198</v>
      </c>
      <c r="F607" s="2">
        <v>-1787</v>
      </c>
      <c r="G607" s="2">
        <v>0</v>
      </c>
      <c r="H607" s="2" t="s">
        <v>2556</v>
      </c>
      <c r="I607" s="2" t="s">
        <v>2545</v>
      </c>
      <c r="J607" s="2">
        <v>1</v>
      </c>
      <c r="L607" t="str">
        <f t="shared" si="9"/>
        <v>{ name: "Koukot Plateau", landmark: "Named Location", type: "", region: 14, level: "Surface", x: -2198, y: -1787, z: 0, zoom: [3,4], size: "M", weight: 1, details: "" },</v>
      </c>
    </row>
    <row r="608" spans="1:12" x14ac:dyDescent="0.2">
      <c r="A608" t="s">
        <v>1057</v>
      </c>
      <c r="C608" s="2">
        <v>14</v>
      </c>
      <c r="D608" s="2" t="s">
        <v>785</v>
      </c>
      <c r="E608" s="2">
        <v>-1376</v>
      </c>
      <c r="F608" s="2">
        <v>-3361</v>
      </c>
      <c r="G608" s="2">
        <v>0</v>
      </c>
      <c r="H608" s="2" t="s">
        <v>2556</v>
      </c>
      <c r="I608" s="2" t="s">
        <v>2546</v>
      </c>
      <c r="J608" s="2">
        <v>1</v>
      </c>
      <c r="L608" t="str">
        <f t="shared" si="9"/>
        <v>{ name: "Mount Granajh", landmark: "Named Location", type: "", region: 14, level: "Surface", x: -1376, y: -3361, z: 0, zoom: [3,4], size: "L", weight: 1, details: "" },</v>
      </c>
    </row>
    <row r="609" spans="1:12" x14ac:dyDescent="0.2">
      <c r="A609" t="s">
        <v>1492</v>
      </c>
      <c r="C609" s="2">
        <v>14</v>
      </c>
      <c r="D609" s="2" t="s">
        <v>785</v>
      </c>
      <c r="E609" s="2">
        <v>-1886</v>
      </c>
      <c r="F609" s="2">
        <v>-1920</v>
      </c>
      <c r="G609" s="2">
        <v>0</v>
      </c>
      <c r="H609" s="2" t="s">
        <v>2556</v>
      </c>
      <c r="I609" s="2" t="s">
        <v>2546</v>
      </c>
      <c r="J609" s="2">
        <v>1</v>
      </c>
      <c r="L609" t="str">
        <f t="shared" si="9"/>
        <v>{ name: "Mount Nabooru", landmark: "Named Location", type: "", region: 14, level: "Surface", x: -1886, y: -1920, z: 0, zoom: [3,4], size: "L", weight: 1, details: "" },</v>
      </c>
    </row>
    <row r="610" spans="1:12" x14ac:dyDescent="0.2">
      <c r="A610" t="s">
        <v>1513</v>
      </c>
      <c r="C610" s="2">
        <v>14</v>
      </c>
      <c r="D610" s="2" t="s">
        <v>785</v>
      </c>
      <c r="E610" s="2">
        <v>-3762</v>
      </c>
      <c r="F610" s="2">
        <v>-2530</v>
      </c>
      <c r="G610" s="2">
        <v>35</v>
      </c>
      <c r="H610" s="2" t="s">
        <v>2556</v>
      </c>
      <c r="I610" s="2" t="s">
        <v>2519</v>
      </c>
      <c r="J610" s="2">
        <v>1</v>
      </c>
      <c r="L610" t="str">
        <f t="shared" si="9"/>
        <v>{ name: "North Gerudo Ruins", landmark: "Named Location", type: "", region: 14, level: "Surface", x: -3762, y: -2530, z: 35, zoom: [3,4], size: "S", weight: 1, details: "" },</v>
      </c>
    </row>
    <row r="611" spans="1:12" x14ac:dyDescent="0.2">
      <c r="A611" t="s">
        <v>1520</v>
      </c>
      <c r="C611" s="2">
        <v>14</v>
      </c>
      <c r="D611" s="2" t="s">
        <v>785</v>
      </c>
      <c r="E611" s="2">
        <v>-3749</v>
      </c>
      <c r="F611" s="2">
        <v>-2300</v>
      </c>
      <c r="G611" s="2">
        <v>26</v>
      </c>
      <c r="H611" s="2" t="s">
        <v>2556</v>
      </c>
      <c r="I611" s="2" t="s">
        <v>2519</v>
      </c>
      <c r="J611" s="2">
        <v>1</v>
      </c>
      <c r="L611" t="str">
        <f t="shared" si="9"/>
        <v>{ name: "Northern Icehouse", landmark: "Named Location", type: "", region: 14, level: "Surface", x: -3749, y: -2300, z: 26, zoom: [3,4], size: "S", weight: 1, details: "" },</v>
      </c>
    </row>
    <row r="612" spans="1:12" x14ac:dyDescent="0.2">
      <c r="A612" t="s">
        <v>1066</v>
      </c>
      <c r="C612" s="2">
        <v>14</v>
      </c>
      <c r="D612" s="2" t="s">
        <v>785</v>
      </c>
      <c r="E612" s="2">
        <v>-3118</v>
      </c>
      <c r="F612" s="2">
        <v>-2982</v>
      </c>
      <c r="G612" s="2">
        <v>0</v>
      </c>
      <c r="H612" s="2" t="s">
        <v>2556</v>
      </c>
      <c r="I612" s="2" t="s">
        <v>2545</v>
      </c>
      <c r="J612" s="2">
        <v>1</v>
      </c>
      <c r="L612" t="str">
        <f t="shared" si="9"/>
        <v>{ name: "Palu Wasteland", landmark: "Named Location", type: "", region: 14, level: "Surface", x: -3118, y: -2982, z: 0, zoom: [3,4], size: "M", weight: 1, details: "" },</v>
      </c>
    </row>
    <row r="613" spans="1:12" x14ac:dyDescent="0.2">
      <c r="A613" t="s">
        <v>1629</v>
      </c>
      <c r="C613" s="2">
        <v>14</v>
      </c>
      <c r="D613" s="2" t="s">
        <v>785</v>
      </c>
      <c r="E613" s="2">
        <v>-1795</v>
      </c>
      <c r="F613" s="2">
        <v>-3541</v>
      </c>
      <c r="G613" s="2">
        <v>86</v>
      </c>
      <c r="H613" s="2" t="s">
        <v>2556</v>
      </c>
      <c r="I613" s="2" t="s">
        <v>2519</v>
      </c>
      <c r="J613" s="2">
        <v>1</v>
      </c>
      <c r="L613" t="str">
        <f t="shared" si="9"/>
        <v>{ name: "South Lomei Labyrinth", landmark: "Named Location", type: "", region: 14, level: "Surface", x: -1795, y: -3541, z: 86, zoom: [3,4], size: "S", weight: 1, details: "" },</v>
      </c>
    </row>
    <row r="614" spans="1:12" x14ac:dyDescent="0.2">
      <c r="A614" t="s">
        <v>1632</v>
      </c>
      <c r="C614" s="2">
        <v>14</v>
      </c>
      <c r="D614" s="2" t="s">
        <v>785</v>
      </c>
      <c r="E614" s="2">
        <v>-3722</v>
      </c>
      <c r="F614" s="2">
        <v>-3581</v>
      </c>
      <c r="G614" s="2">
        <v>0</v>
      </c>
      <c r="H614" s="2" t="s">
        <v>2556</v>
      </c>
      <c r="I614" s="2" t="s">
        <v>2519</v>
      </c>
      <c r="J614" s="2">
        <v>1</v>
      </c>
      <c r="L614" t="str">
        <f t="shared" si="9"/>
        <v>{ name: "Southern Oasis", landmark: "Named Location", type: "", region: 14, level: "Surface", x: -3722, y: -3581, z: 0, zoom: [3,4], size: "S", weight: 1, details: "" },</v>
      </c>
    </row>
    <row r="615" spans="1:12" x14ac:dyDescent="0.2">
      <c r="A615" t="s">
        <v>1633</v>
      </c>
      <c r="C615" s="2">
        <v>14</v>
      </c>
      <c r="D615" s="2" t="s">
        <v>785</v>
      </c>
      <c r="E615" s="2">
        <v>-3665</v>
      </c>
      <c r="F615" s="2">
        <v>-3631</v>
      </c>
      <c r="G615" s="2">
        <v>34</v>
      </c>
      <c r="H615" s="2" t="s">
        <v>2556</v>
      </c>
      <c r="I615" s="2" t="s">
        <v>2545</v>
      </c>
      <c r="J615" s="2">
        <v>1</v>
      </c>
      <c r="L615" t="str">
        <f t="shared" si="9"/>
        <v>{ name: "Southern Oasis Training Area", landmark: "Named Location", type: "", region: 14, level: "Surface", x: -3665, y: -3631, z: 34, zoom: [3,4], size: "M", weight: 1, details: "" },</v>
      </c>
    </row>
    <row r="616" spans="1:12" x14ac:dyDescent="0.2">
      <c r="A616" t="s">
        <v>1634</v>
      </c>
      <c r="C616" s="2">
        <v>14</v>
      </c>
      <c r="D616" s="2" t="s">
        <v>785</v>
      </c>
      <c r="E616" s="2">
        <v>-2222</v>
      </c>
      <c r="F616" s="2">
        <v>-2538</v>
      </c>
      <c r="G616" s="2">
        <v>0</v>
      </c>
      <c r="H616" s="2" t="s">
        <v>2556</v>
      </c>
      <c r="I616" s="2" t="s">
        <v>2545</v>
      </c>
      <c r="J616" s="2">
        <v>1</v>
      </c>
      <c r="L616" t="str">
        <f t="shared" si="9"/>
        <v>{ name: "Spectacle Rock", landmark: "Named Location", type: "", region: 14, level: "Surface", x: -2222, y: -2538, z: 0, zoom: [3,4], size: "M", weight: 1, details: "" },</v>
      </c>
    </row>
    <row r="617" spans="1:12" x14ac:dyDescent="0.2">
      <c r="A617" t="s">
        <v>1639</v>
      </c>
      <c r="C617" s="2">
        <v>14</v>
      </c>
      <c r="D617" s="2" t="s">
        <v>785</v>
      </c>
      <c r="E617" s="2">
        <v>-1572</v>
      </c>
      <c r="F617" s="2">
        <v>-2715</v>
      </c>
      <c r="G617" s="2">
        <v>0</v>
      </c>
      <c r="H617" s="2" t="s">
        <v>2556</v>
      </c>
      <c r="I617" s="2" t="s">
        <v>2545</v>
      </c>
      <c r="J617" s="2">
        <v>1</v>
      </c>
      <c r="L617" t="str">
        <f t="shared" si="9"/>
        <v>{ name: "Stalry Plateau", landmark: "Named Location", type: "", region: 14, level: "Surface", x: -1572, y: -2715, z: 0, zoom: [3,4], size: "M", weight: 1, details: "" },</v>
      </c>
    </row>
    <row r="618" spans="1:12" x14ac:dyDescent="0.2">
      <c r="A618" t="s">
        <v>1677</v>
      </c>
      <c r="C618" s="2">
        <v>14</v>
      </c>
      <c r="D618" s="2" t="s">
        <v>785</v>
      </c>
      <c r="E618" s="2">
        <v>-4763</v>
      </c>
      <c r="F618" s="2">
        <v>-2731</v>
      </c>
      <c r="G618" s="2">
        <v>0</v>
      </c>
      <c r="H618" s="2" t="s">
        <v>2556</v>
      </c>
      <c r="I618" s="2" t="s">
        <v>2546</v>
      </c>
      <c r="J618" s="2">
        <v>1</v>
      </c>
      <c r="L618" t="str">
        <f t="shared" si="9"/>
        <v>{ name: "Toruma Dunes", landmark: "Named Location", type: "", region: 14, level: "Surface", x: -4763, y: -2731, z: 0, zoom: [3,4], size: "L", weight: 1, details: "" },</v>
      </c>
    </row>
    <row r="619" spans="1:12" x14ac:dyDescent="0.2">
      <c r="A619" t="s">
        <v>1702</v>
      </c>
      <c r="C619" s="2">
        <v>14</v>
      </c>
      <c r="D619" s="2" t="s">
        <v>785</v>
      </c>
      <c r="E619" s="2">
        <v>-4541</v>
      </c>
      <c r="F619" s="2">
        <v>-2502</v>
      </c>
      <c r="G619" s="2">
        <v>0</v>
      </c>
      <c r="H619" s="2" t="s">
        <v>2556</v>
      </c>
      <c r="I619" s="2" t="s">
        <v>2545</v>
      </c>
      <c r="J619" s="2">
        <v>1</v>
      </c>
      <c r="L619" t="str">
        <f t="shared" si="9"/>
        <v>{ name: "West Barrens", landmark: "Named Location", type: "", region: 14, level: "Surface", x: -4541, y: -2502, z: 0, zoom: [3,4], size: "M", weight: 1, details: "" },</v>
      </c>
    </row>
    <row r="620" spans="1:12" x14ac:dyDescent="0.2">
      <c r="A620" t="s">
        <v>1705</v>
      </c>
      <c r="C620" s="2">
        <v>14</v>
      </c>
      <c r="D620" s="2" t="s">
        <v>785</v>
      </c>
      <c r="E620" s="2">
        <v>-4469</v>
      </c>
      <c r="F620" s="2">
        <v>-2297</v>
      </c>
      <c r="G620" s="2">
        <v>0</v>
      </c>
      <c r="H620" s="2" t="s">
        <v>2556</v>
      </c>
      <c r="I620" s="2" t="s">
        <v>2519</v>
      </c>
      <c r="J620" s="2">
        <v>1</v>
      </c>
      <c r="L620" t="str">
        <f t="shared" si="9"/>
        <v>{ name: "West Gerudo Ruins", landmark: "Named Location", type: "", region: 14, level: "Surface", x: -4469, y: -2297, z: 0, zoom: [3,4], size: "S", weight: 1, details: "" },</v>
      </c>
    </row>
    <row r="621" spans="1:12" x14ac:dyDescent="0.2">
      <c r="A621" t="s">
        <v>1090</v>
      </c>
      <c r="C621" s="2">
        <v>14</v>
      </c>
      <c r="D621" s="2" t="s">
        <v>785</v>
      </c>
      <c r="E621" s="2">
        <v>-1868</v>
      </c>
      <c r="F621" s="2">
        <v>-2817</v>
      </c>
      <c r="G621" s="2">
        <v>0</v>
      </c>
      <c r="H621" s="2" t="s">
        <v>2556</v>
      </c>
      <c r="I621" s="2" t="s">
        <v>2545</v>
      </c>
      <c r="J621" s="2">
        <v>1</v>
      </c>
      <c r="L621" t="str">
        <f t="shared" si="9"/>
        <v>{ name: "Yarna Valley", landmark: "Named Location", type: "", region: 14, level: "Surface", x: -1868, y: -2817, z: 0, zoom: [3,4], size: "M", weight: 1, details: "" },</v>
      </c>
    </row>
    <row r="622" spans="1:12" x14ac:dyDescent="0.2">
      <c r="A622" t="s">
        <v>1102</v>
      </c>
      <c r="C622" s="2">
        <v>15</v>
      </c>
      <c r="D622" s="2" t="s">
        <v>994</v>
      </c>
      <c r="E622" s="2">
        <v>-4786</v>
      </c>
      <c r="F622" s="2">
        <v>-728</v>
      </c>
      <c r="G622" s="2">
        <v>-1215</v>
      </c>
      <c r="H622" s="2" t="s">
        <v>2556</v>
      </c>
      <c r="I622" s="2" t="s">
        <v>2519</v>
      </c>
      <c r="J622" s="2">
        <v>1</v>
      </c>
      <c r="L622" t="str">
        <f t="shared" si="9"/>
        <v>{ name: "Agaat Canyon Mine", landmark: "Named Location", type: "", region: 15, level: "Depths", x: -4786, y: -728, z: -1215, zoom: [3,4], size: "S", weight: 1, details: "" },</v>
      </c>
    </row>
    <row r="623" spans="1:12" x14ac:dyDescent="0.2">
      <c r="A623" t="s">
        <v>887</v>
      </c>
      <c r="C623" s="2">
        <v>15</v>
      </c>
      <c r="D623" s="2" t="s">
        <v>994</v>
      </c>
      <c r="E623" s="2">
        <v>-4182</v>
      </c>
      <c r="F623" s="2">
        <v>-716</v>
      </c>
      <c r="G623" s="2">
        <v>-1113</v>
      </c>
      <c r="H623" s="2" t="s">
        <v>2556</v>
      </c>
      <c r="I623" s="2" t="s">
        <v>2519</v>
      </c>
      <c r="J623" s="2">
        <v>2</v>
      </c>
      <c r="L623" t="str">
        <f t="shared" si="9"/>
        <v>{ name: "Gerudo Canyon Mine", landmark: "Named Location", type: "", region: 15, level: "Depths", x: -4182, y: -716, z: -1113, zoom: [3,4], size: "S", weight: 2, details: "" },</v>
      </c>
    </row>
    <row r="624" spans="1:12" x14ac:dyDescent="0.2">
      <c r="A624" s="25" t="s">
        <v>1514</v>
      </c>
      <c r="B624" t="s">
        <v>2542</v>
      </c>
      <c r="C624" s="2">
        <v>15</v>
      </c>
      <c r="D624" s="2" t="s">
        <v>783</v>
      </c>
      <c r="E624" s="2">
        <v>-3573</v>
      </c>
      <c r="F624" s="2">
        <v>-608</v>
      </c>
      <c r="G624" s="2">
        <v>2000</v>
      </c>
      <c r="H624" s="2" t="s">
        <v>2832</v>
      </c>
      <c r="I624" s="2" t="s">
        <v>2546</v>
      </c>
      <c r="J624" s="2">
        <v>1</v>
      </c>
      <c r="L624" t="str">
        <f t="shared" si="9"/>
        <v>{ name: "North Gerudo Sky Archipelago", landmark: "Named Location", type: "Subregion", region: 15, level: "Sky", x: -3573, y: -608, z: 2000, zoom: [2,3,4], size: "L", weight: 1, details: "" },</v>
      </c>
    </row>
    <row r="625" spans="1:12" x14ac:dyDescent="0.2">
      <c r="A625" s="25" t="s">
        <v>1011</v>
      </c>
      <c r="C625" s="2">
        <v>15</v>
      </c>
      <c r="D625" s="2" t="s">
        <v>783</v>
      </c>
      <c r="E625" s="2">
        <v>-3489</v>
      </c>
      <c r="F625" s="2">
        <v>-279</v>
      </c>
      <c r="G625" s="2">
        <v>1906</v>
      </c>
      <c r="H625" s="2" t="s">
        <v>2556</v>
      </c>
      <c r="I625" s="2" t="s">
        <v>2545</v>
      </c>
      <c r="J625" s="2">
        <v>2</v>
      </c>
      <c r="L625" t="str">
        <f t="shared" si="9"/>
        <v>{ name: "Starview Island", landmark: "Named Location", type: "", region: 15, level: "Sky", x: -3489, y: -279, z: 1906, zoom: [3,4], size: "M", weight: 2, details: "" },</v>
      </c>
    </row>
    <row r="626" spans="1:12" x14ac:dyDescent="0.2">
      <c r="A626" t="s">
        <v>797</v>
      </c>
      <c r="B626" t="s">
        <v>8</v>
      </c>
      <c r="C626" s="2">
        <v>15</v>
      </c>
      <c r="D626" s="2" t="s">
        <v>785</v>
      </c>
      <c r="E626" s="2">
        <v>-4089</v>
      </c>
      <c r="F626" s="2">
        <v>-843</v>
      </c>
      <c r="G626" s="2">
        <v>0</v>
      </c>
      <c r="H626" s="2">
        <v>2</v>
      </c>
      <c r="I626" s="2" t="s">
        <v>2546</v>
      </c>
      <c r="J626" s="2">
        <v>1</v>
      </c>
      <c r="L626" t="str">
        <f t="shared" si="9"/>
        <v>{ name: "Gerudo Highlands", landmark: "Named Location", type: "Region", region: 15, level: "Surface", x: -4089, y: -843, z: 0, zoom: 2, size: "L", weight: 1, details: "" },</v>
      </c>
    </row>
    <row r="627" spans="1:12" x14ac:dyDescent="0.2">
      <c r="A627" t="s">
        <v>838</v>
      </c>
      <c r="C627" s="2">
        <v>15</v>
      </c>
      <c r="D627" s="2" t="s">
        <v>785</v>
      </c>
      <c r="E627" s="2">
        <v>-3476</v>
      </c>
      <c r="F627" s="2">
        <v>-1868</v>
      </c>
      <c r="G627" s="2">
        <v>0</v>
      </c>
      <c r="H627" s="2" t="s">
        <v>2556</v>
      </c>
      <c r="I627" s="2" t="s">
        <v>2546</v>
      </c>
      <c r="J627" s="2">
        <v>1</v>
      </c>
      <c r="L627" t="str">
        <f t="shared" si="9"/>
        <v>{ name: "Birida Lookout", landmark: "Named Location", type: "", region: 15, level: "Surface", x: -3476, y: -1868, z: 0, zoom: [3,4], size: "L", weight: 1, details: "" },</v>
      </c>
    </row>
    <row r="628" spans="1:12" x14ac:dyDescent="0.2">
      <c r="A628" t="s">
        <v>1168</v>
      </c>
      <c r="C628" s="2">
        <v>15</v>
      </c>
      <c r="D628" s="2" t="s">
        <v>785</v>
      </c>
      <c r="E628" s="2">
        <v>-3392</v>
      </c>
      <c r="F628" s="2">
        <v>-610</v>
      </c>
      <c r="G628" s="2">
        <v>0</v>
      </c>
      <c r="H628" s="2" t="s">
        <v>2556</v>
      </c>
      <c r="I628" s="2" t="s">
        <v>2546</v>
      </c>
      <c r="J628" s="2">
        <v>1</v>
      </c>
      <c r="L628" t="str">
        <f t="shared" si="9"/>
        <v>{ name: "Cliffs of Ruvara", landmark: "Named Location", type: "", region: 15, level: "Surface", x: -3392, y: -610, z: 0, zoom: [3,4], size: "L", weight: 1, details: "" },</v>
      </c>
    </row>
    <row r="629" spans="1:12" x14ac:dyDescent="0.2">
      <c r="A629" t="s">
        <v>839</v>
      </c>
      <c r="C629" s="2">
        <v>15</v>
      </c>
      <c r="D629" s="2" t="s">
        <v>785</v>
      </c>
      <c r="E629" s="2">
        <v>-4105</v>
      </c>
      <c r="F629" s="2">
        <v>-699</v>
      </c>
      <c r="G629" s="2">
        <v>0</v>
      </c>
      <c r="H629" s="2" t="s">
        <v>2556</v>
      </c>
      <c r="I629" s="2" t="s">
        <v>2546</v>
      </c>
      <c r="J629" s="2">
        <v>1</v>
      </c>
      <c r="L629" t="str">
        <f t="shared" si="9"/>
        <v>{ name: "Gerudo Summit", landmark: "Named Location", type: "", region: 15, level: "Surface", x: -4105, y: -699, z: 0, zoom: [3,4], size: "L", weight: 1, details: "" },</v>
      </c>
    </row>
    <row r="630" spans="1:12" x14ac:dyDescent="0.2">
      <c r="A630" t="s">
        <v>1309</v>
      </c>
      <c r="C630" s="2">
        <v>15</v>
      </c>
      <c r="D630" s="2" t="s">
        <v>785</v>
      </c>
      <c r="E630" s="2">
        <v>-3322</v>
      </c>
      <c r="F630" s="2">
        <v>-2247</v>
      </c>
      <c r="G630" s="2">
        <v>0</v>
      </c>
      <c r="H630" s="2" t="s">
        <v>2556</v>
      </c>
      <c r="I630" s="2" t="s">
        <v>2545</v>
      </c>
      <c r="J630" s="2">
        <v>1</v>
      </c>
      <c r="L630" t="str">
        <f t="shared" si="9"/>
        <v>{ name: "Great Cliffs", landmark: "Named Location", type: "", region: 15, level: "Surface", x: -3322, y: -2247, z: 0, zoom: [3,4], size: "M", weight: 1, details: "" },</v>
      </c>
    </row>
    <row r="631" spans="1:12" x14ac:dyDescent="0.2">
      <c r="A631" t="s">
        <v>1349</v>
      </c>
      <c r="C631" s="2">
        <v>15</v>
      </c>
      <c r="D631" s="2" t="s">
        <v>785</v>
      </c>
      <c r="E631" s="2">
        <v>-4240</v>
      </c>
      <c r="F631" s="2">
        <v>-153</v>
      </c>
      <c r="G631" s="2">
        <v>0</v>
      </c>
      <c r="H631" s="2" t="s">
        <v>2556</v>
      </c>
      <c r="I631" s="2" t="s">
        <v>2546</v>
      </c>
      <c r="J631" s="2">
        <v>1</v>
      </c>
      <c r="L631" t="str">
        <f t="shared" si="9"/>
        <v>{ name: "Hemaar's Descent", landmark: "Named Location", type: "", region: 15, level: "Surface", x: -4240, y: -153, z: 0, zoom: [3,4], size: "L", weight: 1, details: "" },</v>
      </c>
    </row>
    <row r="632" spans="1:12" x14ac:dyDescent="0.2">
      <c r="A632" t="s">
        <v>1387</v>
      </c>
      <c r="C632" s="2">
        <v>15</v>
      </c>
      <c r="D632" s="2" t="s">
        <v>785</v>
      </c>
      <c r="E632" s="2">
        <v>-4308</v>
      </c>
      <c r="F632" s="2">
        <v>-1854</v>
      </c>
      <c r="G632" s="2">
        <v>0</v>
      </c>
      <c r="H632" s="2" t="s">
        <v>2556</v>
      </c>
      <c r="I632" s="2" t="s">
        <v>2545</v>
      </c>
      <c r="J632" s="2">
        <v>1</v>
      </c>
      <c r="L632" t="str">
        <f t="shared" si="9"/>
        <v>{ name: "Karusa Valley", landmark: "Named Location", type: "", region: 15, level: "Surface", x: -4308, y: -1854, z: 0, zoom: [3,4], size: "M", weight: 1, details: "" },</v>
      </c>
    </row>
    <row r="633" spans="1:12" x14ac:dyDescent="0.2">
      <c r="A633" t="s">
        <v>1044</v>
      </c>
      <c r="C633" s="2">
        <v>15</v>
      </c>
      <c r="D633" s="2" t="s">
        <v>785</v>
      </c>
      <c r="E633" s="2">
        <v>-3537</v>
      </c>
      <c r="F633" s="2">
        <v>-149</v>
      </c>
      <c r="G633" s="2">
        <v>0</v>
      </c>
      <c r="H633" s="2" t="s">
        <v>2556</v>
      </c>
      <c r="I633" s="2" t="s">
        <v>2519</v>
      </c>
      <c r="J633" s="2">
        <v>1</v>
      </c>
      <c r="L633" t="str">
        <f t="shared" si="9"/>
        <v>{ name: "Lake Illumeni", landmark: "Named Location", type: "", region: 15, level: "Surface", x: -3537, y: -149, z: 0, zoom: [3,4], size: "S", weight: 1, details: "" },</v>
      </c>
    </row>
    <row r="634" spans="1:12" x14ac:dyDescent="0.2">
      <c r="A634" t="s">
        <v>1427</v>
      </c>
      <c r="C634" s="2">
        <v>15</v>
      </c>
      <c r="D634" s="2" t="s">
        <v>785</v>
      </c>
      <c r="E634" s="2">
        <v>-2940</v>
      </c>
      <c r="F634" s="2">
        <v>-1207</v>
      </c>
      <c r="G634" s="2">
        <v>0</v>
      </c>
      <c r="H634" s="2" t="s">
        <v>2556</v>
      </c>
      <c r="I634" s="2" t="s">
        <v>2545</v>
      </c>
      <c r="J634" s="2">
        <v>1</v>
      </c>
      <c r="L634" t="str">
        <f t="shared" si="9"/>
        <v>{ name: "Laparoh Mesa", landmark: "Named Location", type: "", region: 15, level: "Surface", x: -2940, y: -1207, z: 0, zoom: [3,4], size: "M", weight: 1, details: "" },</v>
      </c>
    </row>
    <row r="635" spans="1:12" x14ac:dyDescent="0.2">
      <c r="A635" t="s">
        <v>1053</v>
      </c>
      <c r="C635" s="2">
        <v>15</v>
      </c>
      <c r="D635" s="2" t="s">
        <v>785</v>
      </c>
      <c r="E635" s="2">
        <v>-4100</v>
      </c>
      <c r="F635" s="2">
        <v>-1296</v>
      </c>
      <c r="G635" s="2">
        <v>0</v>
      </c>
      <c r="H635" s="2" t="s">
        <v>2556</v>
      </c>
      <c r="I635" s="2" t="s">
        <v>2545</v>
      </c>
      <c r="J635" s="2">
        <v>1</v>
      </c>
      <c r="L635" t="str">
        <f t="shared" si="9"/>
        <v>{ name: "Meadela's Mantle", landmark: "Named Location", type: "", region: 15, level: "Surface", x: -4100, y: -1296, z: 0, zoom: [3,4], size: "M", weight: 1, details: "" },</v>
      </c>
    </row>
    <row r="636" spans="1:12" x14ac:dyDescent="0.2">
      <c r="A636" t="s">
        <v>1485</v>
      </c>
      <c r="C636" s="2">
        <v>15</v>
      </c>
      <c r="D636" s="2" t="s">
        <v>785</v>
      </c>
      <c r="E636" s="2">
        <v>-4931</v>
      </c>
      <c r="F636" s="2">
        <v>-862</v>
      </c>
      <c r="G636" s="2">
        <v>0</v>
      </c>
      <c r="H636" s="2" t="s">
        <v>2556</v>
      </c>
      <c r="I636" s="2" t="s">
        <v>2546</v>
      </c>
      <c r="J636" s="2">
        <v>1</v>
      </c>
      <c r="L636" t="str">
        <f t="shared" si="9"/>
        <v>{ name: "Mount Agaat", landmark: "Named Location", type: "", region: 15, level: "Surface", x: -4931, y: -862, z: 0, zoom: [3,4], size: "L", weight: 1, details: "" },</v>
      </c>
    </row>
    <row r="637" spans="1:12" x14ac:dyDescent="0.2">
      <c r="A637" t="s">
        <v>1496</v>
      </c>
      <c r="C637" s="2">
        <v>15</v>
      </c>
      <c r="D637" s="2" t="s">
        <v>785</v>
      </c>
      <c r="E637" s="2">
        <v>-4045</v>
      </c>
      <c r="F637" s="2">
        <v>-406</v>
      </c>
      <c r="G637" s="2">
        <v>0</v>
      </c>
      <c r="H637" s="2" t="s">
        <v>2556</v>
      </c>
      <c r="I637" s="2" t="s">
        <v>2545</v>
      </c>
      <c r="J637" s="2">
        <v>1</v>
      </c>
      <c r="L637" t="str">
        <f t="shared" si="9"/>
        <v>{ name: "Mystathi's Shelf", landmark: "Named Location", type: "", region: 15, level: "Surface", x: -4045, y: -406, z: 0, zoom: [3,4], size: "M", weight: 1, details: "" },</v>
      </c>
    </row>
    <row r="638" spans="1:12" x14ac:dyDescent="0.2">
      <c r="A638" t="s">
        <v>1503</v>
      </c>
      <c r="C638" s="2">
        <v>15</v>
      </c>
      <c r="D638" s="2" t="s">
        <v>785</v>
      </c>
      <c r="E638" s="2">
        <v>-2166</v>
      </c>
      <c r="F638" s="2">
        <v>-1509</v>
      </c>
      <c r="G638" s="2">
        <v>0</v>
      </c>
      <c r="H638" s="2" t="s">
        <v>2556</v>
      </c>
      <c r="I638" s="2" t="s">
        <v>2546</v>
      </c>
      <c r="J638" s="2">
        <v>1</v>
      </c>
      <c r="L638" t="str">
        <f t="shared" si="9"/>
        <v>{ name: "Nephra Hill", landmark: "Named Location", type: "", region: 15, level: "Surface", x: -2166, y: -1509, z: 0, zoom: [3,4], size: "L", weight: 1, details: "" },</v>
      </c>
    </row>
    <row r="639" spans="1:12" x14ac:dyDescent="0.2">
      <c r="A639" t="s">
        <v>1574</v>
      </c>
      <c r="C639" s="2">
        <v>15</v>
      </c>
      <c r="D639" s="2" t="s">
        <v>785</v>
      </c>
      <c r="E639" s="2">
        <v>-4556</v>
      </c>
      <c r="F639" s="2">
        <v>-1091</v>
      </c>
      <c r="G639" s="2">
        <v>0</v>
      </c>
      <c r="H639" s="2" t="s">
        <v>2556</v>
      </c>
      <c r="I639" s="2" t="s">
        <v>2545</v>
      </c>
      <c r="J639" s="2">
        <v>1</v>
      </c>
      <c r="L639" t="str">
        <f t="shared" si="9"/>
        <v>{ name: "Risoka Snowfield", landmark: "Named Location", type: "", region: 15, level: "Surface", x: -4556, y: -1091, z: 0, zoom: [3,4], size: "M", weight: 1, details: "" },</v>
      </c>
    </row>
    <row r="640" spans="1:12" x14ac:dyDescent="0.2">
      <c r="A640" t="s">
        <v>1592</v>
      </c>
      <c r="C640" s="2">
        <v>15</v>
      </c>
      <c r="D640" s="2" t="s">
        <v>785</v>
      </c>
      <c r="E640" s="2">
        <v>-4527</v>
      </c>
      <c r="F640" s="2">
        <v>-1417</v>
      </c>
      <c r="G640" s="2">
        <v>0</v>
      </c>
      <c r="H640" s="2" t="s">
        <v>2556</v>
      </c>
      <c r="I640" s="2" t="s">
        <v>2546</v>
      </c>
      <c r="J640" s="2">
        <v>1</v>
      </c>
      <c r="L640" t="str">
        <f t="shared" si="9"/>
        <v>{ name: "Rutimala Hill", landmark: "Named Location", type: "", region: 15, level: "Surface", x: -4527, y: -1417, z: 0, zoom: [3,4], size: "L", weight: 1, details: "" },</v>
      </c>
    </row>
    <row r="641" spans="1:12" x14ac:dyDescent="0.2">
      <c r="A641" t="s">
        <v>1601</v>
      </c>
      <c r="C641" s="2">
        <v>15</v>
      </c>
      <c r="D641" s="2" t="s">
        <v>785</v>
      </c>
      <c r="E641" s="2">
        <v>-3170</v>
      </c>
      <c r="F641" s="2">
        <v>-1574</v>
      </c>
      <c r="G641" s="2">
        <v>0</v>
      </c>
      <c r="H641" s="2" t="s">
        <v>2556</v>
      </c>
      <c r="I641" s="2" t="s">
        <v>2545</v>
      </c>
      <c r="J641" s="2">
        <v>1</v>
      </c>
      <c r="L641" t="str">
        <f t="shared" si="9"/>
        <v>{ name: "Sapphia's Table", landmark: "Named Location", type: "", region: 15, level: "Surface", x: -3170, y: -1574, z: 0, zoom: [3,4], size: "M", weight: 1, details: "" },</v>
      </c>
    </row>
    <row r="642" spans="1:12" x14ac:dyDescent="0.2">
      <c r="A642" t="s">
        <v>1640</v>
      </c>
      <c r="C642" s="2">
        <v>15</v>
      </c>
      <c r="D642" s="2" t="s">
        <v>785</v>
      </c>
      <c r="E642" s="2">
        <v>-4363</v>
      </c>
      <c r="F642" s="2">
        <v>-502</v>
      </c>
      <c r="G642" s="2">
        <v>465</v>
      </c>
      <c r="H642" s="2" t="s">
        <v>2556</v>
      </c>
      <c r="I642" s="2" t="s">
        <v>2519</v>
      </c>
      <c r="J642" s="2">
        <v>1</v>
      </c>
      <c r="L642" t="str">
        <f t="shared" ref="L642:L663" si="10">"{ name: "&amp;CHAR(34)&amp;A642&amp;CHAR(34)&amp;", landmark: "&amp;CHAR(34)&amp;"Named Location"&amp;CHAR(34)&amp;", type: "&amp;CHAR(34)&amp;B642&amp;CHAR(34)&amp;", region: "&amp;C642&amp;", level: "&amp;CHAR(34)&amp;D642&amp;CHAR(34)&amp;", x: "&amp;INT(E642)&amp;", y: "&amp;INT(F642)&amp;", z: "&amp;INT(G642)&amp;", zoom: "&amp;IF(LEN(H642)&gt;1,"["&amp;H642&amp;"]",H642)&amp;", size: "&amp;CHAR(34)&amp;I642&amp;CHAR(34)&amp;", weight: "&amp;J642&amp;", details: "&amp;CHAR(34)&amp;K642&amp;CHAR(34)&amp;" },"</f>
        <v>{ name: "Statue of the Eighth Heroine", landmark: "Named Location", type: "", region: 15, level: "Surface", x: -4363, y: -502, z: 465, zoom: [3,4], size: "S", weight: 1, details: "" },</v>
      </c>
    </row>
    <row r="643" spans="1:12" x14ac:dyDescent="0.2">
      <c r="A643" t="s">
        <v>1646</v>
      </c>
      <c r="C643" s="2">
        <v>15</v>
      </c>
      <c r="D643" s="2" t="s">
        <v>785</v>
      </c>
      <c r="E643" s="2">
        <v>-2807</v>
      </c>
      <c r="F643" s="2">
        <v>-1819</v>
      </c>
      <c r="G643" s="2">
        <v>0</v>
      </c>
      <c r="H643" s="2" t="s">
        <v>2556</v>
      </c>
      <c r="I643" s="2" t="s">
        <v>2546</v>
      </c>
      <c r="J643" s="2">
        <v>1</v>
      </c>
      <c r="L643" t="str">
        <f t="shared" si="10"/>
        <v>{ name: "Taafei Hill", landmark: "Named Location", type: "", region: 15, level: "Surface", x: -2807, y: -1819, z: 0, zoom: [3,4], size: "L", weight: 1, details: "" },</v>
      </c>
    </row>
    <row r="644" spans="1:12" x14ac:dyDescent="0.2">
      <c r="A644" t="s">
        <v>1692</v>
      </c>
      <c r="C644" s="2">
        <v>15</v>
      </c>
      <c r="D644" s="2" t="s">
        <v>785</v>
      </c>
      <c r="E644" s="2">
        <v>-3474</v>
      </c>
      <c r="F644" s="2">
        <v>-1128</v>
      </c>
      <c r="G644" s="2">
        <v>0</v>
      </c>
      <c r="H644" s="2" t="s">
        <v>2556</v>
      </c>
      <c r="I644" s="2" t="s">
        <v>2545</v>
      </c>
      <c r="J644" s="2">
        <v>1</v>
      </c>
      <c r="L644" t="str">
        <f t="shared" si="10"/>
        <v>{ name: "Vatorsa Snowfield", landmark: "Named Location", type: "", region: 15, level: "Surface", x: -3474, y: -1128, z: 0, zoom: [3,4], size: "M", weight: 1, details: "" },</v>
      </c>
    </row>
    <row r="645" spans="1:12" x14ac:dyDescent="0.2">
      <c r="A645" t="s">
        <v>1725</v>
      </c>
      <c r="C645" s="2">
        <v>15</v>
      </c>
      <c r="D645" s="2" t="s">
        <v>785</v>
      </c>
      <c r="E645" s="2">
        <v>-2616</v>
      </c>
      <c r="F645" s="2">
        <v>-1556</v>
      </c>
      <c r="G645" s="2">
        <v>0</v>
      </c>
      <c r="H645" s="2" t="s">
        <v>2556</v>
      </c>
      <c r="I645" s="2" t="s">
        <v>2545</v>
      </c>
      <c r="J645" s="2">
        <v>1</v>
      </c>
      <c r="L645" t="str">
        <f t="shared" si="10"/>
        <v>{ name: "Zirco Mesa", landmark: "Named Location", type: "", region: 15, level: "Surface", x: -2616, y: -1556, z: 0, zoom: [3,4], size: "M", weight: 1, details: "" },</v>
      </c>
    </row>
    <row r="646" spans="1:12" x14ac:dyDescent="0.2">
      <c r="A646" s="25" t="s">
        <v>1668</v>
      </c>
      <c r="C646" s="2" t="s">
        <v>2988</v>
      </c>
      <c r="D646" s="2" t="s">
        <v>783</v>
      </c>
      <c r="E646" s="2">
        <v>453</v>
      </c>
      <c r="F646" s="2">
        <v>-800</v>
      </c>
      <c r="G646" s="2">
        <v>1556</v>
      </c>
      <c r="H646" s="2" t="s">
        <v>2556</v>
      </c>
      <c r="I646" s="2" t="s">
        <v>2519</v>
      </c>
      <c r="J646" s="2">
        <v>1</v>
      </c>
      <c r="L646" t="str">
        <f t="shared" si="10"/>
        <v>{ name: "Temple of Time", landmark: "Named Location", type: "", region: [0,1,2], level: "Sky", x: 453, y: -800, z: 1556, zoom: [3,4], size: "S", weight: 1, details: "" },</v>
      </c>
    </row>
    <row r="647" spans="1:12" x14ac:dyDescent="0.2">
      <c r="A647" s="25" t="s">
        <v>991</v>
      </c>
      <c r="B647" t="s">
        <v>2542</v>
      </c>
      <c r="C647" s="2" t="s">
        <v>2987</v>
      </c>
      <c r="D647" s="2" t="s">
        <v>783</v>
      </c>
      <c r="E647" s="2">
        <v>394</v>
      </c>
      <c r="F647" s="2">
        <v>-1260</v>
      </c>
      <c r="G647" s="2">
        <v>2000</v>
      </c>
      <c r="H647" s="2" t="s">
        <v>2832</v>
      </c>
      <c r="I647" s="2" t="s">
        <v>2546</v>
      </c>
      <c r="J647" s="2">
        <v>1</v>
      </c>
      <c r="L647" t="str">
        <f t="shared" si="10"/>
        <v>{ name: "Great Sky Island", landmark: "Named Location", type: "Subregion", region: [0,2,13], level: "Sky", x: 394, y: -1260, z: 2000, zoom: [2,3,4], size: "L", weight: 1, details: "" },</v>
      </c>
    </row>
    <row r="648" spans="1:12" x14ac:dyDescent="0.2">
      <c r="A648" t="s">
        <v>1362</v>
      </c>
      <c r="C648" s="2" t="s">
        <v>2553</v>
      </c>
      <c r="D648" s="2" t="s">
        <v>785</v>
      </c>
      <c r="E648" s="2">
        <v>827</v>
      </c>
      <c r="F648" s="2">
        <v>-413</v>
      </c>
      <c r="G648" s="2">
        <v>0</v>
      </c>
      <c r="H648" s="2" t="s">
        <v>2556</v>
      </c>
      <c r="I648" s="2" t="s">
        <v>2519</v>
      </c>
      <c r="J648" s="2">
        <v>1</v>
      </c>
      <c r="L648" t="str">
        <f t="shared" si="10"/>
        <v>{ name: "Hylia River", landmark: "Named Location", type: "", region: [1,10], level: "Surface", x: 827, y: -413, z: 0, zoom: [3,4], size: "S", weight: 1, details: "" },</v>
      </c>
    </row>
    <row r="649" spans="1:12" x14ac:dyDescent="0.2">
      <c r="A649" t="s">
        <v>1525</v>
      </c>
      <c r="C649" s="2" t="s">
        <v>2553</v>
      </c>
      <c r="D649" s="2" t="s">
        <v>785</v>
      </c>
      <c r="E649" s="2">
        <v>517</v>
      </c>
      <c r="F649" s="2">
        <v>497</v>
      </c>
      <c r="G649" s="2">
        <v>-15</v>
      </c>
      <c r="H649" s="2" t="s">
        <v>2556</v>
      </c>
      <c r="I649" s="2" t="s">
        <v>2519</v>
      </c>
      <c r="J649" s="2">
        <v>1</v>
      </c>
      <c r="L649" t="str">
        <f t="shared" si="10"/>
        <v>{ name: "Orsedd Bridge", landmark: "Named Location", type: "", region: [1,10], level: "Surface", x: 517, y: 497, z: -15, zoom: [3,4], size: "S", weight: 1, details: "" },</v>
      </c>
    </row>
    <row r="650" spans="1:12" x14ac:dyDescent="0.2">
      <c r="A650" t="s">
        <v>1158</v>
      </c>
      <c r="C650" s="2" t="s">
        <v>2549</v>
      </c>
      <c r="D650" s="2" t="s">
        <v>785</v>
      </c>
      <c r="E650" s="2">
        <v>-1082</v>
      </c>
      <c r="F650" s="2">
        <v>471</v>
      </c>
      <c r="G650" s="2">
        <v>35</v>
      </c>
      <c r="H650" s="2" t="s">
        <v>2556</v>
      </c>
      <c r="I650" s="26" t="s">
        <v>2519</v>
      </c>
      <c r="J650" s="2">
        <v>1</v>
      </c>
      <c r="L650" t="str">
        <f t="shared" si="10"/>
        <v>{ name: "Carok Bridge", landmark: "Named Location", type: "", region: [1,3], level: "Surface", x: -1082, y: 471, z: 35, zoom: [3,4], size: "S", weight: 1, details: "" },</v>
      </c>
    </row>
    <row r="651" spans="1:12" x14ac:dyDescent="0.2">
      <c r="A651" t="s">
        <v>1563</v>
      </c>
      <c r="C651" s="2" t="s">
        <v>2549</v>
      </c>
      <c r="D651" s="2" t="s">
        <v>785</v>
      </c>
      <c r="E651" s="2">
        <v>-1249</v>
      </c>
      <c r="F651" s="2">
        <v>126</v>
      </c>
      <c r="G651" s="2">
        <v>0</v>
      </c>
      <c r="H651" s="2" t="s">
        <v>2556</v>
      </c>
      <c r="I651" s="2" t="s">
        <v>2519</v>
      </c>
      <c r="J651" s="2">
        <v>1</v>
      </c>
      <c r="L651" t="str">
        <f t="shared" si="10"/>
        <v>{ name: "Regencia River", landmark: "Named Location", type: "", region: [1,3], level: "Surface", x: -1249, y: 126, z: 0, zoom: [3,4], size: "S", weight: 1, details: "" },</v>
      </c>
    </row>
    <row r="652" spans="1:12" x14ac:dyDescent="0.2">
      <c r="A652" t="s">
        <v>1348</v>
      </c>
      <c r="C652" s="2" t="s">
        <v>2547</v>
      </c>
      <c r="D652" s="2" t="s">
        <v>785</v>
      </c>
      <c r="E652" s="2">
        <v>396</v>
      </c>
      <c r="F652" s="2">
        <v>1154</v>
      </c>
      <c r="G652" s="2">
        <v>20</v>
      </c>
      <c r="H652" s="2" t="s">
        <v>2556</v>
      </c>
      <c r="I652" s="2" t="s">
        <v>2519</v>
      </c>
      <c r="J652" s="2">
        <v>1</v>
      </c>
      <c r="L652" t="str">
        <f t="shared" si="10"/>
        <v>{ name: "Helmhead Bridge", landmark: "Named Location", type: "", region: [1,6], level: "Surface", x: 396, y: 1154, z: 20, zoom: [3,4], size: "S", weight: 1, details: "" },</v>
      </c>
    </row>
    <row r="653" spans="1:12" x14ac:dyDescent="0.2">
      <c r="A653" t="s">
        <v>1435</v>
      </c>
      <c r="C653" s="2" t="s">
        <v>2835</v>
      </c>
      <c r="D653" s="2" t="s">
        <v>785</v>
      </c>
      <c r="E653" s="2">
        <v>1714</v>
      </c>
      <c r="F653" s="2">
        <v>-2148</v>
      </c>
      <c r="G653" s="2">
        <v>10</v>
      </c>
      <c r="H653" s="2" t="s">
        <v>2556</v>
      </c>
      <c r="I653" s="2" t="s">
        <v>2519</v>
      </c>
      <c r="J653" s="2">
        <v>2</v>
      </c>
      <c r="L653" t="str">
        <f t="shared" si="10"/>
        <v>{ name: "Little Twin Bridge", landmark: "Named Location", type: "", region: [10,12], level: "Surface", x: 1714, y: -2148, z: 10, zoom: [3,4], size: "S", weight: 2, details: "" },</v>
      </c>
    </row>
    <row r="654" spans="1:12" x14ac:dyDescent="0.2">
      <c r="A654" t="s">
        <v>1027</v>
      </c>
      <c r="C654" s="2" t="s">
        <v>2551</v>
      </c>
      <c r="D654" s="2" t="s">
        <v>785</v>
      </c>
      <c r="E654" s="2">
        <v>970</v>
      </c>
      <c r="F654" s="2">
        <v>-949</v>
      </c>
      <c r="G654" s="2">
        <v>36</v>
      </c>
      <c r="H654" s="2" t="s">
        <v>2556</v>
      </c>
      <c r="I654" s="2" t="s">
        <v>2519</v>
      </c>
      <c r="J654" s="2">
        <v>1</v>
      </c>
      <c r="L654" t="str">
        <f t="shared" si="10"/>
        <v>{ name: "Eagus Bridge", landmark: "Named Location", type: "", region: [10,13], level: "Surface", x: 970, y: -949, z: 36, zoom: [3,4], size: "S", weight: 1, details: "" },</v>
      </c>
    </row>
    <row r="655" spans="1:12" x14ac:dyDescent="0.2">
      <c r="A655" t="s">
        <v>1497</v>
      </c>
      <c r="C655" s="2" t="s">
        <v>2551</v>
      </c>
      <c r="D655" s="2" t="s">
        <v>785</v>
      </c>
      <c r="E655" s="2">
        <v>1098</v>
      </c>
      <c r="F655" s="2">
        <v>-1163</v>
      </c>
      <c r="G655" s="2">
        <v>0</v>
      </c>
      <c r="H655" s="2" t="s">
        <v>2556</v>
      </c>
      <c r="I655" s="2" t="s">
        <v>2519</v>
      </c>
      <c r="J655" s="2">
        <v>1</v>
      </c>
      <c r="L655" t="str">
        <f t="shared" si="10"/>
        <v>{ name: "Nabi Lake", landmark: "Named Location", type: "", region: [10,13], level: "Surface", x: 1098, y: -1163, z: 0, zoom: [3,4], size: "S", weight: 1, details: "" },</v>
      </c>
    </row>
    <row r="656" spans="1:12" x14ac:dyDescent="0.2">
      <c r="A656" t="s">
        <v>1359</v>
      </c>
      <c r="C656" s="2" t="s">
        <v>2550</v>
      </c>
      <c r="D656" s="2" t="s">
        <v>785</v>
      </c>
      <c r="E656" s="2">
        <v>689</v>
      </c>
      <c r="F656" s="2">
        <v>-980</v>
      </c>
      <c r="G656" s="2">
        <v>12</v>
      </c>
      <c r="H656" s="2" t="s">
        <v>2556</v>
      </c>
      <c r="I656" s="26" t="s">
        <v>2519</v>
      </c>
      <c r="J656" s="2">
        <v>1</v>
      </c>
      <c r="L656" t="str">
        <f t="shared" si="10"/>
        <v>{ name: "Horwell Bridge", landmark: "Named Location", type: "", region: [2,13], level: "Surface", x: 689, y: -980, z: 12, zoom: [3,4], size: "S", weight: 1, details: "" },</v>
      </c>
    </row>
    <row r="657" spans="1:12" x14ac:dyDescent="0.2">
      <c r="A657" t="s">
        <v>1064</v>
      </c>
      <c r="C657" s="2" t="s">
        <v>2550</v>
      </c>
      <c r="D657" s="2" t="s">
        <v>785</v>
      </c>
      <c r="E657" s="2">
        <v>325</v>
      </c>
      <c r="F657" s="2">
        <v>-1273</v>
      </c>
      <c r="G657" s="2">
        <v>-42</v>
      </c>
      <c r="H657" s="2" t="s">
        <v>2556</v>
      </c>
      <c r="I657" s="26" t="s">
        <v>2519</v>
      </c>
      <c r="J657" s="2">
        <v>1</v>
      </c>
      <c r="L657" t="str">
        <f t="shared" si="10"/>
        <v>{ name: "Owlan Bridge", landmark: "Named Location", type: "", region: [2,13], level: "Surface", x: 325, y: -1273, z: -42, zoom: [3,4], size: "S", weight: 1, details: "" },</v>
      </c>
    </row>
    <row r="658" spans="1:12" x14ac:dyDescent="0.2">
      <c r="A658" t="s">
        <v>1548</v>
      </c>
      <c r="C658" s="2" t="s">
        <v>2550</v>
      </c>
      <c r="D658" s="2" t="s">
        <v>785</v>
      </c>
      <c r="E658" s="2">
        <v>222</v>
      </c>
      <c r="F658" s="2">
        <v>-1603</v>
      </c>
      <c r="G658" s="2">
        <v>23</v>
      </c>
      <c r="H658" s="2" t="s">
        <v>2556</v>
      </c>
      <c r="I658" s="2" t="s">
        <v>2519</v>
      </c>
      <c r="J658" s="2">
        <v>1</v>
      </c>
      <c r="L658" t="str">
        <f t="shared" si="10"/>
        <v>{ name: "Proxim Bridge", landmark: "Named Location", type: "", region: [2,13], level: "Surface", x: 222, y: -1603, z: 23, zoom: [3,4], size: "S", weight: 1, details: "" },</v>
      </c>
    </row>
    <row r="659" spans="1:12" x14ac:dyDescent="0.2">
      <c r="A659" t="s">
        <v>1377</v>
      </c>
      <c r="C659" s="2" t="s">
        <v>2548</v>
      </c>
      <c r="D659" s="2" t="s">
        <v>785</v>
      </c>
      <c r="E659" s="2">
        <v>-1690</v>
      </c>
      <c r="F659" s="2">
        <v>-131</v>
      </c>
      <c r="G659" s="2">
        <v>85</v>
      </c>
      <c r="H659" s="2" t="s">
        <v>2556</v>
      </c>
      <c r="I659" s="2" t="s">
        <v>2519</v>
      </c>
      <c r="J659" s="2">
        <v>1</v>
      </c>
      <c r="L659" t="str">
        <f t="shared" si="10"/>
        <v>{ name: "Jeddo Bridge", landmark: "Named Location", type: "", region: [2,3], level: "Surface", x: -1690, y: -131, z: 85, zoom: [3,4], size: "S", weight: 1, details: "" },</v>
      </c>
    </row>
    <row r="660" spans="1:12" x14ac:dyDescent="0.2">
      <c r="A660" t="s">
        <v>1084</v>
      </c>
      <c r="C660" s="2" t="s">
        <v>2548</v>
      </c>
      <c r="D660" s="2" t="s">
        <v>785</v>
      </c>
      <c r="E660" s="2">
        <v>-2465</v>
      </c>
      <c r="F660" s="2">
        <v>-200</v>
      </c>
      <c r="G660" s="2">
        <v>0</v>
      </c>
      <c r="H660" s="2" t="s">
        <v>2556</v>
      </c>
      <c r="I660" s="2" t="s">
        <v>2519</v>
      </c>
      <c r="J660" s="2">
        <v>1</v>
      </c>
      <c r="L660" t="str">
        <f t="shared" si="10"/>
        <v>{ name: "Tamio River", landmark: "Named Location", type: "", region: [2,3], level: "Surface", x: -2465, y: -200, z: 0, zoom: [3,4], size: "S", weight: 1, details: "" },</v>
      </c>
    </row>
    <row r="661" spans="1:12" x14ac:dyDescent="0.2">
      <c r="A661" t="s">
        <v>1273</v>
      </c>
      <c r="C661" s="2" t="s">
        <v>2836</v>
      </c>
      <c r="D661" s="2" t="s">
        <v>785</v>
      </c>
      <c r="E661" s="2">
        <v>-1572</v>
      </c>
      <c r="F661" s="2">
        <v>2097</v>
      </c>
      <c r="G661" s="2">
        <v>-104</v>
      </c>
      <c r="H661" s="2" t="s">
        <v>2556</v>
      </c>
      <c r="I661" s="2" t="s">
        <v>2519</v>
      </c>
      <c r="J661" s="2">
        <v>1</v>
      </c>
      <c r="L661" t="str">
        <f t="shared" si="10"/>
        <v>{ name: "Forgotten Temple", landmark: "Named Location", type: "", region: [3,5], level: "Surface", x: -1572, y: 2097, z: -104, zoom: [3,4], size: "S", weight: 1, details: "" },</v>
      </c>
    </row>
    <row r="662" spans="1:12" x14ac:dyDescent="0.2">
      <c r="A662" t="s">
        <v>1086</v>
      </c>
      <c r="C662" s="2" t="s">
        <v>2554</v>
      </c>
      <c r="D662" s="2" t="s">
        <v>785</v>
      </c>
      <c r="E662" s="2">
        <v>1284</v>
      </c>
      <c r="F662" s="2">
        <v>690</v>
      </c>
      <c r="G662" s="2">
        <v>22</v>
      </c>
      <c r="H662" s="2" t="s">
        <v>2556</v>
      </c>
      <c r="I662" s="2" t="s">
        <v>2519</v>
      </c>
      <c r="J662" s="2">
        <v>1</v>
      </c>
      <c r="L662" t="str">
        <f t="shared" si="10"/>
        <v>{ name: "Thims Bridge", landmark: "Named Location", type: "", region: [7,10], level: "Surface", x: 1284, y: 690, z: 22, zoom: [3,4], size: "S", weight: 1, details: "" },</v>
      </c>
    </row>
    <row r="663" spans="1:12" x14ac:dyDescent="0.2">
      <c r="A663" t="s">
        <v>1416</v>
      </c>
      <c r="C663" s="2" t="s">
        <v>2834</v>
      </c>
      <c r="D663" s="2" t="s">
        <v>785</v>
      </c>
      <c r="E663" s="2">
        <v>3449</v>
      </c>
      <c r="F663" s="2">
        <v>-753</v>
      </c>
      <c r="G663" s="2">
        <v>0</v>
      </c>
      <c r="H663" s="2" t="s">
        <v>2556</v>
      </c>
      <c r="I663" s="2" t="s">
        <v>2519</v>
      </c>
      <c r="J663" s="2">
        <v>1</v>
      </c>
      <c r="L663" t="str">
        <f t="shared" si="10"/>
        <v>{ name: "Lanayru Bay", landmark: "Named Location", type: "", region: [9,11], level: "Surface", x: 3449, y: -753, z: 0, zoom: [3,4], size: "S", weight: 1, details: "" },</v>
      </c>
    </row>
  </sheetData>
  <autoFilter ref="A1:L663" xr:uid="{A095D5C8-FF81-DA46-ADE3-61DE071C2139}">
    <sortState xmlns:xlrd2="http://schemas.microsoft.com/office/spreadsheetml/2017/richdata2" ref="A2:L663">
      <sortCondition ref="C1:C663"/>
    </sortState>
  </autoFilter>
  <conditionalFormatting sqref="A1:A1048576">
    <cfRule type="duplicateValues" dxfId="10" priority="1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FD76B-4AB1-0A45-ADC8-B007EB785ED3}">
  <sheetPr codeName="Sheet23">
    <tabColor theme="9"/>
  </sheetPr>
  <dimension ref="A1:I38"/>
  <sheetViews>
    <sheetView workbookViewId="0">
      <selection activeCell="I24" sqref="I24"/>
    </sheetView>
  </sheetViews>
  <sheetFormatPr baseColWidth="10" defaultRowHeight="16" x14ac:dyDescent="0.2"/>
  <cols>
    <col min="1" max="1" width="29.33203125" bestFit="1" customWidth="1"/>
    <col min="2" max="2" width="14" bestFit="1" customWidth="1"/>
    <col min="3" max="3" width="13.1640625" style="2" bestFit="1" customWidth="1"/>
    <col min="4" max="4" width="10.5" style="2" bestFit="1" customWidth="1"/>
    <col min="5" max="7" width="10.83203125" style="2"/>
    <col min="8" max="8" width="60.5" bestFit="1" customWidth="1"/>
  </cols>
  <sheetData>
    <row r="1" spans="1:9" s="6" customFormat="1" x14ac:dyDescent="0.2">
      <c r="A1" s="6" t="s">
        <v>781</v>
      </c>
      <c r="B1" s="6" t="s">
        <v>2083</v>
      </c>
      <c r="C1" s="4" t="s">
        <v>2074</v>
      </c>
      <c r="D1" s="4" t="s">
        <v>777</v>
      </c>
      <c r="E1" s="4" t="s">
        <v>778</v>
      </c>
      <c r="F1" s="4" t="s">
        <v>779</v>
      </c>
      <c r="G1" s="4" t="s">
        <v>780</v>
      </c>
      <c r="H1" s="6" t="s">
        <v>2081</v>
      </c>
      <c r="I1" s="6" t="s">
        <v>2075</v>
      </c>
    </row>
    <row r="2" spans="1:9" x14ac:dyDescent="0.2">
      <c r="A2" t="s">
        <v>1441</v>
      </c>
      <c r="B2" t="s">
        <v>1126</v>
      </c>
      <c r="C2" s="2">
        <v>1</v>
      </c>
      <c r="D2" s="2" t="s">
        <v>785</v>
      </c>
      <c r="E2" s="2">
        <v>-206</v>
      </c>
      <c r="F2" s="2">
        <v>85</v>
      </c>
      <c r="G2" s="2">
        <v>19</v>
      </c>
      <c r="H2" t="s">
        <v>2504</v>
      </c>
      <c r="I2" t="str">
        <f>"{ name: "&amp;CHAR(34)&amp;A2&amp;CHAR(34)&amp;", landmark: "&amp;CHAR(34)&amp;IF(OR(B2="Armor Shop",B2="Other Shop"),B2,"General Shop")&amp;CHAR(34)&amp;", type: "&amp;CHAR(34)&amp;B2&amp;CHAR(34)&amp;", region: "&amp;C2&amp;", level: "&amp;CHAR(34)&amp;D2&amp;CHAR(34)&amp;", x: "&amp;E2&amp;", y: "&amp;F2&amp;", z: "&amp;G2&amp;", details: "&amp;CHAR(34)&amp;H2&amp;CHAR(34)&amp;" },"</f>
        <v>{ name: "Lookout Landing", landmark: "Armor Shop", type: "Armor Shop", region: 1, level: "Surface", x: -206, y: 85, z: 19, details: "hylian1, hylian2, hylian3" },</v>
      </c>
    </row>
    <row r="3" spans="1:9" x14ac:dyDescent="0.2">
      <c r="A3" t="s">
        <v>1441</v>
      </c>
      <c r="B3" t="s">
        <v>2482</v>
      </c>
      <c r="C3" s="2">
        <v>1</v>
      </c>
      <c r="D3" s="2" t="s">
        <v>785</v>
      </c>
      <c r="E3" s="2">
        <v>-206</v>
      </c>
      <c r="F3" s="2">
        <v>75</v>
      </c>
      <c r="G3" s="2">
        <v>19</v>
      </c>
      <c r="H3" t="s">
        <v>2470</v>
      </c>
      <c r="I3" t="str">
        <f t="shared" ref="I3:I38" si="0">"{ name: "&amp;CHAR(34)&amp;A3&amp;CHAR(34)&amp;", landmark: "&amp;CHAR(34)&amp;IF(OR(B3="Armor Shop",B3="Other Shop"),B3,"General Shop")&amp;CHAR(34)&amp;", type: "&amp;CHAR(34)&amp;B3&amp;CHAR(34)&amp;", region: "&amp;C3&amp;", level: "&amp;CHAR(34)&amp;D3&amp;CHAR(34)&amp;", x: "&amp;E3&amp;", y: "&amp;F3&amp;", z: "&amp;G3&amp;", details: "&amp;CHAR(34)&amp;H3&amp;CHAR(34)&amp;" },"</f>
        <v>{ name: "Lookout Landing", landmark: "General Shop", type: "General Shop", region: 1, level: "Surface", x: -206, y: 75, z: 19, details: "arrow, apple, shroom" },</v>
      </c>
    </row>
    <row r="4" spans="1:9" x14ac:dyDescent="0.2">
      <c r="A4" t="s">
        <v>2381</v>
      </c>
      <c r="B4" t="s">
        <v>1126</v>
      </c>
      <c r="C4" s="2">
        <v>4</v>
      </c>
      <c r="D4" s="2" t="s">
        <v>785</v>
      </c>
      <c r="E4" s="2">
        <v>-3630</v>
      </c>
      <c r="F4" s="2">
        <v>1787</v>
      </c>
      <c r="G4" s="2">
        <v>186</v>
      </c>
      <c r="H4" t="s">
        <v>2513</v>
      </c>
      <c r="I4" t="str">
        <f t="shared" si="0"/>
        <v>{ name: "Brazen Beak", landmark: "Armor Shop", type: "Armor Shop", region: 4, level: "Surface", x: -3630, y: 1787, z: 186, details: "snowquill1, snowquill2, snowquill3" },</v>
      </c>
    </row>
    <row r="5" spans="1:9" x14ac:dyDescent="0.2">
      <c r="A5" t="s">
        <v>2386</v>
      </c>
      <c r="B5" t="s">
        <v>2482</v>
      </c>
      <c r="C5" s="2">
        <v>4</v>
      </c>
      <c r="D5" s="2" t="s">
        <v>785</v>
      </c>
      <c r="E5" s="2">
        <v>-3639</v>
      </c>
      <c r="F5" s="2">
        <v>1818</v>
      </c>
      <c r="G5" s="2">
        <v>184</v>
      </c>
      <c r="H5" t="s">
        <v>2512</v>
      </c>
      <c r="I5" t="str">
        <f t="shared" si="0"/>
        <v>{ name: "The Slippery Falcon", landmark: "General Shop", type: "General Shop", region: 4, level: "Surface", x: -3639, y: 1818, z: 184, details: "wheat, sugar, butter, oil, arrow, sunshroom" },</v>
      </c>
    </row>
    <row r="6" spans="1:9" x14ac:dyDescent="0.2">
      <c r="A6" t="s">
        <v>1399</v>
      </c>
      <c r="B6" t="s">
        <v>2482</v>
      </c>
      <c r="C6" s="2">
        <v>6</v>
      </c>
      <c r="D6" s="2" t="s">
        <v>785</v>
      </c>
      <c r="E6" s="2">
        <v>422</v>
      </c>
      <c r="F6" s="2">
        <v>2172</v>
      </c>
      <c r="G6" s="2">
        <v>153</v>
      </c>
      <c r="H6" t="s">
        <v>2472</v>
      </c>
      <c r="I6" t="str">
        <f t="shared" si="0"/>
        <v>{ name: "Korok Forest", landmark: "General Shop", type: "General Shop", region: 6, level: "Surface", x: 422, y: 2172, z: 153, details: "wheat, apple, rice, sugar, arrow, seed" },</v>
      </c>
    </row>
    <row r="7" spans="1:9" x14ac:dyDescent="0.2">
      <c r="A7" t="s">
        <v>1399</v>
      </c>
      <c r="B7" t="s">
        <v>2475</v>
      </c>
      <c r="C7" s="2">
        <v>6</v>
      </c>
      <c r="D7" s="2" t="s">
        <v>785</v>
      </c>
      <c r="E7" s="2">
        <v>435</v>
      </c>
      <c r="F7" s="2">
        <v>2174</v>
      </c>
      <c r="G7" s="2">
        <v>153</v>
      </c>
      <c r="H7" t="s">
        <v>2510</v>
      </c>
      <c r="I7" t="str">
        <f t="shared" si="0"/>
        <v>{ name: "Korok Forest", landmark: "General Shop", type: "Mushroom Shop", region: 6, level: "Surface", x: 435, y: 2174, z: 153, details: "brightcap, razorshroom, ironshroom, rushroom, stamella" },</v>
      </c>
    </row>
    <row r="8" spans="1:9" x14ac:dyDescent="0.2">
      <c r="A8" t="s">
        <v>1302</v>
      </c>
      <c r="B8" t="s">
        <v>1126</v>
      </c>
      <c r="C8" s="2">
        <v>7</v>
      </c>
      <c r="D8" s="2" t="s">
        <v>785</v>
      </c>
      <c r="E8" s="2">
        <v>1643</v>
      </c>
      <c r="F8" s="2">
        <v>2411</v>
      </c>
      <c r="G8" s="2">
        <v>384</v>
      </c>
      <c r="H8" t="s">
        <v>2514</v>
      </c>
      <c r="I8" t="str">
        <f t="shared" si="0"/>
        <v>{ name: "Goron City", landmark: "Armor Shop", type: "Armor Shop", region: 7, level: "Surface", x: 1643, y: 2411, z: 384, details: "flamebreaker1, flamebreaker2, flamebreaker3" },</v>
      </c>
    </row>
    <row r="9" spans="1:9" x14ac:dyDescent="0.2">
      <c r="A9" t="s">
        <v>1302</v>
      </c>
      <c r="B9" t="s">
        <v>2482</v>
      </c>
      <c r="C9" s="2">
        <v>7</v>
      </c>
      <c r="D9" s="2" t="s">
        <v>785</v>
      </c>
      <c r="E9" s="2">
        <v>1683</v>
      </c>
      <c r="F9" s="2">
        <v>2462</v>
      </c>
      <c r="G9" s="2">
        <v>385</v>
      </c>
      <c r="H9" t="s">
        <v>2489</v>
      </c>
      <c r="I9" t="str">
        <f t="shared" si="0"/>
        <v>{ name: "Goron City", landmark: "General Shop", type: "General Shop", region: 7, level: "Surface", x: 1683, y: 2462, z: 385, details: "salt, spice, sugar, firefruit, arrow" },</v>
      </c>
    </row>
    <row r="10" spans="1:9" x14ac:dyDescent="0.2">
      <c r="A10" t="s">
        <v>1664</v>
      </c>
      <c r="B10" t="s">
        <v>2482</v>
      </c>
      <c r="C10" s="2">
        <v>8</v>
      </c>
      <c r="D10" s="2" t="s">
        <v>785</v>
      </c>
      <c r="E10" s="2">
        <v>4006</v>
      </c>
      <c r="F10" s="2">
        <v>1631</v>
      </c>
      <c r="G10" s="2">
        <v>128</v>
      </c>
      <c r="H10" t="s">
        <v>2507</v>
      </c>
      <c r="I10" t="str">
        <f t="shared" si="0"/>
        <v>{ name: "Tarrey Town", landmark: "General Shop", type: "General Shop", region: 8, level: "Surface", x: 4006, y: 1631, z: 128, details: "arrow, bomb, dazzlefruit, monsterextract" },</v>
      </c>
    </row>
    <row r="11" spans="1:9" x14ac:dyDescent="0.2">
      <c r="A11" t="s">
        <v>1146</v>
      </c>
      <c r="B11" t="s">
        <v>2484</v>
      </c>
      <c r="C11" s="2">
        <v>8</v>
      </c>
      <c r="D11" s="2" t="s">
        <v>785</v>
      </c>
      <c r="E11" s="2">
        <v>3995</v>
      </c>
      <c r="F11" s="2">
        <v>1637</v>
      </c>
      <c r="G11" s="2">
        <v>130</v>
      </c>
      <c r="I11" t="str">
        <f t="shared" si="0"/>
        <v>{ name: "Break-a-Part Shop", landmark: "Other Shop", type: "Other Shop", region: 8, level: "Surface", x: 3995, y: 1637, z: 130, details: "" },</v>
      </c>
    </row>
    <row r="12" spans="1:9" x14ac:dyDescent="0.2">
      <c r="A12" t="s">
        <v>2488</v>
      </c>
      <c r="B12" t="s">
        <v>2482</v>
      </c>
      <c r="C12" s="2">
        <v>9</v>
      </c>
      <c r="D12" s="2" t="s">
        <v>785</v>
      </c>
      <c r="E12" s="2">
        <v>3319</v>
      </c>
      <c r="F12" s="2">
        <v>479</v>
      </c>
      <c r="G12" s="2">
        <v>139</v>
      </c>
      <c r="H12" t="s">
        <v>2511</v>
      </c>
      <c r="I12" t="str">
        <f t="shared" si="0"/>
        <v>{ name: "The Coral Reef", landmark: "General Shop", type: "General Shop", region: 9, level: "Surface", x: 3319, y: 479, z: 139, details: "arrow, rice, violet, splashfruit, tomato, salmon, mightycarp, armoredcarp" },</v>
      </c>
    </row>
    <row r="13" spans="1:9" x14ac:dyDescent="0.2">
      <c r="A13" t="s">
        <v>2382</v>
      </c>
      <c r="B13" t="s">
        <v>1126</v>
      </c>
      <c r="C13" s="2">
        <v>10</v>
      </c>
      <c r="D13" s="2" t="s">
        <v>785</v>
      </c>
      <c r="E13" s="2">
        <v>1855</v>
      </c>
      <c r="F13" s="2">
        <v>-982</v>
      </c>
      <c r="G13" s="2">
        <v>119</v>
      </c>
      <c r="H13" t="s">
        <v>2516</v>
      </c>
      <c r="I13" t="str">
        <f t="shared" si="0"/>
        <v>{ name: "Enchanted", landmark: "Armor Shop", type: "Armor Shop", region: 10, level: "Surface", x: 1855, y: -982, z: 119, details: "radiant1, radiant2, radiant3, stealth1, stealth2, stealth3" },</v>
      </c>
    </row>
    <row r="14" spans="1:9" x14ac:dyDescent="0.2">
      <c r="A14" t="s">
        <v>2384</v>
      </c>
      <c r="B14" t="s">
        <v>2482</v>
      </c>
      <c r="C14" s="2">
        <v>10</v>
      </c>
      <c r="D14" s="2" t="s">
        <v>785</v>
      </c>
      <c r="E14" s="2">
        <v>1793</v>
      </c>
      <c r="F14" s="2">
        <v>-1030</v>
      </c>
      <c r="G14" s="2">
        <v>115</v>
      </c>
      <c r="H14" t="s">
        <v>2471</v>
      </c>
      <c r="I14" t="str">
        <f t="shared" si="0"/>
        <v>{ name: "High Spirits Produce", landmark: "General Shop", type: "General Shop", region: 10, level: "Surface", x: 1793, y: -1030, z: 115, details: "arrow, shroom, acorn, egg" },</v>
      </c>
    </row>
    <row r="15" spans="1:9" x14ac:dyDescent="0.2">
      <c r="A15" t="s">
        <v>2385</v>
      </c>
      <c r="B15" t="s">
        <v>2482</v>
      </c>
      <c r="C15" s="2">
        <v>10</v>
      </c>
      <c r="D15" s="2" t="s">
        <v>785</v>
      </c>
      <c r="E15" s="2">
        <v>1829</v>
      </c>
      <c r="F15" s="2">
        <v>-1043</v>
      </c>
      <c r="G15" s="2">
        <v>116</v>
      </c>
      <c r="H15" t="s">
        <v>2490</v>
      </c>
      <c r="I15" t="str">
        <f t="shared" si="0"/>
        <v>{ name: "The Curious Quiver", landmark: "General Shop", type: "General Shop", region: 10, level: "Surface", x: 1829, y: -1043, z: 116, details: "arrow, aerocudaeye, aerocudawing " },</v>
      </c>
    </row>
    <row r="16" spans="1:9" x14ac:dyDescent="0.2">
      <c r="A16" t="s">
        <v>1729</v>
      </c>
      <c r="B16" t="s">
        <v>2484</v>
      </c>
      <c r="C16" s="2">
        <v>10</v>
      </c>
      <c r="D16" s="2" t="s">
        <v>785</v>
      </c>
      <c r="E16" s="2">
        <v>1829</v>
      </c>
      <c r="F16" s="2">
        <v>-956</v>
      </c>
      <c r="G16" s="2">
        <v>116</v>
      </c>
      <c r="H16" s="2"/>
      <c r="I16" t="str">
        <f t="shared" si="0"/>
        <v>{ name: "Zonai Survey Team Base", landmark: "Other Shop", type: "Other Shop", region: 10, level: "Surface", x: 1829, y: -956, z: 116, details: "" },</v>
      </c>
    </row>
    <row r="17" spans="1:9" x14ac:dyDescent="0.2">
      <c r="A17" t="s">
        <v>2383</v>
      </c>
      <c r="B17" t="s">
        <v>1126</v>
      </c>
      <c r="C17" s="2">
        <v>11</v>
      </c>
      <c r="D17" s="2" t="s">
        <v>785</v>
      </c>
      <c r="E17" s="2">
        <v>3359</v>
      </c>
      <c r="F17" s="2">
        <v>-2128</v>
      </c>
      <c r="G17" s="2">
        <v>121</v>
      </c>
      <c r="H17" t="s">
        <v>4633</v>
      </c>
      <c r="I17" t="str">
        <f t="shared" si="0"/>
        <v>{ name: "Ventest Clothing Boutique", landmark: "Armor Shop", type: "Armor Shop", region: 11, level: "Surface", x: 3359, y: -2128, z: 121, details: "hylian1, hylian2, hylian3, royalguard1, royalguard2, royalguard3, cecehat" },</v>
      </c>
    </row>
    <row r="18" spans="1:9" x14ac:dyDescent="0.2">
      <c r="A18" t="s">
        <v>2485</v>
      </c>
      <c r="B18" t="s">
        <v>2482</v>
      </c>
      <c r="C18" s="2">
        <v>11</v>
      </c>
      <c r="D18" s="2" t="s">
        <v>785</v>
      </c>
      <c r="E18" s="2">
        <v>3357</v>
      </c>
      <c r="F18" s="2">
        <v>-2164</v>
      </c>
      <c r="G18" s="2">
        <v>120</v>
      </c>
      <c r="H18" t="s">
        <v>2486</v>
      </c>
      <c r="I18" t="str">
        <f t="shared" si="0"/>
        <v>{ name: "East Wind General Goods", landmark: "General Shop", type: "General Shop", region: 11, level: "Surface", x: 3357, y: -2164, z: 120, details: "milk, pumpkin, shroom, butter, rice, carrot, tomato, egg, arrow" },</v>
      </c>
    </row>
    <row r="19" spans="1:9" x14ac:dyDescent="0.2">
      <c r="A19" t="s">
        <v>2401</v>
      </c>
      <c r="B19" t="s">
        <v>2484</v>
      </c>
      <c r="C19" s="2">
        <v>11</v>
      </c>
      <c r="D19" s="2" t="s">
        <v>785</v>
      </c>
      <c r="E19" s="2">
        <v>3404</v>
      </c>
      <c r="F19" s="2">
        <v>-2152</v>
      </c>
      <c r="G19" s="2">
        <v>133</v>
      </c>
      <c r="I19" t="str">
        <f t="shared" si="0"/>
        <v>{ name: "Kochi Dye Shop", landmark: "Other Shop", type: "Other Shop", region: 11, level: "Surface", x: 3404, y: -2152, z: 133, details: "" },</v>
      </c>
    </row>
    <row r="20" spans="1:9" x14ac:dyDescent="0.2">
      <c r="A20" t="s">
        <v>1327</v>
      </c>
      <c r="B20" t="s">
        <v>2484</v>
      </c>
      <c r="C20" s="2">
        <v>11</v>
      </c>
      <c r="D20" s="2" t="s">
        <v>785</v>
      </c>
      <c r="E20" s="2">
        <v>3619</v>
      </c>
      <c r="F20" s="2">
        <v>-2095</v>
      </c>
      <c r="G20" s="2">
        <v>178</v>
      </c>
      <c r="H20" t="s">
        <v>2555</v>
      </c>
      <c r="I20" t="str">
        <f t="shared" si="0"/>
        <v>{ name: "Hateno Pasture", landmark: "Other Shop", type: "Other Shop", region: 11, level: "Surface", x: 3619, y: -2095, z: 178, details: "cheese" },</v>
      </c>
    </row>
    <row r="21" spans="1:9" x14ac:dyDescent="0.2">
      <c r="A21" t="s">
        <v>1447</v>
      </c>
      <c r="B21" t="s">
        <v>2482</v>
      </c>
      <c r="C21" s="2">
        <v>12</v>
      </c>
      <c r="D21" s="2" t="s">
        <v>785</v>
      </c>
      <c r="E21" s="2">
        <v>2957</v>
      </c>
      <c r="F21" s="2">
        <v>-3493</v>
      </c>
      <c r="G21" s="2">
        <v>1</v>
      </c>
      <c r="H21" t="s">
        <v>2508</v>
      </c>
      <c r="I21" t="str">
        <f t="shared" si="0"/>
        <v>{ name: "Lurelin Village", landmark: "General Shop", type: "General Shop", region: 12, level: "Surface", x: 2957, y: -3493, z: 1, details: "octoballoon, octoeye, ironshellcrab, mightyporgy" },</v>
      </c>
    </row>
    <row r="22" spans="1:9" x14ac:dyDescent="0.2">
      <c r="A22" t="s">
        <v>2399</v>
      </c>
      <c r="B22" t="s">
        <v>2484</v>
      </c>
      <c r="C22" s="2">
        <v>12</v>
      </c>
      <c r="D22" s="2" t="s">
        <v>785</v>
      </c>
      <c r="E22" s="2">
        <v>2885</v>
      </c>
      <c r="F22" s="2">
        <v>-3406</v>
      </c>
      <c r="G22" s="2">
        <v>2</v>
      </c>
      <c r="I22" t="str">
        <f t="shared" si="0"/>
        <v>{ name: "Azure Bay Restaurant", landmark: "Other Shop", type: "Other Shop", region: 12, level: "Surface", x: 2885, y: -3406, z: 2, details: "" },</v>
      </c>
    </row>
    <row r="23" spans="1:9" x14ac:dyDescent="0.2">
      <c r="A23" t="s">
        <v>1445</v>
      </c>
      <c r="B23" t="s">
        <v>2484</v>
      </c>
      <c r="C23" s="2">
        <v>12</v>
      </c>
      <c r="D23" s="2" t="s">
        <v>785</v>
      </c>
      <c r="E23" s="2">
        <v>2970</v>
      </c>
      <c r="F23" s="2">
        <v>-3378</v>
      </c>
      <c r="G23" s="2">
        <v>30</v>
      </c>
      <c r="I23" t="str">
        <f t="shared" si="0"/>
        <v>{ name: "Lucky Treasure Shop", landmark: "Other Shop", type: "Other Shop", region: 12, level: "Surface", x: 2970, y: -3378, z: 30, details: "" },</v>
      </c>
    </row>
    <row r="24" spans="1:9" x14ac:dyDescent="0.2">
      <c r="A24" t="s">
        <v>2400</v>
      </c>
      <c r="B24" t="s">
        <v>1126</v>
      </c>
      <c r="C24" s="2">
        <v>14</v>
      </c>
      <c r="D24" s="2" t="s">
        <v>785</v>
      </c>
      <c r="E24" s="2">
        <v>-3791</v>
      </c>
      <c r="F24" s="2">
        <v>-2919</v>
      </c>
      <c r="G24" s="2">
        <v>43</v>
      </c>
      <c r="H24" t="s">
        <v>4635</v>
      </c>
      <c r="I24" t="str">
        <f t="shared" si="0"/>
        <v>{ name: "Gerudo Secret Club", landmark: "Armor Shop", type: "Armor Shop", region: 14, level: "Surface", x: -3791, y: -2919, z: 43, details: "boots1, boots2, desertvoe2, desertvoe3" },</v>
      </c>
    </row>
    <row r="25" spans="1:9" x14ac:dyDescent="0.2">
      <c r="A25" t="s">
        <v>1385</v>
      </c>
      <c r="B25" t="s">
        <v>1126</v>
      </c>
      <c r="C25" s="2">
        <v>14</v>
      </c>
      <c r="D25" s="2" t="s">
        <v>785</v>
      </c>
      <c r="E25" s="2">
        <v>-3273</v>
      </c>
      <c r="F25" s="2">
        <v>-2551</v>
      </c>
      <c r="G25" s="2">
        <v>23</v>
      </c>
      <c r="H25" t="s">
        <v>2487</v>
      </c>
      <c r="I25" t="str">
        <f t="shared" si="0"/>
        <v>{ name: "Kara Kara Bazaar", landmark: "Armor Shop", type: "Armor Shop", region: 14, level: "Surface", x: -3273, y: -2551, z: 23, details: "desertvoe1" },</v>
      </c>
    </row>
    <row r="26" spans="1:9" x14ac:dyDescent="0.2">
      <c r="A26" t="s">
        <v>1284</v>
      </c>
      <c r="B26" t="s">
        <v>2473</v>
      </c>
      <c r="C26" s="2">
        <v>14</v>
      </c>
      <c r="D26" s="2" t="s">
        <v>785</v>
      </c>
      <c r="E26" s="2">
        <v>-3857</v>
      </c>
      <c r="F26" s="2">
        <v>-2916</v>
      </c>
      <c r="G26" s="2">
        <v>43</v>
      </c>
      <c r="H26" t="s">
        <v>2481</v>
      </c>
      <c r="I26" t="str">
        <f t="shared" si="0"/>
        <v>{ name: "Gerudo Town", landmark: "General Shop", type: "Arrow Shop", region: 14, level: "Surface", x: -3857, y: -2916, z: 43, details: "arrow, chuchu, redchuchu, yellowchuchu, whitechuchu, bomb" },</v>
      </c>
    </row>
    <row r="27" spans="1:9" x14ac:dyDescent="0.2">
      <c r="A27" t="s">
        <v>1385</v>
      </c>
      <c r="B27" t="s">
        <v>2473</v>
      </c>
      <c r="C27" s="2">
        <v>14</v>
      </c>
      <c r="D27" s="2" t="s">
        <v>785</v>
      </c>
      <c r="E27" s="2">
        <v>-3261</v>
      </c>
      <c r="F27" s="2">
        <v>-2601</v>
      </c>
      <c r="G27" s="2">
        <v>26</v>
      </c>
      <c r="H27" t="s">
        <v>2474</v>
      </c>
      <c r="I27" t="str">
        <f t="shared" si="0"/>
        <v>{ name: "Kara Kara Bazaar", landmark: "General Shop", type: "Arrow Shop", region: 14, level: "Surface", x: -3261, y: -2601, z: 26, details: "arrow, chuchu, redchuchu, yellowchuchu, whitechuchu" },</v>
      </c>
    </row>
    <row r="28" spans="1:9" x14ac:dyDescent="0.2">
      <c r="A28" t="s">
        <v>1284</v>
      </c>
      <c r="B28" t="s">
        <v>2476</v>
      </c>
      <c r="C28" s="2">
        <v>14</v>
      </c>
      <c r="D28" s="2" t="s">
        <v>785</v>
      </c>
      <c r="E28" s="2">
        <v>-3824</v>
      </c>
      <c r="F28" s="2">
        <v>-2936</v>
      </c>
      <c r="G28" s="2">
        <v>43</v>
      </c>
      <c r="H28" t="s">
        <v>2477</v>
      </c>
      <c r="I28" t="str">
        <f t="shared" si="0"/>
        <v>{ name: "Gerudo Town", landmark: "General Shop", type: "Cooking Shop", region: 14, level: "Surface", x: -3824, y: -2936, z: 43, details: "salt, rice, wheat" },</v>
      </c>
    </row>
    <row r="29" spans="1:9" x14ac:dyDescent="0.2">
      <c r="A29" t="s">
        <v>1284</v>
      </c>
      <c r="B29" t="s">
        <v>2478</v>
      </c>
      <c r="C29" s="2">
        <v>14</v>
      </c>
      <c r="D29" s="2" t="s">
        <v>785</v>
      </c>
      <c r="E29" s="2">
        <v>-3824</v>
      </c>
      <c r="F29" s="2">
        <v>-2878</v>
      </c>
      <c r="G29" s="2">
        <v>43</v>
      </c>
      <c r="H29" t="s">
        <v>2509</v>
      </c>
      <c r="I29" t="str">
        <f t="shared" si="0"/>
        <v>{ name: "Gerudo Town", landmark: "General Shop", type: "Fruit Shop", region: 14, level: "Surface", x: -3824, y: -2878, z: 43, details: "voltfruit, hydromelon, palmfruit" },</v>
      </c>
    </row>
    <row r="30" spans="1:9" x14ac:dyDescent="0.2">
      <c r="A30" t="s">
        <v>1385</v>
      </c>
      <c r="B30" t="s">
        <v>2482</v>
      </c>
      <c r="C30" s="2">
        <v>14</v>
      </c>
      <c r="D30" s="2" t="s">
        <v>785</v>
      </c>
      <c r="E30" s="2">
        <v>-3273</v>
      </c>
      <c r="F30" s="2">
        <v>-2564</v>
      </c>
      <c r="G30" s="2">
        <v>23</v>
      </c>
      <c r="H30" t="s">
        <v>2505</v>
      </c>
      <c r="I30" t="str">
        <f t="shared" si="0"/>
        <v>{ name: "Kara Kara Bazaar", landmark: "General Shop", type: "General Shop", region: 14, level: "Surface", x: -3273, y: -2564, z: 23, details: "electricsafflina, hydromelon, oil" },</v>
      </c>
    </row>
    <row r="31" spans="1:9" x14ac:dyDescent="0.2">
      <c r="A31" t="s">
        <v>2469</v>
      </c>
      <c r="B31" t="s">
        <v>1378</v>
      </c>
      <c r="C31" s="2">
        <v>14</v>
      </c>
      <c r="D31" s="2" t="s">
        <v>785</v>
      </c>
      <c r="E31" s="2">
        <v>-3834</v>
      </c>
      <c r="F31" s="2">
        <v>-2876</v>
      </c>
      <c r="G31" s="2">
        <v>43</v>
      </c>
      <c r="H31" t="s">
        <v>2515</v>
      </c>
      <c r="I31" t="str">
        <f t="shared" si="0"/>
        <v>{ name: "Starlight Memories", landmark: "General Shop", type: "Jewelry Shop", region: 14, level: "Surface", x: -3834, y: -2876, z: 43, details: "earrings1, earrings2, earrings3, circlet1, circlet2, circlet3" },</v>
      </c>
    </row>
    <row r="32" spans="1:9" x14ac:dyDescent="0.2">
      <c r="A32" t="s">
        <v>1284</v>
      </c>
      <c r="B32" t="s">
        <v>2479</v>
      </c>
      <c r="C32" s="2">
        <v>14</v>
      </c>
      <c r="D32" s="2" t="s">
        <v>785</v>
      </c>
      <c r="E32" s="2">
        <v>-3849</v>
      </c>
      <c r="F32" s="2">
        <v>-2904</v>
      </c>
      <c r="G32" s="2">
        <v>43</v>
      </c>
      <c r="H32" t="s">
        <v>2480</v>
      </c>
      <c r="I32" t="str">
        <f t="shared" si="0"/>
        <v>{ name: "Gerudo Town", landmark: "General Shop", type: "Meat Shop", region: 14, level: "Surface", x: -3849, y: -2904, z: 43, details: "steak, primesteak, gourmetsteak" },</v>
      </c>
    </row>
    <row r="33" spans="1:9" x14ac:dyDescent="0.2">
      <c r="A33" t="s">
        <v>1385</v>
      </c>
      <c r="B33" t="s">
        <v>2479</v>
      </c>
      <c r="C33" s="2">
        <v>14</v>
      </c>
      <c r="D33" s="2" t="s">
        <v>785</v>
      </c>
      <c r="E33" s="2">
        <v>-3271</v>
      </c>
      <c r="F33" s="2">
        <v>-2538</v>
      </c>
      <c r="G33" s="2">
        <v>23</v>
      </c>
      <c r="H33" t="s">
        <v>2483</v>
      </c>
      <c r="I33" t="str">
        <f t="shared" si="0"/>
        <v>{ name: "Kara Kara Bazaar", landmark: "General Shop", type: "Meat Shop", region: 14, level: "Surface", x: -3271, y: -2538, z: 23, details: "bass, steak, lizalfostail" },</v>
      </c>
    </row>
    <row r="34" spans="1:9" x14ac:dyDescent="0.2">
      <c r="A34" t="s">
        <v>1284</v>
      </c>
      <c r="B34" t="s">
        <v>2475</v>
      </c>
      <c r="C34" s="2">
        <v>14</v>
      </c>
      <c r="D34" s="2" t="s">
        <v>785</v>
      </c>
      <c r="E34" s="2">
        <v>-3821</v>
      </c>
      <c r="F34" s="2">
        <v>-2926</v>
      </c>
      <c r="G34" s="2">
        <v>43</v>
      </c>
      <c r="H34" t="s">
        <v>2506</v>
      </c>
      <c r="I34" t="str">
        <f t="shared" si="0"/>
        <v>{ name: "Gerudo Town", landmark: "General Shop", type: "Mushroom Shop", region: 14, level: "Surface", x: -3821, y: -2926, z: 43, details: "ironshroom, razorshroom, sunshroom, zapshroom, chillshroom" },</v>
      </c>
    </row>
    <row r="35" spans="1:9" x14ac:dyDescent="0.2">
      <c r="A35" t="s">
        <v>2491</v>
      </c>
      <c r="B35" t="s">
        <v>2484</v>
      </c>
      <c r="C35" s="2">
        <v>14</v>
      </c>
      <c r="D35" s="2" t="s">
        <v>785</v>
      </c>
      <c r="E35" s="2">
        <v>-2994</v>
      </c>
      <c r="F35" s="2">
        <v>-2326</v>
      </c>
      <c r="G35" s="2">
        <v>25</v>
      </c>
      <c r="I35" t="str">
        <f t="shared" si="0"/>
        <v>{ name: "Sand-Seal Rental Shop #1", landmark: "Other Shop", type: "Other Shop", region: 14, level: "Surface", x: -2994, y: -2326, z: 25, details: "" },</v>
      </c>
    </row>
    <row r="36" spans="1:9" x14ac:dyDescent="0.2">
      <c r="A36" t="s">
        <v>2492</v>
      </c>
      <c r="B36" t="s">
        <v>2484</v>
      </c>
      <c r="C36" s="2">
        <v>14</v>
      </c>
      <c r="D36" s="2" t="s">
        <v>785</v>
      </c>
      <c r="E36" s="2">
        <v>-3902</v>
      </c>
      <c r="F36" s="2">
        <v>-2883</v>
      </c>
      <c r="G36" s="2">
        <v>95</v>
      </c>
      <c r="I36" t="str">
        <f t="shared" si="0"/>
        <v>{ name: "Sand-Seal Rental Shop #2", landmark: "Other Shop", type: "Other Shop", region: 14, level: "Surface", x: -3902, y: -2883, z: 95, details: "" },</v>
      </c>
    </row>
    <row r="37" spans="1:9" x14ac:dyDescent="0.2">
      <c r="A37" t="s">
        <v>2493</v>
      </c>
      <c r="B37" t="s">
        <v>2484</v>
      </c>
      <c r="C37" s="2">
        <v>14</v>
      </c>
      <c r="D37" s="2" t="s">
        <v>785</v>
      </c>
      <c r="E37" s="2">
        <v>-3771</v>
      </c>
      <c r="F37" s="2">
        <v>-2926</v>
      </c>
      <c r="G37" s="2">
        <v>35</v>
      </c>
      <c r="I37" t="str">
        <f t="shared" si="0"/>
        <v>{ name: "Sand-Seal Rental Shop #3", landmark: "Other Shop", type: "Other Shop", region: 14, level: "Surface", x: -3771, y: -2926, z: 35, details: "" },</v>
      </c>
    </row>
    <row r="38" spans="1:9" x14ac:dyDescent="0.2">
      <c r="A38" t="s">
        <v>2403</v>
      </c>
      <c r="B38" t="s">
        <v>2484</v>
      </c>
      <c r="C38" s="2">
        <v>14</v>
      </c>
      <c r="D38" s="2" t="s">
        <v>785</v>
      </c>
      <c r="E38" s="2">
        <v>-3853</v>
      </c>
      <c r="F38" s="2">
        <v>-2854</v>
      </c>
      <c r="G38" s="2">
        <v>95</v>
      </c>
      <c r="I38" t="str">
        <f t="shared" si="0"/>
        <v>{ name: "The Noble Canteen", landmark: "Other Shop", type: "Other Shop", region: 14, level: "Surface", x: -3853, y: -2854, z: 95, details: "" },</v>
      </c>
    </row>
  </sheetData>
  <autoFilter ref="A1:I38" xr:uid="{A095D5C8-FF81-DA46-ADE3-61DE071C2139}">
    <sortState xmlns:xlrd2="http://schemas.microsoft.com/office/spreadsheetml/2017/richdata2" ref="A2:I35">
      <sortCondition ref="C1:C35"/>
    </sortState>
  </autoFilter>
  <conditionalFormatting sqref="A16">
    <cfRule type="duplicateValues" dxfId="9" priority="1"/>
  </conditionalFormatting>
  <conditionalFormatting sqref="A20">
    <cfRule type="duplicateValues" dxfId="8" priority="3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1161B-E3B8-6A41-B5B5-EF88E67723E0}">
  <sheetPr codeName="Sheet15">
    <tabColor theme="9"/>
  </sheetPr>
  <dimension ref="A1:L154"/>
  <sheetViews>
    <sheetView topLeftCell="A129" workbookViewId="0">
      <selection activeCell="A143" sqref="A143"/>
    </sheetView>
  </sheetViews>
  <sheetFormatPr baseColWidth="10" defaultRowHeight="16" x14ac:dyDescent="0.2"/>
  <cols>
    <col min="1" max="1" width="19.33203125" bestFit="1" customWidth="1"/>
    <col min="2" max="2" width="12.83203125" customWidth="1"/>
    <col min="3" max="3" width="18.5" style="2" bestFit="1" customWidth="1"/>
    <col min="4" max="4" width="10.5" style="2" customWidth="1"/>
    <col min="6" max="8" width="10.83203125" style="2"/>
    <col min="9" max="9" width="45.33203125" style="7" customWidth="1"/>
    <col min="10" max="10" width="89.5" style="16" bestFit="1" customWidth="1"/>
    <col min="11" max="11" width="18" bestFit="1" customWidth="1"/>
  </cols>
  <sheetData>
    <row r="1" spans="1:12" s="6" customFormat="1" x14ac:dyDescent="0.2">
      <c r="A1" s="6" t="s">
        <v>781</v>
      </c>
      <c r="B1" s="6" t="s">
        <v>2083</v>
      </c>
      <c r="C1" s="4" t="s">
        <v>8</v>
      </c>
      <c r="D1" s="4" t="s">
        <v>8</v>
      </c>
      <c r="E1" s="6" t="s">
        <v>777</v>
      </c>
      <c r="F1" s="4" t="s">
        <v>778</v>
      </c>
      <c r="G1" s="4" t="s">
        <v>779</v>
      </c>
      <c r="H1" s="4" t="s">
        <v>780</v>
      </c>
      <c r="I1" s="12" t="s">
        <v>2081</v>
      </c>
      <c r="J1" s="17" t="s">
        <v>2075</v>
      </c>
      <c r="K1" s="10"/>
      <c r="L1" s="10"/>
    </row>
    <row r="2" spans="1:12" x14ac:dyDescent="0.2">
      <c r="A2" s="1" t="s">
        <v>1960</v>
      </c>
      <c r="B2" s="1" t="s">
        <v>2087</v>
      </c>
      <c r="C2" s="2" t="s">
        <v>2064</v>
      </c>
      <c r="D2" s="2">
        <v>1</v>
      </c>
      <c r="E2" t="s">
        <v>785</v>
      </c>
      <c r="F2" s="2">
        <v>-885</v>
      </c>
      <c r="G2" s="2">
        <v>418</v>
      </c>
      <c r="H2" s="2">
        <v>49</v>
      </c>
      <c r="J2" s="16" t="str">
        <f>"{ name: "&amp;CHAR(34)&amp;A2&amp;CHAR(34)&amp;", landmark: "&amp;CHAR(34)&amp;"Shrine"&amp;CHAR(34)&amp;", type: "&amp;CHAR(34)&amp;B2&amp;CHAR(34)&amp;", region: "&amp;D2&amp;", level: "&amp;CHAR(34)&amp;E2&amp;CHAR(34)&amp;", x: "&amp;F2&amp;", y: "&amp;G2&amp;", z: "&amp;H2&amp;", details: `"&amp;I2&amp;"` },"</f>
        <v>{ name: "Ishodag Shrine", landmark: "Shrine", type: "Puzzle Trial", region: 1, level: "Surface", x: -885, y: 418, z: 49, details: `` },</v>
      </c>
      <c r="K2" s="19"/>
    </row>
    <row r="3" spans="1:12" x14ac:dyDescent="0.2">
      <c r="A3" s="1" t="s">
        <v>1959</v>
      </c>
      <c r="B3" s="1" t="s">
        <v>2087</v>
      </c>
      <c r="C3" s="2" t="s">
        <v>2064</v>
      </c>
      <c r="D3" s="2">
        <v>1</v>
      </c>
      <c r="E3" t="s">
        <v>785</v>
      </c>
      <c r="F3" s="2">
        <v>-240</v>
      </c>
      <c r="G3" s="2">
        <v>-374</v>
      </c>
      <c r="H3" s="2">
        <v>27</v>
      </c>
      <c r="J3" s="16" t="str">
        <f t="shared" ref="J3:J66" si="0">"{ name: "&amp;CHAR(34)&amp;A3&amp;CHAR(34)&amp;", landmark: "&amp;CHAR(34)&amp;"Shrine"&amp;CHAR(34)&amp;", type: "&amp;CHAR(34)&amp;B3&amp;CHAR(34)&amp;", region: "&amp;D3&amp;", level: "&amp;CHAR(34)&amp;E3&amp;CHAR(34)&amp;", x: "&amp;F3&amp;", y: "&amp;G3&amp;", z: "&amp;H3&amp;", details: `"&amp;I3&amp;"` },"</f>
        <v>{ name: "Jiosin Shrine", landmark: "Shrine", type: "Puzzle Trial", region: 1, level: "Surface", x: -240, y: -374, z: 27, details: `` },</v>
      </c>
    </row>
    <row r="4" spans="1:12" x14ac:dyDescent="0.2">
      <c r="A4" s="1" t="s">
        <v>1971</v>
      </c>
      <c r="B4" s="1" t="s">
        <v>2086</v>
      </c>
      <c r="C4" s="2" t="s">
        <v>2064</v>
      </c>
      <c r="D4" s="2">
        <v>1</v>
      </c>
      <c r="E4" t="s">
        <v>785</v>
      </c>
      <c r="F4" s="2">
        <v>-205</v>
      </c>
      <c r="G4" s="2">
        <v>451</v>
      </c>
      <c r="H4" s="2">
        <v>21</v>
      </c>
      <c r="J4" s="16" t="str">
        <f t="shared" si="0"/>
        <v>{ name: "Kyononis Shrine", landmark: "Shrine", type: "Combat Training", region: 1, level: "Surface", x: -205, y: 451, z: 21, details: `` },</v>
      </c>
    </row>
    <row r="5" spans="1:12" x14ac:dyDescent="0.2">
      <c r="A5" s="1" t="s">
        <v>1985</v>
      </c>
      <c r="B5" s="1" t="s">
        <v>2087</v>
      </c>
      <c r="C5" s="2" t="s">
        <v>2064</v>
      </c>
      <c r="D5" s="2">
        <v>1</v>
      </c>
      <c r="E5" t="s">
        <v>785</v>
      </c>
      <c r="F5" s="2">
        <v>219</v>
      </c>
      <c r="G5" s="2">
        <v>1082</v>
      </c>
      <c r="H5" s="2">
        <v>26</v>
      </c>
      <c r="J5" s="16" t="str">
        <f t="shared" si="0"/>
        <v>{ name: "Sepapa Shrine", landmark: "Shrine", type: "Puzzle Trial", region: 1, level: "Surface", x: 219, y: 1082, z: 26, details: `` },</v>
      </c>
    </row>
    <row r="6" spans="1:12" x14ac:dyDescent="0.2">
      <c r="A6" s="1" t="s">
        <v>1982</v>
      </c>
      <c r="B6" s="1" t="s">
        <v>2087</v>
      </c>
      <c r="C6" s="2" t="s">
        <v>2064</v>
      </c>
      <c r="D6" s="2">
        <v>1</v>
      </c>
      <c r="E6" t="s">
        <v>785</v>
      </c>
      <c r="F6" s="2">
        <v>-180</v>
      </c>
      <c r="G6" s="2">
        <v>1170</v>
      </c>
      <c r="H6" s="2">
        <v>280</v>
      </c>
      <c r="J6" s="16" t="str">
        <f t="shared" si="0"/>
        <v>{ name: "Serutabomac Shrine", landmark: "Shrine", type: "Puzzle Trial", region: 1, level: "Surface", x: -180, y: 1170, z: 280, details: `` },</v>
      </c>
    </row>
    <row r="7" spans="1:12" x14ac:dyDescent="0.2">
      <c r="A7" s="1" t="s">
        <v>1946</v>
      </c>
      <c r="B7" s="1" t="s">
        <v>2087</v>
      </c>
      <c r="C7" s="2" t="s">
        <v>2064</v>
      </c>
      <c r="D7" s="2">
        <v>1</v>
      </c>
      <c r="E7" t="s">
        <v>785</v>
      </c>
      <c r="F7" s="2">
        <v>-785</v>
      </c>
      <c r="G7" s="2">
        <v>-433</v>
      </c>
      <c r="H7" s="2">
        <v>18</v>
      </c>
      <c r="J7" s="16" t="str">
        <f t="shared" si="0"/>
        <v>{ name: "Susuyai Shrine", landmark: "Shrine", type: "Puzzle Trial", region: 1, level: "Surface", x: -785, y: -433, z: 18, details: `` },</v>
      </c>
    </row>
    <row r="8" spans="1:12" x14ac:dyDescent="0.2">
      <c r="A8" s="1" t="s">
        <v>1978</v>
      </c>
      <c r="B8" s="1" t="s">
        <v>2086</v>
      </c>
      <c r="C8" s="2" t="s">
        <v>2064</v>
      </c>
      <c r="D8" s="2">
        <v>1</v>
      </c>
      <c r="E8" t="s">
        <v>785</v>
      </c>
      <c r="F8" s="2">
        <v>333</v>
      </c>
      <c r="G8" s="2">
        <v>468</v>
      </c>
      <c r="H8" s="2">
        <v>29</v>
      </c>
      <c r="J8" s="16" t="str">
        <f t="shared" si="0"/>
        <v>{ name: "Yamiyo Shrine", landmark: "Shrine", type: "Combat Training", region: 1, level: "Surface", x: 333, y: 468, z: 29, details: `` },</v>
      </c>
    </row>
    <row r="9" spans="1:12" x14ac:dyDescent="0.2">
      <c r="A9" s="1" t="s">
        <v>1941</v>
      </c>
      <c r="B9" s="1" t="s">
        <v>2087</v>
      </c>
      <c r="C9" s="2" t="s">
        <v>2065</v>
      </c>
      <c r="D9" s="2">
        <v>2</v>
      </c>
      <c r="E9" t="s">
        <v>783</v>
      </c>
      <c r="F9" s="2">
        <v>27</v>
      </c>
      <c r="G9" s="2">
        <v>-1506</v>
      </c>
      <c r="H9" s="2">
        <v>1408</v>
      </c>
      <c r="J9" s="16" t="str">
        <f t="shared" si="0"/>
        <v>{ name: "In-isa Shrine", landmark: "Shrine", type: "Puzzle Trial", region: 2, level: "Sky", x: 27, y: -1506, z: 1408, details: `` },</v>
      </c>
    </row>
    <row r="10" spans="1:12" x14ac:dyDescent="0.2">
      <c r="A10" s="1" t="s">
        <v>1923</v>
      </c>
      <c r="B10" s="1" t="s">
        <v>2085</v>
      </c>
      <c r="C10" s="2" t="s">
        <v>2065</v>
      </c>
      <c r="D10" s="2">
        <v>2</v>
      </c>
      <c r="E10" t="s">
        <v>783</v>
      </c>
      <c r="F10" s="2">
        <v>-1257</v>
      </c>
      <c r="G10" s="2">
        <v>-1487</v>
      </c>
      <c r="H10" s="2">
        <v>1008</v>
      </c>
      <c r="I10" s="7" t="s">
        <v>4537</v>
      </c>
      <c r="J10" s="16" t="str">
        <f t="shared" si="0"/>
        <v>{ name: "Jinodok Shrine", landmark: "Shrine", type: "Rauru's Blessing", region: 2, level: "Sky", x: -1257, y: -1487, z: 1008, details: `&lt;strong&gt;First:&lt;/strong&gt; Complete &lt;img src="icons/shrine-quest.png" style="height: 20px; width: 20px; vertical-align: middle; margin-right: 5px;"&gt;&lt;span style="color: #7cc9c2; font-weight: bold;"&gt;The South Hyrule Sky Crystal&lt;/span&gt; shrine quest` },</v>
      </c>
    </row>
    <row r="11" spans="1:12" x14ac:dyDescent="0.2">
      <c r="A11" s="1" t="s">
        <v>1957</v>
      </c>
      <c r="B11" s="1" t="s">
        <v>2087</v>
      </c>
      <c r="C11" s="2" t="s">
        <v>2065</v>
      </c>
      <c r="D11" s="2">
        <v>2</v>
      </c>
      <c r="E11" t="s">
        <v>783</v>
      </c>
      <c r="F11" s="2">
        <v>275</v>
      </c>
      <c r="G11" s="2">
        <v>-910</v>
      </c>
      <c r="H11" s="2">
        <v>1474</v>
      </c>
      <c r="J11" s="16" t="str">
        <f t="shared" si="0"/>
        <v>{ name: "Ukouh Shrine", landmark: "Shrine", type: "Puzzle Trial", region: 2, level: "Sky", x: 275, y: -910, z: 1474, details: `` },</v>
      </c>
    </row>
    <row r="12" spans="1:12" x14ac:dyDescent="0.2">
      <c r="A12" s="1" t="s">
        <v>1935</v>
      </c>
      <c r="B12" s="1" t="s">
        <v>2084</v>
      </c>
      <c r="C12" s="2" t="s">
        <v>2065</v>
      </c>
      <c r="D12" s="2">
        <v>2</v>
      </c>
      <c r="E12" t="s">
        <v>785</v>
      </c>
      <c r="F12" s="2">
        <v>-176</v>
      </c>
      <c r="G12" s="2">
        <v>-1557</v>
      </c>
      <c r="H12" s="2">
        <v>23</v>
      </c>
      <c r="J12" s="16" t="str">
        <f t="shared" si="0"/>
        <v>{ name: "Kamizun Shrine", landmark: "Shrine", type: "Proving Grounds", region: 2, level: "Surface", x: -176, y: -1557, z: 23, details: `` },</v>
      </c>
    </row>
    <row r="13" spans="1:12" x14ac:dyDescent="0.2">
      <c r="A13" s="1" t="s">
        <v>1929</v>
      </c>
      <c r="B13" s="1" t="s">
        <v>2087</v>
      </c>
      <c r="C13" s="2" t="s">
        <v>2065</v>
      </c>
      <c r="D13" s="2">
        <v>2</v>
      </c>
      <c r="E13" t="s">
        <v>785</v>
      </c>
      <c r="F13" s="2">
        <v>-710</v>
      </c>
      <c r="G13" s="2">
        <v>-1550</v>
      </c>
      <c r="H13" s="2">
        <v>6</v>
      </c>
      <c r="J13" s="16" t="str">
        <f t="shared" si="0"/>
        <v>{ name: "Kyokugon Shrine", landmark: "Shrine", type: "Puzzle Trial", region: 2, level: "Surface", x: -710, y: -1550, z: 6, details: `` },</v>
      </c>
    </row>
    <row r="14" spans="1:12" x14ac:dyDescent="0.2">
      <c r="A14" s="1" t="s">
        <v>1940</v>
      </c>
      <c r="B14" s="1" t="s">
        <v>2087</v>
      </c>
      <c r="C14" s="2" t="s">
        <v>2065</v>
      </c>
      <c r="D14" s="2">
        <v>2</v>
      </c>
      <c r="E14" t="s">
        <v>785</v>
      </c>
      <c r="F14" s="2">
        <v>-705</v>
      </c>
      <c r="G14" s="2">
        <v>-866</v>
      </c>
      <c r="H14" s="2">
        <v>31</v>
      </c>
      <c r="J14" s="16" t="str">
        <f t="shared" si="0"/>
        <v>{ name: "Mayachin Shrine", landmark: "Shrine", type: "Puzzle Trial", region: 2, level: "Surface", x: -705, y: -866, z: 31, details: `` },</v>
      </c>
    </row>
    <row r="15" spans="1:12" x14ac:dyDescent="0.2">
      <c r="A15" s="1" t="s">
        <v>1918</v>
      </c>
      <c r="B15" s="1" t="s">
        <v>2087</v>
      </c>
      <c r="C15" s="2" t="s">
        <v>2065</v>
      </c>
      <c r="D15" s="2">
        <v>2</v>
      </c>
      <c r="E15" t="s">
        <v>785</v>
      </c>
      <c r="F15" s="2">
        <v>-1443</v>
      </c>
      <c r="G15" s="2">
        <v>-1616</v>
      </c>
      <c r="H15" s="2">
        <v>89</v>
      </c>
      <c r="J15" s="16" t="str">
        <f t="shared" si="0"/>
        <v>{ name: "Riogok Shrine", landmark: "Shrine", type: "Puzzle Trial", region: 2, level: "Surface", x: -1443, y: -1616, z: 89, details: `` },</v>
      </c>
    </row>
    <row r="16" spans="1:12" x14ac:dyDescent="0.2">
      <c r="A16" s="1" t="s">
        <v>1927</v>
      </c>
      <c r="B16" s="1" t="s">
        <v>2087</v>
      </c>
      <c r="C16" s="2" t="s">
        <v>2065</v>
      </c>
      <c r="D16" s="2">
        <v>2</v>
      </c>
      <c r="E16" t="s">
        <v>785</v>
      </c>
      <c r="F16" s="2">
        <v>-1921</v>
      </c>
      <c r="G16" s="2">
        <v>-356</v>
      </c>
      <c r="H16" s="2">
        <v>228</v>
      </c>
      <c r="J16" s="16" t="str">
        <f t="shared" si="0"/>
        <v>{ name: "Sonapan Shrine", landmark: "Shrine", type: "Puzzle Trial", region: 2, level: "Surface", x: -1921, y: -356, z: 228, details: `` },</v>
      </c>
    </row>
    <row r="17" spans="1:12" x14ac:dyDescent="0.2">
      <c r="A17" s="1" t="s">
        <v>1917</v>
      </c>
      <c r="B17" s="1" t="s">
        <v>2087</v>
      </c>
      <c r="C17" s="2" t="s">
        <v>2065</v>
      </c>
      <c r="D17" s="2">
        <v>2</v>
      </c>
      <c r="E17" t="s">
        <v>785</v>
      </c>
      <c r="F17" s="2">
        <v>-1082</v>
      </c>
      <c r="G17" s="2">
        <v>-2187</v>
      </c>
      <c r="H17" s="2">
        <v>128</v>
      </c>
      <c r="J17" s="16" t="str">
        <f t="shared" si="0"/>
        <v>{ name: "Tadarok Shrine", landmark: "Shrine", type: "Puzzle Trial", region: 2, level: "Surface", x: -1082, y: -2187, z: 128, details: `` },</v>
      </c>
      <c r="K17" s="11"/>
      <c r="L17" s="11"/>
    </row>
    <row r="18" spans="1:12" x14ac:dyDescent="0.2">
      <c r="A18" s="1" t="s">
        <v>1955</v>
      </c>
      <c r="B18" s="1" t="s">
        <v>2087</v>
      </c>
      <c r="C18" s="2" t="s">
        <v>2065</v>
      </c>
      <c r="D18" s="2">
        <v>2</v>
      </c>
      <c r="E18" t="s">
        <v>785</v>
      </c>
      <c r="F18" s="2">
        <v>344</v>
      </c>
      <c r="G18" s="2">
        <v>-1007</v>
      </c>
      <c r="H18" s="2">
        <v>16</v>
      </c>
      <c r="J18" s="16" t="str">
        <f t="shared" si="0"/>
        <v>{ name: "Tajikats Shrine", landmark: "Shrine", type: "Puzzle Trial", region: 2, level: "Surface", x: 344, y: -1007, z: 16, details: `` },</v>
      </c>
      <c r="K18" s="11"/>
      <c r="L18" s="11"/>
    </row>
    <row r="19" spans="1:12" x14ac:dyDescent="0.2">
      <c r="A19" s="1" t="s">
        <v>1947</v>
      </c>
      <c r="B19" s="1" t="s">
        <v>2086</v>
      </c>
      <c r="C19" s="2" t="s">
        <v>2065</v>
      </c>
      <c r="D19" s="2">
        <v>2</v>
      </c>
      <c r="E19" t="s">
        <v>785</v>
      </c>
      <c r="F19" s="2">
        <v>-73</v>
      </c>
      <c r="G19" s="2">
        <v>-1115</v>
      </c>
      <c r="H19" s="2">
        <v>21</v>
      </c>
      <c r="J19" s="16" t="str">
        <f t="shared" si="0"/>
        <v>{ name: "Teniten Shrine", landmark: "Shrine", type: "Combat Training", region: 2, level: "Surface", x: -73, y: -1115, z: 21, details: `` },</v>
      </c>
      <c r="K19" s="11"/>
      <c r="L19" s="11"/>
    </row>
    <row r="20" spans="1:12" x14ac:dyDescent="0.2">
      <c r="A20" s="1" t="s">
        <v>1922</v>
      </c>
      <c r="B20" s="1" t="s">
        <v>2087</v>
      </c>
      <c r="C20" s="2" t="s">
        <v>2065</v>
      </c>
      <c r="D20" s="2">
        <v>2</v>
      </c>
      <c r="E20" t="s">
        <v>785</v>
      </c>
      <c r="F20" s="2">
        <v>-1422</v>
      </c>
      <c r="G20" s="2">
        <v>-1350</v>
      </c>
      <c r="H20" s="2">
        <v>68</v>
      </c>
      <c r="J20" s="16" t="str">
        <f t="shared" si="0"/>
        <v>{ name: "Tsutsu-um Shrine", landmark: "Shrine", type: "Puzzle Trial", region: 2, level: "Surface", x: -1422, y: -1350, z: 68, details: `` },</v>
      </c>
      <c r="K20" s="11"/>
      <c r="L20" s="11"/>
    </row>
    <row r="21" spans="1:12" x14ac:dyDescent="0.2">
      <c r="A21" s="1" t="s">
        <v>1919</v>
      </c>
      <c r="B21" s="1" t="s">
        <v>2085</v>
      </c>
      <c r="C21" s="2" t="s">
        <v>2065</v>
      </c>
      <c r="D21" s="2">
        <v>2</v>
      </c>
      <c r="E21" t="s">
        <v>785</v>
      </c>
      <c r="F21" s="2">
        <v>-2140</v>
      </c>
      <c r="G21" s="2">
        <v>-873</v>
      </c>
      <c r="H21" s="2">
        <v>93</v>
      </c>
      <c r="I21" s="7" t="s">
        <v>4538</v>
      </c>
      <c r="J21" s="16" t="str">
        <f t="shared" si="0"/>
        <v>{ name: "Usazum Shrine", landmark: "Shrine", type: "Rauru's Blessing", region: 2, level: "Surface", x: -2140, y: -873, z: 93, details: `&lt;strong&gt;First:&lt;/strong&gt; Complete &lt;img src="icons/shrine-quest.png" style="height: 20px; width: 20px; vertical-align: middle; margin-right: 5px;"&gt;&lt;span style="color: #7cc9c2; font-weight: bold;"&gt;The Satori Mountain Crystal&lt;/span&gt; shrine quest` },</v>
      </c>
      <c r="K21" s="11"/>
      <c r="L21" s="11"/>
    </row>
    <row r="22" spans="1:12" x14ac:dyDescent="0.2">
      <c r="A22" s="1" t="s">
        <v>2068</v>
      </c>
      <c r="B22" s="1" t="s">
        <v>2085</v>
      </c>
      <c r="C22" s="2" t="s">
        <v>787</v>
      </c>
      <c r="D22" s="2">
        <v>3</v>
      </c>
      <c r="E22" t="s">
        <v>783</v>
      </c>
      <c r="F22" s="2">
        <v>-3596</v>
      </c>
      <c r="G22" s="2">
        <v>962</v>
      </c>
      <c r="H22" s="2">
        <v>1699</v>
      </c>
      <c r="J22" s="16" t="str">
        <f t="shared" si="0"/>
        <v>{ name: "Ga-ahisas Shrine", landmark: "Shrine", type: "Rauru's Blessing", region: 3, level: "Sky", x: -3596, y: 962, z: 1699, details: `` },</v>
      </c>
      <c r="K22" s="11"/>
      <c r="L22" s="11"/>
    </row>
    <row r="23" spans="1:12" x14ac:dyDescent="0.2">
      <c r="A23" s="1" t="s">
        <v>1920</v>
      </c>
      <c r="B23" s="1" t="s">
        <v>2085</v>
      </c>
      <c r="C23" s="2" t="s">
        <v>787</v>
      </c>
      <c r="D23" s="2">
        <v>3</v>
      </c>
      <c r="E23" t="s">
        <v>783</v>
      </c>
      <c r="F23" s="2">
        <v>-3366</v>
      </c>
      <c r="G23" s="2">
        <v>469</v>
      </c>
      <c r="H23" s="2">
        <v>1695</v>
      </c>
      <c r="I23" s="7" t="s">
        <v>4539</v>
      </c>
      <c r="J23" s="16" t="str">
        <f t="shared" si="0"/>
        <v>{ name: "Ganos Shrine", landmark: "Shrine", type: "Rauru's Blessing", region: 3, level: "Sky", x: -3366, y: 469, z: 1695, details: `&lt;strong&gt;First:&lt;/strong&gt; Complete &lt;img src="icons/shrine-quest.png" style="height: 20px; width: 20px; vertical-align: middle; margin-right: 5px;"&gt;&lt;span style="color: #7cc9c2; font-weight: bold;"&gt;The Tabantha Sky Crystal&lt;/span&gt; shrine quest` },</v>
      </c>
      <c r="K23" s="11"/>
      <c r="L23" s="11"/>
    </row>
    <row r="24" spans="1:12" x14ac:dyDescent="0.2">
      <c r="A24" s="1" t="s">
        <v>1939</v>
      </c>
      <c r="B24" s="1" t="s">
        <v>2086</v>
      </c>
      <c r="C24" s="2" t="s">
        <v>787</v>
      </c>
      <c r="D24" s="2">
        <v>3</v>
      </c>
      <c r="E24" t="s">
        <v>783</v>
      </c>
      <c r="F24" s="2">
        <v>-2400</v>
      </c>
      <c r="G24" s="2">
        <v>824</v>
      </c>
      <c r="H24" s="2">
        <v>615</v>
      </c>
      <c r="J24" s="16" t="str">
        <f t="shared" si="0"/>
        <v>{ name: "Taunhiy Shrine", landmark: "Shrine", type: "Combat Training", region: 3, level: "Sky", x: -2400, y: 824, z: 615, details: `` },</v>
      </c>
      <c r="K24" s="11"/>
      <c r="L24" s="11"/>
    </row>
    <row r="25" spans="1:12" x14ac:dyDescent="0.2">
      <c r="A25" s="1" t="s">
        <v>1921</v>
      </c>
      <c r="B25" s="1" t="s">
        <v>2085</v>
      </c>
      <c r="C25" s="2" t="s">
        <v>787</v>
      </c>
      <c r="D25" s="2">
        <v>3</v>
      </c>
      <c r="E25" t="s">
        <v>785</v>
      </c>
      <c r="F25" s="2">
        <v>-3950</v>
      </c>
      <c r="G25" s="2">
        <v>1138</v>
      </c>
      <c r="H25" s="2">
        <v>111</v>
      </c>
      <c r="I25" s="7" t="s">
        <v>4540</v>
      </c>
      <c r="J25" s="16" t="str">
        <f t="shared" si="0"/>
        <v>{ name: "Ikatak Shrine", landmark: "Shrine", type: "Rauru's Blessing", region: 3, level: "Surface", x: -3950, y: 1138, z: 111, details: `&lt;strong&gt;First:&lt;/strong&gt; Complete &lt;img src="icons/shrine-quest.png" style="height: 20px; width: 20px; vertical-align: middle; margin-right: 5px;"&gt;&lt;span style="color: #7cc9c2; font-weight: bold;"&gt;The Gisa Crater Crystal&lt;/span&gt; shrine quest` },</v>
      </c>
      <c r="K25" s="11"/>
      <c r="L25" s="11"/>
    </row>
    <row r="26" spans="1:12" x14ac:dyDescent="0.2">
      <c r="A26" s="1" t="s">
        <v>1925</v>
      </c>
      <c r="B26" s="1" t="s">
        <v>2087</v>
      </c>
      <c r="C26" s="2" t="s">
        <v>787</v>
      </c>
      <c r="D26" s="2">
        <v>3</v>
      </c>
      <c r="E26" t="s">
        <v>785</v>
      </c>
      <c r="F26" s="2">
        <v>-3538</v>
      </c>
      <c r="G26" s="2">
        <v>853</v>
      </c>
      <c r="H26" s="2">
        <v>-133</v>
      </c>
      <c r="J26" s="16" t="str">
        <f t="shared" si="0"/>
        <v>{ name: "Iun-orok Shrine", landmark: "Shrine", type: "Puzzle Trial", region: 3, level: "Surface", x: -3538, y: 853, z: -133, details: `` },</v>
      </c>
      <c r="K26" s="11"/>
      <c r="L26" s="11"/>
    </row>
    <row r="27" spans="1:12" x14ac:dyDescent="0.2">
      <c r="A27" s="1" t="s">
        <v>1981</v>
      </c>
      <c r="B27" s="1" t="s">
        <v>2087</v>
      </c>
      <c r="C27" s="2" t="s">
        <v>787</v>
      </c>
      <c r="D27" s="2">
        <v>3</v>
      </c>
      <c r="E27" t="s">
        <v>785</v>
      </c>
      <c r="F27" s="2">
        <v>-1106</v>
      </c>
      <c r="G27" s="2">
        <v>2086</v>
      </c>
      <c r="H27" s="2">
        <v>104</v>
      </c>
      <c r="J27" s="16" t="str">
        <f t="shared" si="0"/>
        <v>{ name: "Kiuyoyou Shrine", landmark: "Shrine", type: "Puzzle Trial", region: 3, level: "Surface", x: -1106, y: 2086, z: 104, details: `` },</v>
      </c>
      <c r="K27" s="11"/>
      <c r="L27" s="11"/>
    </row>
    <row r="28" spans="1:12" x14ac:dyDescent="0.2">
      <c r="A28" s="1" t="s">
        <v>1930</v>
      </c>
      <c r="B28" s="1" t="s">
        <v>2086</v>
      </c>
      <c r="C28" s="2" t="s">
        <v>787</v>
      </c>
      <c r="D28" s="2">
        <v>3</v>
      </c>
      <c r="E28" t="s">
        <v>785</v>
      </c>
      <c r="F28" s="2">
        <v>-2848</v>
      </c>
      <c r="G28" s="2">
        <v>629</v>
      </c>
      <c r="H28" s="2">
        <v>233</v>
      </c>
      <c r="J28" s="16" t="str">
        <f t="shared" si="0"/>
        <v>{ name: "Makurukis Shrine", landmark: "Shrine", type: "Combat Training", region: 3, level: "Surface", x: -2848, y: 629, z: 233, details: `` },</v>
      </c>
      <c r="K28" s="11"/>
      <c r="L28" s="11"/>
    </row>
    <row r="29" spans="1:12" x14ac:dyDescent="0.2">
      <c r="A29" s="1" t="s">
        <v>1942</v>
      </c>
      <c r="B29" s="1" t="s">
        <v>2087</v>
      </c>
      <c r="C29" s="2" t="s">
        <v>787</v>
      </c>
      <c r="D29" s="2">
        <v>3</v>
      </c>
      <c r="E29" t="s">
        <v>785</v>
      </c>
      <c r="F29" s="2">
        <v>-3079</v>
      </c>
      <c r="G29" s="2">
        <v>1618</v>
      </c>
      <c r="H29" s="2">
        <v>-241</v>
      </c>
      <c r="J29" s="16" t="str">
        <f t="shared" si="0"/>
        <v>{ name: "Oromuwak Shrine", landmark: "Shrine", type: "Puzzle Trial", region: 3, level: "Surface", x: -3079, y: 1618, z: -241, details: `` },</v>
      </c>
      <c r="K29" s="11"/>
      <c r="L29" s="11"/>
    </row>
    <row r="30" spans="1:12" x14ac:dyDescent="0.2">
      <c r="A30" s="1" t="s">
        <v>1944</v>
      </c>
      <c r="B30" s="1" t="s">
        <v>2087</v>
      </c>
      <c r="C30" s="2" t="s">
        <v>787</v>
      </c>
      <c r="D30" s="2">
        <v>3</v>
      </c>
      <c r="E30" t="s">
        <v>785</v>
      </c>
      <c r="F30" s="2">
        <v>-2534</v>
      </c>
      <c r="G30" s="2">
        <v>1167</v>
      </c>
      <c r="H30" s="2">
        <v>177</v>
      </c>
      <c r="J30" s="16" t="str">
        <f t="shared" si="0"/>
        <v>{ name: "Runakit Shrine", landmark: "Shrine", type: "Puzzle Trial", region: 3, level: "Surface", x: -2534, y: 1167, z: 177, details: `` },</v>
      </c>
      <c r="K30" s="11"/>
      <c r="L30" s="11"/>
    </row>
    <row r="31" spans="1:12" x14ac:dyDescent="0.2">
      <c r="A31" s="1" t="s">
        <v>1956</v>
      </c>
      <c r="B31" s="1" t="s">
        <v>2087</v>
      </c>
      <c r="C31" s="2" t="s">
        <v>787</v>
      </c>
      <c r="D31" s="2">
        <v>3</v>
      </c>
      <c r="E31" t="s">
        <v>785</v>
      </c>
      <c r="F31" s="2">
        <v>-1413</v>
      </c>
      <c r="G31" s="2">
        <v>757</v>
      </c>
      <c r="H31" s="2">
        <v>89</v>
      </c>
      <c r="J31" s="16" t="str">
        <f t="shared" si="0"/>
        <v>{ name: "Sinakawak Shrine", landmark: "Shrine", type: "Puzzle Trial", region: 3, level: "Surface", x: -1413, y: 757, z: 89, details: `` },</v>
      </c>
      <c r="K31" s="11"/>
      <c r="L31" s="11"/>
    </row>
    <row r="32" spans="1:12" x14ac:dyDescent="0.2">
      <c r="A32" s="1" t="s">
        <v>1958</v>
      </c>
      <c r="B32" s="1" t="s">
        <v>2085</v>
      </c>
      <c r="C32" s="2" t="s">
        <v>787</v>
      </c>
      <c r="D32" s="2">
        <v>3</v>
      </c>
      <c r="E32" t="s">
        <v>785</v>
      </c>
      <c r="F32" s="2">
        <v>-1828</v>
      </c>
      <c r="G32" s="2">
        <v>1196</v>
      </c>
      <c r="H32" s="2">
        <v>147</v>
      </c>
      <c r="J32" s="16" t="str">
        <f t="shared" si="0"/>
        <v>{ name: "Taki-ihaban Shrine", landmark: "Shrine", type: "Rauru's Blessing", region: 3, level: "Surface", x: -1828, y: 1196, z: 147, details: `` },</v>
      </c>
      <c r="K32" s="11"/>
      <c r="L32" s="11"/>
    </row>
    <row r="33" spans="1:12" x14ac:dyDescent="0.2">
      <c r="A33" s="1" t="s">
        <v>1948</v>
      </c>
      <c r="B33" s="1" t="s">
        <v>2087</v>
      </c>
      <c r="C33" s="2" t="s">
        <v>800</v>
      </c>
      <c r="D33" s="2">
        <v>4</v>
      </c>
      <c r="E33" t="s">
        <v>783</v>
      </c>
      <c r="F33" s="2">
        <v>-3863</v>
      </c>
      <c r="G33" s="2">
        <v>2684</v>
      </c>
      <c r="H33" s="2">
        <v>702</v>
      </c>
      <c r="J33" s="16" t="str">
        <f t="shared" si="0"/>
        <v>{ name: "Ijo-o Shrine", landmark: "Shrine", type: "Puzzle Trial", region: 4, level: "Sky", x: -3863, y: 2684, z: 702, details: `` },</v>
      </c>
      <c r="K33" s="11"/>
      <c r="L33" s="11"/>
    </row>
    <row r="34" spans="1:12" x14ac:dyDescent="0.2">
      <c r="A34" s="1" t="s">
        <v>1970</v>
      </c>
      <c r="B34" s="1" t="s">
        <v>2085</v>
      </c>
      <c r="C34" s="2" t="s">
        <v>800</v>
      </c>
      <c r="D34" s="2">
        <v>4</v>
      </c>
      <c r="E34" t="s">
        <v>783</v>
      </c>
      <c r="F34" s="2">
        <v>-3294</v>
      </c>
      <c r="G34" s="2">
        <v>3430</v>
      </c>
      <c r="H34" s="2">
        <v>1347</v>
      </c>
      <c r="J34" s="16" t="str">
        <f t="shared" si="0"/>
        <v>{ name: "Kahatanaum Shrine", landmark: "Shrine", type: "Rauru's Blessing", region: 4, level: "Sky", x: -3294, y: 3430, z: 1347, details: `` },</v>
      </c>
      <c r="K34" s="11"/>
      <c r="L34" s="11"/>
    </row>
    <row r="35" spans="1:12" x14ac:dyDescent="0.2">
      <c r="A35" s="1" t="s">
        <v>1968</v>
      </c>
      <c r="B35" s="1" t="s">
        <v>2087</v>
      </c>
      <c r="C35" s="2" t="s">
        <v>800</v>
      </c>
      <c r="D35" s="2">
        <v>4</v>
      </c>
      <c r="E35" t="s">
        <v>783</v>
      </c>
      <c r="F35" s="2">
        <v>-2947</v>
      </c>
      <c r="G35" s="2">
        <v>3051</v>
      </c>
      <c r="H35" s="2">
        <v>897</v>
      </c>
      <c r="J35" s="16" t="str">
        <f t="shared" si="0"/>
        <v>{ name: "Mayaumekis Shrine", landmark: "Shrine", type: "Puzzle Trial", region: 4, level: "Sky", x: -2947, y: 3051, z: 897, details: `` },</v>
      </c>
      <c r="K35" s="11"/>
      <c r="L35" s="11"/>
    </row>
    <row r="36" spans="1:12" x14ac:dyDescent="0.2">
      <c r="A36" s="1" t="s">
        <v>1967</v>
      </c>
      <c r="B36" s="1" t="s">
        <v>2084</v>
      </c>
      <c r="C36" s="2" t="s">
        <v>800</v>
      </c>
      <c r="D36" s="2">
        <v>4</v>
      </c>
      <c r="E36" t="s">
        <v>785</v>
      </c>
      <c r="F36" s="2">
        <v>-3506</v>
      </c>
      <c r="G36" s="2">
        <v>3570</v>
      </c>
      <c r="H36" s="2">
        <v>387</v>
      </c>
      <c r="J36" s="16" t="str">
        <f t="shared" si="0"/>
        <v>{ name: "Eutoum Shrine", landmark: "Shrine", type: "Proving Grounds", region: 4, level: "Surface", x: -3506, y: 3570, z: 387, details: `` },</v>
      </c>
      <c r="K36" s="11"/>
      <c r="L36" s="11"/>
    </row>
    <row r="37" spans="1:12" x14ac:dyDescent="0.2">
      <c r="A37" s="1" t="s">
        <v>1934</v>
      </c>
      <c r="B37" s="1" t="s">
        <v>2087</v>
      </c>
      <c r="C37" s="2" t="s">
        <v>800</v>
      </c>
      <c r="D37" s="2">
        <v>4</v>
      </c>
      <c r="E37" t="s">
        <v>785</v>
      </c>
      <c r="F37" s="2">
        <v>-3650</v>
      </c>
      <c r="G37" s="2">
        <v>1805</v>
      </c>
      <c r="H37" s="2">
        <v>168</v>
      </c>
      <c r="J37" s="16" t="str">
        <f t="shared" si="0"/>
        <v>{ name: "Gatakis Shrine", landmark: "Shrine", type: "Puzzle Trial", region: 4, level: "Surface", x: -3650, y: 1805, z: 168, details: `` },</v>
      </c>
      <c r="K37" s="11"/>
      <c r="L37" s="11"/>
    </row>
    <row r="38" spans="1:12" x14ac:dyDescent="0.2">
      <c r="A38" s="1" t="s">
        <v>1953</v>
      </c>
      <c r="B38" s="1" t="s">
        <v>2084</v>
      </c>
      <c r="C38" s="2" t="s">
        <v>800</v>
      </c>
      <c r="D38" s="2">
        <v>4</v>
      </c>
      <c r="E38" t="s">
        <v>785</v>
      </c>
      <c r="F38" s="2">
        <v>-4391</v>
      </c>
      <c r="G38" s="2">
        <v>3714</v>
      </c>
      <c r="H38" s="2">
        <v>212</v>
      </c>
      <c r="J38" s="16" t="str">
        <f t="shared" si="0"/>
        <v>{ name: "Otak Shrine", landmark: "Shrine", type: "Proving Grounds", region: 4, level: "Surface", x: -4391, y: 3714, z: 212, details: `` },</v>
      </c>
      <c r="K38" s="11"/>
      <c r="L38" s="11"/>
    </row>
    <row r="39" spans="1:12" x14ac:dyDescent="0.2">
      <c r="A39" s="1" t="s">
        <v>1969</v>
      </c>
      <c r="B39" s="1" t="s">
        <v>2085</v>
      </c>
      <c r="C39" s="2" t="s">
        <v>800</v>
      </c>
      <c r="D39" s="2">
        <v>4</v>
      </c>
      <c r="E39" t="s">
        <v>785</v>
      </c>
      <c r="F39" s="2">
        <v>-2996</v>
      </c>
      <c r="G39" s="2">
        <v>3102</v>
      </c>
      <c r="H39" s="2">
        <v>529</v>
      </c>
      <c r="I39" s="7" t="s">
        <v>4541</v>
      </c>
      <c r="J39" s="16" t="str">
        <f t="shared" si="0"/>
        <v>{ name: "Rutafu-um Shrine", landmark: "Shrine", type: "Rauru's Blessing", region: 4, level: "Surface", x: -2996, y: 3102, z: 529, details: `&lt;strong&gt;First:&lt;/strong&gt; Complete &lt;img src="icons/shrine-quest.png" style="height: 20px; width: 20px; vertical-align: middle; margin-right: 5px;"&gt;&lt;span style="color: #7cc9c2; font-weight: bold;"&gt;The Northwest Hebra Cave Crystal&lt;/span&gt; shrine quest` },</v>
      </c>
      <c r="K39" s="11"/>
      <c r="L39" s="11"/>
    </row>
    <row r="40" spans="1:12" x14ac:dyDescent="0.2">
      <c r="A40" s="1" t="s">
        <v>1950</v>
      </c>
      <c r="B40" s="1" t="s">
        <v>2087</v>
      </c>
      <c r="C40" s="2" t="s">
        <v>800</v>
      </c>
      <c r="D40" s="2">
        <v>4</v>
      </c>
      <c r="E40" t="s">
        <v>785</v>
      </c>
      <c r="F40" s="2">
        <v>-3355</v>
      </c>
      <c r="G40" s="2">
        <v>2387</v>
      </c>
      <c r="H40" s="2">
        <v>361</v>
      </c>
      <c r="J40" s="16" t="str">
        <f t="shared" si="0"/>
        <v>{ name: "Sahirow Shrine", landmark: "Shrine", type: "Puzzle Trial", region: 4, level: "Surface", x: -3355, y: 2387, z: 361, details: `` },</v>
      </c>
      <c r="K40" s="11"/>
      <c r="L40" s="11"/>
    </row>
    <row r="41" spans="1:12" x14ac:dyDescent="0.2">
      <c r="A41" s="1" t="s">
        <v>1977</v>
      </c>
      <c r="B41" s="1" t="s">
        <v>2085</v>
      </c>
      <c r="C41" s="2" t="s">
        <v>800</v>
      </c>
      <c r="D41" s="2">
        <v>4</v>
      </c>
      <c r="E41" t="s">
        <v>785</v>
      </c>
      <c r="F41" s="2">
        <v>-2559</v>
      </c>
      <c r="G41" s="2">
        <v>3353</v>
      </c>
      <c r="H41" s="2">
        <v>245</v>
      </c>
      <c r="I41" s="7" t="s">
        <v>4542</v>
      </c>
      <c r="J41" s="16" t="str">
        <f t="shared" si="0"/>
        <v>{ name: "Sisuran Shrine", landmark: "Shrine", type: "Rauru's Blessing", region: 4, level: "Surface", x: -2559, y: 3353, z: 245, details: `&lt;strong&gt;First:&lt;/strong&gt; Complete &lt;img src="icons/shrine-quest.png" style="height: 20px; width: 20px; vertical-align: middle; margin-right: 5px;"&gt;&lt;span style="color: #7cc9c2; font-weight: bold;"&gt;The North Hebra Mountains Crystal&lt;/span&gt; shrine quest` },</v>
      </c>
      <c r="K41" s="11"/>
      <c r="L41" s="11"/>
    </row>
    <row r="42" spans="1:12" x14ac:dyDescent="0.2">
      <c r="A42" s="1" t="s">
        <v>1938</v>
      </c>
      <c r="B42" s="1" t="s">
        <v>2087</v>
      </c>
      <c r="C42" s="2" t="s">
        <v>800</v>
      </c>
      <c r="D42" s="2">
        <v>4</v>
      </c>
      <c r="E42" t="s">
        <v>785</v>
      </c>
      <c r="F42" s="2">
        <v>-4539</v>
      </c>
      <c r="G42" s="2">
        <v>2881</v>
      </c>
      <c r="H42" s="2">
        <v>262</v>
      </c>
      <c r="J42" s="16" t="str">
        <f t="shared" si="0"/>
        <v>{ name: "Tauyosipun Shrine", landmark: "Shrine", type: "Puzzle Trial", region: 4, level: "Surface", x: -4539, y: 2881, z: 262, details: `` },</v>
      </c>
      <c r="K42" s="11"/>
      <c r="L42" s="11"/>
    </row>
    <row r="43" spans="1:12" x14ac:dyDescent="0.2">
      <c r="A43" s="1" t="s">
        <v>1931</v>
      </c>
      <c r="B43" s="1" t="s">
        <v>2087</v>
      </c>
      <c r="C43" s="2" t="s">
        <v>800</v>
      </c>
      <c r="D43" s="2">
        <v>4</v>
      </c>
      <c r="E43" t="s">
        <v>785</v>
      </c>
      <c r="F43" s="2">
        <v>-4059</v>
      </c>
      <c r="G43" s="2">
        <v>1991</v>
      </c>
      <c r="H43" s="2">
        <v>183</v>
      </c>
      <c r="I43" s="7" t="s">
        <v>4543</v>
      </c>
      <c r="J43" s="16" t="str">
        <f t="shared" si="0"/>
        <v>{ name: "Wao-os Shrine", landmark: "Shrine", type: "Puzzle Trial", region: 4, level: "Surface", x: -4059, y: 1991, z: 183, details: `&lt;strong&gt;First:&lt;/strong&gt; Complete &lt;img src="icons/shrine-quest.png" style="height: 20px; width: 20px; vertical-align: middle; margin-right: 5px;"&gt;&lt;span style="color: #7cc9c2; font-weight: bold;"&gt;The White Bird's Guidance&lt;/span&gt; shrine quest` },</v>
      </c>
      <c r="K43" s="11"/>
      <c r="L43" s="11"/>
    </row>
    <row r="44" spans="1:12" x14ac:dyDescent="0.2">
      <c r="A44" s="1" t="s">
        <v>1989</v>
      </c>
      <c r="B44" s="1" t="s">
        <v>2085</v>
      </c>
      <c r="C44" s="2" t="s">
        <v>1653</v>
      </c>
      <c r="D44" s="2">
        <v>5</v>
      </c>
      <c r="E44" t="s">
        <v>783</v>
      </c>
      <c r="F44" s="2">
        <v>-1800</v>
      </c>
      <c r="G44" s="2">
        <v>3406</v>
      </c>
      <c r="H44" s="2">
        <v>949</v>
      </c>
      <c r="J44" s="16" t="str">
        <f t="shared" si="0"/>
        <v>{ name: "Taninoud Shrine", landmark: "Shrine", type: "Rauru's Blessing", region: 5, level: "Sky", x: -1800, y: 3406, z: 949, details: `` },</v>
      </c>
      <c r="K44" s="11"/>
      <c r="L44" s="11"/>
    </row>
    <row r="45" spans="1:12" x14ac:dyDescent="0.2">
      <c r="A45" s="1" t="s">
        <v>2013</v>
      </c>
      <c r="B45" s="1" t="s">
        <v>2087</v>
      </c>
      <c r="C45" s="2" t="s">
        <v>1653</v>
      </c>
      <c r="D45" s="2">
        <v>5</v>
      </c>
      <c r="E45" t="s">
        <v>783</v>
      </c>
      <c r="F45" s="2">
        <v>-970</v>
      </c>
      <c r="G45" s="2">
        <v>3536</v>
      </c>
      <c r="H45" s="2">
        <v>1011</v>
      </c>
      <c r="J45" s="16" t="str">
        <f t="shared" si="0"/>
        <v>{ name: "Tenbez Shrine", landmark: "Shrine", type: "Puzzle Trial", region: 5, level: "Sky", x: -970, y: 3536, z: 1011, details: `` },</v>
      </c>
      <c r="K45" s="11"/>
      <c r="L45" s="11"/>
    </row>
    <row r="46" spans="1:12" x14ac:dyDescent="0.2">
      <c r="A46" s="1" t="s">
        <v>2006</v>
      </c>
      <c r="B46" s="1" t="s">
        <v>2085</v>
      </c>
      <c r="C46" s="2" t="s">
        <v>1653</v>
      </c>
      <c r="D46" s="2">
        <v>5</v>
      </c>
      <c r="E46" t="s">
        <v>785</v>
      </c>
      <c r="F46" s="2">
        <v>-823</v>
      </c>
      <c r="G46" s="2">
        <v>3535</v>
      </c>
      <c r="H46" s="2">
        <v>235</v>
      </c>
      <c r="J46" s="16" t="str">
        <f t="shared" si="0"/>
        <v>{ name: "Mayaotaki Shrine", landmark: "Shrine", type: "Rauru's Blessing", region: 5, level: "Surface", x: -823, y: 3535, z: 235, details: `` },</v>
      </c>
      <c r="K46" s="11"/>
      <c r="L46" s="11"/>
    </row>
    <row r="47" spans="1:12" x14ac:dyDescent="0.2">
      <c r="A47" s="1" t="s">
        <v>1986</v>
      </c>
      <c r="B47" s="1" t="s">
        <v>2087</v>
      </c>
      <c r="C47" s="2" t="s">
        <v>1653</v>
      </c>
      <c r="D47" s="2">
        <v>5</v>
      </c>
      <c r="E47" t="s">
        <v>785</v>
      </c>
      <c r="F47" s="2">
        <v>-1165</v>
      </c>
      <c r="G47" s="2">
        <v>2602</v>
      </c>
      <c r="H47" s="2">
        <v>86</v>
      </c>
      <c r="J47" s="16" t="str">
        <f t="shared" si="0"/>
        <v>{ name: "Mayausiy Shrine", landmark: "Shrine", type: "Puzzle Trial", region: 5, level: "Surface", x: -1165, y: 2602, z: 86, details: `` },</v>
      </c>
      <c r="K47" s="11"/>
      <c r="L47" s="11"/>
    </row>
    <row r="48" spans="1:12" x14ac:dyDescent="0.2">
      <c r="A48" s="1" t="s">
        <v>1963</v>
      </c>
      <c r="B48" s="1" t="s">
        <v>2084</v>
      </c>
      <c r="C48" s="2" t="s">
        <v>1653</v>
      </c>
      <c r="D48" s="2">
        <v>5</v>
      </c>
      <c r="E48" t="s">
        <v>785</v>
      </c>
      <c r="F48" s="2">
        <v>-2319</v>
      </c>
      <c r="G48" s="2">
        <v>2201</v>
      </c>
      <c r="H48" s="2">
        <v>173</v>
      </c>
      <c r="J48" s="16" t="str">
        <f t="shared" si="0"/>
        <v>{ name: "Nouda Shrine", landmark: "Shrine", type: "Proving Grounds", region: 5, level: "Surface", x: -2319, y: 2201, z: 173, details: `` },</v>
      </c>
      <c r="K48" s="11"/>
      <c r="L48" s="11"/>
    </row>
    <row r="49" spans="1:12" x14ac:dyDescent="0.2">
      <c r="A49" s="1" t="s">
        <v>1983</v>
      </c>
      <c r="B49" s="1" t="s">
        <v>2087</v>
      </c>
      <c r="C49" s="2" t="s">
        <v>1653</v>
      </c>
      <c r="D49" s="2">
        <v>5</v>
      </c>
      <c r="E49" t="s">
        <v>785</v>
      </c>
      <c r="F49" s="2">
        <v>-1638</v>
      </c>
      <c r="G49" s="2">
        <v>2643</v>
      </c>
      <c r="H49" s="2">
        <v>238</v>
      </c>
      <c r="J49" s="16" t="str">
        <f t="shared" si="0"/>
        <v>{ name: "Orochium Shrine", landmark: "Shrine", type: "Puzzle Trial", region: 5, level: "Surface", x: -1638, y: 2643, z: 238, details: `` },</v>
      </c>
      <c r="K49" s="11"/>
      <c r="L49" s="11"/>
    </row>
    <row r="50" spans="1:12" x14ac:dyDescent="0.2">
      <c r="A50" s="1" t="s">
        <v>1999</v>
      </c>
      <c r="B50" s="1" t="s">
        <v>2087</v>
      </c>
      <c r="C50" s="2" t="s">
        <v>1653</v>
      </c>
      <c r="D50" s="2">
        <v>5</v>
      </c>
      <c r="E50" t="s">
        <v>785</v>
      </c>
      <c r="F50" s="2">
        <v>-1404</v>
      </c>
      <c r="G50" s="2">
        <v>3677</v>
      </c>
      <c r="H50" s="2">
        <v>288</v>
      </c>
      <c r="J50" s="16" t="str">
        <f t="shared" si="0"/>
        <v>{ name: "Oshozan-u Shrine", landmark: "Shrine", type: "Puzzle Trial", region: 5, level: "Surface", x: -1404, y: 3677, z: 288, details: `` },</v>
      </c>
      <c r="K50" s="11"/>
      <c r="L50" s="11"/>
    </row>
    <row r="51" spans="1:12" x14ac:dyDescent="0.2">
      <c r="A51" s="1" t="s">
        <v>2009</v>
      </c>
      <c r="B51" s="1" t="s">
        <v>2085</v>
      </c>
      <c r="C51" s="2" t="s">
        <v>789</v>
      </c>
      <c r="D51" s="2">
        <v>6</v>
      </c>
      <c r="E51" t="s">
        <v>783</v>
      </c>
      <c r="F51" s="2">
        <v>341</v>
      </c>
      <c r="G51" s="2">
        <v>2814</v>
      </c>
      <c r="H51" s="2">
        <v>1821</v>
      </c>
      <c r="I51" s="7" t="s">
        <v>4544</v>
      </c>
      <c r="J51" s="16" t="str">
        <f t="shared" si="0"/>
        <v>{ name: "Mayam Shrine", landmark: "Shrine", type: "Rauru's Blessing", region: 6, level: "Sky", x: 341, y: 2814, z: 1821, details: `&lt;strong&gt;First:&lt;/strong&gt; Complete &lt;img src="icons/shrine-quest.png" style="height: 20px; width: 20px; vertical-align: middle; margin-right: 5px;"&gt;&lt;span style="color: #7cc9c2; font-weight: bold;"&gt;The North Hyrule Sky Crystal&lt;/span&gt; shrine quest` },</v>
      </c>
      <c r="K51" s="11"/>
      <c r="L51" s="11"/>
    </row>
    <row r="52" spans="1:12" x14ac:dyDescent="0.2">
      <c r="A52" s="1" t="s">
        <v>1996</v>
      </c>
      <c r="B52" s="1" t="s">
        <v>2084</v>
      </c>
      <c r="C52" s="2" t="s">
        <v>789</v>
      </c>
      <c r="D52" s="2">
        <v>6</v>
      </c>
      <c r="E52" t="s">
        <v>783</v>
      </c>
      <c r="F52" s="2">
        <v>163</v>
      </c>
      <c r="G52" s="2">
        <v>1973</v>
      </c>
      <c r="H52" s="2">
        <v>759</v>
      </c>
      <c r="J52" s="16" t="str">
        <f t="shared" si="0"/>
        <v>{ name: "Simosiwak Shrine", landmark: "Shrine", type: "Proving Grounds", region: 6, level: "Sky", x: 163, y: 1973, z: 759, details: `` },</v>
      </c>
      <c r="K52" s="11"/>
      <c r="L52" s="11"/>
    </row>
    <row r="53" spans="1:12" x14ac:dyDescent="0.2">
      <c r="A53" s="1" t="s">
        <v>2001</v>
      </c>
      <c r="B53" s="1" t="s">
        <v>2087</v>
      </c>
      <c r="C53" s="2" t="s">
        <v>789</v>
      </c>
      <c r="D53" s="2">
        <v>6</v>
      </c>
      <c r="E53" t="s">
        <v>785</v>
      </c>
      <c r="F53" s="2">
        <v>-395</v>
      </c>
      <c r="G53" s="2">
        <v>2736</v>
      </c>
      <c r="H53" s="2">
        <v>287</v>
      </c>
      <c r="J53" s="16" t="str">
        <f t="shared" si="0"/>
        <v>{ name: "Kikakin Shrine", landmark: "Shrine", type: "Puzzle Trial", region: 6, level: "Surface", x: -395, y: 2736, z: 287, details: `` },</v>
      </c>
      <c r="K53" s="11"/>
      <c r="L53" s="11"/>
    </row>
    <row r="54" spans="1:12" x14ac:dyDescent="0.2">
      <c r="A54" s="1" t="s">
        <v>2030</v>
      </c>
      <c r="B54" s="1" t="s">
        <v>2087</v>
      </c>
      <c r="C54" s="2" t="s">
        <v>789</v>
      </c>
      <c r="D54" s="2">
        <v>6</v>
      </c>
      <c r="E54" t="s">
        <v>785</v>
      </c>
      <c r="F54" s="2">
        <v>1270</v>
      </c>
      <c r="G54" s="2">
        <v>3733</v>
      </c>
      <c r="H54" s="2">
        <v>106</v>
      </c>
      <c r="J54" s="16" t="str">
        <f t="shared" si="0"/>
        <v>{ name: "Mayak Shrine", landmark: "Shrine", type: "Puzzle Trial", region: 6, level: "Surface", x: 1270, y: 3733, z: 106, details: `` },</v>
      </c>
      <c r="K54" s="11"/>
      <c r="L54" s="11"/>
    </row>
    <row r="55" spans="1:12" x14ac:dyDescent="0.2">
      <c r="A55" s="1" t="s">
        <v>2021</v>
      </c>
      <c r="B55" s="1" t="s">
        <v>2085</v>
      </c>
      <c r="C55" s="2" t="s">
        <v>789</v>
      </c>
      <c r="D55" s="2">
        <v>6</v>
      </c>
      <c r="E55" t="s">
        <v>785</v>
      </c>
      <c r="F55" s="2">
        <v>393</v>
      </c>
      <c r="G55" s="2">
        <v>3485</v>
      </c>
      <c r="H55" s="2">
        <v>68</v>
      </c>
      <c r="J55" s="16" t="str">
        <f t="shared" si="0"/>
        <v>{ name: "Minetak Shrine", landmark: "Shrine", type: "Rauru's Blessing", region: 6, level: "Surface", x: 393, y: 3485, z: 68, details: `` },</v>
      </c>
      <c r="K55" s="11"/>
      <c r="L55" s="11"/>
    </row>
    <row r="56" spans="1:12" x14ac:dyDescent="0.2">
      <c r="A56" s="1" t="s">
        <v>2004</v>
      </c>
      <c r="B56" s="1" t="s">
        <v>2087</v>
      </c>
      <c r="C56" s="2" t="s">
        <v>789</v>
      </c>
      <c r="D56" s="2">
        <v>6</v>
      </c>
      <c r="E56" t="s">
        <v>785</v>
      </c>
      <c r="F56" s="2">
        <v>408</v>
      </c>
      <c r="G56" s="2">
        <v>2133</v>
      </c>
      <c r="H56" s="2">
        <v>143</v>
      </c>
      <c r="J56" s="16" t="str">
        <f t="shared" si="0"/>
        <v>{ name: "Musanokir Shrine", landmark: "Shrine", type: "Puzzle Trial", region: 6, level: "Surface", x: 408, y: 2133, z: 143, details: `` },</v>
      </c>
      <c r="K56" s="11"/>
      <c r="L56" s="11"/>
    </row>
    <row r="57" spans="1:12" x14ac:dyDescent="0.2">
      <c r="A57" s="1" t="s">
        <v>1998</v>
      </c>
      <c r="B57" s="1" t="s">
        <v>2085</v>
      </c>
      <c r="C57" s="2" t="s">
        <v>789</v>
      </c>
      <c r="D57" s="2">
        <v>6</v>
      </c>
      <c r="E57" t="s">
        <v>785</v>
      </c>
      <c r="F57" s="2">
        <v>353</v>
      </c>
      <c r="G57" s="2">
        <v>1890</v>
      </c>
      <c r="H57" s="2">
        <v>178</v>
      </c>
      <c r="I57" s="7" t="s">
        <v>4545</v>
      </c>
      <c r="J57" s="16" t="str">
        <f t="shared" si="0"/>
        <v>{ name: "Ninjis Shrine", landmark: "Shrine", type: "Rauru's Blessing", region: 6, level: "Surface", x: 353, y: 1890, z: 178, details: `&lt;strong&gt;First:&lt;/strong&gt; Complete &lt;img src="icons/shrine-quest.png" style="height: 20px; width: 20px; vertical-align: middle; margin-right: 5px;"&gt;&lt;span style="color: #7cc9c2; font-weight: bold;"&gt;Maca's Special Place&lt;/span&gt; shrine quest` },</v>
      </c>
      <c r="K57" s="11"/>
      <c r="L57" s="11"/>
    </row>
    <row r="58" spans="1:12" x14ac:dyDescent="0.2">
      <c r="A58" s="1" t="s">
        <v>2007</v>
      </c>
      <c r="B58" s="1" t="s">
        <v>2085</v>
      </c>
      <c r="C58" s="2" t="s">
        <v>789</v>
      </c>
      <c r="D58" s="2">
        <v>6</v>
      </c>
      <c r="E58" t="s">
        <v>785</v>
      </c>
      <c r="F58" s="2">
        <v>619</v>
      </c>
      <c r="G58" s="2">
        <v>2211</v>
      </c>
      <c r="H58" s="2">
        <v>164</v>
      </c>
      <c r="I58" s="7" t="s">
        <v>4546</v>
      </c>
      <c r="J58" s="16" t="str">
        <f t="shared" si="0"/>
        <v>{ name: "Pupunke Shrine", landmark: "Shrine", type: "Rauru's Blessing", region: 6, level: "Surface", x: 619, y: 2211, z: 164, details: `&lt;strong&gt;First:&lt;/strong&gt; Complete &lt;img src="icons/shrine-quest.png" style="height: 20px; width: 20px; vertical-align: middle; margin-right: 5px;"&gt;&lt;span style="color: #7cc9c2; font-weight: bold;"&gt;A Pretty Stone and Five Golden Apples&lt;/span&gt; shrine quest` },</v>
      </c>
      <c r="K58" s="11"/>
      <c r="L58" s="11"/>
    </row>
    <row r="59" spans="1:12" x14ac:dyDescent="0.2">
      <c r="A59" s="1" t="s">
        <v>2003</v>
      </c>
      <c r="B59" s="1" t="s">
        <v>2085</v>
      </c>
      <c r="C59" s="2" t="s">
        <v>789</v>
      </c>
      <c r="D59" s="2">
        <v>6</v>
      </c>
      <c r="E59" t="s">
        <v>785</v>
      </c>
      <c r="F59" s="2">
        <v>166</v>
      </c>
      <c r="G59" s="2">
        <v>2319</v>
      </c>
      <c r="H59" s="2">
        <v>178</v>
      </c>
      <c r="I59" s="7" t="s">
        <v>4547</v>
      </c>
      <c r="J59" s="16" t="str">
        <f t="shared" si="0"/>
        <v>{ name: "Sakunbomar Shrine", landmark: "Shrine", type: "Rauru's Blessing", region: 6, level: "Surface", x: 166, y: 2319, z: 178, details: `&lt;strong&gt;First:&lt;/strong&gt; Complete &lt;img src="icons/shrine-quest.png" style="height: 20px; width: 20px; vertical-align: middle; margin-right: 5px;"&gt;&lt;span style="color: #7cc9c2; font-weight: bold;"&gt;None Shall Pass&lt;/span&gt; shrine quest` },</v>
      </c>
      <c r="K59" s="11"/>
      <c r="L59" s="11"/>
    </row>
    <row r="60" spans="1:12" x14ac:dyDescent="0.2">
      <c r="A60" s="1" t="s">
        <v>2014</v>
      </c>
      <c r="B60" s="1" t="s">
        <v>2087</v>
      </c>
      <c r="C60" s="2" t="s">
        <v>789</v>
      </c>
      <c r="D60" s="2">
        <v>6</v>
      </c>
      <c r="E60" t="s">
        <v>785</v>
      </c>
      <c r="F60" s="2">
        <v>700</v>
      </c>
      <c r="G60" s="2">
        <v>2793</v>
      </c>
      <c r="H60" s="2">
        <v>225</v>
      </c>
      <c r="J60" s="16" t="str">
        <f t="shared" si="0"/>
        <v>{ name: "Sikukuu Shrine", landmark: "Shrine", type: "Puzzle Trial", region: 6, level: "Surface", x: 700, y: 2793, z: 225, details: `` },</v>
      </c>
      <c r="K60" s="11"/>
      <c r="L60" s="11"/>
    </row>
    <row r="61" spans="1:12" x14ac:dyDescent="0.2">
      <c r="A61" s="1" t="s">
        <v>1980</v>
      </c>
      <c r="B61" s="1" t="s">
        <v>2085</v>
      </c>
      <c r="C61" s="2" t="s">
        <v>789</v>
      </c>
      <c r="D61" s="2">
        <v>6</v>
      </c>
      <c r="E61" t="s">
        <v>785</v>
      </c>
      <c r="F61" s="2">
        <v>-594</v>
      </c>
      <c r="G61" s="2">
        <v>1551</v>
      </c>
      <c r="H61" s="2">
        <v>-14</v>
      </c>
      <c r="J61" s="16" t="str">
        <f t="shared" si="0"/>
        <v>{ name: "Tenmaten Shrine", landmark: "Shrine", type: "Rauru's Blessing", region: 6, level: "Surface", x: -594, y: 1551, z: -14, details: `` },</v>
      </c>
      <c r="K61" s="11"/>
      <c r="L61" s="11"/>
    </row>
    <row r="62" spans="1:12" x14ac:dyDescent="0.2">
      <c r="A62" s="1" t="s">
        <v>2008</v>
      </c>
      <c r="B62" s="1" t="s">
        <v>2087</v>
      </c>
      <c r="C62" s="2" t="s">
        <v>1239</v>
      </c>
      <c r="D62" s="2">
        <v>7</v>
      </c>
      <c r="E62" t="s">
        <v>783</v>
      </c>
      <c r="F62" s="2">
        <v>1883</v>
      </c>
      <c r="G62" s="2">
        <v>1202</v>
      </c>
      <c r="H62" s="2">
        <v>1251</v>
      </c>
      <c r="J62" s="16" t="str">
        <f t="shared" si="0"/>
        <v>{ name: "Kadaunar Shrine", landmark: "Shrine", type: "Puzzle Trial", region: 7, level: "Sky", x: 1883, y: 1202, z: 1251, details: `` },</v>
      </c>
      <c r="K62" s="11"/>
      <c r="L62" s="11"/>
    </row>
    <row r="63" spans="1:12" x14ac:dyDescent="0.2">
      <c r="A63" s="1" t="s">
        <v>2000</v>
      </c>
      <c r="B63" s="1" t="s">
        <v>2087</v>
      </c>
      <c r="C63" s="2" t="s">
        <v>1239</v>
      </c>
      <c r="D63" s="2">
        <v>7</v>
      </c>
      <c r="E63" t="s">
        <v>785</v>
      </c>
      <c r="F63" s="2">
        <v>1059</v>
      </c>
      <c r="G63" s="2">
        <v>1276</v>
      </c>
      <c r="H63" s="2">
        <v>45</v>
      </c>
      <c r="J63" s="16" t="str">
        <f t="shared" si="0"/>
        <v>{ name: "Ekochiu Shrine", landmark: "Shrine", type: "Puzzle Trial", region: 7, level: "Surface", x: 1059, y: 1276, z: 45, details: `` },</v>
      </c>
      <c r="K63" s="11"/>
      <c r="L63" s="11"/>
    </row>
    <row r="64" spans="1:12" x14ac:dyDescent="0.2">
      <c r="A64" s="1" t="s">
        <v>2026</v>
      </c>
      <c r="B64" s="1" t="s">
        <v>2084</v>
      </c>
      <c r="C64" s="2" t="s">
        <v>1239</v>
      </c>
      <c r="D64" s="2">
        <v>7</v>
      </c>
      <c r="E64" t="s">
        <v>785</v>
      </c>
      <c r="F64" s="2">
        <v>1842</v>
      </c>
      <c r="G64" s="2">
        <v>2841</v>
      </c>
      <c r="H64" s="2">
        <v>363</v>
      </c>
      <c r="J64" s="16" t="str">
        <f t="shared" si="0"/>
        <v>{ name: "Isisim Shrine", landmark: "Shrine", type: "Proving Grounds", region: 7, level: "Surface", x: 1842, y: 2841, z: 363, details: `` },</v>
      </c>
      <c r="K64" s="11"/>
      <c r="L64" s="11"/>
    </row>
    <row r="65" spans="1:12" x14ac:dyDescent="0.2">
      <c r="A65" s="1" t="s">
        <v>2031</v>
      </c>
      <c r="B65" s="1" t="s">
        <v>2085</v>
      </c>
      <c r="C65" s="2" t="s">
        <v>1239</v>
      </c>
      <c r="D65" s="2">
        <v>7</v>
      </c>
      <c r="E65" t="s">
        <v>785</v>
      </c>
      <c r="F65" s="2">
        <v>1833</v>
      </c>
      <c r="G65" s="2">
        <v>3179</v>
      </c>
      <c r="H65" s="2">
        <v>257</v>
      </c>
      <c r="J65" s="16" t="str">
        <f t="shared" si="0"/>
        <v>{ name: "Jiotak Shrine", landmark: "Shrine", type: "Rauru's Blessing", region: 7, level: "Surface", x: 1833, y: 3179, z: 257, details: `` },</v>
      </c>
      <c r="K65" s="11"/>
      <c r="L65" s="11"/>
    </row>
    <row r="66" spans="1:12" x14ac:dyDescent="0.2">
      <c r="A66" s="1" t="s">
        <v>2039</v>
      </c>
      <c r="B66" s="1" t="s">
        <v>2084</v>
      </c>
      <c r="C66" s="2" t="s">
        <v>1239</v>
      </c>
      <c r="D66" s="2">
        <v>7</v>
      </c>
      <c r="E66" t="s">
        <v>785</v>
      </c>
      <c r="F66" s="2">
        <v>2863</v>
      </c>
      <c r="G66" s="2">
        <v>3637</v>
      </c>
      <c r="H66" s="2">
        <v>239</v>
      </c>
      <c r="J66" s="16" t="str">
        <f t="shared" si="0"/>
        <v>{ name: "Kimayat Shrine", landmark: "Shrine", type: "Proving Grounds", region: 7, level: "Surface", x: 2863, y: 3637, z: 239, details: `` },</v>
      </c>
      <c r="K66" s="11"/>
      <c r="L66" s="11"/>
    </row>
    <row r="67" spans="1:12" x14ac:dyDescent="0.2">
      <c r="A67" s="1" t="s">
        <v>2020</v>
      </c>
      <c r="B67" s="1" t="s">
        <v>2087</v>
      </c>
      <c r="C67" s="2" t="s">
        <v>1239</v>
      </c>
      <c r="D67" s="2">
        <v>7</v>
      </c>
      <c r="E67" t="s">
        <v>785</v>
      </c>
      <c r="F67" s="2">
        <v>2567</v>
      </c>
      <c r="G67" s="2">
        <v>1245</v>
      </c>
      <c r="H67" s="2">
        <v>173</v>
      </c>
      <c r="J67" s="16" t="str">
        <f t="shared" ref="J67:J130" si="1">"{ name: "&amp;CHAR(34)&amp;A67&amp;CHAR(34)&amp;", landmark: "&amp;CHAR(34)&amp;"Shrine"&amp;CHAR(34)&amp;", type: "&amp;CHAR(34)&amp;B67&amp;CHAR(34)&amp;", region: "&amp;D67&amp;", level: "&amp;CHAR(34)&amp;E67&amp;CHAR(34)&amp;", x: "&amp;F67&amp;", y: "&amp;G67&amp;", z: "&amp;H67&amp;", details: `"&amp;I67&amp;"` },"</f>
        <v>{ name: "Kisinona Shrine", landmark: "Shrine", type: "Puzzle Trial", region: 7, level: "Surface", x: 2567, y: 1245, z: 173, details: `` },</v>
      </c>
      <c r="K67" s="11"/>
      <c r="L67" s="11"/>
    </row>
    <row r="68" spans="1:12" x14ac:dyDescent="0.2">
      <c r="A68" s="1" t="s">
        <v>2023</v>
      </c>
      <c r="B68" s="1" t="s">
        <v>2087</v>
      </c>
      <c r="C68" s="2" t="s">
        <v>1239</v>
      </c>
      <c r="D68" s="2">
        <v>7</v>
      </c>
      <c r="E68" t="s">
        <v>785</v>
      </c>
      <c r="F68" s="2">
        <v>1761</v>
      </c>
      <c r="G68" s="2">
        <v>2508</v>
      </c>
      <c r="H68" s="2">
        <v>437</v>
      </c>
      <c r="J68" s="16" t="str">
        <f t="shared" si="1"/>
        <v>{ name: "Marakuguc Shrine", landmark: "Shrine", type: "Puzzle Trial", region: 7, level: "Surface", x: 1761, y: 2508, z: 437, details: `` },</v>
      </c>
      <c r="K68" s="11"/>
      <c r="L68" s="11"/>
    </row>
    <row r="69" spans="1:12" x14ac:dyDescent="0.2">
      <c r="A69" s="1" t="s">
        <v>2037</v>
      </c>
      <c r="B69" s="1" t="s">
        <v>2085</v>
      </c>
      <c r="C69" s="2" t="s">
        <v>1239</v>
      </c>
      <c r="D69" s="2">
        <v>7</v>
      </c>
      <c r="E69" t="s">
        <v>785</v>
      </c>
      <c r="F69" s="2">
        <v>2959</v>
      </c>
      <c r="G69" s="2">
        <v>2758</v>
      </c>
      <c r="H69" s="2">
        <v>524</v>
      </c>
      <c r="I69" s="7" t="s">
        <v>4548</v>
      </c>
      <c r="J69" s="16" t="str">
        <f t="shared" si="1"/>
        <v>{ name: "Momosik Shrine", landmark: "Shrine", type: "Rauru's Blessing", region: 7, level: "Surface", x: 2959, y: 2758, z: 524, details: `&lt;strong&gt;First:&lt;/strong&gt; Complete &lt;img src="icons/shrine-quest.png" style="height: 20px; width: 20px; vertical-align: middle; margin-right: 5px;"&gt;&lt;span style="color: #7cc9c2; font-weight: bold;"&gt;The Death Caldera Crystal&lt;/span&gt; shrine quest` },</v>
      </c>
      <c r="K69" s="11"/>
      <c r="L69" s="11"/>
    </row>
    <row r="70" spans="1:12" x14ac:dyDescent="0.2">
      <c r="A70" s="1" t="s">
        <v>2025</v>
      </c>
      <c r="B70" s="1" t="s">
        <v>2085</v>
      </c>
      <c r="C70" s="2" t="s">
        <v>1239</v>
      </c>
      <c r="D70" s="2">
        <v>7</v>
      </c>
      <c r="E70" t="s">
        <v>785</v>
      </c>
      <c r="F70" s="2">
        <v>2678</v>
      </c>
      <c r="G70" s="2">
        <v>1905</v>
      </c>
      <c r="H70" s="2">
        <v>131</v>
      </c>
      <c r="I70" s="7" t="s">
        <v>4549</v>
      </c>
      <c r="J70" s="16" t="str">
        <f t="shared" si="1"/>
        <v>{ name: "Moshapin Shrine", landmark: "Shrine", type: "Rauru's Blessing", region: 7, level: "Surface", x: 2678, y: 1905, z: 131, details: `&lt;strong&gt;First:&lt;/strong&gt; Complete &lt;img src="icons/shrine-quest.png" style="height: 20px; width: 20px; vertical-align: middle; margin-right: 5px;"&gt;&lt;span style="color: #7cc9c2; font-weight: bold;"&gt;The Lake Intenoch Cave Crystal&lt;/span&gt; shrine quest` },</v>
      </c>
      <c r="K70" s="11"/>
      <c r="L70" s="11"/>
    </row>
    <row r="71" spans="1:12" x14ac:dyDescent="0.2">
      <c r="A71" s="1" t="s">
        <v>2036</v>
      </c>
      <c r="B71" s="1" t="s">
        <v>2087</v>
      </c>
      <c r="C71" s="2" t="s">
        <v>1239</v>
      </c>
      <c r="D71" s="2">
        <v>7</v>
      </c>
      <c r="E71" t="s">
        <v>785</v>
      </c>
      <c r="F71" s="2">
        <v>2401</v>
      </c>
      <c r="G71" s="2">
        <v>3273</v>
      </c>
      <c r="H71" s="2">
        <v>402</v>
      </c>
      <c r="J71" s="16" t="str">
        <f t="shared" si="1"/>
        <v>{ name: "Sibajitak Shrine", landmark: "Shrine", type: "Puzzle Trial", region: 7, level: "Surface", x: 2401, y: 3273, z: 402, details: `` },</v>
      </c>
      <c r="K71" s="11"/>
      <c r="L71" s="11"/>
    </row>
    <row r="72" spans="1:12" x14ac:dyDescent="0.2">
      <c r="A72" s="1" t="s">
        <v>2029</v>
      </c>
      <c r="B72" s="1" t="s">
        <v>2087</v>
      </c>
      <c r="C72" s="2" t="s">
        <v>1239</v>
      </c>
      <c r="D72" s="2">
        <v>7</v>
      </c>
      <c r="E72" t="s">
        <v>785</v>
      </c>
      <c r="F72" s="2">
        <v>2367</v>
      </c>
      <c r="G72" s="2">
        <v>2598</v>
      </c>
      <c r="H72" s="2">
        <v>790</v>
      </c>
      <c r="J72" s="16" t="str">
        <f t="shared" si="1"/>
        <v>{ name: "Sitsum Shrine", landmark: "Shrine", type: "Puzzle Trial", region: 7, level: "Surface", x: 2367, y: 2598, z: 790, details: `` },</v>
      </c>
      <c r="K72" s="11"/>
      <c r="L72" s="11"/>
    </row>
    <row r="73" spans="1:12" x14ac:dyDescent="0.2">
      <c r="A73" s="1" t="s">
        <v>2011</v>
      </c>
      <c r="B73" s="1" t="s">
        <v>2087</v>
      </c>
      <c r="C73" s="2" t="s">
        <v>1239</v>
      </c>
      <c r="D73" s="2">
        <v>7</v>
      </c>
      <c r="E73" t="s">
        <v>785</v>
      </c>
      <c r="F73" s="2">
        <v>1798</v>
      </c>
      <c r="G73" s="2">
        <v>1639</v>
      </c>
      <c r="H73" s="2">
        <v>311</v>
      </c>
      <c r="J73" s="16" t="str">
        <f t="shared" si="1"/>
        <v>{ name: "Timawak Shrine", landmark: "Shrine", type: "Puzzle Trial", region: 7, level: "Surface", x: 1798, y: 1639, z: 311, details: `` },</v>
      </c>
      <c r="K73" s="11"/>
      <c r="L73" s="11"/>
    </row>
    <row r="74" spans="1:12" x14ac:dyDescent="0.2">
      <c r="A74" s="1" t="s">
        <v>2041</v>
      </c>
      <c r="B74" s="1" t="s">
        <v>2085</v>
      </c>
      <c r="C74" s="2" t="s">
        <v>1103</v>
      </c>
      <c r="D74" s="2">
        <v>8</v>
      </c>
      <c r="E74" t="s">
        <v>783</v>
      </c>
      <c r="F74" s="2">
        <v>4506</v>
      </c>
      <c r="G74" s="2">
        <v>2164</v>
      </c>
      <c r="H74" s="2">
        <v>1155</v>
      </c>
      <c r="I74" s="7" t="s">
        <v>4550</v>
      </c>
      <c r="J74" s="16" t="str">
        <f t="shared" si="1"/>
        <v>{ name: "Gikaku Shrine", landmark: "Shrine", type: "Rauru's Blessing", region: 8, level: "Sky", x: 4506, y: 2164, z: 1155, details: `&lt;strong&gt;First:&lt;/strong&gt; Complete &lt;img src="icons/shrine-quest.png" style="height: 20px; width: 20px; vertical-align: middle; margin-right: 5px;"&gt;&lt;span style="color: #7cc9c2; font-weight: bold;"&gt;The Sky Mine Crystal&lt;/span&gt; shrine quest` },</v>
      </c>
      <c r="K74" s="11"/>
      <c r="L74" s="11"/>
    </row>
    <row r="75" spans="1:12" x14ac:dyDescent="0.2">
      <c r="A75" s="1" t="s">
        <v>2043</v>
      </c>
      <c r="B75" s="1" t="s">
        <v>2087</v>
      </c>
      <c r="C75" s="2" t="s">
        <v>1103</v>
      </c>
      <c r="D75" s="2">
        <v>8</v>
      </c>
      <c r="E75" t="s">
        <v>783</v>
      </c>
      <c r="F75" s="2">
        <v>4655</v>
      </c>
      <c r="G75" s="2">
        <v>3501</v>
      </c>
      <c r="H75" s="2">
        <v>1010</v>
      </c>
      <c r="J75" s="16" t="str">
        <f t="shared" si="1"/>
        <v>{ name: "Mogisari Shrine", landmark: "Shrine", type: "Puzzle Trial", region: 8, level: "Sky", x: 4655, y: 3501, z: 1010, details: `` },</v>
      </c>
      <c r="K75" s="11"/>
      <c r="L75" s="11"/>
    </row>
    <row r="76" spans="1:12" x14ac:dyDescent="0.2">
      <c r="A76" s="1" t="s">
        <v>2033</v>
      </c>
      <c r="B76" s="1" t="s">
        <v>2085</v>
      </c>
      <c r="C76" s="2" t="s">
        <v>1103</v>
      </c>
      <c r="D76" s="2">
        <v>8</v>
      </c>
      <c r="E76" t="s">
        <v>783</v>
      </c>
      <c r="F76" s="2">
        <v>3669</v>
      </c>
      <c r="G76" s="2">
        <v>1488</v>
      </c>
      <c r="H76" s="2">
        <v>1157</v>
      </c>
      <c r="I76" s="7" t="s">
        <v>4551</v>
      </c>
      <c r="J76" s="16" t="str">
        <f t="shared" si="1"/>
        <v>{ name: "Natak Shrine", landmark: "Shrine", type: "Rauru's Blessing", region: 8, level: "Sky", x: 3669, y: 1488, z: 1157, details: `&lt;strong&gt;First:&lt;/strong&gt; Complete &lt;img src="icons/shrine-quest.png" style="height: 20px; width: 20px; vertical-align: middle; margin-right: 5px;"&gt;&lt;span style="color: #7cc9c2; font-weight: bold;"&gt;The Sokkala Sky Crystal&lt;/span&gt; shrine quest` },</v>
      </c>
      <c r="K76" s="11"/>
      <c r="L76" s="11"/>
    </row>
    <row r="77" spans="1:12" x14ac:dyDescent="0.2">
      <c r="A77" s="1" t="s">
        <v>2027</v>
      </c>
      <c r="B77" s="1" t="s">
        <v>2087</v>
      </c>
      <c r="C77" s="2" t="s">
        <v>1103</v>
      </c>
      <c r="D77" s="2">
        <v>8</v>
      </c>
      <c r="E77" t="s">
        <v>785</v>
      </c>
      <c r="F77" s="2">
        <v>3305</v>
      </c>
      <c r="G77" s="2">
        <v>1443</v>
      </c>
      <c r="H77" s="2">
        <v>426</v>
      </c>
      <c r="J77" s="16" t="str">
        <f t="shared" si="1"/>
        <v>{ name: "Domizuin Shrine", landmark: "Shrine", type: "Puzzle Trial", region: 8, level: "Surface", x: 3305, y: 1443, z: 426, details: `` },</v>
      </c>
      <c r="K77" s="11"/>
      <c r="L77" s="11"/>
    </row>
    <row r="78" spans="1:12" x14ac:dyDescent="0.2">
      <c r="A78" s="1" t="s">
        <v>2040</v>
      </c>
      <c r="B78" s="1" t="s">
        <v>2087</v>
      </c>
      <c r="C78" s="2" t="s">
        <v>1103</v>
      </c>
      <c r="D78" s="2">
        <v>8</v>
      </c>
      <c r="E78" t="s">
        <v>785</v>
      </c>
      <c r="F78" s="2">
        <v>4513</v>
      </c>
      <c r="G78" s="2">
        <v>2116</v>
      </c>
      <c r="H78" s="2">
        <v>1</v>
      </c>
      <c r="J78" s="16" t="str">
        <f t="shared" si="1"/>
        <v>{ name: "Gemimik Shrine", landmark: "Shrine", type: "Puzzle Trial", region: 8, level: "Surface", x: 4513, y: 2116, z: 1, details: `` },</v>
      </c>
      <c r="K78" s="11"/>
      <c r="L78" s="11"/>
    </row>
    <row r="79" spans="1:12" x14ac:dyDescent="0.2">
      <c r="A79" s="1" t="s">
        <v>2046</v>
      </c>
      <c r="B79" s="1" t="s">
        <v>2085</v>
      </c>
      <c r="C79" s="2" t="s">
        <v>1103</v>
      </c>
      <c r="D79" s="2">
        <v>8</v>
      </c>
      <c r="E79" t="s">
        <v>785</v>
      </c>
      <c r="F79" s="2">
        <v>4653</v>
      </c>
      <c r="G79" s="2">
        <v>3702</v>
      </c>
      <c r="H79" s="2">
        <v>131</v>
      </c>
      <c r="J79" s="16" t="str">
        <f t="shared" si="1"/>
        <v>{ name: "Igashuk Shrine", landmark: "Shrine", type: "Rauru's Blessing", region: 8, level: "Surface", x: 4653, y: 3702, z: 131, details: `` },</v>
      </c>
      <c r="K79" s="11"/>
      <c r="L79" s="11"/>
    </row>
    <row r="80" spans="1:12" x14ac:dyDescent="0.2">
      <c r="A80" s="1" t="s">
        <v>2032</v>
      </c>
      <c r="B80" s="1" t="s">
        <v>2085</v>
      </c>
      <c r="C80" s="2" t="s">
        <v>1103</v>
      </c>
      <c r="D80" s="2">
        <v>8</v>
      </c>
      <c r="E80" t="s">
        <v>785</v>
      </c>
      <c r="F80" s="2">
        <v>3809</v>
      </c>
      <c r="G80" s="2">
        <v>1219</v>
      </c>
      <c r="H80" s="2">
        <v>90</v>
      </c>
      <c r="I80" s="7" t="s">
        <v>4552</v>
      </c>
      <c r="J80" s="16" t="str">
        <f t="shared" si="1"/>
        <v>{ name: "Jochi-ihiga Shrine", landmark: "Shrine", type: "Rauru's Blessing", region: 8, level: "Surface", x: 3809, y: 1219, z: 90, details: `&lt;strong&gt;First:&lt;/strong&gt; Complete &lt;img src="icons/shrine-quest.png" style="height: 20px; width: 20px; vertical-align: middle; margin-right: 5px;"&gt;&lt;span style="color: #7cc9c2; font-weight: bold;"&gt;Rock for Sale&lt;/span&gt; shrine quest` },</v>
      </c>
      <c r="K80" s="11"/>
      <c r="L80" s="11"/>
    </row>
    <row r="81" spans="1:12" x14ac:dyDescent="0.2">
      <c r="A81" s="1" t="s">
        <v>2044</v>
      </c>
      <c r="B81" s="1" t="s">
        <v>2087</v>
      </c>
      <c r="C81" s="2" t="s">
        <v>1103</v>
      </c>
      <c r="D81" s="2">
        <v>8</v>
      </c>
      <c r="E81" t="s">
        <v>785</v>
      </c>
      <c r="F81" s="2">
        <v>4346</v>
      </c>
      <c r="G81" s="2">
        <v>2875</v>
      </c>
      <c r="H81" s="2">
        <v>164</v>
      </c>
      <c r="J81" s="16" t="str">
        <f t="shared" si="1"/>
        <v>{ name: "Jochi-iu Shrine", landmark: "Shrine", type: "Puzzle Trial", region: 8, level: "Surface", x: 4346, y: 2875, z: 164, details: `` },</v>
      </c>
      <c r="K81" s="11"/>
      <c r="L81" s="11"/>
    </row>
    <row r="82" spans="1:12" x14ac:dyDescent="0.2">
      <c r="A82" s="1" t="s">
        <v>2042</v>
      </c>
      <c r="B82" s="1" t="s">
        <v>2087</v>
      </c>
      <c r="C82" s="2" t="s">
        <v>1103</v>
      </c>
      <c r="D82" s="2">
        <v>8</v>
      </c>
      <c r="E82" t="s">
        <v>785</v>
      </c>
      <c r="F82" s="2">
        <v>3431</v>
      </c>
      <c r="G82" s="2">
        <v>3355</v>
      </c>
      <c r="H82" s="2">
        <v>70</v>
      </c>
      <c r="J82" s="16" t="str">
        <f t="shared" si="1"/>
        <v>{ name: "Kamatukis Shrine", landmark: "Shrine", type: "Puzzle Trial", region: 8, level: "Surface", x: 3431, y: 3355, z: 70, details: `` },</v>
      </c>
      <c r="K82" s="11"/>
      <c r="L82" s="11"/>
    </row>
    <row r="83" spans="1:12" x14ac:dyDescent="0.2">
      <c r="A83" s="1" t="s">
        <v>2028</v>
      </c>
      <c r="B83" s="1" t="s">
        <v>2084</v>
      </c>
      <c r="C83" s="2" t="s">
        <v>1103</v>
      </c>
      <c r="D83" s="2">
        <v>8</v>
      </c>
      <c r="E83" t="s">
        <v>785</v>
      </c>
      <c r="F83" s="2">
        <v>3061</v>
      </c>
      <c r="G83" s="2">
        <v>1823</v>
      </c>
      <c r="H83" s="2">
        <v>216</v>
      </c>
      <c r="J83" s="16" t="str">
        <f t="shared" si="1"/>
        <v>{ name: "Mayachideg Shrine", landmark: "Shrine", type: "Proving Grounds", region: 8, level: "Surface", x: 3061, y: 1823, z: 216, details: `` },</v>
      </c>
      <c r="K83" s="11"/>
      <c r="L83" s="11"/>
    </row>
    <row r="84" spans="1:12" x14ac:dyDescent="0.2">
      <c r="A84" s="1" t="s">
        <v>2045</v>
      </c>
      <c r="B84" s="1" t="s">
        <v>2087</v>
      </c>
      <c r="C84" s="2" t="s">
        <v>1103</v>
      </c>
      <c r="D84" s="2">
        <v>8</v>
      </c>
      <c r="E84" t="s">
        <v>785</v>
      </c>
      <c r="F84" s="2">
        <v>4664</v>
      </c>
      <c r="G84" s="2">
        <v>3262</v>
      </c>
      <c r="H84" s="2">
        <v>2</v>
      </c>
      <c r="J84" s="16" t="str">
        <f t="shared" si="1"/>
        <v>{ name: "Rasiwak Shrine", landmark: "Shrine", type: "Puzzle Trial", region: 8, level: "Surface", x: 4664, y: 3262, z: 2, details: `` },</v>
      </c>
      <c r="K84" s="11"/>
      <c r="L84" s="11"/>
    </row>
    <row r="85" spans="1:12" x14ac:dyDescent="0.2">
      <c r="A85" s="1" t="s">
        <v>2038</v>
      </c>
      <c r="B85" s="1" t="s">
        <v>2086</v>
      </c>
      <c r="C85" s="2" t="s">
        <v>1103</v>
      </c>
      <c r="D85" s="2">
        <v>8</v>
      </c>
      <c r="E85" t="s">
        <v>785</v>
      </c>
      <c r="F85" s="2">
        <v>3839</v>
      </c>
      <c r="G85" s="2">
        <v>2301</v>
      </c>
      <c r="H85" s="2">
        <v>48</v>
      </c>
      <c r="J85" s="16" t="str">
        <f t="shared" si="1"/>
        <v>{ name: "Sinatanika Shrine", landmark: "Shrine", type: "Combat Training", region: 8, level: "Surface", x: 3839, y: 2301, z: 48, details: `` },</v>
      </c>
      <c r="K85" s="11"/>
      <c r="L85" s="11"/>
    </row>
    <row r="86" spans="1:12" x14ac:dyDescent="0.2">
      <c r="A86" s="1" t="s">
        <v>2022</v>
      </c>
      <c r="B86" s="1" t="s">
        <v>2087</v>
      </c>
      <c r="C86" s="2" t="s">
        <v>801</v>
      </c>
      <c r="D86" s="2">
        <v>9</v>
      </c>
      <c r="E86" t="s">
        <v>783</v>
      </c>
      <c r="F86" s="2">
        <v>3480</v>
      </c>
      <c r="G86" s="2">
        <v>664</v>
      </c>
      <c r="H86" s="2">
        <v>1325</v>
      </c>
      <c r="J86" s="16" t="str">
        <f t="shared" si="1"/>
        <v>{ name: "Igoshon Shrine", landmark: "Shrine", type: "Puzzle Trial", region: 9, level: "Sky", x: 3480, y: 664, z: 1325, details: `` },</v>
      </c>
      <c r="K86" s="11"/>
      <c r="L86" s="11"/>
    </row>
    <row r="87" spans="1:12" x14ac:dyDescent="0.2">
      <c r="A87" s="1" t="s">
        <v>2012</v>
      </c>
      <c r="B87" s="1" t="s">
        <v>2087</v>
      </c>
      <c r="C87" s="2" t="s">
        <v>801</v>
      </c>
      <c r="D87" s="2">
        <v>9</v>
      </c>
      <c r="E87" t="s">
        <v>783</v>
      </c>
      <c r="F87" s="2">
        <v>2916</v>
      </c>
      <c r="G87" s="2">
        <v>533</v>
      </c>
      <c r="H87" s="2">
        <v>951</v>
      </c>
      <c r="J87" s="16" t="str">
        <f t="shared" si="1"/>
        <v>{ name: "Jirutagumac Shrine", landmark: "Shrine", type: "Puzzle Trial", region: 9, level: "Sky", x: 2916, y: 533, z: 951, details: `` },</v>
      </c>
      <c r="K87" s="11"/>
      <c r="L87" s="11"/>
    </row>
    <row r="88" spans="1:12" x14ac:dyDescent="0.2">
      <c r="A88" s="1" t="s">
        <v>2017</v>
      </c>
      <c r="B88" s="1" t="s">
        <v>2087</v>
      </c>
      <c r="C88" s="2" t="s">
        <v>801</v>
      </c>
      <c r="D88" s="2">
        <v>9</v>
      </c>
      <c r="E88" t="s">
        <v>785</v>
      </c>
      <c r="F88" s="2">
        <v>3887</v>
      </c>
      <c r="G88" s="2">
        <v>-217</v>
      </c>
      <c r="H88" s="2">
        <v>163</v>
      </c>
      <c r="J88" s="16" t="str">
        <f t="shared" si="1"/>
        <v>{ name: "Apogek Shrine", landmark: "Shrine", type: "Puzzle Trial", region: 9, level: "Surface", x: 3887, y: -217, z: 163, details: `` },</v>
      </c>
      <c r="K88" s="11"/>
      <c r="L88" s="11"/>
    </row>
    <row r="89" spans="1:12" x14ac:dyDescent="0.2">
      <c r="A89" s="1" t="s">
        <v>2034</v>
      </c>
      <c r="B89" s="1" t="s">
        <v>2087</v>
      </c>
      <c r="C89" s="2" t="s">
        <v>801</v>
      </c>
      <c r="D89" s="2">
        <v>9</v>
      </c>
      <c r="E89" t="s">
        <v>785</v>
      </c>
      <c r="F89" s="2">
        <v>4498</v>
      </c>
      <c r="G89" s="2">
        <v>825</v>
      </c>
      <c r="H89" s="2">
        <v>95</v>
      </c>
      <c r="J89" s="16" t="str">
        <f t="shared" si="1"/>
        <v>{ name: "Gatanisis Shrine", landmark: "Shrine", type: "Puzzle Trial", region: 9, level: "Surface", x: 4498, y: 825, z: 95, details: `` },</v>
      </c>
      <c r="K89" s="11"/>
      <c r="L89" s="11"/>
    </row>
    <row r="90" spans="1:12" x14ac:dyDescent="0.2">
      <c r="A90" s="1" t="s">
        <v>2024</v>
      </c>
      <c r="B90" s="1" t="s">
        <v>2087</v>
      </c>
      <c r="C90" s="2" t="s">
        <v>801</v>
      </c>
      <c r="D90" s="2">
        <v>9</v>
      </c>
      <c r="E90" t="s">
        <v>785</v>
      </c>
      <c r="F90" s="2">
        <v>3784</v>
      </c>
      <c r="G90" s="2">
        <v>579</v>
      </c>
      <c r="H90" s="2">
        <v>486</v>
      </c>
      <c r="J90" s="16" t="str">
        <f t="shared" si="1"/>
        <v>{ name: "Ihen-a Shrine", landmark: "Shrine", type: "Puzzle Trial", region: 9, level: "Surface", x: 3784, y: 579, z: 486, details: `` },</v>
      </c>
      <c r="K90" s="11"/>
      <c r="L90" s="11"/>
    </row>
    <row r="91" spans="1:12" x14ac:dyDescent="0.2">
      <c r="A91" s="1" t="s">
        <v>2010</v>
      </c>
      <c r="B91" s="1" t="s">
        <v>2085</v>
      </c>
      <c r="C91" s="2" t="s">
        <v>801</v>
      </c>
      <c r="D91" s="2">
        <v>9</v>
      </c>
      <c r="E91" t="s">
        <v>785</v>
      </c>
      <c r="F91" s="2">
        <v>2918</v>
      </c>
      <c r="G91" s="2">
        <v>505</v>
      </c>
      <c r="H91" s="2">
        <v>155</v>
      </c>
      <c r="I91" s="7" t="s">
        <v>4553</v>
      </c>
      <c r="J91" s="16" t="str">
        <f t="shared" si="1"/>
        <v>{ name: "Joniu Shrine", landmark: "Shrine", type: "Rauru's Blessing", region: 9, level: "Surface", x: 2918, y: 505, z: 155, details: `&lt;strong&gt;First:&lt;/strong&gt; Complete &lt;img src="icons/shrine-quest.png" style="height: 20px; width: 20px; vertical-align: middle; margin-right: 5px;"&gt;&lt;span style="color: #7cc9c2; font-weight: bold;"&gt;The Ralis Channel Crystal&lt;/span&gt; shrine quest` },</v>
      </c>
      <c r="K91" s="11"/>
      <c r="L91" s="11"/>
    </row>
    <row r="92" spans="1:12" x14ac:dyDescent="0.2">
      <c r="A92" s="1" t="s">
        <v>2002</v>
      </c>
      <c r="B92" s="1" t="s">
        <v>2085</v>
      </c>
      <c r="C92" s="2" t="s">
        <v>801</v>
      </c>
      <c r="D92" s="2">
        <v>9</v>
      </c>
      <c r="E92" t="s">
        <v>785</v>
      </c>
      <c r="F92" s="2">
        <v>2277</v>
      </c>
      <c r="G92" s="2">
        <v>150</v>
      </c>
      <c r="H92" s="2">
        <v>79</v>
      </c>
      <c r="J92" s="16" t="str">
        <f t="shared" si="1"/>
        <v>{ name: "Maoikes Shrine", landmark: "Shrine", type: "Rauru's Blessing", region: 9, level: "Surface", x: 2277, y: 150, z: 79, details: `` },</v>
      </c>
      <c r="K92" s="11"/>
      <c r="L92" s="11"/>
    </row>
    <row r="93" spans="1:12" x14ac:dyDescent="0.2">
      <c r="A93" s="1" t="s">
        <v>2018</v>
      </c>
      <c r="B93" s="1" t="s">
        <v>2087</v>
      </c>
      <c r="C93" s="2" t="s">
        <v>801</v>
      </c>
      <c r="D93" s="2">
        <v>9</v>
      </c>
      <c r="E93" t="s">
        <v>785</v>
      </c>
      <c r="F93" s="2">
        <v>3298</v>
      </c>
      <c r="G93" s="2">
        <v>424</v>
      </c>
      <c r="H93" s="2">
        <v>112</v>
      </c>
      <c r="J93" s="16" t="str">
        <f t="shared" si="1"/>
        <v>{ name: "Mogawak Shrine", landmark: "Shrine", type: "Puzzle Trial", region: 9, level: "Surface", x: 3298, y: 424, z: 112, details: `` },</v>
      </c>
      <c r="K93" s="11"/>
      <c r="L93" s="11"/>
    </row>
    <row r="94" spans="1:12" x14ac:dyDescent="0.2">
      <c r="A94" s="1" t="s">
        <v>2035</v>
      </c>
      <c r="B94" s="1" t="s">
        <v>2084</v>
      </c>
      <c r="C94" s="2" t="s">
        <v>801</v>
      </c>
      <c r="D94" s="2">
        <v>9</v>
      </c>
      <c r="E94" t="s">
        <v>785</v>
      </c>
      <c r="F94" s="2">
        <v>4166</v>
      </c>
      <c r="G94" s="2">
        <v>1323</v>
      </c>
      <c r="H94" s="2">
        <v>229</v>
      </c>
      <c r="J94" s="16" t="str">
        <f t="shared" si="1"/>
        <v>{ name: "Rasitakiwak Shrine", landmark: "Shrine", type: "Proving Grounds", region: 9, level: "Surface", x: 4166, y: 1323, z: 229, details: `` },</v>
      </c>
      <c r="K94" s="11"/>
      <c r="L94" s="11"/>
    </row>
    <row r="95" spans="1:12" x14ac:dyDescent="0.2">
      <c r="A95" s="1" t="s">
        <v>2019</v>
      </c>
      <c r="B95" s="1" t="s">
        <v>2085</v>
      </c>
      <c r="C95" s="2" t="s">
        <v>801</v>
      </c>
      <c r="D95" s="2">
        <v>9</v>
      </c>
      <c r="E95" t="s">
        <v>785</v>
      </c>
      <c r="F95" s="2">
        <v>4412</v>
      </c>
      <c r="G95" s="2">
        <v>-610</v>
      </c>
      <c r="H95" s="2">
        <v>34</v>
      </c>
      <c r="J95" s="16" t="str">
        <f t="shared" si="1"/>
        <v>{ name: "Yomizuk Shrine", landmark: "Shrine", type: "Rauru's Blessing", region: 9, level: "Surface", x: 4412, y: -610, z: 34, details: `` },</v>
      </c>
      <c r="K95" s="11"/>
      <c r="L95" s="11"/>
    </row>
    <row r="96" spans="1:12" x14ac:dyDescent="0.2">
      <c r="A96" s="1" t="s">
        <v>1973</v>
      </c>
      <c r="B96" s="1" t="s">
        <v>2085</v>
      </c>
      <c r="C96" s="2" t="s">
        <v>803</v>
      </c>
      <c r="D96" s="2">
        <v>10</v>
      </c>
      <c r="E96" t="s">
        <v>783</v>
      </c>
      <c r="F96" s="2">
        <v>1759</v>
      </c>
      <c r="G96" s="2">
        <v>-1208</v>
      </c>
      <c r="H96" s="2">
        <v>924</v>
      </c>
      <c r="I96" s="7" t="s">
        <v>4554</v>
      </c>
      <c r="J96" s="16" t="str">
        <f t="shared" si="1"/>
        <v>{ name: "Josiu Shrine", landmark: "Shrine", type: "Rauru's Blessing", region: 10, level: "Sky", x: 1759, y: -1208, z: 924, details: `&lt;strong&gt;First:&lt;/strong&gt; Complete &lt;img src="icons/shrine-quest.png" style="height: 20px; width: 20px; vertical-align: middle; margin-right: 5px;"&gt;&lt;span style="color: #7cc9c2; font-weight: bold;"&gt;The North Necluda Sky Crystal&lt;/span&gt; shrine quest` },</v>
      </c>
      <c r="K96" s="11"/>
      <c r="L96" s="11"/>
    </row>
    <row r="97" spans="1:12" x14ac:dyDescent="0.2">
      <c r="A97" s="1" t="s">
        <v>1952</v>
      </c>
      <c r="B97" s="1" t="s">
        <v>2085</v>
      </c>
      <c r="C97" s="2" t="s">
        <v>803</v>
      </c>
      <c r="D97" s="2">
        <v>10</v>
      </c>
      <c r="E97" t="s">
        <v>783</v>
      </c>
      <c r="F97" s="2">
        <v>1470</v>
      </c>
      <c r="G97" s="2">
        <v>-2170</v>
      </c>
      <c r="H97" s="2">
        <v>585</v>
      </c>
      <c r="I97" s="7" t="s">
        <v>4555</v>
      </c>
      <c r="J97" s="16" t="str">
        <f t="shared" si="1"/>
        <v>{ name: "Ukoojisi Shrine", landmark: "Shrine", type: "Rauru's Blessing", region: 10, level: "Sky", x: 1470, y: -2170, z: 585, details: `&lt;strong&gt;First:&lt;/strong&gt; Complete &lt;img src="icons/shrine-quest.png" style="height: 20px; width: 20px; vertical-align: middle; margin-right: 5px;"&gt;&lt;span style="color: #7cc9c2; font-weight: bold;"&gt;The West Necluda Sky Crystal&lt;/span&gt; shrine quest` },</v>
      </c>
      <c r="K97" s="11"/>
      <c r="L97" s="11"/>
    </row>
    <row r="98" spans="1:12" x14ac:dyDescent="0.2">
      <c r="A98" s="1" t="s">
        <v>1974</v>
      </c>
      <c r="B98" s="1" t="s">
        <v>2084</v>
      </c>
      <c r="C98" s="2" t="s">
        <v>803</v>
      </c>
      <c r="D98" s="2">
        <v>10</v>
      </c>
      <c r="E98" t="s">
        <v>783</v>
      </c>
      <c r="F98" s="2">
        <v>2349</v>
      </c>
      <c r="G98" s="2">
        <v>-1782</v>
      </c>
      <c r="H98" s="2">
        <v>1475</v>
      </c>
      <c r="J98" s="16" t="str">
        <f t="shared" si="1"/>
        <v>{ name: "Yansamin Shrine", landmark: "Shrine", type: "Proving Grounds", region: 10, level: "Sky", x: 2349, y: -1782, z: 1475, details: `` },</v>
      </c>
      <c r="K98" s="11"/>
      <c r="L98" s="11"/>
    </row>
    <row r="99" spans="1:12" x14ac:dyDescent="0.2">
      <c r="A99" s="1" t="s">
        <v>1962</v>
      </c>
      <c r="B99" s="1" t="s">
        <v>2086</v>
      </c>
      <c r="C99" s="2" t="s">
        <v>803</v>
      </c>
      <c r="D99" s="2">
        <v>10</v>
      </c>
      <c r="E99" t="s">
        <v>785</v>
      </c>
      <c r="F99" s="2">
        <v>1564</v>
      </c>
      <c r="G99" s="2">
        <v>-1945</v>
      </c>
      <c r="H99" s="2">
        <v>157</v>
      </c>
      <c r="J99" s="16" t="str">
        <f t="shared" si="1"/>
        <v>{ name: "Eshos Shrine", landmark: "Shrine", type: "Combat Training", region: 10, level: "Surface", x: 1564, y: -1945, z: 157, details: `` },</v>
      </c>
      <c r="K99" s="11"/>
      <c r="L99" s="11"/>
    </row>
    <row r="100" spans="1:12" x14ac:dyDescent="0.2">
      <c r="A100" s="1" t="s">
        <v>1987</v>
      </c>
      <c r="B100" s="1" t="s">
        <v>2084</v>
      </c>
      <c r="C100" s="2" t="s">
        <v>803</v>
      </c>
      <c r="D100" s="2">
        <v>10</v>
      </c>
      <c r="E100" t="s">
        <v>785</v>
      </c>
      <c r="F100" s="2">
        <v>1202</v>
      </c>
      <c r="G100" s="2">
        <v>329</v>
      </c>
      <c r="H100" s="2">
        <v>29</v>
      </c>
      <c r="J100" s="16" t="str">
        <f t="shared" si="1"/>
        <v>{ name: "Jojon Shrine", landmark: "Shrine", type: "Proving Grounds", region: 10, level: "Surface", x: 1202, y: 329, z: 29, details: `` },</v>
      </c>
      <c r="K100" s="11"/>
      <c r="L100" s="11"/>
    </row>
    <row r="101" spans="1:12" x14ac:dyDescent="0.2">
      <c r="A101" s="1" t="s">
        <v>1992</v>
      </c>
      <c r="B101" s="1" t="s">
        <v>2087</v>
      </c>
      <c r="C101" s="2" t="s">
        <v>803</v>
      </c>
      <c r="D101" s="2">
        <v>10</v>
      </c>
      <c r="E101" t="s">
        <v>785</v>
      </c>
      <c r="F101" s="2">
        <v>1743</v>
      </c>
      <c r="G101" s="2">
        <v>18</v>
      </c>
      <c r="H101" s="2">
        <v>25</v>
      </c>
      <c r="J101" s="16" t="str">
        <f t="shared" si="1"/>
        <v>{ name: "Jonsau Shrine", landmark: "Shrine", type: "Puzzle Trial", region: 10, level: "Surface", x: 1743, y: 18, z: 25, details: `` },</v>
      </c>
      <c r="K101" s="11"/>
      <c r="L101" s="11"/>
    </row>
    <row r="102" spans="1:12" x14ac:dyDescent="0.2">
      <c r="A102" s="1" t="s">
        <v>1993</v>
      </c>
      <c r="B102" s="1" t="s">
        <v>2085</v>
      </c>
      <c r="C102" s="2" t="s">
        <v>803</v>
      </c>
      <c r="D102" s="2">
        <v>10</v>
      </c>
      <c r="E102" t="s">
        <v>785</v>
      </c>
      <c r="F102" s="2">
        <v>2362</v>
      </c>
      <c r="G102" s="2">
        <v>-511</v>
      </c>
      <c r="H102" s="2">
        <v>155</v>
      </c>
      <c r="I102" s="7" t="s">
        <v>4556</v>
      </c>
      <c r="J102" s="16" t="str">
        <f t="shared" si="1"/>
        <v>{ name: "Kurakat Shrine", landmark: "Shrine", type: "Rauru's Blessing", region: 10, level: "Surface", x: 2362, y: -511, z: 155, details: `&lt;strong&gt;First:&lt;/strong&gt; Complete &lt;img src="icons/shrine-quest.png" style="height: 20px; width: 20px; vertical-align: middle; margin-right: 5px;"&gt;&lt;span style="color: #7cc9c2; font-weight: bold;"&gt;Dyeing to Find It&lt;/span&gt; shrine quest` },</v>
      </c>
      <c r="K102" s="11"/>
      <c r="L102" s="11"/>
    </row>
    <row r="103" spans="1:12" x14ac:dyDescent="0.2">
      <c r="A103" s="1" t="s">
        <v>1976</v>
      </c>
      <c r="B103" s="1" t="s">
        <v>2087</v>
      </c>
      <c r="C103" s="2" t="s">
        <v>803</v>
      </c>
      <c r="D103" s="2">
        <v>10</v>
      </c>
      <c r="E103" t="s">
        <v>785</v>
      </c>
      <c r="F103" s="2">
        <v>1770</v>
      </c>
      <c r="G103" s="2">
        <v>-1050</v>
      </c>
      <c r="H103" s="2">
        <v>166</v>
      </c>
      <c r="J103" s="16" t="str">
        <f t="shared" si="1"/>
        <v>{ name: "Makasura Shrine", landmark: "Shrine", type: "Puzzle Trial", region: 10, level: "Surface", x: 1770, y: -1050, z: 166, details: `` },</v>
      </c>
      <c r="K103" s="11"/>
      <c r="L103" s="11"/>
    </row>
    <row r="104" spans="1:12" x14ac:dyDescent="0.2">
      <c r="A104" s="1" t="s">
        <v>1972</v>
      </c>
      <c r="B104" s="1" t="s">
        <v>2087</v>
      </c>
      <c r="C104" s="2" t="s">
        <v>803</v>
      </c>
      <c r="D104" s="2">
        <v>10</v>
      </c>
      <c r="E104" t="s">
        <v>785</v>
      </c>
      <c r="F104" s="2">
        <v>1183</v>
      </c>
      <c r="G104" s="2">
        <v>-780</v>
      </c>
      <c r="H104" s="2">
        <v>133</v>
      </c>
      <c r="J104" s="16" t="str">
        <f t="shared" si="1"/>
        <v>{ name: "Morok Shrine", landmark: "Shrine", type: "Puzzle Trial", region: 10, level: "Surface", x: 1183, y: -780, z: 133, details: `` },</v>
      </c>
      <c r="K104" s="11"/>
      <c r="L104" s="11"/>
    </row>
    <row r="105" spans="1:12" x14ac:dyDescent="0.2">
      <c r="A105" s="1" t="s">
        <v>1990</v>
      </c>
      <c r="B105" s="1" t="s">
        <v>2085</v>
      </c>
      <c r="C105" s="2" t="s">
        <v>803</v>
      </c>
      <c r="D105" s="2">
        <v>10</v>
      </c>
      <c r="E105" t="s">
        <v>785</v>
      </c>
      <c r="F105" s="2">
        <v>2755</v>
      </c>
      <c r="G105" s="2">
        <v>-1089</v>
      </c>
      <c r="H105" s="2">
        <v>100</v>
      </c>
      <c r="I105" s="7" t="s">
        <v>4557</v>
      </c>
      <c r="J105" s="16" t="str">
        <f t="shared" si="1"/>
        <v>{ name: "O-ogim Shrine", landmark: "Shrine", type: "Rauru's Blessing", region: 10, level: "Surface", x: 2755, y: -1089, z: 100, details: `&lt;strong&gt;First:&lt;/strong&gt; Complete &lt;img src="icons/shrine-quest.png" style="height: 20px; width: 20px; vertical-align: middle; margin-right: 5px;"&gt;&lt;span style="color: #7cc9c2; font-weight: bold;"&gt;The Lanayru Road Crystal&lt;/span&gt; shrine quest` },</v>
      </c>
      <c r="K105" s="11"/>
      <c r="L105" s="11"/>
    </row>
    <row r="106" spans="1:12" x14ac:dyDescent="0.2">
      <c r="A106" s="1" t="s">
        <v>1988</v>
      </c>
      <c r="B106" s="1" t="s">
        <v>2087</v>
      </c>
      <c r="C106" s="2" t="s">
        <v>803</v>
      </c>
      <c r="D106" s="2">
        <v>10</v>
      </c>
      <c r="E106" t="s">
        <v>785</v>
      </c>
      <c r="F106" s="2">
        <v>756</v>
      </c>
      <c r="G106" s="2">
        <v>823</v>
      </c>
      <c r="H106" s="2">
        <v>81</v>
      </c>
      <c r="J106" s="16" t="str">
        <f t="shared" si="1"/>
        <v>{ name: "Ren-iz Shrine", landmark: "Shrine", type: "Puzzle Trial", region: 10, level: "Surface", x: 756, y: 823, z: 81, details: `` },</v>
      </c>
      <c r="K106" s="11"/>
      <c r="L106" s="11"/>
    </row>
    <row r="107" spans="1:12" x14ac:dyDescent="0.2">
      <c r="A107" s="1" t="s">
        <v>1975</v>
      </c>
      <c r="B107" s="1" t="s">
        <v>2087</v>
      </c>
      <c r="C107" s="2" t="s">
        <v>803</v>
      </c>
      <c r="D107" s="2">
        <v>10</v>
      </c>
      <c r="E107" t="s">
        <v>785</v>
      </c>
      <c r="F107" s="2">
        <v>915</v>
      </c>
      <c r="G107" s="2">
        <v>-250</v>
      </c>
      <c r="H107" s="2">
        <v>34</v>
      </c>
      <c r="J107" s="16" t="str">
        <f t="shared" si="1"/>
        <v>{ name: "Tukarok Shrine", landmark: "Shrine", type: "Puzzle Trial", region: 10, level: "Surface", x: 915, y: -250, z: 34, details: `` },</v>
      </c>
      <c r="K107" s="11"/>
      <c r="L107" s="11"/>
    </row>
    <row r="108" spans="1:12" x14ac:dyDescent="0.2">
      <c r="A108" s="1" t="s">
        <v>2015</v>
      </c>
      <c r="B108" s="1" t="s">
        <v>2087</v>
      </c>
      <c r="C108" s="2" t="s">
        <v>804</v>
      </c>
      <c r="D108" s="2">
        <v>11</v>
      </c>
      <c r="E108" t="s">
        <v>783</v>
      </c>
      <c r="F108" s="2">
        <v>4613</v>
      </c>
      <c r="G108" s="2">
        <v>-947</v>
      </c>
      <c r="H108" s="2">
        <v>1790</v>
      </c>
      <c r="I108" s="7" t="s">
        <v>4558</v>
      </c>
      <c r="J108" s="16" t="str">
        <f t="shared" si="1"/>
        <v>{ name: "Mayanas Shrine", landmark: "Shrine", type: "Puzzle Trial", region: 11, level: "Sky", x: 4613, y: -947, z: 1790, details: `&lt;strong&gt;First:&lt;/strong&gt; Complete &lt;img src="icons/shrine-quest.png" style="height: 20px; width: 20px; vertical-align: middle; margin-right: 5px;"&gt;&lt;span style="color: #7cc9c2; font-weight: bold;"&gt;The South Lanayru Sky Crystal&lt;/span&gt; shrine quest` },</v>
      </c>
      <c r="K108" s="11"/>
      <c r="L108" s="11"/>
    </row>
    <row r="109" spans="1:12" x14ac:dyDescent="0.2">
      <c r="A109" s="1" t="s">
        <v>2016</v>
      </c>
      <c r="B109" s="1" t="s">
        <v>2085</v>
      </c>
      <c r="C109" s="2" t="s">
        <v>804</v>
      </c>
      <c r="D109" s="2">
        <v>11</v>
      </c>
      <c r="E109" t="s">
        <v>783</v>
      </c>
      <c r="F109" s="2">
        <v>4545</v>
      </c>
      <c r="G109" s="2">
        <v>-845</v>
      </c>
      <c r="H109" s="2">
        <v>1121</v>
      </c>
      <c r="J109" s="16" t="str">
        <f t="shared" si="1"/>
        <v>{ name: "Sihajog Shrine", landmark: "Shrine", type: "Rauru's Blessing", region: 11, level: "Sky", x: 4545, y: -845, z: 1121, details: `` },</v>
      </c>
      <c r="K109" s="11"/>
      <c r="L109" s="11"/>
    </row>
    <row r="110" spans="1:12" x14ac:dyDescent="0.2">
      <c r="A110" s="1" t="s">
        <v>1995</v>
      </c>
      <c r="B110" s="1" t="s">
        <v>2087</v>
      </c>
      <c r="C110" s="2" t="s">
        <v>804</v>
      </c>
      <c r="D110" s="2">
        <v>11</v>
      </c>
      <c r="E110" t="s">
        <v>785</v>
      </c>
      <c r="F110" s="2">
        <v>4231</v>
      </c>
      <c r="G110" s="2">
        <v>-2178</v>
      </c>
      <c r="H110" s="2">
        <v>-7</v>
      </c>
      <c r="J110" s="16" t="str">
        <f t="shared" si="1"/>
        <v>{ name: "Anedamimik Shrine", landmark: "Shrine", type: "Puzzle Trial", region: 11, level: "Surface", x: 4231, y: -2178, z: -7, details: `` },</v>
      </c>
      <c r="K110" s="11"/>
      <c r="L110" s="11"/>
    </row>
    <row r="111" spans="1:12" x14ac:dyDescent="0.2">
      <c r="A111" s="1" t="s">
        <v>2005</v>
      </c>
      <c r="B111" s="1" t="s">
        <v>2087</v>
      </c>
      <c r="C111" s="2" t="s">
        <v>804</v>
      </c>
      <c r="D111" s="2">
        <v>11</v>
      </c>
      <c r="E111" t="s">
        <v>785</v>
      </c>
      <c r="F111" s="2">
        <v>4266</v>
      </c>
      <c r="G111" s="2">
        <v>-1674</v>
      </c>
      <c r="H111" s="2">
        <v>181</v>
      </c>
      <c r="J111" s="16" t="str">
        <f t="shared" si="1"/>
        <v>{ name: "Jikais Shrine", landmark: "Shrine", type: "Puzzle Trial", region: 11, level: "Surface", x: 4266, y: -1674, z: 181, details: `` },</v>
      </c>
      <c r="K111" s="11"/>
      <c r="L111" s="11"/>
    </row>
    <row r="112" spans="1:12" x14ac:dyDescent="0.2">
      <c r="A112" s="1" t="s">
        <v>1997</v>
      </c>
      <c r="B112" s="1" t="s">
        <v>2085</v>
      </c>
      <c r="C112" s="2" t="s">
        <v>804</v>
      </c>
      <c r="D112" s="2">
        <v>11</v>
      </c>
      <c r="E112" t="s">
        <v>785</v>
      </c>
      <c r="F112" s="2">
        <v>3346</v>
      </c>
      <c r="G112" s="2">
        <v>-1188</v>
      </c>
      <c r="H112" s="2">
        <v>57</v>
      </c>
      <c r="J112" s="16" t="str">
        <f t="shared" si="1"/>
        <v>{ name: "Jogou Shrine", landmark: "Shrine", type: "Rauru's Blessing", region: 11, level: "Surface", x: 3346, y: -1188, z: 57, details: `` },</v>
      </c>
      <c r="K112" s="11"/>
      <c r="L112" s="11"/>
    </row>
    <row r="113" spans="1:12" x14ac:dyDescent="0.2">
      <c r="A113" s="1" t="s">
        <v>1991</v>
      </c>
      <c r="B113" s="1" t="s">
        <v>2085</v>
      </c>
      <c r="C113" s="2" t="s">
        <v>804</v>
      </c>
      <c r="D113" s="2">
        <v>11</v>
      </c>
      <c r="E113" t="s">
        <v>785</v>
      </c>
      <c r="F113" s="2">
        <v>3730</v>
      </c>
      <c r="G113" s="2">
        <v>-2057</v>
      </c>
      <c r="H113" s="2">
        <v>189</v>
      </c>
      <c r="J113" s="16" t="str">
        <f t="shared" si="1"/>
        <v>{ name: "Mayahisik Shrine", landmark: "Shrine", type: "Rauru's Blessing", region: 11, level: "Surface", x: 3730, y: -2057, z: 189, details: `` },</v>
      </c>
      <c r="K113" s="11"/>
      <c r="L113" s="11"/>
    </row>
    <row r="114" spans="1:12" x14ac:dyDescent="0.2">
      <c r="A114" s="1" t="s">
        <v>1994</v>
      </c>
      <c r="B114" s="1" t="s">
        <v>2084</v>
      </c>
      <c r="C114" s="2" t="s">
        <v>804</v>
      </c>
      <c r="D114" s="2">
        <v>11</v>
      </c>
      <c r="E114" t="s">
        <v>785</v>
      </c>
      <c r="F114" s="2">
        <v>3527</v>
      </c>
      <c r="G114" s="2">
        <v>-1481</v>
      </c>
      <c r="H114" s="2">
        <v>167</v>
      </c>
      <c r="I114" s="7" t="s">
        <v>4559</v>
      </c>
      <c r="J114" s="16" t="str">
        <f t="shared" si="1"/>
        <v>{ name: "Zakusu Shrine", landmark: "Shrine", type: "Proving Grounds", region: 11, level: "Surface", x: 3527, y: -1481, z: 167, details: `&lt;strong&gt;First:&lt;/strong&gt; Complete &lt;img src="icons/shrine-quest.png" style="height: 20px; width: 20px; vertical-align: middle; margin-right: 5px;"&gt;&lt;span style="color: #7cc9c2; font-weight: bold;"&gt;The High Spring and the Light Rings&lt;/span&gt; shrine quest` },</v>
      </c>
      <c r="K114" s="11"/>
      <c r="L114" s="11"/>
    </row>
    <row r="115" spans="1:12" x14ac:dyDescent="0.2">
      <c r="A115" s="1" t="s">
        <v>1984</v>
      </c>
      <c r="B115" s="1" t="s">
        <v>2087</v>
      </c>
      <c r="C115" s="2" t="s">
        <v>804</v>
      </c>
      <c r="D115" s="2">
        <v>11</v>
      </c>
      <c r="E115" t="s">
        <v>785</v>
      </c>
      <c r="F115" s="2">
        <v>3469</v>
      </c>
      <c r="G115" s="2">
        <v>-2180</v>
      </c>
      <c r="H115" s="2">
        <v>148</v>
      </c>
      <c r="J115" s="16" t="str">
        <f t="shared" si="1"/>
        <v>{ name: "Zanmik Shrine", landmark: "Shrine", type: "Puzzle Trial", region: 11, level: "Surface", x: 3469, y: -2180, z: 148, details: `` },</v>
      </c>
      <c r="K115" s="11"/>
      <c r="L115" s="11"/>
    </row>
    <row r="116" spans="1:12" x14ac:dyDescent="0.2">
      <c r="A116" s="1" t="s">
        <v>1966</v>
      </c>
      <c r="B116" s="1" t="s">
        <v>2085</v>
      </c>
      <c r="C116" s="2" t="s">
        <v>805</v>
      </c>
      <c r="D116" s="2">
        <v>12</v>
      </c>
      <c r="E116" t="s">
        <v>783</v>
      </c>
      <c r="F116" s="2">
        <v>2856</v>
      </c>
      <c r="G116" s="2">
        <v>-2857</v>
      </c>
      <c r="H116" s="2">
        <v>1212</v>
      </c>
      <c r="I116" s="7" t="s">
        <v>4560</v>
      </c>
      <c r="J116" s="16" t="str">
        <f t="shared" si="1"/>
        <v>{ name: "Kumamayn Shrine", landmark: "Shrine", type: "Rauru's Blessing", region: 12, level: "Sky", x: 2856, y: -2857, z: 1212, details: `&lt;strong&gt;First:&lt;/strong&gt; Complete &lt;img src="icons/shrine-quest.png" style="height: 20px; width: 20px; vertical-align: middle; margin-right: 5px;"&gt;&lt;span style="color: #7cc9c2; font-weight: bold;"&gt;The Necluda Sky Crystal&lt;/span&gt; shrine quest` },</v>
      </c>
      <c r="K116" s="11"/>
      <c r="L116" s="11"/>
    </row>
    <row r="117" spans="1:12" x14ac:dyDescent="0.2">
      <c r="A117" s="1" t="s">
        <v>1964</v>
      </c>
      <c r="B117" s="1" t="s">
        <v>2085</v>
      </c>
      <c r="C117" s="2" t="s">
        <v>805</v>
      </c>
      <c r="D117" s="2">
        <v>12</v>
      </c>
      <c r="E117" t="s">
        <v>785</v>
      </c>
      <c r="F117" s="2">
        <v>3094</v>
      </c>
      <c r="G117" s="2">
        <v>-3209</v>
      </c>
      <c r="H117" s="2">
        <v>81</v>
      </c>
      <c r="J117" s="16" t="str">
        <f t="shared" si="1"/>
        <v>{ name: "Bamitok Shrine", landmark: "Shrine", type: "Rauru's Blessing", region: 12, level: "Surface", x: 3094, y: -3209, z: 81, details: `` },</v>
      </c>
      <c r="K117" s="11"/>
      <c r="L117" s="11"/>
    </row>
    <row r="118" spans="1:12" x14ac:dyDescent="0.2">
      <c r="A118" s="1" t="s">
        <v>1979</v>
      </c>
      <c r="B118" s="1" t="s">
        <v>2085</v>
      </c>
      <c r="C118" s="2" t="s">
        <v>805</v>
      </c>
      <c r="D118" s="2">
        <v>12</v>
      </c>
      <c r="E118" t="s">
        <v>785</v>
      </c>
      <c r="F118" s="2">
        <v>4632</v>
      </c>
      <c r="G118" s="2">
        <v>-3712</v>
      </c>
      <c r="H118" s="2">
        <v>18</v>
      </c>
      <c r="J118" s="16" t="str">
        <f t="shared" si="1"/>
        <v>{ name: "Marari-In Shrine", landmark: "Shrine", type: "Rauru's Blessing", region: 12, level: "Surface", x: 4632, y: -3712, z: 18, details: `` },</v>
      </c>
      <c r="K118" s="11"/>
      <c r="L118" s="11"/>
    </row>
    <row r="119" spans="1:12" x14ac:dyDescent="0.2">
      <c r="A119" s="1" t="s">
        <v>1961</v>
      </c>
      <c r="B119" s="1" t="s">
        <v>2084</v>
      </c>
      <c r="C119" s="2" t="s">
        <v>805</v>
      </c>
      <c r="D119" s="2">
        <v>12</v>
      </c>
      <c r="E119" t="s">
        <v>785</v>
      </c>
      <c r="F119" s="2">
        <v>2826</v>
      </c>
      <c r="G119" s="2">
        <v>-3271</v>
      </c>
      <c r="H119" s="2">
        <v>78</v>
      </c>
      <c r="J119" s="16" t="str">
        <f t="shared" si="1"/>
        <v>{ name: "Sifumim Shrine", landmark: "Shrine", type: "Proving Grounds", region: 12, level: "Surface", x: 2826, y: -3271, z: 78, details: `` },</v>
      </c>
      <c r="K119" s="11"/>
      <c r="L119" s="11"/>
    </row>
    <row r="120" spans="1:12" x14ac:dyDescent="0.2">
      <c r="A120" s="1" t="s">
        <v>1965</v>
      </c>
      <c r="B120" s="1" t="s">
        <v>2085</v>
      </c>
      <c r="C120" s="2" t="s">
        <v>805</v>
      </c>
      <c r="D120" s="2">
        <v>12</v>
      </c>
      <c r="E120" t="s">
        <v>785</v>
      </c>
      <c r="F120" s="2">
        <v>2304</v>
      </c>
      <c r="G120" s="2">
        <v>-2377</v>
      </c>
      <c r="H120" s="2">
        <v>-28</v>
      </c>
      <c r="I120" s="7" t="s">
        <v>4561</v>
      </c>
      <c r="J120" s="16" t="str">
        <f t="shared" si="1"/>
        <v>{ name: "Tokiy Shrine", landmark: "Shrine", type: "Rauru's Blessing", region: 12, level: "Surface", x: 2304, y: -2377, z: -28, details: `&lt;strong&gt;First:&lt;/strong&gt; Complete &lt;img src="icons/shrine-quest.png" style="height: 20px; width: 20px; vertical-align: middle; margin-right: 5px;"&gt;&lt;span style="color: #7cc9c2; font-weight: bold;"&gt;The Oakle's Navel Cave Crystal&lt;/span&gt; shrine quest` },</v>
      </c>
      <c r="K120" s="11"/>
      <c r="L120" s="11"/>
    </row>
    <row r="121" spans="1:12" x14ac:dyDescent="0.2">
      <c r="A121" s="1" t="s">
        <v>1954</v>
      </c>
      <c r="B121" s="1" t="s">
        <v>2087</v>
      </c>
      <c r="C121" s="2" t="s">
        <v>794</v>
      </c>
      <c r="D121" s="2">
        <v>13</v>
      </c>
      <c r="E121" t="s">
        <v>783</v>
      </c>
      <c r="F121" s="2">
        <v>709</v>
      </c>
      <c r="G121" s="2">
        <v>-1381</v>
      </c>
      <c r="H121" s="2">
        <v>1584</v>
      </c>
      <c r="J121" s="16" t="str">
        <f t="shared" si="1"/>
        <v>{ name: "Gutanbac Shrine", landmark: "Shrine", type: "Puzzle Trial", region: 13, level: "Sky", x: 709, y: -1381, z: 1584, details: `` },</v>
      </c>
      <c r="K121" s="11"/>
      <c r="L121" s="11"/>
    </row>
    <row r="122" spans="1:12" x14ac:dyDescent="0.2">
      <c r="A122" s="1" t="s">
        <v>1933</v>
      </c>
      <c r="B122" s="1" t="s">
        <v>2085</v>
      </c>
      <c r="C122" s="2" t="s">
        <v>794</v>
      </c>
      <c r="D122" s="2">
        <v>13</v>
      </c>
      <c r="E122" t="s">
        <v>783</v>
      </c>
      <c r="F122" s="2">
        <v>1376</v>
      </c>
      <c r="G122" s="2">
        <v>-3340</v>
      </c>
      <c r="H122" s="2">
        <v>443</v>
      </c>
      <c r="J122" s="16" t="str">
        <f t="shared" si="1"/>
        <v>{ name: "Joku-u Shrine", landmark: "Shrine", type: "Rauru's Blessing", region: 13, level: "Sky", x: 1376, y: -3340, z: 443, details: `` },</v>
      </c>
      <c r="K122" s="11"/>
      <c r="L122" s="11"/>
    </row>
    <row r="123" spans="1:12" x14ac:dyDescent="0.2">
      <c r="A123" s="1" t="s">
        <v>1928</v>
      </c>
      <c r="B123" s="1" t="s">
        <v>2087</v>
      </c>
      <c r="C123" s="2" t="s">
        <v>794</v>
      </c>
      <c r="D123" s="2">
        <v>13</v>
      </c>
      <c r="E123" t="s">
        <v>783</v>
      </c>
      <c r="F123" s="2">
        <v>1070</v>
      </c>
      <c r="G123" s="2">
        <v>-3347</v>
      </c>
      <c r="H123" s="2">
        <v>785</v>
      </c>
      <c r="J123" s="16" t="str">
        <f t="shared" si="1"/>
        <v>{ name: "Joku-usin Shrine", landmark: "Shrine", type: "Puzzle Trial", region: 13, level: "Sky", x: 1070, y: -3347, z: 785, details: `` },</v>
      </c>
      <c r="K123" s="11"/>
      <c r="L123" s="11"/>
    </row>
    <row r="124" spans="1:12" x14ac:dyDescent="0.2">
      <c r="A124" s="1" t="s">
        <v>1951</v>
      </c>
      <c r="B124" s="1" t="s">
        <v>2087</v>
      </c>
      <c r="C124" s="2" t="s">
        <v>794</v>
      </c>
      <c r="D124" s="2">
        <v>13</v>
      </c>
      <c r="E124" t="s">
        <v>783</v>
      </c>
      <c r="F124" s="2">
        <v>390</v>
      </c>
      <c r="G124" s="2">
        <v>-1660</v>
      </c>
      <c r="H124" s="2">
        <v>2299</v>
      </c>
      <c r="J124" s="16" t="str">
        <f t="shared" si="1"/>
        <v>{ name: "Nachoyah Shrine", landmark: "Shrine", type: "Puzzle Trial", region: 13, level: "Sky", x: 390, y: -1660, z: 2299, details: `` },</v>
      </c>
      <c r="K124" s="11"/>
      <c r="L124" s="11"/>
    </row>
    <row r="125" spans="1:12" x14ac:dyDescent="0.2">
      <c r="A125" s="1" t="s">
        <v>1926</v>
      </c>
      <c r="B125" s="1" t="s">
        <v>2085</v>
      </c>
      <c r="C125" s="2" t="s">
        <v>794</v>
      </c>
      <c r="D125" s="2">
        <v>13</v>
      </c>
      <c r="E125" t="s">
        <v>785</v>
      </c>
      <c r="F125" s="2">
        <v>104</v>
      </c>
      <c r="G125" s="2">
        <v>-2517</v>
      </c>
      <c r="H125" s="2">
        <v>88</v>
      </c>
      <c r="I125" s="7" t="s">
        <v>4562</v>
      </c>
      <c r="J125" s="16" t="str">
        <f t="shared" si="1"/>
        <v>{ name: "En-oma Shrine", landmark: "Shrine", type: "Rauru's Blessing", region: 13, level: "Surface", x: 104, y: -2517, z: 88, details: `&lt;strong&gt;First:&lt;/strong&gt; Complete &lt;img src="icons/shrine-quest.png" style="height: 20px; width: 20px; vertical-align: middle; margin-right: 5px;"&gt;&lt;span style="color: #7cc9c2; font-weight: bold;"&gt;The Lake Hylia Crystal&lt;/span&gt; shrine quest` },</v>
      </c>
      <c r="K125" s="11"/>
      <c r="L125" s="11"/>
    </row>
    <row r="126" spans="1:12" x14ac:dyDescent="0.2">
      <c r="A126" s="1" t="s">
        <v>1911</v>
      </c>
      <c r="B126" s="1" t="s">
        <v>2085</v>
      </c>
      <c r="C126" s="2" t="s">
        <v>794</v>
      </c>
      <c r="D126" s="2">
        <v>13</v>
      </c>
      <c r="E126" t="s">
        <v>785</v>
      </c>
      <c r="F126" s="2">
        <v>-562</v>
      </c>
      <c r="G126" s="2">
        <v>-3524</v>
      </c>
      <c r="H126" s="2">
        <v>129</v>
      </c>
      <c r="I126" s="7" t="s">
        <v>4563</v>
      </c>
      <c r="J126" s="16" t="str">
        <f t="shared" si="1"/>
        <v>{ name: "Ishokin Shrine", landmark: "Shrine", type: "Rauru's Blessing", region: 13, level: "Surface", x: -562, y: -3524, z: 129, details: `&lt;strong&gt;First:&lt;/strong&gt; Complete &lt;img src="icons/shrine-quest.png" style="height: 20px; width: 20px; vertical-align: middle; margin-right: 5px;"&gt;&lt;span style="color: #7cc9c2; font-weight: bold;"&gt;Ride the Giant Horse&lt;/span&gt; shrine quest` },</v>
      </c>
      <c r="K126" s="11"/>
      <c r="L126" s="11"/>
    </row>
    <row r="127" spans="1:12" x14ac:dyDescent="0.2">
      <c r="A127" s="1" t="s">
        <v>1943</v>
      </c>
      <c r="B127" s="1" t="s">
        <v>2087</v>
      </c>
      <c r="C127" s="2" t="s">
        <v>794</v>
      </c>
      <c r="D127" s="2">
        <v>13</v>
      </c>
      <c r="E127" t="s">
        <v>785</v>
      </c>
      <c r="F127" s="2">
        <v>867</v>
      </c>
      <c r="G127" s="2">
        <v>-2280</v>
      </c>
      <c r="H127" s="2">
        <v>141</v>
      </c>
      <c r="J127" s="16" t="str">
        <f t="shared" si="1"/>
        <v>{ name: "Jiukoum Shrine", landmark: "Shrine", type: "Puzzle Trial", region: 13, level: "Surface", x: 867, y: -2280, z: 141, details: `` },</v>
      </c>
      <c r="K127" s="11"/>
      <c r="L127" s="11"/>
    </row>
    <row r="128" spans="1:12" x14ac:dyDescent="0.2">
      <c r="A128" s="1" t="s">
        <v>1949</v>
      </c>
      <c r="B128" s="1" t="s">
        <v>2085</v>
      </c>
      <c r="C128" s="2" t="s">
        <v>794</v>
      </c>
      <c r="D128" s="2">
        <v>13</v>
      </c>
      <c r="E128" t="s">
        <v>785</v>
      </c>
      <c r="F128" s="2">
        <v>931</v>
      </c>
      <c r="G128" s="2">
        <v>-1902</v>
      </c>
      <c r="H128" s="2">
        <v>29</v>
      </c>
      <c r="I128" s="7" t="s">
        <v>4564</v>
      </c>
      <c r="J128" s="16" t="str">
        <f t="shared" si="1"/>
        <v>{ name: "Jochisiu Shrine", landmark: "Shrine", type: "Rauru's Blessing", region: 13, level: "Surface", x: 931, y: -1902, z: 29, details: `&lt;strong&gt;First:&lt;/strong&gt; Complete &lt;img src="icons/shrine-quest.png" style="height: 20px; width: 20px; vertical-align: middle; margin-right: 5px;"&gt;&lt;span style="color: #7cc9c2; font-weight: bold;"&gt;Keys Born of Water&lt;/span&gt; shrine quest` },</v>
      </c>
      <c r="K128" s="11"/>
      <c r="L128" s="11"/>
    </row>
    <row r="129" spans="1:12" x14ac:dyDescent="0.2">
      <c r="A129" s="1" t="s">
        <v>1932</v>
      </c>
      <c r="B129" s="1" t="s">
        <v>2087</v>
      </c>
      <c r="C129" s="2" t="s">
        <v>794</v>
      </c>
      <c r="D129" s="2">
        <v>13</v>
      </c>
      <c r="E129" t="s">
        <v>785</v>
      </c>
      <c r="F129" s="2">
        <v>1516</v>
      </c>
      <c r="G129" s="2">
        <v>-3576</v>
      </c>
      <c r="H129" s="2">
        <v>142</v>
      </c>
      <c r="J129" s="16" t="str">
        <f t="shared" si="1"/>
        <v>{ name: "Joju-u-u Shrine", landmark: "Shrine", type: "Puzzle Trial", region: 13, level: "Surface", x: 1516, y: -3576, z: 142, details: `` },</v>
      </c>
      <c r="K129" s="11"/>
      <c r="L129" s="11"/>
    </row>
    <row r="130" spans="1:12" x14ac:dyDescent="0.2">
      <c r="A130" s="1" t="s">
        <v>1936</v>
      </c>
      <c r="B130" s="1" t="s">
        <v>2085</v>
      </c>
      <c r="C130" s="2" t="s">
        <v>794</v>
      </c>
      <c r="D130" s="2">
        <v>13</v>
      </c>
      <c r="E130" t="s">
        <v>785</v>
      </c>
      <c r="F130" s="2">
        <v>348</v>
      </c>
      <c r="G130" s="2">
        <v>-2050</v>
      </c>
      <c r="H130" s="2">
        <v>-26</v>
      </c>
      <c r="J130" s="16" t="str">
        <f t="shared" si="1"/>
        <v>{ name: "Susub Shrine", landmark: "Shrine", type: "Rauru's Blessing", region: 13, level: "Surface", x: 348, y: -2050, z: -26, details: `` },</v>
      </c>
      <c r="K130" s="11"/>
      <c r="L130" s="11"/>
    </row>
    <row r="131" spans="1:12" x14ac:dyDescent="0.2">
      <c r="A131" s="1" t="s">
        <v>1945</v>
      </c>
      <c r="B131" s="1" t="s">
        <v>2085</v>
      </c>
      <c r="C131" s="2" t="s">
        <v>794</v>
      </c>
      <c r="D131" s="2">
        <v>13</v>
      </c>
      <c r="E131" t="s">
        <v>785</v>
      </c>
      <c r="F131" s="2">
        <v>1217</v>
      </c>
      <c r="G131" s="2">
        <v>-2542</v>
      </c>
      <c r="H131" s="2">
        <v>96</v>
      </c>
      <c r="I131" s="7" t="s">
        <v>4565</v>
      </c>
      <c r="J131" s="16" t="str">
        <f t="shared" ref="J131:J153" si="2">"{ name: "&amp;CHAR(34)&amp;A131&amp;CHAR(34)&amp;", landmark: "&amp;CHAR(34)&amp;"Shrine"&amp;CHAR(34)&amp;", type: "&amp;CHAR(34)&amp;B131&amp;CHAR(34)&amp;", region: "&amp;D131&amp;", level: "&amp;CHAR(34)&amp;E131&amp;CHAR(34)&amp;", x: "&amp;F131&amp;", y: "&amp;G131&amp;", z: "&amp;H131&amp;", details: `"&amp;I131&amp;"` },"</f>
        <v>{ name: "Utojis Shrine", landmark: "Shrine", type: "Rauru's Blessing", region: 13, level: "Surface", x: 1217, y: -2542, z: 96, details: `&lt;strong&gt;First:&lt;/strong&gt; Complete &lt;img src="icons/shrine-quest.png" style="height: 20px; width: 20px; vertical-align: middle; margin-right: 5px;"&gt;&lt;span style="color: #7cc9c2; font-weight: bold;"&gt;Legend of the Soaring Spear&lt;/span&gt; shrine quest` },</v>
      </c>
      <c r="K131" s="11"/>
      <c r="L131" s="11"/>
    </row>
    <row r="132" spans="1:12" x14ac:dyDescent="0.2">
      <c r="A132" s="1" t="s">
        <v>1924</v>
      </c>
      <c r="B132" s="1" t="s">
        <v>2087</v>
      </c>
      <c r="C132" s="2" t="s">
        <v>794</v>
      </c>
      <c r="D132" s="2">
        <v>13</v>
      </c>
      <c r="E132" t="s">
        <v>785</v>
      </c>
      <c r="F132" s="2">
        <v>669</v>
      </c>
      <c r="G132" s="2">
        <v>-3358</v>
      </c>
      <c r="H132" s="2">
        <v>72</v>
      </c>
      <c r="J132" s="16" t="str">
        <f t="shared" si="2"/>
        <v>{ name: "Utsushok Shrine", landmark: "Shrine", type: "Puzzle Trial", region: 13, level: "Surface", x: 669, y: -3358, z: 72, details: `` },</v>
      </c>
      <c r="K132" s="11"/>
      <c r="L132" s="11"/>
    </row>
    <row r="133" spans="1:12" x14ac:dyDescent="0.2">
      <c r="A133" s="1" t="s">
        <v>1915</v>
      </c>
      <c r="B133" s="1" t="s">
        <v>2087</v>
      </c>
      <c r="C133" s="2" t="s">
        <v>798</v>
      </c>
      <c r="D133" s="2">
        <v>14</v>
      </c>
      <c r="E133" t="s">
        <v>783</v>
      </c>
      <c r="F133" s="2">
        <v>-1715</v>
      </c>
      <c r="G133" s="2">
        <v>-2119</v>
      </c>
      <c r="H133" s="2">
        <v>1149</v>
      </c>
      <c r="J133" s="16" t="str">
        <f t="shared" si="2"/>
        <v>{ name: "Rakashog Shrine", landmark: "Shrine", type: "Puzzle Trial", region: 14, level: "Sky", x: -1715, y: -2119, z: 1149, details: `` },</v>
      </c>
      <c r="K133" s="11"/>
      <c r="L133" s="11"/>
    </row>
    <row r="134" spans="1:12" x14ac:dyDescent="0.2">
      <c r="A134" s="1" t="s">
        <v>1906</v>
      </c>
      <c r="B134" s="1" t="s">
        <v>2085</v>
      </c>
      <c r="C134" s="2" t="s">
        <v>798</v>
      </c>
      <c r="D134" s="2">
        <v>14</v>
      </c>
      <c r="E134" t="s">
        <v>783</v>
      </c>
      <c r="F134" s="2">
        <v>-1793</v>
      </c>
      <c r="G134" s="2">
        <v>-3331</v>
      </c>
      <c r="H134" s="2">
        <v>1011</v>
      </c>
      <c r="J134" s="16" t="str">
        <f t="shared" si="2"/>
        <v>{ name: "Siyamotsus Shrine", landmark: "Shrine", type: "Rauru's Blessing", region: 14, level: "Sky", x: -1793, y: -3331, z: 1011, details: `` },</v>
      </c>
      <c r="K134" s="11"/>
      <c r="L134" s="11"/>
    </row>
    <row r="135" spans="1:12" x14ac:dyDescent="0.2">
      <c r="A135" s="1" t="s">
        <v>1901</v>
      </c>
      <c r="B135" s="1" t="s">
        <v>2085</v>
      </c>
      <c r="C135" s="2" t="s">
        <v>798</v>
      </c>
      <c r="D135" s="2">
        <v>14</v>
      </c>
      <c r="E135" t="s">
        <v>785</v>
      </c>
      <c r="F135" s="2">
        <v>-3211</v>
      </c>
      <c r="G135" s="2">
        <v>-3007</v>
      </c>
      <c r="H135" s="2">
        <v>-49</v>
      </c>
      <c r="J135" s="16" t="str">
        <f t="shared" si="2"/>
        <v>{ name: "Chichim Shrine", landmark: "Shrine", type: "Rauru's Blessing", region: 14, level: "Surface", x: -3211, y: -3007, z: -49, details: `` },</v>
      </c>
      <c r="K135" s="11"/>
      <c r="L135" s="11"/>
    </row>
    <row r="136" spans="1:12" x14ac:dyDescent="0.2">
      <c r="A136" s="1" t="s">
        <v>1896</v>
      </c>
      <c r="B136" s="1" t="s">
        <v>2085</v>
      </c>
      <c r="C136" s="2" t="s">
        <v>798</v>
      </c>
      <c r="D136" s="2">
        <v>14</v>
      </c>
      <c r="E136" t="s">
        <v>785</v>
      </c>
      <c r="F136" s="2">
        <v>-4159</v>
      </c>
      <c r="G136" s="2">
        <v>-3824</v>
      </c>
      <c r="H136" s="2">
        <v>28</v>
      </c>
      <c r="J136" s="16" t="str">
        <f t="shared" si="2"/>
        <v>{ name: "Irasak Shrine", landmark: "Shrine", type: "Rauru's Blessing", region: 14, level: "Surface", x: -4159, y: -3824, z: 28, details: `` },</v>
      </c>
      <c r="K136" s="11"/>
      <c r="L136" s="11"/>
    </row>
    <row r="137" spans="1:12" x14ac:dyDescent="0.2">
      <c r="A137" s="1" t="s">
        <v>1898</v>
      </c>
      <c r="B137" s="1" t="s">
        <v>2087</v>
      </c>
      <c r="C137" s="2" t="s">
        <v>798</v>
      </c>
      <c r="D137" s="2">
        <v>14</v>
      </c>
      <c r="E137" t="s">
        <v>785</v>
      </c>
      <c r="F137" s="2">
        <v>-3726</v>
      </c>
      <c r="G137" s="2">
        <v>-3625</v>
      </c>
      <c r="H137" s="2">
        <v>43</v>
      </c>
      <c r="J137" s="16" t="str">
        <f t="shared" si="2"/>
        <v>{ name: "Karahatag Shrine", landmark: "Shrine", type: "Puzzle Trial", region: 14, level: "Surface", x: -3726, y: -3625, z: 43, details: `` },</v>
      </c>
      <c r="K137" s="11"/>
      <c r="L137" s="11"/>
    </row>
    <row r="138" spans="1:12" x14ac:dyDescent="0.2">
      <c r="A138" s="1" t="s">
        <v>1909</v>
      </c>
      <c r="B138" s="1" t="s">
        <v>2087</v>
      </c>
      <c r="C138" s="2" t="s">
        <v>798</v>
      </c>
      <c r="D138" s="2">
        <v>14</v>
      </c>
      <c r="E138" t="s">
        <v>785</v>
      </c>
      <c r="F138" s="2">
        <v>-1529</v>
      </c>
      <c r="G138" s="2">
        <v>-2928</v>
      </c>
      <c r="H138" s="2">
        <v>321</v>
      </c>
      <c r="J138" s="16" t="str">
        <f t="shared" si="2"/>
        <v>{ name: "Kitawak Shrine", landmark: "Shrine", type: "Puzzle Trial", region: 14, level: "Surface", x: -1529, y: -2928, z: 321, details: `` },</v>
      </c>
      <c r="K138" s="11"/>
      <c r="L138" s="11"/>
    </row>
    <row r="139" spans="1:12" x14ac:dyDescent="0.2">
      <c r="A139" s="1" t="s">
        <v>1900</v>
      </c>
      <c r="B139" s="1" t="s">
        <v>2087</v>
      </c>
      <c r="C139" s="2" t="s">
        <v>798</v>
      </c>
      <c r="D139" s="2">
        <v>14</v>
      </c>
      <c r="E139" t="s">
        <v>785</v>
      </c>
      <c r="F139" s="2">
        <v>-4168</v>
      </c>
      <c r="G139" s="2">
        <v>-2144</v>
      </c>
      <c r="H139" s="2">
        <v>50</v>
      </c>
      <c r="J139" s="16" t="str">
        <f t="shared" si="2"/>
        <v>{ name: "Kudanisar Shrine", landmark: "Shrine", type: "Puzzle Trial", region: 14, level: "Surface", x: -4168, y: -2144, z: 50, details: `` },</v>
      </c>
      <c r="K139" s="11"/>
      <c r="L139" s="11"/>
    </row>
    <row r="140" spans="1:12" x14ac:dyDescent="0.2">
      <c r="A140" s="1" t="s">
        <v>1903</v>
      </c>
      <c r="B140" s="1" t="s">
        <v>2087</v>
      </c>
      <c r="C140" s="2" t="s">
        <v>798</v>
      </c>
      <c r="D140" s="2">
        <v>14</v>
      </c>
      <c r="E140" t="s">
        <v>785</v>
      </c>
      <c r="F140" s="2">
        <v>-3292</v>
      </c>
      <c r="G140" s="2">
        <v>-2509</v>
      </c>
      <c r="H140" s="2">
        <v>23</v>
      </c>
      <c r="J140" s="16" t="str">
        <f t="shared" si="2"/>
        <v>{ name: "Mayatat Shrine", landmark: "Shrine", type: "Puzzle Trial", region: 14, level: "Surface", x: -3292, y: -2509, z: 23, details: `` },</v>
      </c>
      <c r="K140" s="11"/>
      <c r="L140" s="11"/>
    </row>
    <row r="141" spans="1:12" x14ac:dyDescent="0.2">
      <c r="A141" s="1" t="s">
        <v>1897</v>
      </c>
      <c r="B141" s="1" t="s">
        <v>2084</v>
      </c>
      <c r="C141" s="2" t="s">
        <v>798</v>
      </c>
      <c r="D141" s="2">
        <v>14</v>
      </c>
      <c r="E141" t="s">
        <v>785</v>
      </c>
      <c r="F141" s="2">
        <v>-4679</v>
      </c>
      <c r="G141" s="2">
        <v>-3086</v>
      </c>
      <c r="H141" s="2">
        <v>56</v>
      </c>
      <c r="J141" s="16" t="str">
        <f t="shared" si="2"/>
        <v>{ name: "Miryotanog Shrine", landmark: "Shrine", type: "Proving Grounds", region: 14, level: "Surface", x: -4679, y: -3086, z: 56, details: `` },</v>
      </c>
      <c r="K141" s="11"/>
      <c r="L141" s="11"/>
    </row>
    <row r="142" spans="1:12" x14ac:dyDescent="0.2">
      <c r="A142" s="1" t="s">
        <v>1937</v>
      </c>
      <c r="B142" s="1" t="s">
        <v>2085</v>
      </c>
      <c r="C142" s="2" t="s">
        <v>798</v>
      </c>
      <c r="D142" s="2">
        <v>14</v>
      </c>
      <c r="E142" t="s">
        <v>785</v>
      </c>
      <c r="F142" s="2">
        <v>-1795</v>
      </c>
      <c r="G142" s="2">
        <v>-3485</v>
      </c>
      <c r="H142" s="2">
        <v>45</v>
      </c>
      <c r="J142" s="16" t="str">
        <f t="shared" si="2"/>
        <v>{ name: "Motsusis Shrine", landmark: "Shrine", type: "Rauru's Blessing", region: 14, level: "Surface", x: -1795, y: -3485, z: 45, details: `` },</v>
      </c>
      <c r="K142" s="11"/>
      <c r="L142" s="11"/>
    </row>
    <row r="143" spans="1:12" x14ac:dyDescent="0.2">
      <c r="A143" s="1" t="s">
        <v>1913</v>
      </c>
      <c r="B143" s="1" t="s">
        <v>2085</v>
      </c>
      <c r="C143" s="2" t="s">
        <v>798</v>
      </c>
      <c r="D143" s="2">
        <v>14</v>
      </c>
      <c r="E143" t="s">
        <v>785</v>
      </c>
      <c r="F143" s="2">
        <v>-2031</v>
      </c>
      <c r="G143" s="2">
        <v>-1847</v>
      </c>
      <c r="H143" s="2">
        <v>64</v>
      </c>
      <c r="I143" s="7" t="s">
        <v>4566</v>
      </c>
      <c r="J143" s="16" t="str">
        <f t="shared" si="2"/>
        <v>{ name: "Rakakudaj Shrine", landmark: "Shrine", type: "Rauru's Blessing", region: 14, level: "Surface", x: -2031, y: -1847, z: 64, details: `&lt;strong&gt;First:&lt;/strong&gt; Complete &lt;img src="icons/shrine-quest.png" style="height: 20px; width: 20px; vertical-align: middle; margin-right: 5px;"&gt;&lt;span style="color: #7cc9c2; font-weight: bold;"&gt;The Gerudo Canyon Crystal&lt;/span&gt; shrine quest` },</v>
      </c>
      <c r="K143" s="11"/>
      <c r="L143" s="11"/>
    </row>
    <row r="144" spans="1:12" x14ac:dyDescent="0.2">
      <c r="A144" s="1" t="s">
        <v>1904</v>
      </c>
      <c r="B144" s="1" t="s">
        <v>2087</v>
      </c>
      <c r="C144" s="2" t="s">
        <v>798</v>
      </c>
      <c r="D144" s="2">
        <v>14</v>
      </c>
      <c r="E144" t="s">
        <v>785</v>
      </c>
      <c r="F144" s="2">
        <v>-2445</v>
      </c>
      <c r="G144" s="2">
        <v>-3345</v>
      </c>
      <c r="H144" s="2">
        <v>41</v>
      </c>
      <c r="J144" s="16" t="str">
        <f t="shared" si="2"/>
        <v>{ name: "Siwakama Shrine", landmark: "Shrine", type: "Puzzle Trial", region: 14, level: "Surface", x: -2445, y: -3345, z: 41, details: `` },</v>
      </c>
      <c r="K144" s="11"/>
      <c r="L144" s="11"/>
    </row>
    <row r="145" spans="1:12" x14ac:dyDescent="0.2">
      <c r="A145" s="1" t="s">
        <v>1899</v>
      </c>
      <c r="B145" s="1" t="s">
        <v>2087</v>
      </c>
      <c r="C145" s="2" t="s">
        <v>798</v>
      </c>
      <c r="D145" s="2">
        <v>14</v>
      </c>
      <c r="E145" t="s">
        <v>785</v>
      </c>
      <c r="F145" s="2">
        <v>-3883</v>
      </c>
      <c r="G145" s="2">
        <v>-2964</v>
      </c>
      <c r="H145" s="2">
        <v>125</v>
      </c>
      <c r="J145" s="16" t="str">
        <f t="shared" si="2"/>
        <v>{ name: "Soryotanog Shrine", landmark: "Shrine", type: "Puzzle Trial", region: 14, level: "Surface", x: -3883, y: -2964, z: 125, details: `` },</v>
      </c>
      <c r="K145" s="11"/>
      <c r="L145" s="11"/>
    </row>
    <row r="146" spans="1:12" x14ac:dyDescent="0.2">
      <c r="A146" s="1" t="s">
        <v>1907</v>
      </c>
      <c r="B146" s="1" t="s">
        <v>2087</v>
      </c>
      <c r="C146" s="2" t="s">
        <v>798</v>
      </c>
      <c r="D146" s="2">
        <v>14</v>
      </c>
      <c r="E146" t="s">
        <v>785</v>
      </c>
      <c r="F146" s="2">
        <v>-2658</v>
      </c>
      <c r="G146" s="2">
        <v>-2236</v>
      </c>
      <c r="H146" s="2">
        <v>67</v>
      </c>
      <c r="J146" s="16" t="str">
        <f t="shared" si="2"/>
        <v>{ name: "Turakamik Shrine", landmark: "Shrine", type: "Puzzle Trial", region: 14, level: "Surface", x: -2658, y: -2236, z: 67, details: `` },</v>
      </c>
      <c r="K146" s="11"/>
      <c r="L146" s="11"/>
    </row>
    <row r="147" spans="1:12" x14ac:dyDescent="0.2">
      <c r="A147" s="1" t="s">
        <v>1914</v>
      </c>
      <c r="B147" s="1" t="s">
        <v>2085</v>
      </c>
      <c r="C147" s="2" t="s">
        <v>797</v>
      </c>
      <c r="D147" s="2">
        <v>15</v>
      </c>
      <c r="E147" t="s">
        <v>783</v>
      </c>
      <c r="F147" s="2">
        <v>-3544</v>
      </c>
      <c r="G147" s="2">
        <v>-320</v>
      </c>
      <c r="H147" s="2">
        <v>1964</v>
      </c>
      <c r="J147" s="16" t="str">
        <f t="shared" si="2"/>
        <v>{ name: "Mayasiar Shrine", landmark: "Shrine", type: "Rauru's Blessing", region: 15, level: "Sky", x: -3544, y: -320, z: 1964, details: `` },</v>
      </c>
      <c r="K147" s="11"/>
      <c r="L147" s="11"/>
    </row>
    <row r="148" spans="1:12" x14ac:dyDescent="0.2">
      <c r="A148" s="1" t="s">
        <v>1912</v>
      </c>
      <c r="B148" s="1" t="s">
        <v>2087</v>
      </c>
      <c r="C148" s="2" t="s">
        <v>797</v>
      </c>
      <c r="D148" s="2">
        <v>15</v>
      </c>
      <c r="E148" t="s">
        <v>785</v>
      </c>
      <c r="F148" s="2">
        <v>-4152</v>
      </c>
      <c r="G148" s="2">
        <v>98</v>
      </c>
      <c r="H148" s="2">
        <v>40</v>
      </c>
      <c r="J148" s="16" t="str">
        <f t="shared" si="2"/>
        <v>{ name: "Gasas Shrine", landmark: "Shrine", type: "Puzzle Trial", region: 15, level: "Surface", x: -4152, y: 98, z: 40, details: `` },</v>
      </c>
      <c r="K148" s="11"/>
      <c r="L148" s="11"/>
    </row>
    <row r="149" spans="1:12" x14ac:dyDescent="0.2">
      <c r="A149" s="1" t="s">
        <v>1902</v>
      </c>
      <c r="B149" s="1" t="s">
        <v>2087</v>
      </c>
      <c r="C149" s="2" t="s">
        <v>797</v>
      </c>
      <c r="D149" s="2">
        <v>15</v>
      </c>
      <c r="E149" t="s">
        <v>785</v>
      </c>
      <c r="F149" s="2">
        <v>-4637</v>
      </c>
      <c r="G149" s="2">
        <v>-1514</v>
      </c>
      <c r="H149" s="2">
        <v>452</v>
      </c>
      <c r="J149" s="16" t="str">
        <f t="shared" si="2"/>
        <v>{ name: "Mayamats Shrine", landmark: "Shrine", type: "Puzzle Trial", region: 15, level: "Surface", x: -4637, y: -1514, z: 452, details: `` },</v>
      </c>
      <c r="K149" s="11"/>
      <c r="L149" s="11"/>
    </row>
    <row r="150" spans="1:12" x14ac:dyDescent="0.2">
      <c r="A150" s="1" t="s">
        <v>1905</v>
      </c>
      <c r="B150" s="1" t="s">
        <v>2085</v>
      </c>
      <c r="C150" s="2" t="s">
        <v>797</v>
      </c>
      <c r="D150" s="2">
        <v>15</v>
      </c>
      <c r="E150" t="s">
        <v>785</v>
      </c>
      <c r="F150" s="2">
        <v>-4468</v>
      </c>
      <c r="G150" s="2">
        <v>-670</v>
      </c>
      <c r="H150" s="2">
        <v>509</v>
      </c>
      <c r="J150" s="16" t="str">
        <f t="shared" si="2"/>
        <v>{ name: "Otutsum Shrine", landmark: "Shrine", type: "Rauru's Blessing", region: 15, level: "Surface", x: -4468, y: -670, z: 509, details: `` },</v>
      </c>
      <c r="K150" s="11"/>
      <c r="L150" s="11"/>
    </row>
    <row r="151" spans="1:12" x14ac:dyDescent="0.2">
      <c r="A151" s="1" t="s">
        <v>1908</v>
      </c>
      <c r="B151" s="1" t="s">
        <v>2087</v>
      </c>
      <c r="C151" s="2" t="s">
        <v>797</v>
      </c>
      <c r="D151" s="2">
        <v>15</v>
      </c>
      <c r="E151" t="s">
        <v>785</v>
      </c>
      <c r="F151" s="2">
        <v>-3407</v>
      </c>
      <c r="G151" s="2">
        <v>-1362</v>
      </c>
      <c r="H151" s="2">
        <v>35</v>
      </c>
      <c r="J151" s="16" t="str">
        <f t="shared" si="2"/>
        <v>{ name: "Rotsumamu Shrine", landmark: "Shrine", type: "Puzzle Trial", region: 15, level: "Surface", x: -3407, y: -1362, z: 35, details: `` },</v>
      </c>
      <c r="K151" s="11"/>
      <c r="L151" s="11"/>
    </row>
    <row r="152" spans="1:12" x14ac:dyDescent="0.2">
      <c r="A152" s="1" t="s">
        <v>1910</v>
      </c>
      <c r="B152" s="1" t="s">
        <v>2085</v>
      </c>
      <c r="C152" s="2" t="s">
        <v>797</v>
      </c>
      <c r="D152" s="2">
        <v>15</v>
      </c>
      <c r="E152" t="s">
        <v>785</v>
      </c>
      <c r="F152" s="2">
        <v>-2523</v>
      </c>
      <c r="G152" s="2">
        <v>-1770</v>
      </c>
      <c r="H152" s="2">
        <v>132</v>
      </c>
      <c r="J152" s="16" t="str">
        <f t="shared" si="2"/>
        <v>{ name: "Suariwak Shrine", landmark: "Shrine", type: "Rauru's Blessing", region: 15, level: "Surface", x: -2523, y: -1770, z: 132, details: `` },</v>
      </c>
      <c r="K152" s="11"/>
      <c r="L152" s="11"/>
    </row>
    <row r="153" spans="1:12" x14ac:dyDescent="0.2">
      <c r="A153" s="1" t="s">
        <v>1916</v>
      </c>
      <c r="B153" s="1" t="s">
        <v>2087</v>
      </c>
      <c r="C153" s="2" t="s">
        <v>797</v>
      </c>
      <c r="D153" s="2">
        <v>15</v>
      </c>
      <c r="E153" t="s">
        <v>785</v>
      </c>
      <c r="F153" s="2">
        <v>-3496</v>
      </c>
      <c r="G153" s="2">
        <v>-197</v>
      </c>
      <c r="H153" s="2">
        <v>66</v>
      </c>
      <c r="J153" s="16" t="str">
        <f t="shared" si="2"/>
        <v>{ name: "Turakawak Shrine", landmark: "Shrine", type: "Puzzle Trial", region: 15, level: "Surface", x: -3496, y: -197, z: 66, details: `` },</v>
      </c>
      <c r="K153" s="11"/>
      <c r="L153" s="11"/>
    </row>
    <row r="154" spans="1:12" x14ac:dyDescent="0.2">
      <c r="A154" s="1"/>
      <c r="B154" s="1"/>
    </row>
  </sheetData>
  <autoFilter ref="A1:J154" xr:uid="{3781161B-E3B8-6A41-B5B5-EF88E67723E0}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34064-8521-8D4F-BF58-D5A990CED0C5}">
  <sheetPr codeName="Sheet32">
    <tabColor theme="9"/>
  </sheetPr>
  <dimension ref="A1:I18"/>
  <sheetViews>
    <sheetView workbookViewId="0">
      <selection activeCell="E17" sqref="E17"/>
    </sheetView>
  </sheetViews>
  <sheetFormatPr baseColWidth="10" defaultRowHeight="16" x14ac:dyDescent="0.2"/>
  <cols>
    <col min="1" max="1" width="21.83203125" customWidth="1"/>
    <col min="2" max="2" width="10.1640625" bestFit="1" customWidth="1"/>
    <col min="3" max="7" width="10.83203125" style="2"/>
  </cols>
  <sheetData>
    <row r="1" spans="1:9" s="6" customFormat="1" x14ac:dyDescent="0.2">
      <c r="A1" s="6" t="s">
        <v>781</v>
      </c>
      <c r="B1" s="6" t="s">
        <v>2083</v>
      </c>
      <c r="C1" s="4" t="s">
        <v>2074</v>
      </c>
      <c r="D1" s="4" t="s">
        <v>777</v>
      </c>
      <c r="E1" s="4" t="s">
        <v>778</v>
      </c>
      <c r="F1" s="4" t="s">
        <v>779</v>
      </c>
      <c r="G1" s="4" t="s">
        <v>780</v>
      </c>
      <c r="H1" s="6" t="s">
        <v>2081</v>
      </c>
      <c r="I1" s="6" t="s">
        <v>2075</v>
      </c>
    </row>
    <row r="2" spans="1:9" s="6" customFormat="1" x14ac:dyDescent="0.2">
      <c r="A2" t="s">
        <v>2397</v>
      </c>
      <c r="B2"/>
      <c r="C2" s="2">
        <v>0</v>
      </c>
      <c r="D2" s="2" t="s">
        <v>783</v>
      </c>
      <c r="E2" s="2">
        <v>370</v>
      </c>
      <c r="F2" s="2">
        <v>-1753</v>
      </c>
      <c r="G2" s="2">
        <v>2281</v>
      </c>
      <c r="I2" t="str">
        <f t="shared" ref="I2:I17" si="0">"{ name: "&amp;CHAR(34)&amp;A2&amp;CHAR(34)&amp;", landmark: "&amp;CHAR(34)&amp;"Special Location"&amp;CHAR(34)&amp;", type: "&amp;CHAR(34)&amp;B2&amp;CHAR(34)&amp;", region: "&amp;C2&amp;", level: "&amp;CHAR(34)&amp;D2&amp;CHAR(34)&amp;", x: "&amp;E2&amp;", y: "&amp;F2&amp;", z: "&amp;G2&amp;", details: "&amp;CHAR(34)&amp;H2&amp;CHAR(34)&amp;" },"</f>
        <v>{ name: "Room of Awakening", landmark: "Special Location", type: "", region: 0, level: "Sky", x: 370, y: -1753, z: 2281, details: "" },</v>
      </c>
    </row>
    <row r="3" spans="1:9" x14ac:dyDescent="0.2">
      <c r="A3" t="s">
        <v>2391</v>
      </c>
      <c r="B3" t="s">
        <v>2398</v>
      </c>
      <c r="C3" s="2">
        <v>1</v>
      </c>
      <c r="D3" s="2" t="s">
        <v>785</v>
      </c>
      <c r="E3" s="2">
        <v>-254</v>
      </c>
      <c r="F3" s="2">
        <v>97</v>
      </c>
      <c r="G3" s="2">
        <v>8</v>
      </c>
      <c r="H3" t="s">
        <v>2220</v>
      </c>
      <c r="I3" t="str">
        <f t="shared" si="0"/>
        <v>{ name: "Emergency Shelter", landmark: "Special Location", type: "Settlement", region: 1, level: "Surface", x: -254, y: 97, z: 8, details: "" },</v>
      </c>
    </row>
    <row r="4" spans="1:9" x14ac:dyDescent="0.2">
      <c r="A4" t="s">
        <v>1444</v>
      </c>
      <c r="B4" t="s">
        <v>2398</v>
      </c>
      <c r="C4" s="2">
        <v>3</v>
      </c>
      <c r="D4" s="2" t="s">
        <v>785</v>
      </c>
      <c r="E4" s="2">
        <v>-3256</v>
      </c>
      <c r="F4" s="2">
        <v>1758</v>
      </c>
      <c r="G4" s="2">
        <v>151</v>
      </c>
      <c r="I4" t="str">
        <f t="shared" si="0"/>
        <v>{ name: "Lucky Clover Gazette", landmark: "Special Location", type: "Settlement", region: 3, level: "Surface", x: -3256, y: 1758, z: 151, details: "" },</v>
      </c>
    </row>
    <row r="5" spans="1:9" x14ac:dyDescent="0.2">
      <c r="A5" t="s">
        <v>1689</v>
      </c>
      <c r="B5" t="s">
        <v>2557</v>
      </c>
      <c r="C5" s="2">
        <v>3</v>
      </c>
      <c r="D5" s="2" t="s">
        <v>785</v>
      </c>
      <c r="E5" s="2">
        <v>-3126</v>
      </c>
      <c r="F5" s="2">
        <v>612</v>
      </c>
      <c r="G5" s="2">
        <v>81</v>
      </c>
      <c r="H5" s="2"/>
      <c r="I5" t="str">
        <f t="shared" si="0"/>
        <v>{ name: "Ultra Ball Haul Check-In", landmark: "Special Location", type: "Mini-Game", region: 3, level: "Surface", x: -3126, y: 612, z: 81, details: "" },</v>
      </c>
    </row>
    <row r="6" spans="1:9" x14ac:dyDescent="0.2">
      <c r="A6" t="s">
        <v>1262</v>
      </c>
      <c r="B6" t="s">
        <v>2557</v>
      </c>
      <c r="C6" s="2">
        <v>4</v>
      </c>
      <c r="D6" s="2" t="s">
        <v>785</v>
      </c>
      <c r="E6" s="2">
        <v>-3793</v>
      </c>
      <c r="F6" s="2">
        <v>2318</v>
      </c>
      <c r="G6" s="2">
        <v>180</v>
      </c>
      <c r="I6" t="str">
        <f t="shared" si="0"/>
        <v>{ name: "Flight Range", landmark: "Special Location", type: "Mini-Game", region: 4, level: "Surface", x: -3793, y: 2318, z: 180, details: "" },</v>
      </c>
    </row>
    <row r="7" spans="1:9" x14ac:dyDescent="0.2">
      <c r="A7" t="s">
        <v>1273</v>
      </c>
      <c r="C7" s="2">
        <v>5</v>
      </c>
      <c r="D7" s="2" t="s">
        <v>785</v>
      </c>
      <c r="E7" s="2">
        <v>-1422</v>
      </c>
      <c r="F7" s="2">
        <v>2263</v>
      </c>
      <c r="G7" s="2">
        <v>-106</v>
      </c>
      <c r="I7" t="str">
        <f t="shared" si="0"/>
        <v>{ name: "Forgotten Temple", landmark: "Special Location", type: "", region: 5, level: "Surface", x: -1422, y: 2263, z: -106, details: "" },</v>
      </c>
    </row>
    <row r="8" spans="1:9" x14ac:dyDescent="0.2">
      <c r="A8" t="s">
        <v>1133</v>
      </c>
      <c r="B8" t="s">
        <v>2398</v>
      </c>
      <c r="C8" s="2">
        <v>7</v>
      </c>
      <c r="D8" s="2" t="s">
        <v>785</v>
      </c>
      <c r="E8" s="2">
        <v>1765</v>
      </c>
      <c r="F8" s="2">
        <v>1547</v>
      </c>
      <c r="G8" s="2">
        <v>279</v>
      </c>
      <c r="I8" t="str">
        <f t="shared" si="0"/>
        <v>{ name: "Bedrock Bistro", landmark: "Special Location", type: "Settlement", region: 7, level: "Surface", x: 1765, y: 1547, z: 279, details: "" },</v>
      </c>
    </row>
    <row r="9" spans="1:9" x14ac:dyDescent="0.2">
      <c r="A9" t="s">
        <v>1719</v>
      </c>
      <c r="B9" t="s">
        <v>2398</v>
      </c>
      <c r="C9" s="2">
        <v>7</v>
      </c>
      <c r="D9" s="2" t="s">
        <v>785</v>
      </c>
      <c r="E9" s="2">
        <v>1602</v>
      </c>
      <c r="F9" s="2">
        <v>2832</v>
      </c>
      <c r="G9" s="2">
        <v>412</v>
      </c>
      <c r="I9" t="str">
        <f t="shared" si="0"/>
        <v>{ name: "YunoboCo HQ", landmark: "Special Location", type: "Settlement", region: 7, level: "Surface", x: 1602, y: 2832, z: 412, details: "" },</v>
      </c>
    </row>
    <row r="10" spans="1:9" x14ac:dyDescent="0.2">
      <c r="A10" t="s">
        <v>998</v>
      </c>
      <c r="B10" t="s">
        <v>2398</v>
      </c>
      <c r="C10" s="2">
        <v>8</v>
      </c>
      <c r="D10" s="2" t="s">
        <v>785</v>
      </c>
      <c r="E10" s="2">
        <v>3724</v>
      </c>
      <c r="F10" s="2">
        <v>1612</v>
      </c>
      <c r="G10" s="2">
        <v>114</v>
      </c>
      <c r="I10" t="str">
        <f t="shared" si="0"/>
        <v>{ name: "Hudson Construction Site", landmark: "Special Location", type: "Settlement", region: 8, level: "Surface", x: 3724, y: 1612, z: 114, details: "" },</v>
      </c>
    </row>
    <row r="11" spans="1:9" x14ac:dyDescent="0.2">
      <c r="A11" t="s">
        <v>1434</v>
      </c>
      <c r="C11" s="2">
        <v>8</v>
      </c>
      <c r="D11" s="2" t="s">
        <v>785</v>
      </c>
      <c r="E11" s="2">
        <v>4208</v>
      </c>
      <c r="F11" s="2">
        <v>1380</v>
      </c>
      <c r="G11" s="2">
        <v>208</v>
      </c>
      <c r="I11" t="str">
        <f t="shared" si="0"/>
        <v>{ name: "Link's House", landmark: "Special Location", type: "", region: 8, level: "Surface", x: 4208, y: 1380, z: 208, details: "" },</v>
      </c>
    </row>
    <row r="12" spans="1:9" x14ac:dyDescent="0.2">
      <c r="A12" t="s">
        <v>1482</v>
      </c>
      <c r="C12" s="2">
        <v>8</v>
      </c>
      <c r="D12" s="2" t="s">
        <v>785</v>
      </c>
      <c r="E12" s="2">
        <v>3962</v>
      </c>
      <c r="F12" s="2">
        <v>1653</v>
      </c>
      <c r="G12" s="2">
        <v>129</v>
      </c>
      <c r="I12" t="str">
        <f t="shared" si="0"/>
        <v>{ name: "Monster Gallery", landmark: "Special Location", type: "", region: 8, level: "Surface", x: 3962, y: 1653, z: 129, details: "" },</v>
      </c>
    </row>
    <row r="13" spans="1:9" x14ac:dyDescent="0.2">
      <c r="A13" t="s">
        <v>1665</v>
      </c>
      <c r="B13" t="s">
        <v>2557</v>
      </c>
      <c r="C13" s="2">
        <v>8</v>
      </c>
      <c r="D13" s="2" t="s">
        <v>785</v>
      </c>
      <c r="E13" s="2">
        <v>3744</v>
      </c>
      <c r="F13" s="2">
        <v>1679</v>
      </c>
      <c r="G13" s="2">
        <v>93</v>
      </c>
      <c r="H13" s="2"/>
      <c r="I13" t="str">
        <f t="shared" si="0"/>
        <v>{ name: "Tarrey Town Race", landmark: "Special Location", type: "Mini-Game", region: 8, level: "Surface", x: 3744, y: 1679, z: 93, details: "" },</v>
      </c>
    </row>
    <row r="14" spans="1:9" x14ac:dyDescent="0.2">
      <c r="A14" t="s">
        <v>1324</v>
      </c>
      <c r="C14" s="2">
        <v>11</v>
      </c>
      <c r="D14" s="2" t="s">
        <v>785</v>
      </c>
      <c r="E14" s="2">
        <v>3776</v>
      </c>
      <c r="F14" s="2">
        <v>-2129</v>
      </c>
      <c r="G14" s="2">
        <v>230</v>
      </c>
      <c r="I14" t="str">
        <f t="shared" si="0"/>
        <v>{ name: "Hateno Ancient Tech Lab", landmark: "Special Location", type: "", region: 11, level: "Surface", x: 3776, y: -2129, z: 230, details: "" },</v>
      </c>
    </row>
    <row r="15" spans="1:9" x14ac:dyDescent="0.2">
      <c r="A15" t="s">
        <v>1449</v>
      </c>
      <c r="B15" t="s">
        <v>2557</v>
      </c>
      <c r="C15" s="2">
        <v>12</v>
      </c>
      <c r="D15" s="2" t="s">
        <v>785</v>
      </c>
      <c r="E15" s="2">
        <v>2978</v>
      </c>
      <c r="F15" s="2">
        <v>-3690</v>
      </c>
      <c r="G15" s="2">
        <v>2</v>
      </c>
      <c r="I15" t="str">
        <f t="shared" si="0"/>
        <v>{ name: "Lurelin Water Rally", landmark: "Special Location", type: "Mini-Game", region: 12, level: "Surface", x: 2978, y: -3690, z: 2, details: "" },</v>
      </c>
    </row>
    <row r="16" spans="1:9" x14ac:dyDescent="0.2">
      <c r="A16" t="s">
        <v>2415</v>
      </c>
      <c r="B16" t="s">
        <v>2398</v>
      </c>
      <c r="C16" s="2">
        <v>14</v>
      </c>
      <c r="D16" s="2" t="s">
        <v>785</v>
      </c>
      <c r="E16" s="2">
        <v>-3889</v>
      </c>
      <c r="F16" s="2">
        <v>-2971</v>
      </c>
      <c r="G16" s="2">
        <v>33</v>
      </c>
      <c r="I16" t="str">
        <f t="shared" si="0"/>
        <v>{ name: "Gerudo Town Shelter", landmark: "Special Location", type: "Settlement", region: 14, level: "Surface", x: -3889, y: -2971, z: 33, details: "" },</v>
      </c>
    </row>
    <row r="17" spans="1:9" x14ac:dyDescent="0.2">
      <c r="A17" t="s">
        <v>840</v>
      </c>
      <c r="B17" t="s">
        <v>2398</v>
      </c>
      <c r="C17" s="2">
        <v>15</v>
      </c>
      <c r="D17" s="2" t="s">
        <v>785</v>
      </c>
      <c r="E17" s="2">
        <v>-3686</v>
      </c>
      <c r="F17" s="2">
        <v>-1366</v>
      </c>
      <c r="G17" s="2">
        <v>331</v>
      </c>
      <c r="I17" t="str">
        <f t="shared" si="0"/>
        <v>{ name: "Yiga Clan Hideout", landmark: "Special Location", type: "Settlement", region: 15, level: "Surface", x: -3686, y: -1366, z: 331, details: "" },</v>
      </c>
    </row>
    <row r="18" spans="1:9" x14ac:dyDescent="0.2">
      <c r="H18" s="2"/>
      <c r="I18" s="2"/>
    </row>
  </sheetData>
  <autoFilter ref="A1:I1" xr:uid="{A095D5C8-FF81-DA46-ADE3-61DE071C2139}">
    <sortState xmlns:xlrd2="http://schemas.microsoft.com/office/spreadsheetml/2017/richdata2" ref="A2:I16">
      <sortCondition ref="C1:C16"/>
    </sortState>
  </autoFilter>
  <conditionalFormatting sqref="A2">
    <cfRule type="duplicateValues" dxfId="7" priority="1"/>
  </conditionalFormatting>
  <conditionalFormatting sqref="A11:A12">
    <cfRule type="duplicateValues" dxfId="6" priority="7"/>
  </conditionalFormatting>
  <conditionalFormatting sqref="A13">
    <cfRule type="duplicateValues" dxfId="5" priority="6"/>
  </conditionalFormatting>
  <conditionalFormatting sqref="A14">
    <cfRule type="duplicateValues" dxfId="4" priority="5"/>
  </conditionalFormatting>
  <conditionalFormatting sqref="A15">
    <cfRule type="duplicateValues" dxfId="3" priority="4"/>
  </conditionalFormatting>
  <conditionalFormatting sqref="A16">
    <cfRule type="duplicateValues" dxfId="2" priority="3"/>
  </conditionalFormatting>
  <conditionalFormatting sqref="A18">
    <cfRule type="duplicateValues" dxfId="1" priority="2"/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CFD88-9269-FE4F-AB15-7A899DFCC2EE}">
  <sheetPr codeName="Sheet25">
    <tabColor theme="9"/>
  </sheetPr>
  <dimension ref="A1:I17"/>
  <sheetViews>
    <sheetView workbookViewId="0">
      <selection activeCell="I8" sqref="I8"/>
    </sheetView>
  </sheetViews>
  <sheetFormatPr baseColWidth="10" defaultRowHeight="16" x14ac:dyDescent="0.2"/>
  <cols>
    <col min="1" max="1" width="21.83203125" customWidth="1"/>
    <col min="2" max="2" width="22.83203125" bestFit="1" customWidth="1"/>
  </cols>
  <sheetData>
    <row r="1" spans="1:9" s="6" customFormat="1" x14ac:dyDescent="0.2">
      <c r="A1" s="6" t="s">
        <v>781</v>
      </c>
      <c r="B1" s="6" t="s">
        <v>2083</v>
      </c>
      <c r="C1" s="6" t="s">
        <v>2074</v>
      </c>
      <c r="D1" s="6" t="s">
        <v>777</v>
      </c>
      <c r="E1" s="6" t="s">
        <v>778</v>
      </c>
      <c r="F1" s="6" t="s">
        <v>779</v>
      </c>
      <c r="G1" s="6" t="s">
        <v>780</v>
      </c>
      <c r="H1" s="6" t="s">
        <v>2081</v>
      </c>
      <c r="I1" s="6" t="s">
        <v>2075</v>
      </c>
    </row>
    <row r="2" spans="1:9" x14ac:dyDescent="0.2">
      <c r="A2" t="s">
        <v>1475</v>
      </c>
      <c r="B2" t="s">
        <v>1441</v>
      </c>
      <c r="C2">
        <v>1</v>
      </c>
      <c r="D2" t="s">
        <v>785</v>
      </c>
      <c r="E2">
        <v>-253</v>
      </c>
      <c r="F2">
        <v>53</v>
      </c>
      <c r="G2">
        <v>19</v>
      </c>
      <c r="I2" t="str">
        <f>"{ name: "&amp;CHAR(34)&amp;A2&amp;CHAR(34)&amp;", landmark: "&amp;CHAR(34)&amp;"Stable"&amp;CHAR(34)&amp;", type: "&amp;CHAR(34)&amp;B2&amp;CHAR(34)&amp;", region: "&amp;C2&amp;", level: "&amp;CHAR(34)&amp;D2&amp;CHAR(34)&amp;", x: "&amp;E2&amp;", y: "&amp;F2&amp;", z: "&amp;G2&amp;", details: "&amp;CHAR(34)&amp;H2&amp;CHAR(34)&amp;" },"</f>
        <v>{ name: "Mini Stable", landmark: "Stable", type: "Lookout Landing", region: 1, level: "Surface", x: -253, y: 53, z: 19, details: "" },</v>
      </c>
    </row>
    <row r="3" spans="1:9" x14ac:dyDescent="0.2">
      <c r="A3" t="s">
        <v>1475</v>
      </c>
      <c r="B3" t="s">
        <v>1207</v>
      </c>
      <c r="C3">
        <v>2</v>
      </c>
      <c r="D3" t="s">
        <v>785</v>
      </c>
      <c r="E3">
        <v>-1689</v>
      </c>
      <c r="F3">
        <v>-1663</v>
      </c>
      <c r="G3">
        <v>22</v>
      </c>
      <c r="I3" t="s">
        <v>2416</v>
      </c>
    </row>
    <row r="4" spans="1:9" x14ac:dyDescent="0.2">
      <c r="A4" t="s">
        <v>1529</v>
      </c>
      <c r="C4">
        <v>2</v>
      </c>
      <c r="D4" t="s">
        <v>785</v>
      </c>
      <c r="E4">
        <v>-1448</v>
      </c>
      <c r="F4">
        <v>-1268</v>
      </c>
      <c r="G4">
        <v>32</v>
      </c>
      <c r="I4" t="s">
        <v>2526</v>
      </c>
    </row>
    <row r="5" spans="1:9" x14ac:dyDescent="0.2">
      <c r="A5" t="s">
        <v>1578</v>
      </c>
      <c r="C5">
        <v>2</v>
      </c>
      <c r="D5" t="s">
        <v>785</v>
      </c>
      <c r="E5">
        <v>341</v>
      </c>
      <c r="F5">
        <v>-1095</v>
      </c>
      <c r="G5">
        <v>10</v>
      </c>
      <c r="I5" t="s">
        <v>2527</v>
      </c>
    </row>
    <row r="6" spans="1:9" x14ac:dyDescent="0.2">
      <c r="A6" t="s">
        <v>1506</v>
      </c>
      <c r="C6">
        <v>3</v>
      </c>
      <c r="D6" t="s">
        <v>785</v>
      </c>
      <c r="E6">
        <v>-1361</v>
      </c>
      <c r="F6">
        <v>724</v>
      </c>
      <c r="G6">
        <v>85</v>
      </c>
      <c r="I6" t="s">
        <v>2528</v>
      </c>
    </row>
    <row r="7" spans="1:9" x14ac:dyDescent="0.2">
      <c r="A7" t="s">
        <v>1650</v>
      </c>
      <c r="C7">
        <v>3</v>
      </c>
      <c r="D7" t="s">
        <v>785</v>
      </c>
      <c r="E7">
        <v>-2931</v>
      </c>
      <c r="F7">
        <v>548</v>
      </c>
      <c r="G7">
        <v>169</v>
      </c>
      <c r="I7" t="s">
        <v>2529</v>
      </c>
    </row>
    <row r="8" spans="1:9" x14ac:dyDescent="0.2">
      <c r="A8" t="s">
        <v>1619</v>
      </c>
      <c r="C8">
        <v>5</v>
      </c>
      <c r="D8" t="s">
        <v>785</v>
      </c>
      <c r="E8">
        <v>-1654</v>
      </c>
      <c r="F8">
        <v>2572</v>
      </c>
      <c r="G8">
        <v>233</v>
      </c>
      <c r="I8" t="s">
        <v>2530</v>
      </c>
    </row>
    <row r="9" spans="1:9" x14ac:dyDescent="0.2">
      <c r="A9" t="s">
        <v>1031</v>
      </c>
      <c r="C9">
        <v>7</v>
      </c>
      <c r="D9" t="s">
        <v>785</v>
      </c>
      <c r="E9">
        <v>2613</v>
      </c>
      <c r="F9">
        <v>1143</v>
      </c>
      <c r="G9">
        <v>148</v>
      </c>
      <c r="I9" t="s">
        <v>2531</v>
      </c>
    </row>
    <row r="10" spans="1:9" x14ac:dyDescent="0.2">
      <c r="A10" t="s">
        <v>1716</v>
      </c>
      <c r="C10">
        <v>7</v>
      </c>
      <c r="D10" t="s">
        <v>785</v>
      </c>
      <c r="E10">
        <v>1066</v>
      </c>
      <c r="F10">
        <v>1142</v>
      </c>
      <c r="G10">
        <v>21</v>
      </c>
      <c r="I10" t="s">
        <v>2532</v>
      </c>
    </row>
    <row r="11" spans="1:9" x14ac:dyDescent="0.2">
      <c r="A11" t="s">
        <v>1028</v>
      </c>
      <c r="C11">
        <v>8</v>
      </c>
      <c r="D11" t="s">
        <v>785</v>
      </c>
      <c r="E11">
        <v>4229</v>
      </c>
      <c r="F11">
        <v>2748</v>
      </c>
      <c r="G11">
        <v>125</v>
      </c>
      <c r="I11" t="s">
        <v>2533</v>
      </c>
    </row>
    <row r="12" spans="1:9" x14ac:dyDescent="0.2">
      <c r="A12" t="s">
        <v>1078</v>
      </c>
      <c r="C12">
        <v>8</v>
      </c>
      <c r="D12" t="s">
        <v>785</v>
      </c>
      <c r="E12">
        <v>3151</v>
      </c>
      <c r="F12">
        <v>1692</v>
      </c>
      <c r="G12">
        <v>201</v>
      </c>
      <c r="I12" t="s">
        <v>2534</v>
      </c>
    </row>
    <row r="13" spans="1:9" x14ac:dyDescent="0.2">
      <c r="A13" t="s">
        <v>1221</v>
      </c>
      <c r="C13">
        <v>10</v>
      </c>
      <c r="D13" t="s">
        <v>785</v>
      </c>
      <c r="E13">
        <v>1764</v>
      </c>
      <c r="F13">
        <v>-1927</v>
      </c>
      <c r="G13">
        <v>13</v>
      </c>
      <c r="I13" t="s">
        <v>2535</v>
      </c>
    </row>
    <row r="14" spans="1:9" x14ac:dyDescent="0.2">
      <c r="A14" t="s">
        <v>1710</v>
      </c>
      <c r="C14">
        <v>10</v>
      </c>
      <c r="D14" t="s">
        <v>785</v>
      </c>
      <c r="E14">
        <v>889</v>
      </c>
      <c r="F14">
        <v>-175</v>
      </c>
      <c r="G14">
        <v>26</v>
      </c>
      <c r="I14" t="s">
        <v>2536</v>
      </c>
    </row>
    <row r="15" spans="1:9" x14ac:dyDescent="0.2">
      <c r="A15" t="s">
        <v>1353</v>
      </c>
      <c r="C15">
        <v>13</v>
      </c>
      <c r="D15" t="s">
        <v>785</v>
      </c>
      <c r="E15">
        <v>530</v>
      </c>
      <c r="F15">
        <v>-3451</v>
      </c>
      <c r="G15">
        <v>53</v>
      </c>
      <c r="I15" t="s">
        <v>2537</v>
      </c>
    </row>
    <row r="16" spans="1:9" x14ac:dyDescent="0.2">
      <c r="A16" t="s">
        <v>1046</v>
      </c>
      <c r="C16">
        <v>13</v>
      </c>
      <c r="D16" t="s">
        <v>785</v>
      </c>
      <c r="E16">
        <v>1552</v>
      </c>
      <c r="F16">
        <v>-3537</v>
      </c>
      <c r="G16">
        <v>72</v>
      </c>
      <c r="I16" t="s">
        <v>2538</v>
      </c>
    </row>
    <row r="17" spans="1:9" x14ac:dyDescent="0.2">
      <c r="A17" t="s">
        <v>1034</v>
      </c>
      <c r="C17">
        <v>14</v>
      </c>
      <c r="D17" t="s">
        <v>785</v>
      </c>
      <c r="E17">
        <v>-2803</v>
      </c>
      <c r="F17">
        <v>-2228</v>
      </c>
      <c r="G17">
        <v>29</v>
      </c>
      <c r="I17" t="s">
        <v>2539</v>
      </c>
    </row>
  </sheetData>
  <autoFilter ref="A1:I1" xr:uid="{A095D5C8-FF81-DA46-ADE3-61DE071C2139}">
    <sortState xmlns:xlrd2="http://schemas.microsoft.com/office/spreadsheetml/2017/richdata2" ref="A2:I17">
      <sortCondition ref="C1:C17"/>
    </sortState>
  </autoFilter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204C6-46E2-FB4F-A4E8-FB9DF35CB921}">
  <sheetPr codeName="Sheet28">
    <tabColor theme="9"/>
  </sheetPr>
  <dimension ref="A1:I7"/>
  <sheetViews>
    <sheetView workbookViewId="0">
      <selection activeCell="I2" sqref="I2"/>
    </sheetView>
  </sheetViews>
  <sheetFormatPr baseColWidth="10" defaultRowHeight="16" x14ac:dyDescent="0.2"/>
  <cols>
    <col min="1" max="1" width="18.33203125" bestFit="1" customWidth="1"/>
    <col min="2" max="2" width="25.5" bestFit="1" customWidth="1"/>
  </cols>
  <sheetData>
    <row r="1" spans="1:9" s="6" customFormat="1" x14ac:dyDescent="0.2">
      <c r="A1" s="6" t="s">
        <v>781</v>
      </c>
      <c r="B1" s="6" t="s">
        <v>2083</v>
      </c>
      <c r="C1" s="6" t="s">
        <v>2074</v>
      </c>
      <c r="D1" s="6" t="s">
        <v>777</v>
      </c>
      <c r="E1" s="6" t="s">
        <v>778</v>
      </c>
      <c r="F1" s="6" t="s">
        <v>779</v>
      </c>
      <c r="G1" s="6" t="s">
        <v>780</v>
      </c>
      <c r="H1" s="6" t="s">
        <v>2081</v>
      </c>
      <c r="I1" s="6" t="s">
        <v>2075</v>
      </c>
    </row>
    <row r="2" spans="1:9" x14ac:dyDescent="0.2">
      <c r="A2" t="s">
        <v>842</v>
      </c>
      <c r="C2">
        <v>1</v>
      </c>
      <c r="D2" t="s">
        <v>785</v>
      </c>
      <c r="E2">
        <v>-254</v>
      </c>
      <c r="F2">
        <v>1100</v>
      </c>
      <c r="G2">
        <v>386</v>
      </c>
      <c r="I2" t="str">
        <f t="shared" ref="I2:I7" si="0">"{ name: "&amp;CHAR(34)&amp;A2&amp;CHAR(34)&amp;", landmark: "&amp;CHAR(34)&amp;"Temple"&amp;CHAR(34)&amp;", type: "&amp;CHAR(34)&amp;B2&amp;CHAR(34)&amp;", region: "&amp;C2&amp;", level: "&amp;CHAR(34)&amp;D2&amp;CHAR(34)&amp;", x: "&amp;E2&amp;", y: "&amp;F2&amp;", z: "&amp;G2&amp;", details: "&amp;CHAR(34)&amp;H2&amp;CHAR(34)&amp;" },"</f>
        <v>{ name: "Hyrule Castle", landmark: "Temple", type: "", region: 1, level: "Surface", x: -254, y: 1100, z: 386, details: "" },</v>
      </c>
    </row>
    <row r="3" spans="1:9" x14ac:dyDescent="0.2">
      <c r="A3" t="s">
        <v>2407</v>
      </c>
      <c r="B3" t="s">
        <v>2465</v>
      </c>
      <c r="C3">
        <v>4</v>
      </c>
      <c r="D3" t="s">
        <v>783</v>
      </c>
      <c r="E3">
        <v>-2860</v>
      </c>
      <c r="F3">
        <v>2992</v>
      </c>
      <c r="G3">
        <v>1517</v>
      </c>
      <c r="I3" t="str">
        <f t="shared" si="0"/>
        <v>{ name: "Wind Temple", landmark: "Temple", type: "Legendary Stormwind Ark", region: 4, level: "Sky", x: -2860, y: 2992, z: 1517, details: "" },</v>
      </c>
    </row>
    <row r="4" spans="1:9" x14ac:dyDescent="0.2">
      <c r="A4" t="s">
        <v>2404</v>
      </c>
      <c r="B4" t="s">
        <v>2466</v>
      </c>
      <c r="C4">
        <v>7</v>
      </c>
      <c r="D4" t="s">
        <v>994</v>
      </c>
      <c r="E4">
        <v>1457</v>
      </c>
      <c r="F4">
        <v>2847</v>
      </c>
      <c r="G4">
        <v>-828</v>
      </c>
      <c r="I4" t="str">
        <f t="shared" si="0"/>
        <v>{ name: "Fire Temple", landmark: "Temple", type: "Lost Gorondia", region: 7, level: "Depths", x: 1457, y: 2847, z: -828, details: "" },</v>
      </c>
    </row>
    <row r="5" spans="1:9" x14ac:dyDescent="0.2">
      <c r="A5" t="s">
        <v>2406</v>
      </c>
      <c r="B5" t="s">
        <v>2464</v>
      </c>
      <c r="C5">
        <v>9</v>
      </c>
      <c r="D5" t="s">
        <v>783</v>
      </c>
      <c r="E5">
        <v>3357</v>
      </c>
      <c r="F5">
        <v>772</v>
      </c>
      <c r="G5">
        <v>1325</v>
      </c>
      <c r="I5" t="str">
        <f t="shared" si="0"/>
        <v>{ name: "Water Temple", landmark: "Temple", type: "Great Wellspring of Hyrule", region: 9, level: "Sky", x: 3357, y: 772, z: 1325, details: "" },</v>
      </c>
    </row>
    <row r="6" spans="1:9" x14ac:dyDescent="0.2">
      <c r="A6" t="s">
        <v>2402</v>
      </c>
      <c r="B6" t="s">
        <v>2468</v>
      </c>
      <c r="C6">
        <v>13</v>
      </c>
      <c r="D6" t="s">
        <v>994</v>
      </c>
      <c r="E6">
        <v>1419</v>
      </c>
      <c r="F6">
        <v>-3170</v>
      </c>
      <c r="G6">
        <v>-619</v>
      </c>
      <c r="I6" t="str">
        <f t="shared" si="0"/>
        <v>{ name: "Spirit Temple", landmark: "Temple", type: "Vessel of Spirit's Resting Place", region: 13, level: "Depths", x: 1419, y: -3170, z: -619, details: "" },</v>
      </c>
    </row>
    <row r="7" spans="1:9" x14ac:dyDescent="0.2">
      <c r="A7" t="s">
        <v>2405</v>
      </c>
      <c r="B7" t="s">
        <v>2467</v>
      </c>
      <c r="C7">
        <v>14</v>
      </c>
      <c r="D7" t="s">
        <v>785</v>
      </c>
      <c r="E7">
        <v>-4519</v>
      </c>
      <c r="F7">
        <v>-3612</v>
      </c>
      <c r="G7">
        <v>139</v>
      </c>
      <c r="I7" t="str">
        <f t="shared" si="0"/>
        <v>{ name: "Lightning Temple", landmark: "Temple", type: "The Mural's Myth", region: 14, level: "Surface", x: -4519, y: -3612, z: 139, details: "" },</v>
      </c>
    </row>
  </sheetData>
  <autoFilter ref="A1:I2" xr:uid="{A095D5C8-FF81-DA46-ADE3-61DE071C2139}">
    <sortState xmlns:xlrd2="http://schemas.microsoft.com/office/spreadsheetml/2017/richdata2" ref="A2:I9">
      <sortCondition ref="C1:C9"/>
    </sortState>
  </autoFilter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3655B-3489-B44D-B30A-8DA6A0CEAEB1}">
  <sheetPr codeName="Sheet16">
    <tabColor theme="9"/>
  </sheetPr>
  <dimension ref="A1:K153"/>
  <sheetViews>
    <sheetView workbookViewId="0">
      <selection activeCell="H3" sqref="H3"/>
    </sheetView>
  </sheetViews>
  <sheetFormatPr baseColWidth="10" defaultRowHeight="16" x14ac:dyDescent="0.2"/>
  <cols>
    <col min="1" max="1" width="19.33203125" bestFit="1" customWidth="1"/>
    <col min="2" max="2" width="18.5" bestFit="1" customWidth="1"/>
    <col min="3" max="3" width="10.6640625" style="2" bestFit="1" customWidth="1"/>
    <col min="4" max="7" width="10.83203125" style="2"/>
  </cols>
  <sheetData>
    <row r="1" spans="1:11" s="6" customFormat="1" x14ac:dyDescent="0.2">
      <c r="A1" s="6" t="s">
        <v>781</v>
      </c>
      <c r="B1" s="6" t="s">
        <v>8</v>
      </c>
      <c r="C1" s="4" t="s">
        <v>2074</v>
      </c>
      <c r="D1" s="4" t="s">
        <v>777</v>
      </c>
      <c r="E1" s="4" t="s">
        <v>778</v>
      </c>
      <c r="F1" s="4" t="s">
        <v>779</v>
      </c>
      <c r="G1" s="4" t="s">
        <v>780</v>
      </c>
      <c r="H1" s="10"/>
      <c r="I1" s="10"/>
      <c r="J1" s="10"/>
      <c r="K1" s="10"/>
    </row>
    <row r="2" spans="1:11" x14ac:dyDescent="0.2">
      <c r="A2" s="1" t="s">
        <v>1441</v>
      </c>
      <c r="B2" t="s">
        <v>2064</v>
      </c>
      <c r="C2" s="2">
        <v>1</v>
      </c>
      <c r="D2" s="2" t="s">
        <v>785</v>
      </c>
      <c r="E2" s="2">
        <v>-298</v>
      </c>
      <c r="F2" s="2">
        <v>142</v>
      </c>
      <c r="G2" s="2">
        <v>25</v>
      </c>
      <c r="H2" s="7" t="str">
        <f>"{ name: "&amp;CHAR(34)&amp;A2&amp;CHAR(34)&amp;", landmark: "&amp;CHAR(34)&amp;"Tower"&amp;CHAR(34)&amp;", type: "&amp;CHAR(34)&amp;"Skyview Tower"&amp;CHAR(34)&amp;", region: "&amp;C2&amp;", level: "&amp;CHAR(34)&amp;D2&amp;CHAR(34)&amp;", x: "&amp;E2&amp;", y: "&amp;F2&amp;", z: "&amp;G2&amp;", details: "&amp;CHAR(34)&amp;CHAR(34)&amp;" },"</f>
        <v>{ name: "Lookout Landing", landmark: "Tower", type: "Skyview Tower", region: 1, level: "Surface", x: -298, y: 142, z: 25, details: "" },</v>
      </c>
      <c r="I2" s="11"/>
      <c r="K2" s="11"/>
    </row>
    <row r="3" spans="1:11" x14ac:dyDescent="0.2">
      <c r="A3" s="1" t="s">
        <v>790</v>
      </c>
      <c r="B3" t="s">
        <v>2065</v>
      </c>
      <c r="C3" s="2">
        <v>2</v>
      </c>
      <c r="D3" s="2" t="s">
        <v>785</v>
      </c>
      <c r="E3" s="2">
        <v>-761</v>
      </c>
      <c r="F3" s="2">
        <v>-1019</v>
      </c>
      <c r="G3" s="2">
        <v>64</v>
      </c>
      <c r="H3" s="7" t="s">
        <v>2207</v>
      </c>
      <c r="I3" s="11"/>
      <c r="K3" s="11"/>
    </row>
    <row r="4" spans="1:11" x14ac:dyDescent="0.2">
      <c r="A4" s="1" t="s">
        <v>1432</v>
      </c>
      <c r="B4" t="s">
        <v>787</v>
      </c>
      <c r="C4" s="2">
        <v>3</v>
      </c>
      <c r="D4" s="2" t="s">
        <v>785</v>
      </c>
      <c r="E4" s="2">
        <v>-1909</v>
      </c>
      <c r="F4" s="2">
        <v>1245</v>
      </c>
      <c r="G4" s="2">
        <v>297</v>
      </c>
      <c r="H4" s="7" t="s">
        <v>2208</v>
      </c>
      <c r="I4" s="11"/>
      <c r="K4" s="11"/>
    </row>
    <row r="5" spans="1:11" x14ac:dyDescent="0.2">
      <c r="A5" s="1" t="s">
        <v>1585</v>
      </c>
      <c r="B5" t="s">
        <v>800</v>
      </c>
      <c r="C5" s="2">
        <v>4</v>
      </c>
      <c r="D5" s="2" t="s">
        <v>785</v>
      </c>
      <c r="E5" s="2">
        <v>-3860</v>
      </c>
      <c r="F5" s="2">
        <v>2345</v>
      </c>
      <c r="G5" s="2">
        <v>233</v>
      </c>
      <c r="H5" s="7" t="s">
        <v>2209</v>
      </c>
      <c r="I5" s="11"/>
      <c r="K5" s="11"/>
    </row>
    <row r="6" spans="1:11" x14ac:dyDescent="0.2">
      <c r="A6" s="1" t="s">
        <v>1069</v>
      </c>
      <c r="B6" t="s">
        <v>1653</v>
      </c>
      <c r="C6" s="2">
        <v>5</v>
      </c>
      <c r="D6" s="2" t="s">
        <v>785</v>
      </c>
      <c r="E6" s="2">
        <v>-2312</v>
      </c>
      <c r="F6" s="2">
        <v>3064</v>
      </c>
      <c r="G6" s="2">
        <v>536</v>
      </c>
      <c r="H6" s="7" t="s">
        <v>2210</v>
      </c>
      <c r="I6" s="11"/>
      <c r="K6" s="11"/>
    </row>
    <row r="7" spans="1:11" x14ac:dyDescent="0.2">
      <c r="A7" s="1" t="s">
        <v>2066</v>
      </c>
      <c r="B7" t="s">
        <v>789</v>
      </c>
      <c r="C7" s="2">
        <v>6</v>
      </c>
      <c r="D7" s="2" t="s">
        <v>785</v>
      </c>
      <c r="E7" s="2">
        <v>345</v>
      </c>
      <c r="F7" s="2">
        <v>3142</v>
      </c>
      <c r="G7" s="2">
        <v>180</v>
      </c>
      <c r="H7" s="7" t="s">
        <v>4442</v>
      </c>
      <c r="I7" s="11"/>
      <c r="J7" s="11"/>
      <c r="K7" s="11"/>
    </row>
    <row r="8" spans="1:11" x14ac:dyDescent="0.2">
      <c r="A8" s="1" t="s">
        <v>791</v>
      </c>
      <c r="B8" t="s">
        <v>1239</v>
      </c>
      <c r="C8" s="2">
        <v>7</v>
      </c>
      <c r="D8" s="2" t="s">
        <v>785</v>
      </c>
      <c r="E8" s="2">
        <v>1641</v>
      </c>
      <c r="F8" s="2">
        <v>1190</v>
      </c>
      <c r="G8" s="2">
        <v>225</v>
      </c>
      <c r="H8" s="7" t="s">
        <v>2211</v>
      </c>
      <c r="I8" s="11"/>
      <c r="J8" s="11"/>
      <c r="K8" s="11"/>
    </row>
    <row r="9" spans="1:11" x14ac:dyDescent="0.2">
      <c r="A9" s="1" t="s">
        <v>1688</v>
      </c>
      <c r="B9" t="s">
        <v>1103</v>
      </c>
      <c r="C9" s="2">
        <v>8</v>
      </c>
      <c r="D9" s="2" t="s">
        <v>785</v>
      </c>
      <c r="E9" s="2">
        <v>3497</v>
      </c>
      <c r="F9" s="2">
        <v>2025</v>
      </c>
      <c r="G9" s="2">
        <v>188</v>
      </c>
      <c r="H9" s="7" t="s">
        <v>2212</v>
      </c>
      <c r="I9" s="11"/>
      <c r="J9" s="11"/>
      <c r="K9" s="11"/>
    </row>
    <row r="10" spans="1:11" x14ac:dyDescent="0.2">
      <c r="A10" s="1" t="s">
        <v>1089</v>
      </c>
      <c r="B10" t="s">
        <v>2072</v>
      </c>
      <c r="C10" s="2">
        <v>9</v>
      </c>
      <c r="D10" s="2" t="s">
        <v>785</v>
      </c>
      <c r="E10" s="2">
        <v>2865</v>
      </c>
      <c r="F10" s="2">
        <v>580</v>
      </c>
      <c r="G10" s="2">
        <v>379</v>
      </c>
      <c r="H10" s="7" t="s">
        <v>2213</v>
      </c>
      <c r="I10" s="11"/>
      <c r="J10" s="11"/>
      <c r="K10" s="11"/>
    </row>
    <row r="11" spans="1:11" x14ac:dyDescent="0.2">
      <c r="A11" s="1" t="s">
        <v>1074</v>
      </c>
      <c r="B11" t="s">
        <v>2071</v>
      </c>
      <c r="C11" s="2">
        <v>10</v>
      </c>
      <c r="D11" s="2" t="s">
        <v>785</v>
      </c>
      <c r="E11" s="2">
        <v>1341</v>
      </c>
      <c r="F11" s="2">
        <v>-1176</v>
      </c>
      <c r="G11" s="2">
        <v>166</v>
      </c>
      <c r="H11" s="7" t="s">
        <v>2214</v>
      </c>
      <c r="I11" s="11"/>
      <c r="J11" s="11"/>
      <c r="K11" s="11"/>
    </row>
    <row r="12" spans="1:11" x14ac:dyDescent="0.2">
      <c r="A12" s="1" t="s">
        <v>804</v>
      </c>
      <c r="B12" t="s">
        <v>804</v>
      </c>
      <c r="C12" s="2">
        <v>11</v>
      </c>
      <c r="D12" s="2" t="s">
        <v>785</v>
      </c>
      <c r="E12" s="2">
        <v>3847</v>
      </c>
      <c r="F12" s="2">
        <v>-1313</v>
      </c>
      <c r="G12" s="2">
        <v>539</v>
      </c>
      <c r="H12" s="7" t="s">
        <v>2215</v>
      </c>
      <c r="I12" s="11"/>
      <c r="J12" s="11"/>
      <c r="K12" s="11"/>
    </row>
    <row r="13" spans="1:11" x14ac:dyDescent="0.2">
      <c r="A13" s="1" t="s">
        <v>1553</v>
      </c>
      <c r="B13" t="s">
        <v>805</v>
      </c>
      <c r="C13" s="2">
        <v>12</v>
      </c>
      <c r="D13" s="2" t="s">
        <v>785</v>
      </c>
      <c r="E13" s="2">
        <v>2419</v>
      </c>
      <c r="F13" s="2">
        <v>-2755</v>
      </c>
      <c r="G13" s="2">
        <v>222</v>
      </c>
      <c r="H13" s="7" t="s">
        <v>2216</v>
      </c>
      <c r="I13" s="11"/>
      <c r="J13" s="11"/>
      <c r="K13" s="11"/>
    </row>
    <row r="14" spans="1:11" x14ac:dyDescent="0.2">
      <c r="A14" s="1" t="s">
        <v>1543</v>
      </c>
      <c r="B14" t="s">
        <v>794</v>
      </c>
      <c r="C14" s="2">
        <v>13</v>
      </c>
      <c r="D14" s="2" t="s">
        <v>785</v>
      </c>
      <c r="E14" s="2">
        <v>607</v>
      </c>
      <c r="F14" s="2">
        <v>-2127</v>
      </c>
      <c r="G14" s="2">
        <v>98</v>
      </c>
      <c r="H14" s="7" t="s">
        <v>2217</v>
      </c>
      <c r="I14" s="11"/>
      <c r="J14" s="11"/>
      <c r="K14" s="11"/>
    </row>
    <row r="15" spans="1:11" x14ac:dyDescent="0.2">
      <c r="A15" s="1" t="s">
        <v>1033</v>
      </c>
      <c r="B15" t="s">
        <v>798</v>
      </c>
      <c r="C15" s="2">
        <v>14</v>
      </c>
      <c r="D15" s="2" t="s">
        <v>785</v>
      </c>
      <c r="E15" s="2">
        <v>-2438</v>
      </c>
      <c r="F15" s="2">
        <v>-2182</v>
      </c>
      <c r="G15" s="2">
        <v>307</v>
      </c>
      <c r="H15" s="7" t="s">
        <v>2218</v>
      </c>
      <c r="I15" s="11"/>
      <c r="J15" s="11"/>
      <c r="K15" s="11"/>
    </row>
    <row r="16" spans="1:11" x14ac:dyDescent="0.2">
      <c r="A16" s="1" t="s">
        <v>797</v>
      </c>
      <c r="B16" t="s">
        <v>797</v>
      </c>
      <c r="C16" s="2">
        <v>15</v>
      </c>
      <c r="D16" s="2" t="s">
        <v>785</v>
      </c>
      <c r="E16" s="2">
        <v>-3959</v>
      </c>
      <c r="F16" s="2">
        <v>-1313</v>
      </c>
      <c r="G16" s="2">
        <v>422</v>
      </c>
      <c r="H16" s="7" t="s">
        <v>2219</v>
      </c>
      <c r="I16" s="11"/>
      <c r="J16" s="11"/>
      <c r="K16" s="11"/>
    </row>
    <row r="17" spans="1:11" x14ac:dyDescent="0.2">
      <c r="A17" s="1"/>
      <c r="H17" s="9"/>
      <c r="I17" s="11"/>
      <c r="J17" s="11"/>
      <c r="K17" s="11"/>
    </row>
    <row r="18" spans="1:11" x14ac:dyDescent="0.2">
      <c r="A18" s="1"/>
      <c r="H18" s="9"/>
      <c r="I18" s="11"/>
      <c r="J18" s="11"/>
      <c r="K18" s="11"/>
    </row>
    <row r="19" spans="1:11" x14ac:dyDescent="0.2">
      <c r="A19" s="1"/>
      <c r="H19" s="9"/>
      <c r="I19" s="11"/>
      <c r="J19" s="11"/>
      <c r="K19" s="11"/>
    </row>
    <row r="20" spans="1:11" x14ac:dyDescent="0.2">
      <c r="A20" s="1"/>
      <c r="H20" s="9"/>
      <c r="I20" s="11"/>
      <c r="J20" s="11"/>
      <c r="K20" s="11"/>
    </row>
    <row r="21" spans="1:11" x14ac:dyDescent="0.2">
      <c r="A21" s="1"/>
      <c r="H21" s="9"/>
      <c r="I21" s="11"/>
      <c r="J21" s="11"/>
      <c r="K21" s="11"/>
    </row>
    <row r="22" spans="1:11" x14ac:dyDescent="0.2">
      <c r="A22" s="1"/>
      <c r="H22" s="9"/>
      <c r="I22" s="11"/>
      <c r="J22" s="11"/>
      <c r="K22" s="11"/>
    </row>
    <row r="23" spans="1:11" x14ac:dyDescent="0.2">
      <c r="A23" s="1"/>
      <c r="H23" s="9"/>
      <c r="I23" s="11"/>
      <c r="J23" s="11"/>
      <c r="K23" s="11"/>
    </row>
    <row r="24" spans="1:11" x14ac:dyDescent="0.2">
      <c r="A24" s="1"/>
      <c r="H24" s="9"/>
      <c r="I24" s="11"/>
      <c r="J24" s="11"/>
      <c r="K24" s="11"/>
    </row>
    <row r="25" spans="1:11" x14ac:dyDescent="0.2">
      <c r="A25" s="1"/>
      <c r="H25" s="9"/>
      <c r="I25" s="11"/>
      <c r="J25" s="11"/>
      <c r="K25" s="11"/>
    </row>
    <row r="26" spans="1:11" x14ac:dyDescent="0.2">
      <c r="A26" s="1"/>
      <c r="H26" s="9"/>
      <c r="I26" s="11"/>
      <c r="J26" s="11"/>
      <c r="K26" s="11"/>
    </row>
    <row r="27" spans="1:11" x14ac:dyDescent="0.2">
      <c r="A27" s="1"/>
      <c r="H27" s="9"/>
      <c r="I27" s="11"/>
      <c r="J27" s="11"/>
      <c r="K27" s="11"/>
    </row>
    <row r="28" spans="1:11" x14ac:dyDescent="0.2">
      <c r="A28" s="1"/>
      <c r="H28" s="9"/>
      <c r="I28" s="11"/>
      <c r="J28" s="11"/>
      <c r="K28" s="11"/>
    </row>
    <row r="29" spans="1:11" x14ac:dyDescent="0.2">
      <c r="A29" s="1"/>
      <c r="H29" s="9"/>
      <c r="I29" s="11"/>
      <c r="J29" s="11"/>
      <c r="K29" s="11"/>
    </row>
    <row r="30" spans="1:11" x14ac:dyDescent="0.2">
      <c r="A30" s="1"/>
      <c r="H30" s="9"/>
      <c r="I30" s="11"/>
      <c r="J30" s="11"/>
      <c r="K30" s="11"/>
    </row>
    <row r="31" spans="1:11" x14ac:dyDescent="0.2">
      <c r="A31" s="1"/>
      <c r="H31" s="9"/>
      <c r="I31" s="11"/>
      <c r="J31" s="11"/>
      <c r="K31" s="11"/>
    </row>
    <row r="32" spans="1:11" x14ac:dyDescent="0.2">
      <c r="A32" s="1"/>
      <c r="H32" s="9"/>
      <c r="I32" s="11"/>
      <c r="J32" s="11"/>
      <c r="K32" s="11"/>
    </row>
    <row r="33" spans="1:11" x14ac:dyDescent="0.2">
      <c r="A33" s="1"/>
      <c r="H33" s="9"/>
      <c r="I33" s="11"/>
      <c r="J33" s="11"/>
      <c r="K33" s="11"/>
    </row>
    <row r="34" spans="1:11" x14ac:dyDescent="0.2">
      <c r="A34" s="1"/>
      <c r="H34" s="9"/>
      <c r="I34" s="11"/>
      <c r="J34" s="11"/>
      <c r="K34" s="11"/>
    </row>
    <row r="35" spans="1:11" x14ac:dyDescent="0.2">
      <c r="A35" s="1"/>
      <c r="H35" s="9"/>
      <c r="I35" s="11"/>
      <c r="J35" s="11"/>
      <c r="K35" s="11"/>
    </row>
    <row r="36" spans="1:11" x14ac:dyDescent="0.2">
      <c r="A36" s="1"/>
      <c r="H36" s="9"/>
      <c r="I36" s="11"/>
      <c r="J36" s="11"/>
      <c r="K36" s="11"/>
    </row>
    <row r="37" spans="1:11" x14ac:dyDescent="0.2">
      <c r="A37" s="1"/>
      <c r="H37" s="9"/>
      <c r="I37" s="11"/>
      <c r="J37" s="11"/>
      <c r="K37" s="11"/>
    </row>
    <row r="38" spans="1:11" x14ac:dyDescent="0.2">
      <c r="A38" s="1"/>
      <c r="H38" s="9"/>
      <c r="I38" s="11"/>
      <c r="J38" s="11"/>
      <c r="K38" s="11"/>
    </row>
    <row r="39" spans="1:11" x14ac:dyDescent="0.2">
      <c r="A39" s="1"/>
      <c r="H39" s="9"/>
      <c r="I39" s="11"/>
      <c r="J39" s="11"/>
      <c r="K39" s="11"/>
    </row>
    <row r="40" spans="1:11" x14ac:dyDescent="0.2">
      <c r="A40" s="1"/>
      <c r="H40" s="9"/>
      <c r="I40" s="11"/>
      <c r="J40" s="11"/>
      <c r="K40" s="11"/>
    </row>
    <row r="41" spans="1:11" x14ac:dyDescent="0.2">
      <c r="A41" s="1"/>
      <c r="H41" s="9"/>
      <c r="I41" s="11"/>
      <c r="J41" s="11"/>
      <c r="K41" s="11"/>
    </row>
    <row r="42" spans="1:11" x14ac:dyDescent="0.2">
      <c r="A42" s="1"/>
      <c r="H42" s="9"/>
      <c r="I42" s="11"/>
      <c r="J42" s="11"/>
      <c r="K42" s="11"/>
    </row>
    <row r="43" spans="1:11" x14ac:dyDescent="0.2">
      <c r="A43" s="1"/>
      <c r="H43" s="9"/>
      <c r="I43" s="11"/>
      <c r="J43" s="11"/>
      <c r="K43" s="11"/>
    </row>
    <row r="44" spans="1:11" x14ac:dyDescent="0.2">
      <c r="A44" s="1"/>
      <c r="H44" s="9"/>
      <c r="I44" s="11"/>
      <c r="J44" s="11"/>
      <c r="K44" s="11"/>
    </row>
    <row r="45" spans="1:11" x14ac:dyDescent="0.2">
      <c r="A45" s="1"/>
      <c r="H45" s="9"/>
      <c r="I45" s="11"/>
      <c r="J45" s="11"/>
      <c r="K45" s="11"/>
    </row>
    <row r="46" spans="1:11" x14ac:dyDescent="0.2">
      <c r="A46" s="1"/>
      <c r="H46" s="9"/>
      <c r="I46" s="11"/>
      <c r="J46" s="11"/>
      <c r="K46" s="11"/>
    </row>
    <row r="47" spans="1:11" x14ac:dyDescent="0.2">
      <c r="A47" s="1"/>
      <c r="H47" s="9"/>
      <c r="I47" s="11"/>
      <c r="J47" s="11"/>
      <c r="K47" s="11"/>
    </row>
    <row r="48" spans="1:11" x14ac:dyDescent="0.2">
      <c r="A48" s="1"/>
      <c r="H48" s="9"/>
      <c r="I48" s="11"/>
      <c r="J48" s="11"/>
      <c r="K48" s="11"/>
    </row>
    <row r="49" spans="1:11" x14ac:dyDescent="0.2">
      <c r="A49" s="1"/>
      <c r="H49" s="9"/>
      <c r="I49" s="11"/>
      <c r="J49" s="11"/>
      <c r="K49" s="11"/>
    </row>
    <row r="50" spans="1:11" x14ac:dyDescent="0.2">
      <c r="A50" s="1"/>
      <c r="H50" s="9"/>
      <c r="I50" s="11"/>
      <c r="J50" s="11"/>
      <c r="K50" s="11"/>
    </row>
    <row r="51" spans="1:11" x14ac:dyDescent="0.2">
      <c r="A51" s="1"/>
      <c r="H51" s="9"/>
      <c r="I51" s="11"/>
      <c r="J51" s="11"/>
      <c r="K51" s="11"/>
    </row>
    <row r="52" spans="1:11" x14ac:dyDescent="0.2">
      <c r="A52" s="1"/>
      <c r="H52" s="9"/>
      <c r="I52" s="11"/>
      <c r="J52" s="11"/>
      <c r="K52" s="11"/>
    </row>
    <row r="53" spans="1:11" x14ac:dyDescent="0.2">
      <c r="A53" s="1"/>
      <c r="H53" s="9"/>
      <c r="I53" s="11"/>
      <c r="J53" s="11"/>
      <c r="K53" s="11"/>
    </row>
    <row r="54" spans="1:11" x14ac:dyDescent="0.2">
      <c r="A54" s="1"/>
      <c r="H54" s="9"/>
      <c r="I54" s="11"/>
      <c r="J54" s="11"/>
      <c r="K54" s="11"/>
    </row>
    <row r="55" spans="1:11" x14ac:dyDescent="0.2">
      <c r="A55" s="1"/>
      <c r="H55" s="9"/>
      <c r="I55" s="11"/>
      <c r="J55" s="11"/>
      <c r="K55" s="11"/>
    </row>
    <row r="56" spans="1:11" x14ac:dyDescent="0.2">
      <c r="A56" s="1"/>
      <c r="H56" s="9"/>
      <c r="I56" s="11"/>
      <c r="J56" s="11"/>
      <c r="K56" s="11"/>
    </row>
    <row r="57" spans="1:11" x14ac:dyDescent="0.2">
      <c r="A57" s="1"/>
      <c r="H57" s="9"/>
      <c r="I57" s="11"/>
      <c r="J57" s="11"/>
      <c r="K57" s="11"/>
    </row>
    <row r="58" spans="1:11" x14ac:dyDescent="0.2">
      <c r="A58" s="1"/>
      <c r="H58" s="9"/>
      <c r="I58" s="11"/>
      <c r="J58" s="11"/>
      <c r="K58" s="11"/>
    </row>
    <row r="59" spans="1:11" x14ac:dyDescent="0.2">
      <c r="A59" s="1"/>
      <c r="H59" s="9"/>
      <c r="I59" s="11"/>
      <c r="J59" s="11"/>
      <c r="K59" s="11"/>
    </row>
    <row r="60" spans="1:11" x14ac:dyDescent="0.2">
      <c r="A60" s="1"/>
      <c r="H60" s="9"/>
      <c r="I60" s="11"/>
      <c r="J60" s="11"/>
      <c r="K60" s="11"/>
    </row>
    <row r="61" spans="1:11" x14ac:dyDescent="0.2">
      <c r="A61" s="1"/>
      <c r="H61" s="9"/>
      <c r="I61" s="11"/>
      <c r="J61" s="11"/>
      <c r="K61" s="11"/>
    </row>
    <row r="62" spans="1:11" x14ac:dyDescent="0.2">
      <c r="A62" s="1"/>
      <c r="H62" s="9"/>
      <c r="I62" s="11"/>
      <c r="J62" s="11"/>
      <c r="K62" s="11"/>
    </row>
    <row r="63" spans="1:11" x14ac:dyDescent="0.2">
      <c r="A63" s="1"/>
      <c r="H63" s="9"/>
      <c r="I63" s="11"/>
      <c r="J63" s="11"/>
      <c r="K63" s="11"/>
    </row>
    <row r="64" spans="1:11" x14ac:dyDescent="0.2">
      <c r="A64" s="1"/>
      <c r="H64" s="9"/>
      <c r="I64" s="11"/>
      <c r="J64" s="11"/>
      <c r="K64" s="11"/>
    </row>
    <row r="65" spans="1:11" x14ac:dyDescent="0.2">
      <c r="A65" s="1"/>
      <c r="H65" s="9"/>
      <c r="I65" s="11"/>
      <c r="J65" s="11"/>
      <c r="K65" s="11"/>
    </row>
    <row r="66" spans="1:11" x14ac:dyDescent="0.2">
      <c r="A66" s="1"/>
      <c r="H66" s="9"/>
      <c r="I66" s="11"/>
      <c r="J66" s="11"/>
      <c r="K66" s="11"/>
    </row>
    <row r="67" spans="1:11" x14ac:dyDescent="0.2">
      <c r="A67" s="1"/>
      <c r="H67" s="9"/>
      <c r="I67" s="11"/>
      <c r="J67" s="11"/>
      <c r="K67" s="11"/>
    </row>
    <row r="68" spans="1:11" x14ac:dyDescent="0.2">
      <c r="A68" s="1"/>
      <c r="H68" s="9"/>
      <c r="I68" s="11"/>
      <c r="J68" s="11"/>
      <c r="K68" s="11"/>
    </row>
    <row r="69" spans="1:11" x14ac:dyDescent="0.2">
      <c r="A69" s="1"/>
      <c r="H69" s="9"/>
      <c r="I69" s="11"/>
      <c r="J69" s="11"/>
      <c r="K69" s="11"/>
    </row>
    <row r="70" spans="1:11" x14ac:dyDescent="0.2">
      <c r="A70" s="1"/>
      <c r="H70" s="9"/>
      <c r="I70" s="11"/>
      <c r="J70" s="11"/>
      <c r="K70" s="11"/>
    </row>
    <row r="71" spans="1:11" x14ac:dyDescent="0.2">
      <c r="A71" s="1"/>
      <c r="H71" s="9"/>
      <c r="I71" s="11"/>
      <c r="J71" s="11"/>
      <c r="K71" s="11"/>
    </row>
    <row r="72" spans="1:11" x14ac:dyDescent="0.2">
      <c r="A72" s="1"/>
      <c r="H72" s="9"/>
      <c r="I72" s="11"/>
      <c r="J72" s="11"/>
      <c r="K72" s="11"/>
    </row>
    <row r="73" spans="1:11" x14ac:dyDescent="0.2">
      <c r="A73" s="1"/>
      <c r="H73" s="9"/>
      <c r="I73" s="11"/>
      <c r="J73" s="11"/>
      <c r="K73" s="11"/>
    </row>
    <row r="74" spans="1:11" x14ac:dyDescent="0.2">
      <c r="A74" s="1"/>
      <c r="H74" s="9"/>
      <c r="I74" s="11"/>
      <c r="J74" s="11"/>
      <c r="K74" s="11"/>
    </row>
    <row r="75" spans="1:11" x14ac:dyDescent="0.2">
      <c r="A75" s="1"/>
      <c r="H75" s="9"/>
      <c r="I75" s="11"/>
      <c r="J75" s="11"/>
      <c r="K75" s="11"/>
    </row>
    <row r="76" spans="1:11" x14ac:dyDescent="0.2">
      <c r="A76" s="1"/>
      <c r="H76" s="9"/>
      <c r="I76" s="11"/>
      <c r="J76" s="11"/>
      <c r="K76" s="11"/>
    </row>
    <row r="77" spans="1:11" x14ac:dyDescent="0.2">
      <c r="A77" s="1"/>
      <c r="H77" s="9"/>
      <c r="I77" s="11"/>
      <c r="J77" s="11"/>
      <c r="K77" s="11"/>
    </row>
    <row r="78" spans="1:11" x14ac:dyDescent="0.2">
      <c r="A78" s="1"/>
      <c r="H78" s="9"/>
      <c r="I78" s="11"/>
      <c r="J78" s="11"/>
      <c r="K78" s="11"/>
    </row>
    <row r="79" spans="1:11" x14ac:dyDescent="0.2">
      <c r="A79" s="1"/>
      <c r="H79" s="9"/>
      <c r="I79" s="11"/>
      <c r="J79" s="11"/>
      <c r="K79" s="11"/>
    </row>
    <row r="80" spans="1:11" x14ac:dyDescent="0.2">
      <c r="A80" s="1"/>
      <c r="H80" s="9"/>
      <c r="I80" s="11"/>
      <c r="J80" s="11"/>
      <c r="K80" s="11"/>
    </row>
    <row r="81" spans="1:11" x14ac:dyDescent="0.2">
      <c r="A81" s="1"/>
      <c r="H81" s="9"/>
      <c r="I81" s="11"/>
      <c r="J81" s="11"/>
      <c r="K81" s="11"/>
    </row>
    <row r="82" spans="1:11" x14ac:dyDescent="0.2">
      <c r="A82" s="1"/>
      <c r="H82" s="9"/>
      <c r="I82" s="11"/>
      <c r="J82" s="11"/>
      <c r="K82" s="11"/>
    </row>
    <row r="83" spans="1:11" x14ac:dyDescent="0.2">
      <c r="A83" s="1"/>
      <c r="H83" s="9"/>
      <c r="I83" s="11"/>
      <c r="J83" s="11"/>
      <c r="K83" s="11"/>
    </row>
    <row r="84" spans="1:11" x14ac:dyDescent="0.2">
      <c r="A84" s="1"/>
      <c r="H84" s="9"/>
      <c r="I84" s="11"/>
      <c r="J84" s="11"/>
      <c r="K84" s="11"/>
    </row>
    <row r="85" spans="1:11" x14ac:dyDescent="0.2">
      <c r="A85" s="1"/>
      <c r="H85" s="9"/>
      <c r="I85" s="11"/>
      <c r="J85" s="11"/>
      <c r="K85" s="11"/>
    </row>
    <row r="86" spans="1:11" x14ac:dyDescent="0.2">
      <c r="A86" s="1"/>
      <c r="H86" s="9"/>
      <c r="I86" s="11"/>
      <c r="J86" s="11"/>
      <c r="K86" s="11"/>
    </row>
    <row r="87" spans="1:11" x14ac:dyDescent="0.2">
      <c r="A87" s="1"/>
      <c r="H87" s="9"/>
      <c r="I87" s="11"/>
      <c r="J87" s="11"/>
      <c r="K87" s="11"/>
    </row>
    <row r="88" spans="1:11" x14ac:dyDescent="0.2">
      <c r="A88" s="1"/>
      <c r="H88" s="9"/>
      <c r="I88" s="11"/>
      <c r="J88" s="11"/>
      <c r="K88" s="11"/>
    </row>
    <row r="89" spans="1:11" x14ac:dyDescent="0.2">
      <c r="A89" s="1"/>
      <c r="H89" s="9"/>
      <c r="I89" s="11"/>
      <c r="J89" s="11"/>
      <c r="K89" s="11"/>
    </row>
    <row r="90" spans="1:11" x14ac:dyDescent="0.2">
      <c r="A90" s="1"/>
      <c r="H90" s="9"/>
      <c r="I90" s="11"/>
      <c r="J90" s="11"/>
      <c r="K90" s="11"/>
    </row>
    <row r="91" spans="1:11" x14ac:dyDescent="0.2">
      <c r="A91" s="1"/>
      <c r="H91" s="9"/>
      <c r="I91" s="11"/>
      <c r="J91" s="11"/>
      <c r="K91" s="11"/>
    </row>
    <row r="92" spans="1:11" x14ac:dyDescent="0.2">
      <c r="A92" s="1"/>
      <c r="H92" s="9"/>
      <c r="I92" s="11"/>
      <c r="J92" s="11"/>
      <c r="K92" s="11"/>
    </row>
    <row r="93" spans="1:11" x14ac:dyDescent="0.2">
      <c r="A93" s="1"/>
      <c r="H93" s="9"/>
      <c r="I93" s="11"/>
      <c r="J93" s="11"/>
      <c r="K93" s="11"/>
    </row>
    <row r="94" spans="1:11" x14ac:dyDescent="0.2">
      <c r="A94" s="1"/>
      <c r="H94" s="9"/>
      <c r="I94" s="11"/>
      <c r="J94" s="11"/>
      <c r="K94" s="11"/>
    </row>
    <row r="95" spans="1:11" x14ac:dyDescent="0.2">
      <c r="A95" s="1"/>
      <c r="H95" s="9"/>
      <c r="I95" s="11"/>
      <c r="J95" s="11"/>
      <c r="K95" s="11"/>
    </row>
    <row r="96" spans="1:11" x14ac:dyDescent="0.2">
      <c r="A96" s="1"/>
      <c r="H96" s="9"/>
      <c r="I96" s="11"/>
      <c r="J96" s="11"/>
      <c r="K96" s="11"/>
    </row>
    <row r="97" spans="1:11" x14ac:dyDescent="0.2">
      <c r="A97" s="1"/>
      <c r="H97" s="9"/>
      <c r="I97" s="11"/>
      <c r="J97" s="11"/>
      <c r="K97" s="11"/>
    </row>
    <row r="98" spans="1:11" x14ac:dyDescent="0.2">
      <c r="A98" s="1"/>
      <c r="H98" s="9"/>
      <c r="I98" s="11"/>
      <c r="J98" s="11"/>
      <c r="K98" s="11"/>
    </row>
    <row r="99" spans="1:11" x14ac:dyDescent="0.2">
      <c r="A99" s="1"/>
      <c r="H99" s="9"/>
      <c r="I99" s="11"/>
      <c r="J99" s="11"/>
      <c r="K99" s="11"/>
    </row>
    <row r="100" spans="1:11" x14ac:dyDescent="0.2">
      <c r="A100" s="1"/>
      <c r="H100" s="9"/>
      <c r="I100" s="11"/>
      <c r="J100" s="11"/>
      <c r="K100" s="11"/>
    </row>
    <row r="101" spans="1:11" x14ac:dyDescent="0.2">
      <c r="A101" s="1"/>
      <c r="H101" s="9"/>
      <c r="I101" s="11"/>
      <c r="J101" s="11"/>
      <c r="K101" s="11"/>
    </row>
    <row r="102" spans="1:11" x14ac:dyDescent="0.2">
      <c r="A102" s="1"/>
      <c r="H102" s="9"/>
      <c r="I102" s="11"/>
      <c r="J102" s="11"/>
      <c r="K102" s="11"/>
    </row>
    <row r="103" spans="1:11" x14ac:dyDescent="0.2">
      <c r="A103" s="1"/>
      <c r="H103" s="9"/>
      <c r="I103" s="11"/>
      <c r="J103" s="11"/>
      <c r="K103" s="11"/>
    </row>
    <row r="104" spans="1:11" x14ac:dyDescent="0.2">
      <c r="A104" s="1"/>
      <c r="H104" s="9"/>
      <c r="I104" s="11"/>
      <c r="J104" s="11"/>
      <c r="K104" s="11"/>
    </row>
    <row r="105" spans="1:11" x14ac:dyDescent="0.2">
      <c r="A105" s="1"/>
      <c r="H105" s="9"/>
      <c r="I105" s="11"/>
      <c r="J105" s="11"/>
      <c r="K105" s="11"/>
    </row>
    <row r="106" spans="1:11" x14ac:dyDescent="0.2">
      <c r="A106" s="1"/>
      <c r="H106" s="9"/>
      <c r="I106" s="11"/>
      <c r="J106" s="11"/>
      <c r="K106" s="11"/>
    </row>
    <row r="107" spans="1:11" x14ac:dyDescent="0.2">
      <c r="A107" s="1"/>
      <c r="H107" s="9"/>
      <c r="I107" s="11"/>
      <c r="J107" s="11"/>
      <c r="K107" s="11"/>
    </row>
    <row r="108" spans="1:11" x14ac:dyDescent="0.2">
      <c r="A108" s="1"/>
      <c r="H108" s="9"/>
      <c r="I108" s="11"/>
      <c r="J108" s="11"/>
      <c r="K108" s="11"/>
    </row>
    <row r="109" spans="1:11" x14ac:dyDescent="0.2">
      <c r="A109" s="1"/>
      <c r="H109" s="9"/>
      <c r="I109" s="11"/>
      <c r="J109" s="11"/>
      <c r="K109" s="11"/>
    </row>
    <row r="110" spans="1:11" x14ac:dyDescent="0.2">
      <c r="A110" s="1"/>
      <c r="H110" s="9"/>
      <c r="I110" s="11"/>
      <c r="J110" s="11"/>
      <c r="K110" s="11"/>
    </row>
    <row r="111" spans="1:11" x14ac:dyDescent="0.2">
      <c r="A111" s="1"/>
      <c r="H111" s="9"/>
      <c r="I111" s="11"/>
      <c r="J111" s="11"/>
      <c r="K111" s="11"/>
    </row>
    <row r="112" spans="1:11" x14ac:dyDescent="0.2">
      <c r="A112" s="1"/>
      <c r="H112" s="9"/>
      <c r="I112" s="11"/>
      <c r="J112" s="11"/>
      <c r="K112" s="11"/>
    </row>
    <row r="113" spans="1:11" x14ac:dyDescent="0.2">
      <c r="A113" s="1"/>
      <c r="H113" s="9"/>
      <c r="I113" s="11"/>
      <c r="J113" s="11"/>
      <c r="K113" s="11"/>
    </row>
    <row r="114" spans="1:11" x14ac:dyDescent="0.2">
      <c r="A114" s="1"/>
      <c r="H114" s="9"/>
      <c r="I114" s="11"/>
      <c r="J114" s="11"/>
      <c r="K114" s="11"/>
    </row>
    <row r="115" spans="1:11" x14ac:dyDescent="0.2">
      <c r="A115" s="1"/>
      <c r="H115" s="9"/>
      <c r="I115" s="11"/>
      <c r="J115" s="11"/>
      <c r="K115" s="11"/>
    </row>
    <row r="116" spans="1:11" x14ac:dyDescent="0.2">
      <c r="A116" s="1"/>
      <c r="H116" s="9"/>
      <c r="I116" s="11"/>
      <c r="J116" s="11"/>
      <c r="K116" s="11"/>
    </row>
    <row r="117" spans="1:11" x14ac:dyDescent="0.2">
      <c r="A117" s="1"/>
      <c r="H117" s="9"/>
      <c r="I117" s="11"/>
      <c r="J117" s="11"/>
      <c r="K117" s="11"/>
    </row>
    <row r="118" spans="1:11" x14ac:dyDescent="0.2">
      <c r="A118" s="1"/>
      <c r="H118" s="9"/>
      <c r="I118" s="11"/>
      <c r="J118" s="11"/>
      <c r="K118" s="11"/>
    </row>
    <row r="119" spans="1:11" x14ac:dyDescent="0.2">
      <c r="A119" s="1"/>
      <c r="H119" s="9"/>
      <c r="I119" s="11"/>
      <c r="J119" s="11"/>
      <c r="K119" s="11"/>
    </row>
    <row r="120" spans="1:11" x14ac:dyDescent="0.2">
      <c r="A120" s="1"/>
      <c r="H120" s="9"/>
      <c r="I120" s="11"/>
      <c r="J120" s="11"/>
      <c r="K120" s="11"/>
    </row>
    <row r="121" spans="1:11" x14ac:dyDescent="0.2">
      <c r="A121" s="1"/>
      <c r="H121" s="9"/>
      <c r="I121" s="11"/>
      <c r="J121" s="11"/>
      <c r="K121" s="11"/>
    </row>
    <row r="122" spans="1:11" x14ac:dyDescent="0.2">
      <c r="A122" s="1"/>
      <c r="H122" s="9"/>
      <c r="I122" s="11"/>
      <c r="J122" s="11"/>
      <c r="K122" s="11"/>
    </row>
    <row r="123" spans="1:11" x14ac:dyDescent="0.2">
      <c r="A123" s="1"/>
      <c r="H123" s="9"/>
      <c r="I123" s="11"/>
      <c r="J123" s="11"/>
      <c r="K123" s="11"/>
    </row>
    <row r="124" spans="1:11" x14ac:dyDescent="0.2">
      <c r="A124" s="1"/>
      <c r="H124" s="9"/>
      <c r="I124" s="11"/>
      <c r="J124" s="11"/>
      <c r="K124" s="11"/>
    </row>
    <row r="125" spans="1:11" x14ac:dyDescent="0.2">
      <c r="A125" s="1"/>
      <c r="H125" s="9"/>
      <c r="I125" s="11"/>
      <c r="J125" s="11"/>
      <c r="K125" s="11"/>
    </row>
    <row r="126" spans="1:11" x14ac:dyDescent="0.2">
      <c r="A126" s="1"/>
      <c r="H126" s="9"/>
      <c r="I126" s="11"/>
      <c r="J126" s="11"/>
      <c r="K126" s="11"/>
    </row>
    <row r="127" spans="1:11" x14ac:dyDescent="0.2">
      <c r="A127" s="1"/>
      <c r="H127" s="9"/>
      <c r="I127" s="11"/>
      <c r="J127" s="11"/>
      <c r="K127" s="11"/>
    </row>
    <row r="128" spans="1:11" x14ac:dyDescent="0.2">
      <c r="A128" s="1"/>
      <c r="H128" s="9"/>
      <c r="I128" s="11"/>
      <c r="J128" s="11"/>
      <c r="K128" s="11"/>
    </row>
    <row r="129" spans="1:11" x14ac:dyDescent="0.2">
      <c r="A129" s="1"/>
      <c r="H129" s="9"/>
      <c r="I129" s="11"/>
      <c r="J129" s="11"/>
      <c r="K129" s="11"/>
    </row>
    <row r="130" spans="1:11" x14ac:dyDescent="0.2">
      <c r="A130" s="1"/>
      <c r="H130" s="9"/>
      <c r="I130" s="11"/>
      <c r="J130" s="11"/>
      <c r="K130" s="11"/>
    </row>
    <row r="131" spans="1:11" x14ac:dyDescent="0.2">
      <c r="A131" s="1"/>
      <c r="H131" s="9"/>
      <c r="I131" s="11"/>
      <c r="J131" s="11"/>
      <c r="K131" s="11"/>
    </row>
    <row r="132" spans="1:11" x14ac:dyDescent="0.2">
      <c r="A132" s="1"/>
      <c r="H132" s="9"/>
      <c r="I132" s="11"/>
      <c r="J132" s="11"/>
      <c r="K132" s="11"/>
    </row>
    <row r="133" spans="1:11" x14ac:dyDescent="0.2">
      <c r="A133" s="1"/>
      <c r="H133" s="9"/>
      <c r="I133" s="11"/>
      <c r="J133" s="11"/>
      <c r="K133" s="11"/>
    </row>
    <row r="134" spans="1:11" x14ac:dyDescent="0.2">
      <c r="A134" s="1"/>
      <c r="H134" s="9"/>
      <c r="I134" s="11"/>
      <c r="J134" s="11"/>
      <c r="K134" s="11"/>
    </row>
    <row r="135" spans="1:11" x14ac:dyDescent="0.2">
      <c r="A135" s="1"/>
      <c r="H135" s="9"/>
      <c r="I135" s="11"/>
      <c r="J135" s="11"/>
      <c r="K135" s="11"/>
    </row>
    <row r="136" spans="1:11" x14ac:dyDescent="0.2">
      <c r="A136" s="1"/>
      <c r="H136" s="9"/>
      <c r="I136" s="11"/>
      <c r="J136" s="11"/>
      <c r="K136" s="11"/>
    </row>
    <row r="137" spans="1:11" x14ac:dyDescent="0.2">
      <c r="A137" s="1"/>
      <c r="H137" s="9"/>
      <c r="I137" s="11"/>
      <c r="J137" s="11"/>
      <c r="K137" s="11"/>
    </row>
    <row r="138" spans="1:11" x14ac:dyDescent="0.2">
      <c r="A138" s="1"/>
      <c r="H138" s="9"/>
      <c r="I138" s="11"/>
      <c r="J138" s="11"/>
      <c r="K138" s="11"/>
    </row>
    <row r="139" spans="1:11" x14ac:dyDescent="0.2">
      <c r="A139" s="1"/>
      <c r="H139" s="9"/>
      <c r="I139" s="11"/>
      <c r="J139" s="11"/>
      <c r="K139" s="11"/>
    </row>
    <row r="140" spans="1:11" x14ac:dyDescent="0.2">
      <c r="A140" s="1"/>
      <c r="H140" s="9"/>
      <c r="I140" s="11"/>
      <c r="J140" s="11"/>
      <c r="K140" s="11"/>
    </row>
    <row r="141" spans="1:11" x14ac:dyDescent="0.2">
      <c r="A141" s="1"/>
      <c r="H141" s="9"/>
      <c r="I141" s="11"/>
      <c r="J141" s="11"/>
      <c r="K141" s="11"/>
    </row>
    <row r="142" spans="1:11" x14ac:dyDescent="0.2">
      <c r="A142" s="1"/>
      <c r="H142" s="9"/>
      <c r="I142" s="11"/>
      <c r="J142" s="11"/>
      <c r="K142" s="11"/>
    </row>
    <row r="143" spans="1:11" x14ac:dyDescent="0.2">
      <c r="A143" s="1"/>
      <c r="H143" s="9"/>
      <c r="I143" s="11"/>
      <c r="J143" s="11"/>
      <c r="K143" s="11"/>
    </row>
    <row r="144" spans="1:11" x14ac:dyDescent="0.2">
      <c r="A144" s="1"/>
      <c r="H144" s="9"/>
      <c r="I144" s="11"/>
      <c r="J144" s="11"/>
      <c r="K144" s="11"/>
    </row>
    <row r="145" spans="1:11" x14ac:dyDescent="0.2">
      <c r="A145" s="1"/>
      <c r="H145" s="9"/>
      <c r="I145" s="11"/>
      <c r="J145" s="11"/>
      <c r="K145" s="11"/>
    </row>
    <row r="146" spans="1:11" x14ac:dyDescent="0.2">
      <c r="A146" s="1"/>
      <c r="H146" s="9"/>
      <c r="I146" s="11"/>
      <c r="J146" s="11"/>
      <c r="K146" s="11"/>
    </row>
    <row r="147" spans="1:11" x14ac:dyDescent="0.2">
      <c r="A147" s="1"/>
      <c r="H147" s="9"/>
      <c r="I147" s="11"/>
      <c r="J147" s="11"/>
      <c r="K147" s="11"/>
    </row>
    <row r="148" spans="1:11" x14ac:dyDescent="0.2">
      <c r="A148" s="1"/>
      <c r="H148" s="9"/>
      <c r="I148" s="11"/>
      <c r="J148" s="11"/>
      <c r="K148" s="11"/>
    </row>
    <row r="149" spans="1:11" x14ac:dyDescent="0.2">
      <c r="A149" s="1"/>
      <c r="H149" s="9"/>
      <c r="I149" s="11"/>
      <c r="J149" s="11"/>
      <c r="K149" s="11"/>
    </row>
    <row r="150" spans="1:11" x14ac:dyDescent="0.2">
      <c r="A150" s="1"/>
      <c r="H150" s="9"/>
      <c r="I150" s="11"/>
      <c r="J150" s="11"/>
      <c r="K150" s="11"/>
    </row>
    <row r="151" spans="1:11" x14ac:dyDescent="0.2">
      <c r="A151" s="1"/>
      <c r="H151" s="9"/>
      <c r="I151" s="11"/>
      <c r="J151" s="11"/>
      <c r="K151" s="11"/>
    </row>
    <row r="152" spans="1:11" x14ac:dyDescent="0.2">
      <c r="A152" s="1"/>
      <c r="H152" s="9"/>
      <c r="I152" s="11"/>
      <c r="J152" s="11"/>
      <c r="K152" s="11"/>
    </row>
    <row r="153" spans="1:11" x14ac:dyDescent="0.2">
      <c r="A153" s="1"/>
      <c r="H153" s="9"/>
      <c r="I153" s="11"/>
      <c r="J153" s="11"/>
      <c r="K153" s="11"/>
    </row>
  </sheetData>
  <autoFilter ref="A1:G153" xr:uid="{3781161B-E3B8-6A41-B5B5-EF88E67723E0}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76AB8-A1FE-5140-8611-5AF5D3715A27}">
  <sheetPr>
    <tabColor theme="9"/>
  </sheetPr>
  <dimension ref="A1:I34"/>
  <sheetViews>
    <sheetView workbookViewId="0">
      <selection activeCell="A15" sqref="A15"/>
    </sheetView>
  </sheetViews>
  <sheetFormatPr baseColWidth="10" defaultRowHeight="16" x14ac:dyDescent="0.2"/>
  <cols>
    <col min="1" max="1" width="33.83203125" bestFit="1" customWidth="1"/>
    <col min="2" max="2" width="10.6640625" bestFit="1" customWidth="1"/>
    <col min="3" max="7" width="10.83203125" style="2"/>
    <col min="8" max="8" width="19.5" bestFit="1" customWidth="1"/>
  </cols>
  <sheetData>
    <row r="1" spans="1:9" s="6" customFormat="1" x14ac:dyDescent="0.2">
      <c r="A1" s="6" t="s">
        <v>781</v>
      </c>
      <c r="B1" s="6" t="s">
        <v>2083</v>
      </c>
      <c r="C1" s="4" t="s">
        <v>2074</v>
      </c>
      <c r="D1" s="4" t="s">
        <v>777</v>
      </c>
      <c r="E1" s="4" t="s">
        <v>778</v>
      </c>
      <c r="F1" s="4" t="s">
        <v>779</v>
      </c>
      <c r="G1" s="4" t="s">
        <v>780</v>
      </c>
      <c r="H1" s="6" t="s">
        <v>2081</v>
      </c>
      <c r="I1" s="6" t="s">
        <v>2075</v>
      </c>
    </row>
    <row r="2" spans="1:9" x14ac:dyDescent="0.2">
      <c r="A2" t="s">
        <v>2392</v>
      </c>
      <c r="C2" s="2">
        <v>1</v>
      </c>
      <c r="D2" s="2" t="s">
        <v>994</v>
      </c>
      <c r="E2" s="2">
        <v>-332</v>
      </c>
      <c r="F2" s="2">
        <v>787</v>
      </c>
      <c r="G2" s="2">
        <v>-1249</v>
      </c>
      <c r="I2" t="str">
        <f>"{ name: "&amp;CHAR(34)&amp;A2&amp;CHAR(34)&amp;", landmark: "&amp;CHAR(34)&amp;"Unnamed Location"&amp;CHAR(34)&amp;", type: "&amp;CHAR(34)&amp;B2&amp;CHAR(34)&amp;", region: "&amp;C2&amp;", level: "&amp;CHAR(34)&amp;D2&amp;CHAR(34)&amp;", x: "&amp;E2&amp;", y: "&amp;F2&amp;", z: "&amp;G2&amp;", details: "&amp;CHAR(34)&amp;H2&amp;CHAR(34)&amp;" },"</f>
        <v>{ name: "Forgotten Foundation", landmark: "Unnamed Location", type: "", region: 1, level: "Depths", x: -332, y: 787, z: -1249, details: "" },</v>
      </c>
    </row>
    <row r="3" spans="1:9" x14ac:dyDescent="0.2">
      <c r="A3" t="s">
        <v>2393</v>
      </c>
      <c r="C3" s="2">
        <v>1</v>
      </c>
      <c r="D3" s="2" t="s">
        <v>994</v>
      </c>
      <c r="E3" s="2">
        <v>-245</v>
      </c>
      <c r="F3" s="2">
        <v>1042</v>
      </c>
      <c r="G3" s="2">
        <v>-891</v>
      </c>
      <c r="I3" t="str">
        <f>"{ name: "&amp;CHAR(34)&amp;A3&amp;CHAR(34)&amp;", landmark: "&amp;CHAR(34)&amp;"Unnamed Location"&amp;CHAR(34)&amp;", type: "&amp;CHAR(34)&amp;B3&amp;CHAR(34)&amp;", region: "&amp;C3&amp;", level: "&amp;CHAR(34)&amp;D3&amp;CHAR(34)&amp;", x: "&amp;E3&amp;", y: "&amp;F3&amp;", z: "&amp;G3&amp;", details: "&amp;CHAR(34)&amp;H3&amp;CHAR(34)&amp;" },"</f>
        <v>{ name: "Gloom's Approach", landmark: "Unnamed Location", type: "", region: 1, level: "Depths", x: -245, y: 1042, z: -891, details: "" },</v>
      </c>
    </row>
    <row r="4" spans="1:9" x14ac:dyDescent="0.2">
      <c r="A4" t="s">
        <v>2394</v>
      </c>
      <c r="C4" s="2">
        <v>1</v>
      </c>
      <c r="D4" s="2" t="s">
        <v>994</v>
      </c>
      <c r="E4" s="2">
        <v>-263</v>
      </c>
      <c r="F4" s="2">
        <v>1035</v>
      </c>
      <c r="G4" s="2">
        <v>-1614</v>
      </c>
      <c r="I4" t="str">
        <f>"{ name: "&amp;CHAR(34)&amp;A4&amp;CHAR(34)&amp;", landmark: "&amp;CHAR(34)&amp;"Unnamed Location"&amp;CHAR(34)&amp;", type: "&amp;CHAR(34)&amp;B4&amp;CHAR(34)&amp;", region: "&amp;C4&amp;", level: "&amp;CHAR(34)&amp;D4&amp;CHAR(34)&amp;", x: "&amp;E4&amp;", y: "&amp;F4&amp;", z: "&amp;G4&amp;", details: "&amp;CHAR(34)&amp;H4&amp;CHAR(34)&amp;" },"</f>
        <v>{ name: "Gloom's Lair", landmark: "Unnamed Location", type: "", region: 1, level: "Depths", x: -263, y: 1035, z: -1614, details: "" },</v>
      </c>
    </row>
    <row r="5" spans="1:9" x14ac:dyDescent="0.2">
      <c r="A5" t="s">
        <v>2540</v>
      </c>
      <c r="C5" s="2">
        <v>1</v>
      </c>
      <c r="D5" s="2" t="s">
        <v>994</v>
      </c>
      <c r="E5" s="2">
        <v>-250</v>
      </c>
      <c r="F5" s="2">
        <v>888</v>
      </c>
      <c r="G5" s="2">
        <v>-2460</v>
      </c>
      <c r="I5" t="str">
        <f>"{ name: "&amp;CHAR(34)&amp;A5&amp;CHAR(34)&amp;", landmark: "&amp;CHAR(34)&amp;"Unnamed Location"&amp;CHAR(34)&amp;", type: "&amp;CHAR(34)&amp;B5&amp;CHAR(34)&amp;", region: "&amp;C5&amp;", level: "&amp;CHAR(34)&amp;D5&amp;CHAR(34)&amp;", x: "&amp;E5&amp;", y: "&amp;F5&amp;", z: "&amp;G5&amp;", details: "&amp;CHAR(34)&amp;H5&amp;CHAR(34)&amp;" },"</f>
        <v>{ name: "Gloom's Origin", landmark: "Unnamed Location", type: "", region: 1, level: "Depths", x: -250, y: 888, z: -2460, details: "" },</v>
      </c>
    </row>
    <row r="6" spans="1:9" x14ac:dyDescent="0.2">
      <c r="A6" t="s">
        <v>2395</v>
      </c>
      <c r="C6" s="2">
        <v>1</v>
      </c>
      <c r="D6" s="2" t="s">
        <v>994</v>
      </c>
      <c r="E6" s="2">
        <v>-267</v>
      </c>
      <c r="F6" s="2">
        <v>997</v>
      </c>
      <c r="G6" s="2">
        <v>-1294</v>
      </c>
      <c r="I6" t="str">
        <f>"{ name: "&amp;CHAR(34)&amp;A6&amp;CHAR(34)&amp;", landmark: "&amp;CHAR(34)&amp;"Unnamed Location"&amp;CHAR(34)&amp;", type: "&amp;CHAR(34)&amp;B6&amp;CHAR(34)&amp;", region: "&amp;C6&amp;", level: "&amp;CHAR(34)&amp;D6&amp;CHAR(34)&amp;", x: "&amp;E6&amp;", y: "&amp;F6&amp;", z: "&amp;G6&amp;", details: "&amp;CHAR(34)&amp;H6&amp;CHAR(34)&amp;" },"</f>
        <v>{ name: "Imprisoning Chamber", landmark: "Unnamed Location", type: "", region: 1, level: "Depths", x: -267, y: 997, z: -1294, details: "" },</v>
      </c>
    </row>
    <row r="7" spans="1:9" x14ac:dyDescent="0.2">
      <c r="A7" t="s">
        <v>2563</v>
      </c>
      <c r="C7" s="2">
        <v>1</v>
      </c>
      <c r="D7" s="2" t="s">
        <v>785</v>
      </c>
      <c r="E7" s="2">
        <v>-254</v>
      </c>
      <c r="F7" s="2">
        <v>1041</v>
      </c>
      <c r="G7" s="2">
        <v>386</v>
      </c>
      <c r="I7" t="str">
        <f t="shared" ref="I7:I34" si="0">"{ name: "&amp;CHAR(34)&amp;A7&amp;CHAR(34)&amp;", landmark: "&amp;CHAR(34)&amp;"Unnamed Location"&amp;CHAR(34)&amp;", type: "&amp;CHAR(34)&amp;B7&amp;CHAR(34)&amp;", region: "&amp;C7&amp;", level: "&amp;CHAR(34)&amp;D7&amp;CHAR(34)&amp;", x: "&amp;E7&amp;", y: "&amp;F7&amp;", z: "&amp;G7&amp;", details: "&amp;CHAR(34)&amp;H7&amp;CHAR(34)&amp;" },"</f>
        <v>{ name: "Hyrule Castle 1F", landmark: "Unnamed Location", type: "", region: 1, level: "Surface", x: -254, y: 1041, z: 386, details: "" },</v>
      </c>
    </row>
    <row r="8" spans="1:9" x14ac:dyDescent="0.2">
      <c r="A8" t="s">
        <v>2564</v>
      </c>
      <c r="C8" s="2">
        <v>1</v>
      </c>
      <c r="D8" s="2" t="s">
        <v>785</v>
      </c>
      <c r="E8" s="2">
        <v>-342</v>
      </c>
      <c r="F8" s="2">
        <v>925</v>
      </c>
      <c r="G8" s="2">
        <v>386</v>
      </c>
      <c r="I8" t="str">
        <f t="shared" si="0"/>
        <v>{ name: "Hyrule Castle B1", landmark: "Unnamed Location", type: "", region: 1, level: "Surface", x: -342, y: 925, z: 386, details: "" },</v>
      </c>
    </row>
    <row r="9" spans="1:9" x14ac:dyDescent="0.2">
      <c r="A9" t="s">
        <v>2565</v>
      </c>
      <c r="C9" s="2">
        <v>1</v>
      </c>
      <c r="D9" s="2" t="s">
        <v>785</v>
      </c>
      <c r="E9" s="2">
        <v>-457</v>
      </c>
      <c r="F9" s="2">
        <v>958</v>
      </c>
      <c r="G9" s="2">
        <v>386</v>
      </c>
      <c r="I9" t="str">
        <f t="shared" si="0"/>
        <v>{ name: "Hyrule Castle B2", landmark: "Unnamed Location", type: "", region: 1, level: "Surface", x: -457, y: 958, z: 386, details: "" },</v>
      </c>
    </row>
    <row r="10" spans="1:9" x14ac:dyDescent="0.2">
      <c r="A10" t="s">
        <v>2566</v>
      </c>
      <c r="C10" s="2">
        <v>1</v>
      </c>
      <c r="D10" s="2" t="s">
        <v>785</v>
      </c>
      <c r="E10" s="2">
        <v>-151</v>
      </c>
      <c r="F10" s="2">
        <v>1046</v>
      </c>
      <c r="G10" s="2">
        <v>386</v>
      </c>
      <c r="I10" t="str">
        <f t="shared" si="0"/>
        <v>{ name: "Hyrule Castle B3", landmark: "Unnamed Location", type: "", region: 1, level: "Surface", x: -151, y: 1046, z: 386, details: "" },</v>
      </c>
    </row>
    <row r="11" spans="1:9" x14ac:dyDescent="0.2">
      <c r="A11" t="s">
        <v>2583</v>
      </c>
      <c r="C11" s="2">
        <v>4</v>
      </c>
      <c r="D11" s="2" t="s">
        <v>783</v>
      </c>
      <c r="E11" s="2">
        <v>-2860</v>
      </c>
      <c r="F11" s="2">
        <v>3034</v>
      </c>
      <c r="G11" s="2">
        <v>1517</v>
      </c>
      <c r="I11" t="str">
        <f t="shared" si="0"/>
        <v>{ name: "Wind Temple 1F", landmark: "Unnamed Location", type: "", region: 4, level: "Sky", x: -2860, y: 3034, z: 1517, details: "" },</v>
      </c>
    </row>
    <row r="12" spans="1:9" x14ac:dyDescent="0.2">
      <c r="A12" t="s">
        <v>2584</v>
      </c>
      <c r="C12" s="2">
        <v>4</v>
      </c>
      <c r="D12" s="2" t="s">
        <v>783</v>
      </c>
      <c r="E12" s="2">
        <v>-2860</v>
      </c>
      <c r="F12" s="2">
        <v>3087</v>
      </c>
      <c r="G12" s="2">
        <v>1517</v>
      </c>
      <c r="I12" t="str">
        <f t="shared" si="0"/>
        <v>{ name: "Wind Temple B1", landmark: "Unnamed Location", type: "", region: 4, level: "Sky", x: -2860, y: 3087, z: 1517, details: "" },</v>
      </c>
    </row>
    <row r="13" spans="1:9" x14ac:dyDescent="0.2">
      <c r="A13" t="s">
        <v>2585</v>
      </c>
      <c r="C13" s="2">
        <v>4</v>
      </c>
      <c r="D13" s="2" t="s">
        <v>783</v>
      </c>
      <c r="E13" s="2">
        <v>-2860</v>
      </c>
      <c r="F13" s="2">
        <v>2976</v>
      </c>
      <c r="G13" s="2">
        <v>1517</v>
      </c>
      <c r="I13" t="str">
        <f t="shared" si="0"/>
        <v>{ name: "Wind Temple B2", landmark: "Unnamed Location", type: "", region: 4, level: "Sky", x: -2860, y: 2976, z: 1517, details: "" },</v>
      </c>
    </row>
    <row r="14" spans="1:9" x14ac:dyDescent="0.2">
      <c r="A14" t="s">
        <v>2586</v>
      </c>
      <c r="C14" s="2">
        <v>7</v>
      </c>
      <c r="D14" s="2" t="s">
        <v>994</v>
      </c>
      <c r="E14" s="2">
        <v>1238</v>
      </c>
      <c r="F14" s="2">
        <v>2847</v>
      </c>
      <c r="G14" s="2">
        <v>-828</v>
      </c>
      <c r="I14" t="str">
        <f t="shared" si="0"/>
        <v>{ name: "Fire Temple 1F", landmark: "Unnamed Location", type: "", region: 7, level: "Depths", x: 1238, y: 2847, z: -828, details: "" },</v>
      </c>
    </row>
    <row r="15" spans="1:9" x14ac:dyDescent="0.2">
      <c r="A15" t="s">
        <v>2587</v>
      </c>
      <c r="C15" s="2">
        <v>7</v>
      </c>
      <c r="D15" s="2" t="s">
        <v>994</v>
      </c>
      <c r="E15" s="2">
        <v>1317</v>
      </c>
      <c r="F15" s="2">
        <v>3046</v>
      </c>
      <c r="G15" s="2">
        <v>-828</v>
      </c>
      <c r="I15" t="str">
        <f t="shared" si="0"/>
        <v>{ name: "Fire Temple 2F", landmark: "Unnamed Location", type: "", region: 7, level: "Depths", x: 1317, y: 3046, z: -828, details: "" },</v>
      </c>
    </row>
    <row r="16" spans="1:9" x14ac:dyDescent="0.2">
      <c r="A16" t="s">
        <v>2588</v>
      </c>
      <c r="C16" s="2">
        <v>7</v>
      </c>
      <c r="D16" s="2" t="s">
        <v>994</v>
      </c>
      <c r="E16" s="2">
        <v>1358</v>
      </c>
      <c r="F16" s="2">
        <v>2847</v>
      </c>
      <c r="G16" s="2">
        <v>-828</v>
      </c>
      <c r="I16" t="str">
        <f t="shared" si="0"/>
        <v>{ name: "Fire Temple 3F", landmark: "Unnamed Location", type: "", region: 7, level: "Depths", x: 1358, y: 2847, z: -828, details: "" },</v>
      </c>
    </row>
    <row r="17" spans="1:9" x14ac:dyDescent="0.2">
      <c r="A17" t="s">
        <v>2589</v>
      </c>
      <c r="C17" s="2">
        <v>7</v>
      </c>
      <c r="D17" s="2" t="s">
        <v>994</v>
      </c>
      <c r="E17" s="2">
        <v>1202</v>
      </c>
      <c r="F17" s="2">
        <v>2711</v>
      </c>
      <c r="G17" s="2">
        <v>-828</v>
      </c>
      <c r="I17" t="str">
        <f t="shared" si="0"/>
        <v>{ name: "Fire Temple 4F", landmark: "Unnamed Location", type: "", region: 7, level: "Depths", x: 1202, y: 2711, z: -828, details: "" },</v>
      </c>
    </row>
    <row r="18" spans="1:9" x14ac:dyDescent="0.2">
      <c r="A18" t="s">
        <v>2590</v>
      </c>
      <c r="C18" s="2">
        <v>7</v>
      </c>
      <c r="D18" s="2" t="s">
        <v>994</v>
      </c>
      <c r="E18" s="2">
        <v>1284</v>
      </c>
      <c r="F18" s="2">
        <v>2932</v>
      </c>
      <c r="G18" s="2">
        <v>-828</v>
      </c>
      <c r="I18" t="str">
        <f t="shared" si="0"/>
        <v>{ name: "Fire Temple 5F", landmark: "Unnamed Location", type: "", region: 7, level: "Depths", x: 1284, y: 2932, z: -828, details: "" },</v>
      </c>
    </row>
    <row r="19" spans="1:9" x14ac:dyDescent="0.2">
      <c r="A19" t="s">
        <v>2582</v>
      </c>
      <c r="C19" s="2">
        <v>9</v>
      </c>
      <c r="D19" s="2" t="s">
        <v>783</v>
      </c>
      <c r="E19" s="2">
        <v>3373</v>
      </c>
      <c r="F19" s="2">
        <v>723</v>
      </c>
      <c r="G19" s="2">
        <v>1325</v>
      </c>
      <c r="I19" t="str">
        <f t="shared" si="0"/>
        <v>{ name: "Water Temple B1", landmark: "Unnamed Location", type: "", region: 9, level: "Sky", x: 3373, y: 723, z: 1325, details: "" },</v>
      </c>
    </row>
    <row r="20" spans="1:9" x14ac:dyDescent="0.2">
      <c r="A20" t="s">
        <v>2574</v>
      </c>
      <c r="C20" s="2">
        <v>14</v>
      </c>
      <c r="D20" s="2" t="s">
        <v>785</v>
      </c>
      <c r="E20" s="2">
        <v>-4508</v>
      </c>
      <c r="F20" s="2">
        <v>-3392</v>
      </c>
      <c r="G20" s="2">
        <v>139</v>
      </c>
      <c r="I20" t="str">
        <f t="shared" si="0"/>
        <v>{ name: "Lightning Temple B1", landmark: "Unnamed Location", type: "", region: 14, level: "Surface", x: -4508, y: -3392, z: 139, details: "" },</v>
      </c>
    </row>
    <row r="21" spans="1:9" x14ac:dyDescent="0.2">
      <c r="A21" t="s">
        <v>2567</v>
      </c>
      <c r="C21" s="2">
        <v>14</v>
      </c>
      <c r="D21" s="2" t="s">
        <v>785</v>
      </c>
      <c r="E21" s="2">
        <v>-4539</v>
      </c>
      <c r="F21" s="2">
        <v>-3423</v>
      </c>
      <c r="G21" s="2">
        <v>139</v>
      </c>
      <c r="I21" t="str">
        <f t="shared" si="0"/>
        <v>{ name: "Lightning Temple 1F", landmark: "Unnamed Location", type: "", region: 14, level: "Surface", x: -4539, y: -3423, z: 139, details: "" },</v>
      </c>
    </row>
    <row r="22" spans="1:9" x14ac:dyDescent="0.2">
      <c r="A22" t="s">
        <v>2568</v>
      </c>
      <c r="C22" s="2">
        <v>14</v>
      </c>
      <c r="D22" s="2" t="s">
        <v>785</v>
      </c>
      <c r="E22" s="2">
        <v>-4570</v>
      </c>
      <c r="F22" s="2">
        <v>-3454</v>
      </c>
      <c r="G22" s="2">
        <v>139</v>
      </c>
      <c r="I22" t="str">
        <f t="shared" si="0"/>
        <v>{ name: "Lightning Temple 2F", landmark: "Unnamed Location", type: "", region: 14, level: "Surface", x: -4570, y: -3454, z: 139, details: "" },</v>
      </c>
    </row>
    <row r="23" spans="1:9" x14ac:dyDescent="0.2">
      <c r="A23" t="s">
        <v>2569</v>
      </c>
      <c r="C23" s="2">
        <v>14</v>
      </c>
      <c r="D23" s="2" t="s">
        <v>785</v>
      </c>
      <c r="E23" s="2">
        <v>-4601</v>
      </c>
      <c r="F23" s="2">
        <v>-3485</v>
      </c>
      <c r="G23" s="2">
        <v>139</v>
      </c>
      <c r="I23" t="str">
        <f t="shared" si="0"/>
        <v>{ name: "Lightning Temple 3F", landmark: "Unnamed Location", type: "", region: 14, level: "Surface", x: -4601, y: -3485, z: 139, details: "" },</v>
      </c>
    </row>
    <row r="24" spans="1:9" x14ac:dyDescent="0.2">
      <c r="A24" t="s">
        <v>2570</v>
      </c>
      <c r="C24" s="2">
        <v>14</v>
      </c>
      <c r="D24" s="2" t="s">
        <v>785</v>
      </c>
      <c r="E24" s="2">
        <v>-4632</v>
      </c>
      <c r="F24" s="2">
        <v>-3516</v>
      </c>
      <c r="G24" s="2">
        <v>139</v>
      </c>
      <c r="I24" t="str">
        <f t="shared" si="0"/>
        <v>{ name: "Lightning Temple 4F", landmark: "Unnamed Location", type: "", region: 14, level: "Surface", x: -4632, y: -3516, z: 139, details: "" },</v>
      </c>
    </row>
    <row r="25" spans="1:9" x14ac:dyDescent="0.2">
      <c r="A25" t="s">
        <v>2571</v>
      </c>
      <c r="C25" s="2">
        <v>14</v>
      </c>
      <c r="D25" s="2" t="s">
        <v>785</v>
      </c>
      <c r="E25" s="2">
        <v>-4663</v>
      </c>
      <c r="F25" s="2">
        <v>-3547</v>
      </c>
      <c r="G25" s="2">
        <v>139</v>
      </c>
      <c r="I25" t="str">
        <f t="shared" si="0"/>
        <v>{ name: "Lightning Temple 5F", landmark: "Unnamed Location", type: "", region: 14, level: "Surface", x: -4663, y: -3547, z: 139, details: "" },</v>
      </c>
    </row>
    <row r="26" spans="1:9" x14ac:dyDescent="0.2">
      <c r="A26" t="s">
        <v>2572</v>
      </c>
      <c r="C26" s="2">
        <v>14</v>
      </c>
      <c r="D26" s="2" t="s">
        <v>785</v>
      </c>
      <c r="E26" s="2">
        <v>-4694</v>
      </c>
      <c r="F26" s="2">
        <v>-3578</v>
      </c>
      <c r="G26" s="2">
        <v>139</v>
      </c>
      <c r="I26" t="str">
        <f t="shared" si="0"/>
        <v>{ name: "Lightning Temple 6F", landmark: "Unnamed Location", type: "", region: 14, level: "Surface", x: -4694, y: -3578, z: 139, details: "" },</v>
      </c>
    </row>
    <row r="27" spans="1:9" x14ac:dyDescent="0.2">
      <c r="A27" t="s">
        <v>2573</v>
      </c>
      <c r="C27" s="2">
        <v>14</v>
      </c>
      <c r="D27" s="2" t="s">
        <v>785</v>
      </c>
      <c r="E27" s="2">
        <v>-4725</v>
      </c>
      <c r="F27" s="2">
        <v>-3609</v>
      </c>
      <c r="G27" s="2">
        <v>139</v>
      </c>
      <c r="I27" t="str">
        <f t="shared" si="0"/>
        <v>{ name: "Lightning Temple 7F", landmark: "Unnamed Location", type: "", region: 14, level: "Surface", x: -4725, y: -3609, z: 139, details: "" },</v>
      </c>
    </row>
    <row r="28" spans="1:9" x14ac:dyDescent="0.2">
      <c r="A28" t="s">
        <v>2575</v>
      </c>
      <c r="C28" s="2">
        <v>14</v>
      </c>
      <c r="D28" s="2" t="s">
        <v>785</v>
      </c>
      <c r="E28" s="2">
        <v>-4316</v>
      </c>
      <c r="F28" s="2">
        <v>-3630</v>
      </c>
      <c r="G28" s="2">
        <v>139</v>
      </c>
      <c r="I28" t="str">
        <f t="shared" si="0"/>
        <v>{ name: "Room of Ascension", landmark: "Unnamed Location", type: "", region: 14, level: "Surface", x: -4316, y: -3630, z: 139, details: "" },</v>
      </c>
    </row>
    <row r="29" spans="1:9" x14ac:dyDescent="0.2">
      <c r="A29" t="s">
        <v>2578</v>
      </c>
      <c r="C29" s="2">
        <v>14</v>
      </c>
      <c r="D29" s="2" t="s">
        <v>785</v>
      </c>
      <c r="E29" s="2">
        <v>-4347</v>
      </c>
      <c r="F29" s="2">
        <v>-3661</v>
      </c>
      <c r="G29" s="2">
        <v>139</v>
      </c>
      <c r="I29" t="str">
        <f t="shared" si="0"/>
        <v>{ name: "Room of Light and Flame", landmark: "Unnamed Location", type: "", region: 14, level: "Surface", x: -4347, y: -3661, z: 139, details: "" },</v>
      </c>
    </row>
    <row r="30" spans="1:9" x14ac:dyDescent="0.2">
      <c r="A30" t="s">
        <v>2581</v>
      </c>
      <c r="C30" s="2">
        <v>14</v>
      </c>
      <c r="D30" s="2" t="s">
        <v>785</v>
      </c>
      <c r="E30" s="2">
        <v>-4378</v>
      </c>
      <c r="F30" s="2">
        <v>-3692</v>
      </c>
      <c r="G30" s="2">
        <v>139</v>
      </c>
      <c r="I30" t="str">
        <f t="shared" si="0"/>
        <v>{ name: "Room of Offered Light", landmark: "Unnamed Location", type: "", region: 14, level: "Surface", x: -4378, y: -3692, z: 139, details: "" },</v>
      </c>
    </row>
    <row r="31" spans="1:9" x14ac:dyDescent="0.2">
      <c r="A31" t="s">
        <v>2579</v>
      </c>
      <c r="C31" s="2">
        <v>14</v>
      </c>
      <c r="D31" s="2" t="s">
        <v>785</v>
      </c>
      <c r="E31" s="2">
        <v>-4409</v>
      </c>
      <c r="F31" s="2">
        <v>-3723</v>
      </c>
      <c r="G31" s="2">
        <v>139</v>
      </c>
      <c r="I31" t="str">
        <f t="shared" si="0"/>
        <v>{ name: "Room of Light and Shade", landmark: "Unnamed Location", type: "", region: 14, level: "Surface", x: -4409, y: -3723, z: 139, details: "" },</v>
      </c>
    </row>
    <row r="32" spans="1:9" x14ac:dyDescent="0.2">
      <c r="A32" t="s">
        <v>2580</v>
      </c>
      <c r="C32" s="2">
        <v>14</v>
      </c>
      <c r="D32" s="2" t="s">
        <v>785</v>
      </c>
      <c r="E32" s="2">
        <v>-4440</v>
      </c>
      <c r="F32" s="2">
        <v>-3754</v>
      </c>
      <c r="G32" s="2">
        <v>139</v>
      </c>
      <c r="I32" t="str">
        <f t="shared" si="0"/>
        <v>{ name: "Room of Natural Light", landmark: "Unnamed Location", type: "", region: 14, level: "Surface", x: -4440, y: -3754, z: 139, details: "" },</v>
      </c>
    </row>
    <row r="33" spans="1:9" x14ac:dyDescent="0.2">
      <c r="A33" t="s">
        <v>2577</v>
      </c>
      <c r="C33" s="2">
        <v>14</v>
      </c>
      <c r="D33" s="2" t="s">
        <v>785</v>
      </c>
      <c r="E33" s="2">
        <v>-4471</v>
      </c>
      <c r="F33" s="2">
        <v>-3785</v>
      </c>
      <c r="G33" s="2">
        <v>139</v>
      </c>
      <c r="I33" t="str">
        <f t="shared" si="0"/>
        <v>{ name: "Room of Hopeful Light", landmark: "Unnamed Location", type: "", region: 14, level: "Surface", x: -4471, y: -3785, z: 139, details: "" },</v>
      </c>
    </row>
    <row r="34" spans="1:9" x14ac:dyDescent="0.2">
      <c r="A34" t="s">
        <v>2576</v>
      </c>
      <c r="C34" s="2">
        <v>14</v>
      </c>
      <c r="D34" s="2" t="s">
        <v>785</v>
      </c>
      <c r="E34" s="2">
        <v>-4502</v>
      </c>
      <c r="F34" s="2">
        <v>-3816</v>
      </c>
      <c r="G34" s="2">
        <v>139</v>
      </c>
      <c r="I34" t="str">
        <f t="shared" si="0"/>
        <v>{ name: "Room of Glorious Light", landmark: "Unnamed Location", type: "", region: 14, level: "Surface", x: -4502, y: -3816, z: 139, details: "" },</v>
      </c>
    </row>
  </sheetData>
  <autoFilter ref="A1:I7" xr:uid="{A095D5C8-FF81-DA46-ADE3-61DE071C2139}">
    <sortState xmlns:xlrd2="http://schemas.microsoft.com/office/spreadsheetml/2017/richdata2" ref="A2:I7">
      <sortCondition ref="D1:D7"/>
    </sortState>
  </autoFilter>
  <conditionalFormatting sqref="A1:A6 A8:A1048576">
    <cfRule type="duplicateValues" dxfId="0" priority="1"/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01955-9146-BF40-824B-697092129331}">
  <sheetPr codeName="Sheet27">
    <tabColor theme="9"/>
  </sheetPr>
  <dimension ref="A1:K12"/>
  <sheetViews>
    <sheetView workbookViewId="0">
      <selection activeCell="K7" sqref="K7"/>
    </sheetView>
  </sheetViews>
  <sheetFormatPr baseColWidth="10" defaultRowHeight="16" x14ac:dyDescent="0.2"/>
  <cols>
    <col min="1" max="1" width="22.1640625" bestFit="1" customWidth="1"/>
    <col min="8" max="9" width="10.83203125" style="2"/>
  </cols>
  <sheetData>
    <row r="1" spans="1:11" s="6" customFormat="1" x14ac:dyDescent="0.2">
      <c r="A1" s="6" t="s">
        <v>781</v>
      </c>
      <c r="B1" s="6" t="s">
        <v>2083</v>
      </c>
      <c r="C1" s="6" t="s">
        <v>2074</v>
      </c>
      <c r="D1" s="6" t="s">
        <v>777</v>
      </c>
      <c r="E1" s="6" t="s">
        <v>778</v>
      </c>
      <c r="F1" s="6" t="s">
        <v>779</v>
      </c>
      <c r="G1" s="6" t="s">
        <v>780</v>
      </c>
      <c r="H1" s="4" t="s">
        <v>2541</v>
      </c>
      <c r="I1" s="4" t="s">
        <v>2544</v>
      </c>
      <c r="J1" s="6" t="s">
        <v>2081</v>
      </c>
      <c r="K1" s="6" t="s">
        <v>2075</v>
      </c>
    </row>
    <row r="2" spans="1:11" x14ac:dyDescent="0.2">
      <c r="A2" t="s">
        <v>1441</v>
      </c>
      <c r="B2" t="s">
        <v>2414</v>
      </c>
      <c r="C2">
        <v>1</v>
      </c>
      <c r="D2" t="s">
        <v>785</v>
      </c>
      <c r="E2">
        <v>-254</v>
      </c>
      <c r="F2">
        <v>78</v>
      </c>
      <c r="G2">
        <v>18</v>
      </c>
      <c r="H2" s="2" t="s">
        <v>2838</v>
      </c>
      <c r="I2" s="2" t="s">
        <v>2519</v>
      </c>
      <c r="K2" t="str">
        <f>"{ name: "&amp;CHAR(34)&amp;A2&amp;CHAR(34)&amp;", landmark: "&amp;CHAR(34)&amp;"Village"&amp;CHAR(34)&amp;", type: "&amp;CHAR(34)&amp;B2&amp;CHAR(34)&amp;", region: "&amp;C2&amp;", level: "&amp;CHAR(34)&amp;D2&amp;CHAR(34)&amp;", x: "&amp;INT(E2)&amp;", y: "&amp;INT(F2)&amp;", z: "&amp;INT(G2)&amp;", zoom: "&amp;IF(LEN(H2)&gt;1,"["&amp;H2&amp;"]",H2)&amp;", size: "&amp;CHAR(34)&amp;I2&amp;CHAR(34)&amp;", details: "&amp;CHAR(34)&amp;J2&amp;CHAR(34)&amp;" },"</f>
        <v>{ name: "Lookout Landing", landmark: "Village", type: "Village", region: 1, level: "Surface", x: -254, y: 78, z: 18, zoom: [1,2,3], size: "S", details: "" },</v>
      </c>
    </row>
    <row r="3" spans="1:11" x14ac:dyDescent="0.2">
      <c r="A3" t="s">
        <v>847</v>
      </c>
      <c r="B3" t="s">
        <v>2414</v>
      </c>
      <c r="C3">
        <v>4</v>
      </c>
      <c r="D3" t="s">
        <v>785</v>
      </c>
      <c r="E3">
        <v>-3621</v>
      </c>
      <c r="F3">
        <v>1800</v>
      </c>
      <c r="G3">
        <v>103</v>
      </c>
      <c r="H3" s="2" t="s">
        <v>2838</v>
      </c>
      <c r="I3" s="2" t="s">
        <v>2519</v>
      </c>
      <c r="K3" t="str">
        <f t="shared" ref="K3:K12" si="0">"{ name: "&amp;CHAR(34)&amp;A3&amp;CHAR(34)&amp;", landmark: "&amp;CHAR(34)&amp;"Village"&amp;CHAR(34)&amp;", type: "&amp;CHAR(34)&amp;B3&amp;CHAR(34)&amp;", region: "&amp;C3&amp;", level: "&amp;CHAR(34)&amp;D3&amp;CHAR(34)&amp;", x: "&amp;INT(E3)&amp;", y: "&amp;INT(F3)&amp;", z: "&amp;INT(G3)&amp;", zoom: "&amp;IF(LEN(H3)&gt;1,"["&amp;H3&amp;"]",H3)&amp;", size: "&amp;CHAR(34)&amp;I3&amp;CHAR(34)&amp;", details: "&amp;CHAR(34)&amp;J3&amp;CHAR(34)&amp;" },"</f>
        <v>{ name: "Rito Village", landmark: "Village", type: "Village", region: 4, level: "Surface", x: -3621, y: 1800, z: 103, zoom: [1,2,3], size: "S", details: "" },</v>
      </c>
    </row>
    <row r="4" spans="1:11" x14ac:dyDescent="0.2">
      <c r="A4" t="s">
        <v>1399</v>
      </c>
      <c r="B4" t="s">
        <v>2414</v>
      </c>
      <c r="C4">
        <v>6</v>
      </c>
      <c r="D4" t="s">
        <v>785</v>
      </c>
      <c r="E4">
        <v>419</v>
      </c>
      <c r="F4">
        <v>2140</v>
      </c>
      <c r="G4">
        <v>-106</v>
      </c>
      <c r="H4" s="2" t="s">
        <v>2838</v>
      </c>
      <c r="I4" s="2" t="s">
        <v>2519</v>
      </c>
      <c r="K4" t="str">
        <f t="shared" si="0"/>
        <v>{ name: "Korok Forest", landmark: "Village", type: "Village", region: 6, level: "Surface", x: 419, y: 2140, z: -106, zoom: [1,2,3], size: "S", details: "" },</v>
      </c>
    </row>
    <row r="5" spans="1:11" x14ac:dyDescent="0.2">
      <c r="A5" t="s">
        <v>1302</v>
      </c>
      <c r="B5" t="s">
        <v>2414</v>
      </c>
      <c r="C5">
        <v>7</v>
      </c>
      <c r="D5" t="s">
        <v>785</v>
      </c>
      <c r="E5">
        <v>1657</v>
      </c>
      <c r="F5">
        <v>2440</v>
      </c>
      <c r="G5">
        <v>340</v>
      </c>
      <c r="H5" s="2" t="s">
        <v>2838</v>
      </c>
      <c r="I5" s="2" t="s">
        <v>2519</v>
      </c>
      <c r="K5" t="str">
        <f t="shared" si="0"/>
        <v>{ name: "Goron City", landmark: "Village", type: "Village", region: 7, level: "Surface", x: 1657, y: 2440, z: 340, zoom: [1,2,3], size: "S", details: "" },</v>
      </c>
    </row>
    <row r="6" spans="1:11" x14ac:dyDescent="0.2">
      <c r="A6" t="s">
        <v>1664</v>
      </c>
      <c r="B6" t="s">
        <v>2414</v>
      </c>
      <c r="C6">
        <v>8</v>
      </c>
      <c r="D6" t="s">
        <v>785</v>
      </c>
      <c r="E6">
        <v>3966</v>
      </c>
      <c r="F6">
        <v>1560</v>
      </c>
      <c r="G6">
        <v>128</v>
      </c>
      <c r="H6" s="2" t="s">
        <v>2838</v>
      </c>
      <c r="I6" s="2" t="s">
        <v>2519</v>
      </c>
      <c r="K6" t="str">
        <f t="shared" si="0"/>
        <v>{ name: "Tarrey Town", landmark: "Village", type: "Village", region: 8, level: "Surface", x: 3966, y: 1560, z: 128, zoom: [1,2,3], size: "S", details: "" },</v>
      </c>
    </row>
    <row r="7" spans="1:11" x14ac:dyDescent="0.2">
      <c r="A7" t="s">
        <v>1730</v>
      </c>
      <c r="B7" t="s">
        <v>2414</v>
      </c>
      <c r="C7">
        <v>9</v>
      </c>
      <c r="D7" t="s">
        <v>785</v>
      </c>
      <c r="E7">
        <v>3343</v>
      </c>
      <c r="F7">
        <v>559</v>
      </c>
      <c r="G7">
        <v>137</v>
      </c>
      <c r="H7" s="2" t="s">
        <v>2838</v>
      </c>
      <c r="I7" s="2" t="s">
        <v>2519</v>
      </c>
      <c r="K7" t="str">
        <f t="shared" si="0"/>
        <v>{ name: "Zora's Domain", landmark: "Village", type: "Village", region: 9, level: "Surface", x: 3343, y: 559, z: 137, zoom: [1,2,3], size: "S", details: "" },</v>
      </c>
    </row>
    <row r="8" spans="1:11" x14ac:dyDescent="0.2">
      <c r="A8" t="s">
        <v>999</v>
      </c>
      <c r="B8" t="s">
        <v>2414</v>
      </c>
      <c r="C8">
        <v>10</v>
      </c>
      <c r="D8" t="s">
        <v>785</v>
      </c>
      <c r="E8">
        <v>1865</v>
      </c>
      <c r="F8">
        <v>-999</v>
      </c>
      <c r="G8">
        <v>115</v>
      </c>
      <c r="H8" s="2" t="s">
        <v>2838</v>
      </c>
      <c r="I8" s="2" t="s">
        <v>2519</v>
      </c>
      <c r="K8" t="str">
        <f t="shared" si="0"/>
        <v>{ name: "Kakariko Village", landmark: "Village", type: "Village", region: 10, level: "Surface", x: 1865, y: -999, z: 115, zoom: [1,2,3], size: "S", details: "" },</v>
      </c>
    </row>
    <row r="9" spans="1:11" x14ac:dyDescent="0.2">
      <c r="A9" t="s">
        <v>1329</v>
      </c>
      <c r="B9" t="s">
        <v>2414</v>
      </c>
      <c r="C9">
        <v>11</v>
      </c>
      <c r="D9" t="s">
        <v>785</v>
      </c>
      <c r="E9">
        <v>3384</v>
      </c>
      <c r="F9">
        <v>-2139</v>
      </c>
      <c r="G9">
        <v>232</v>
      </c>
      <c r="H9" s="2" t="s">
        <v>2838</v>
      </c>
      <c r="I9" s="2" t="s">
        <v>2519</v>
      </c>
      <c r="K9" t="str">
        <f t="shared" si="0"/>
        <v>{ name: "Hateno Village", landmark: "Village", type: "Village", region: 11, level: "Surface", x: 3384, y: -2139, z: 232, zoom: [1,2,3], size: "S", details: "" },</v>
      </c>
    </row>
    <row r="10" spans="1:11" x14ac:dyDescent="0.2">
      <c r="A10" t="s">
        <v>1447</v>
      </c>
      <c r="B10" t="s">
        <v>2414</v>
      </c>
      <c r="C10">
        <v>12</v>
      </c>
      <c r="D10" t="s">
        <v>785</v>
      </c>
      <c r="E10">
        <v>2884</v>
      </c>
      <c r="F10">
        <v>-3432</v>
      </c>
      <c r="G10">
        <v>60</v>
      </c>
      <c r="H10" s="2" t="s">
        <v>2838</v>
      </c>
      <c r="I10" s="2" t="s">
        <v>2519</v>
      </c>
      <c r="K10" t="str">
        <f t="shared" si="0"/>
        <v>{ name: "Lurelin Village", landmark: "Village", type: "Village", region: 12, level: "Surface", x: 2884, y: -3432, z: 60, zoom: [1,2,3], size: "S", details: "" },</v>
      </c>
    </row>
    <row r="11" spans="1:11" x14ac:dyDescent="0.2">
      <c r="A11" t="s">
        <v>1284</v>
      </c>
      <c r="B11" t="s">
        <v>2414</v>
      </c>
      <c r="C11">
        <v>14</v>
      </c>
      <c r="D11" t="s">
        <v>785</v>
      </c>
      <c r="E11">
        <v>-3859</v>
      </c>
      <c r="F11">
        <v>-2941</v>
      </c>
      <c r="G11">
        <v>33</v>
      </c>
      <c r="H11" s="2" t="s">
        <v>2838</v>
      </c>
      <c r="I11" s="2" t="s">
        <v>2519</v>
      </c>
      <c r="K11" t="str">
        <f t="shared" si="0"/>
        <v>{ name: "Gerudo Town", landmark: "Village", type: "Village", region: 14, level: "Surface", x: -3859, y: -2941, z: 33, zoom: [1,2,3], size: "S", details: "" },</v>
      </c>
    </row>
    <row r="12" spans="1:11" x14ac:dyDescent="0.2">
      <c r="A12" t="s">
        <v>1385</v>
      </c>
      <c r="B12" t="s">
        <v>2414</v>
      </c>
      <c r="C12">
        <v>14</v>
      </c>
      <c r="D12" t="s">
        <v>785</v>
      </c>
      <c r="E12">
        <v>-3254</v>
      </c>
      <c r="F12">
        <v>-2558</v>
      </c>
      <c r="G12">
        <v>23</v>
      </c>
      <c r="H12" s="2" t="s">
        <v>2838</v>
      </c>
      <c r="I12" s="2" t="s">
        <v>2519</v>
      </c>
      <c r="K12" t="str">
        <f t="shared" si="0"/>
        <v>{ name: "Kara Kara Bazaar", landmark: "Village", type: "Village", region: 14, level: "Surface", x: -3254, y: -2558, z: 23, zoom: [1,2,3], size: "S", details: "" },</v>
      </c>
    </row>
  </sheetData>
  <autoFilter ref="A1:K1" xr:uid="{A095D5C8-FF81-DA46-ADE3-61DE071C2139}">
    <sortState xmlns:xlrd2="http://schemas.microsoft.com/office/spreadsheetml/2017/richdata2" ref="A2:K21">
      <sortCondition ref="B1:B21"/>
    </sortState>
  </autoFilter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FA869-99A4-6E49-BE60-7CC75A809A99}">
  <sheetPr codeName="Sheet24">
    <tabColor theme="9"/>
  </sheetPr>
  <dimension ref="A1:M59"/>
  <sheetViews>
    <sheetView workbookViewId="0">
      <selection activeCell="A19" sqref="A19"/>
    </sheetView>
  </sheetViews>
  <sheetFormatPr baseColWidth="10" defaultRowHeight="16" x14ac:dyDescent="0.2"/>
  <cols>
    <col min="1" max="1" width="25.83203125" bestFit="1" customWidth="1"/>
    <col min="3" max="3" width="10.6640625" style="2" bestFit="1" customWidth="1"/>
    <col min="4" max="9" width="10.83203125" style="2"/>
  </cols>
  <sheetData>
    <row r="1" spans="1:13" s="6" customFormat="1" x14ac:dyDescent="0.2">
      <c r="A1" s="6" t="s">
        <v>781</v>
      </c>
      <c r="B1" s="6" t="s">
        <v>2083</v>
      </c>
      <c r="C1" s="4" t="s">
        <v>2074</v>
      </c>
      <c r="D1" s="4" t="s">
        <v>777</v>
      </c>
      <c r="E1" s="4" t="s">
        <v>778</v>
      </c>
      <c r="F1" s="4" t="s">
        <v>779</v>
      </c>
      <c r="G1" s="4" t="s">
        <v>780</v>
      </c>
      <c r="H1" s="4" t="s">
        <v>2541</v>
      </c>
      <c r="I1" s="4" t="s">
        <v>2544</v>
      </c>
      <c r="J1" s="6" t="s">
        <v>2081</v>
      </c>
      <c r="K1" s="6" t="s">
        <v>2075</v>
      </c>
      <c r="M1"/>
    </row>
    <row r="2" spans="1:13" x14ac:dyDescent="0.2">
      <c r="A2" t="s">
        <v>1144</v>
      </c>
      <c r="C2" s="2">
        <v>1</v>
      </c>
      <c r="D2" s="2" t="s">
        <v>785</v>
      </c>
      <c r="E2" s="2">
        <v>685</v>
      </c>
      <c r="F2" s="2">
        <v>-769</v>
      </c>
      <c r="G2" s="2">
        <v>17</v>
      </c>
      <c r="H2" s="2">
        <v>4</v>
      </c>
      <c r="I2" s="2" t="s">
        <v>2989</v>
      </c>
      <c r="K2" t="str">
        <f>"{ name: "&amp;CHAR(34)&amp;A2&amp;CHAR(34)&amp;", landmark: "&amp;CHAR(34)&amp;"Well"&amp;CHAR(34)&amp;", type: "&amp;CHAR(34)&amp;B2&amp;CHAR(34)&amp;", region: "&amp;C2&amp;", level: "&amp;CHAR(34)&amp;D2&amp;CHAR(34)&amp;", x: "&amp;E2&amp;", y: "&amp;F2&amp;", z: "&amp;G2&amp;", zoom: "&amp;H2&amp;", size: "&amp;CHAR(34)&amp;I2&amp;CHAR(34)&amp;", details: "&amp;CHAR(34)&amp;J2&amp;CHAR(34)&amp;" },"</f>
        <v>{ name: "Bottomless Pond Well", landmark: "Well", type: "", region: 1, level: "Surface", x: 685, y: -769, z: 17, zoom: 4, size: "XS", details: "" },</v>
      </c>
    </row>
    <row r="3" spans="1:13" x14ac:dyDescent="0.2">
      <c r="A3" t="s">
        <v>1159</v>
      </c>
      <c r="C3" s="2">
        <v>1</v>
      </c>
      <c r="D3" s="2" t="s">
        <v>785</v>
      </c>
      <c r="E3" s="2">
        <v>-1036</v>
      </c>
      <c r="F3" s="2">
        <v>413</v>
      </c>
      <c r="G3" s="2">
        <v>35</v>
      </c>
      <c r="H3" s="2">
        <v>4</v>
      </c>
      <c r="I3" s="2" t="s">
        <v>2989</v>
      </c>
      <c r="K3" t="str">
        <f t="shared" ref="K3:K59" si="0">"{ name: "&amp;CHAR(34)&amp;A3&amp;CHAR(34)&amp;", landmark: "&amp;CHAR(34)&amp;"Well"&amp;CHAR(34)&amp;", type: "&amp;CHAR(34)&amp;B3&amp;CHAR(34)&amp;", region: "&amp;C3&amp;", level: "&amp;CHAR(34)&amp;D3&amp;CHAR(34)&amp;", x: "&amp;E3&amp;", y: "&amp;F3&amp;", z: "&amp;G3&amp;", zoom: "&amp;H3&amp;", size: "&amp;CHAR(34)&amp;I3&amp;CHAR(34)&amp;", details: "&amp;CHAR(34)&amp;J3&amp;CHAR(34)&amp;" },"</f>
        <v>{ name: "Carok Bridge Well", landmark: "Well", type: "", region: 1, level: "Surface", x: -1036, y: 413, z: 35, zoom: 4, size: "XS", details: "" },</v>
      </c>
    </row>
    <row r="4" spans="1:13" x14ac:dyDescent="0.2">
      <c r="A4" t="s">
        <v>1364</v>
      </c>
      <c r="C4" s="2">
        <v>1</v>
      </c>
      <c r="D4" s="2" t="s">
        <v>785</v>
      </c>
      <c r="E4" s="2">
        <v>63</v>
      </c>
      <c r="F4" s="2">
        <v>550</v>
      </c>
      <c r="G4" s="2">
        <v>28</v>
      </c>
      <c r="H4" s="2">
        <v>4</v>
      </c>
      <c r="I4" s="2" t="s">
        <v>2989</v>
      </c>
      <c r="K4" t="str">
        <f t="shared" si="0"/>
        <v>{ name: "Hyrule Castle Town Ruins Well", landmark: "Well", type: "", region: 1, level: "Surface", x: 63, y: 550, z: 28, zoom: 4, size: "XS", details: "" },</v>
      </c>
    </row>
    <row r="5" spans="1:13" x14ac:dyDescent="0.2">
      <c r="A5" t="s">
        <v>1442</v>
      </c>
      <c r="C5" s="2">
        <v>1</v>
      </c>
      <c r="D5" s="2" t="s">
        <v>785</v>
      </c>
      <c r="E5" s="2">
        <v>-213</v>
      </c>
      <c r="F5" s="2">
        <v>133</v>
      </c>
      <c r="G5" s="2">
        <v>19</v>
      </c>
      <c r="H5" s="2">
        <v>4</v>
      </c>
      <c r="I5" s="2" t="s">
        <v>2989</v>
      </c>
      <c r="K5" t="str">
        <f t="shared" si="0"/>
        <v>{ name: "Lookout Landing Well", landmark: "Well", type: "", region: 1, level: "Surface", x: -213, y: 133, z: 19, zoom: 4, size: "XS", details: "" },</v>
      </c>
    </row>
    <row r="6" spans="1:13" x14ac:dyDescent="0.2">
      <c r="A6" t="s">
        <v>1452</v>
      </c>
      <c r="C6" s="2">
        <v>1</v>
      </c>
      <c r="D6" s="2" t="s">
        <v>785</v>
      </c>
      <c r="E6" s="2">
        <v>-70</v>
      </c>
      <c r="F6" s="2">
        <v>-162</v>
      </c>
      <c r="G6" s="2">
        <v>24</v>
      </c>
      <c r="H6" s="2">
        <v>4</v>
      </c>
      <c r="I6" s="2" t="s">
        <v>2989</v>
      </c>
      <c r="K6" t="str">
        <f t="shared" si="0"/>
        <v>{ name: "Mabe Village Ruins Well", landmark: "Well", type: "", region: 1, level: "Surface", x: -70, y: -162, z: 24, zoom: 4, size: "XS", details: "" },</v>
      </c>
    </row>
    <row r="7" spans="1:13" x14ac:dyDescent="0.2">
      <c r="A7" t="s">
        <v>1490</v>
      </c>
      <c r="C7" s="2">
        <v>1</v>
      </c>
      <c r="D7" s="2" t="s">
        <v>785</v>
      </c>
      <c r="E7" s="2">
        <v>-912</v>
      </c>
      <c r="F7" s="2">
        <v>328</v>
      </c>
      <c r="G7" s="2">
        <v>19</v>
      </c>
      <c r="H7" s="2">
        <v>4</v>
      </c>
      <c r="I7" s="2" t="s">
        <v>2989</v>
      </c>
      <c r="K7" t="str">
        <f t="shared" si="0"/>
        <v>{ name: "Mount Gustaf Well", landmark: "Well", type: "", region: 1, level: "Surface", x: -912, y: 328, z: 19, zoom: 4, size: "XS", details: "" },</v>
      </c>
    </row>
    <row r="8" spans="1:13" x14ac:dyDescent="0.2">
      <c r="A8" t="s">
        <v>1562</v>
      </c>
      <c r="C8" s="2">
        <v>1</v>
      </c>
      <c r="D8" s="2" t="s">
        <v>785</v>
      </c>
      <c r="E8" s="2">
        <v>788</v>
      </c>
      <c r="F8" s="2">
        <v>6</v>
      </c>
      <c r="G8" s="2">
        <v>31</v>
      </c>
      <c r="H8" s="2">
        <v>4</v>
      </c>
      <c r="I8" s="2" t="s">
        <v>2989</v>
      </c>
      <c r="K8" t="str">
        <f t="shared" si="0"/>
        <v>{ name: "Rebonae Bridge Well", landmark: "Well", type: "", region: 1, level: "Surface", x: 788, y: 6, z: 31, zoom: 4, size: "XS", details: "" },</v>
      </c>
    </row>
    <row r="9" spans="1:13" x14ac:dyDescent="0.2">
      <c r="A9" t="s">
        <v>1123</v>
      </c>
      <c r="C9" s="2">
        <v>2</v>
      </c>
      <c r="D9" s="2" t="s">
        <v>785</v>
      </c>
      <c r="E9" s="2">
        <v>-876</v>
      </c>
      <c r="F9" s="2">
        <v>-1100</v>
      </c>
      <c r="G9" s="2">
        <v>21</v>
      </c>
      <c r="H9" s="2">
        <v>4</v>
      </c>
      <c r="I9" s="2" t="s">
        <v>2989</v>
      </c>
      <c r="K9" t="str">
        <f t="shared" si="0"/>
        <v>{ name: "Aquame Lake Well", landmark: "Well", type: "", region: 2, level: "Surface", x: -876, y: -1100, z: 21, zoom: 4, size: "XS", details: "" },</v>
      </c>
    </row>
    <row r="10" spans="1:13" x14ac:dyDescent="0.2">
      <c r="A10" t="s">
        <v>1486</v>
      </c>
      <c r="C10" s="2">
        <v>2</v>
      </c>
      <c r="D10" s="2" t="s">
        <v>785</v>
      </c>
      <c r="E10" s="2">
        <v>-1313</v>
      </c>
      <c r="F10" s="2">
        <v>-625</v>
      </c>
      <c r="G10" s="2">
        <v>9</v>
      </c>
      <c r="H10" s="2">
        <v>4</v>
      </c>
      <c r="I10" s="2" t="s">
        <v>2989</v>
      </c>
      <c r="J10" t="s">
        <v>3154</v>
      </c>
      <c r="K10" t="str">
        <f t="shared" si="0"/>
        <v>{ name: "Mount Daphnes Well", landmark: "Well", type: "", region: 2, level: "Surface", x: -1313, y: -625, z: 9, zoom: 4, size: "XS", details: "Holds a &lt;img src="icons/chasm.png" style="height: 20px, width: 20px, vertical-align: middle, margin-right: 5px;"&gt;&lt;span style="color: #de878b, font-weight: bold;"&gt;CHASM&lt;/span&gt;" },</v>
      </c>
    </row>
    <row r="11" spans="1:13" x14ac:dyDescent="0.2">
      <c r="A11" t="s">
        <v>1528</v>
      </c>
      <c r="C11" s="2">
        <v>2</v>
      </c>
      <c r="D11" s="2" t="s">
        <v>785</v>
      </c>
      <c r="E11" s="2">
        <v>-1679</v>
      </c>
      <c r="F11" s="2">
        <v>-1351</v>
      </c>
      <c r="G11" s="2">
        <v>122</v>
      </c>
      <c r="H11" s="2">
        <v>4</v>
      </c>
      <c r="I11" s="2" t="s">
        <v>2989</v>
      </c>
      <c r="K11" t="str">
        <f t="shared" si="0"/>
        <v>{ name: "Outskirt Hill Well", landmark: "Well", type: "", region: 2, level: "Surface", x: -1679, y: -1351, z: 122, zoom: 4, size: "XS", details: "" },</v>
      </c>
    </row>
    <row r="12" spans="1:13" x14ac:dyDescent="0.2">
      <c r="A12" t="s">
        <v>1530</v>
      </c>
      <c r="C12" s="2">
        <v>2</v>
      </c>
      <c r="D12" s="2" t="s">
        <v>785</v>
      </c>
      <c r="E12" s="2">
        <v>-1458</v>
      </c>
      <c r="F12" s="2">
        <v>-1295</v>
      </c>
      <c r="G12" s="2">
        <v>32</v>
      </c>
      <c r="H12" s="2">
        <v>4</v>
      </c>
      <c r="I12" s="2" t="s">
        <v>2989</v>
      </c>
      <c r="K12" t="str">
        <f t="shared" si="0"/>
        <v>{ name: "Outskirt Stable Well", landmark: "Well", type: "", region: 2, level: "Surface", x: -1458, y: -1295, z: 32, zoom: 4, size: "XS", details: "" },</v>
      </c>
    </row>
    <row r="13" spans="1:13" x14ac:dyDescent="0.2">
      <c r="A13" t="s">
        <v>1579</v>
      </c>
      <c r="C13" s="2">
        <v>2</v>
      </c>
      <c r="D13" s="2" t="s">
        <v>785</v>
      </c>
      <c r="E13" s="2">
        <v>363</v>
      </c>
      <c r="F13" s="2">
        <v>-1125</v>
      </c>
      <c r="G13" s="2">
        <v>10</v>
      </c>
      <c r="H13" s="2">
        <v>4</v>
      </c>
      <c r="I13" s="2" t="s">
        <v>2989</v>
      </c>
      <c r="K13" t="str">
        <f t="shared" si="0"/>
        <v>{ name: "Riverside Stable Well", landmark: "Well", type: "", region: 2, level: "Surface", x: 363, y: -1125, z: 10, zoom: 4, size: "XS", details: "" },</v>
      </c>
    </row>
    <row r="14" spans="1:13" x14ac:dyDescent="0.2">
      <c r="A14" t="s">
        <v>1374</v>
      </c>
      <c r="C14" s="2">
        <v>3</v>
      </c>
      <c r="D14" s="2" t="s">
        <v>785</v>
      </c>
      <c r="E14" s="2">
        <v>-910</v>
      </c>
      <c r="F14" s="2">
        <v>1617</v>
      </c>
      <c r="G14" s="2">
        <v>106</v>
      </c>
      <c r="H14" s="2">
        <v>4</v>
      </c>
      <c r="I14" s="2" t="s">
        <v>2989</v>
      </c>
      <c r="K14" t="str">
        <f t="shared" si="0"/>
        <v>{ name: "Irch Plain Well", landmark: "Well", type: "", region: 3, level: "Surface", x: -910, y: 1617, z: 106, zoom: 4, size: "XS", details: "" },</v>
      </c>
    </row>
    <row r="15" spans="1:13" x14ac:dyDescent="0.2">
      <c r="A15" t="s">
        <v>1460</v>
      </c>
      <c r="C15" s="2">
        <v>3</v>
      </c>
      <c r="D15" s="2" t="s">
        <v>785</v>
      </c>
      <c r="E15" s="2">
        <v>-1811</v>
      </c>
      <c r="F15" s="2">
        <v>1620</v>
      </c>
      <c r="G15" s="2">
        <v>106</v>
      </c>
      <c r="H15" s="2">
        <v>4</v>
      </c>
      <c r="I15" s="2" t="s">
        <v>2989</v>
      </c>
      <c r="K15" t="str">
        <f t="shared" si="0"/>
        <v>{ name: "Maritta Exchange Ruins Well", landmark: "Well", type: "", region: 3, level: "Surface", x: -1811, y: 1620, z: 106, zoom: 4, size: "XS", details: "" },</v>
      </c>
    </row>
    <row r="16" spans="1:13" x14ac:dyDescent="0.2">
      <c r="A16" t="s">
        <v>1507</v>
      </c>
      <c r="C16" s="2">
        <v>3</v>
      </c>
      <c r="D16" s="2" t="s">
        <v>785</v>
      </c>
      <c r="E16" s="2">
        <v>-1359</v>
      </c>
      <c r="F16" s="2">
        <v>702</v>
      </c>
      <c r="G16" s="2">
        <v>85</v>
      </c>
      <c r="H16" s="2">
        <v>4</v>
      </c>
      <c r="I16" s="2" t="s">
        <v>2989</v>
      </c>
      <c r="K16" t="str">
        <f t="shared" si="0"/>
        <v>{ name: "New Serenne Stable Well", landmark: "Well", type: "", region: 3, level: "Surface", x: -1359, y: 702, z: 85, zoom: 4, size: "XS", details: "" },</v>
      </c>
    </row>
    <row r="17" spans="1:11" x14ac:dyDescent="0.2">
      <c r="A17" t="s">
        <v>1655</v>
      </c>
      <c r="C17" s="2">
        <v>3</v>
      </c>
      <c r="D17" s="2" t="s">
        <v>785</v>
      </c>
      <c r="E17" s="2">
        <v>-2359</v>
      </c>
      <c r="F17" s="2">
        <v>1875</v>
      </c>
      <c r="G17" s="2">
        <v>278</v>
      </c>
      <c r="H17" s="2">
        <v>4</v>
      </c>
      <c r="I17" s="2" t="s">
        <v>2989</v>
      </c>
      <c r="K17" t="str">
        <f t="shared" si="0"/>
        <v>{ name: "Tabantha Village Ruins Well", landmark: "Well", type: "", region: 3, level: "Surface", x: -2359, y: 1875, z: 278, zoom: 4, size: "XS", details: "" },</v>
      </c>
    </row>
    <row r="18" spans="1:11" x14ac:dyDescent="0.2">
      <c r="A18" t="s">
        <v>1218</v>
      </c>
      <c r="C18" s="2">
        <v>4</v>
      </c>
      <c r="D18" s="2" t="s">
        <v>785</v>
      </c>
      <c r="E18" s="2">
        <v>-3831</v>
      </c>
      <c r="F18" s="2">
        <v>2107</v>
      </c>
      <c r="G18" s="2">
        <v>141</v>
      </c>
      <c r="H18" s="2">
        <v>4</v>
      </c>
      <c r="I18" s="2" t="s">
        <v>2989</v>
      </c>
      <c r="K18" t="str">
        <f t="shared" si="0"/>
        <v>{ name: "Dronoc's Pass Well", landmark: "Well", type: "", region: 4, level: "Surface", x: -3831, y: 2107, z: 141, zoom: 4, size: "XS", details: "" },</v>
      </c>
    </row>
    <row r="19" spans="1:11" x14ac:dyDescent="0.2">
      <c r="A19" t="s">
        <v>1620</v>
      </c>
      <c r="C19" s="2">
        <v>5</v>
      </c>
      <c r="D19" s="2" t="s">
        <v>785</v>
      </c>
      <c r="E19" s="2">
        <v>-1675</v>
      </c>
      <c r="F19" s="2">
        <v>2584</v>
      </c>
      <c r="G19" s="2">
        <v>234</v>
      </c>
      <c r="H19" s="2">
        <v>4</v>
      </c>
      <c r="I19" s="2" t="s">
        <v>2989</v>
      </c>
      <c r="K19" t="str">
        <f t="shared" si="0"/>
        <v>{ name: "Snowfield Stable Well", landmark: "Well", type: "", region: 5, level: "Surface", x: -1675, y: 2584, z: 234, zoom: 4, size: "XS", details: "" },</v>
      </c>
    </row>
    <row r="20" spans="1:11" x14ac:dyDescent="0.2">
      <c r="A20" t="s">
        <v>1247</v>
      </c>
      <c r="C20" s="2">
        <v>6</v>
      </c>
      <c r="D20" s="2" t="s">
        <v>785</v>
      </c>
      <c r="E20" s="2">
        <v>-670</v>
      </c>
      <c r="F20" s="2">
        <v>1354</v>
      </c>
      <c r="G20" s="2">
        <v>88</v>
      </c>
      <c r="H20" s="2">
        <v>4</v>
      </c>
      <c r="I20" s="2" t="s">
        <v>2989</v>
      </c>
      <c r="K20" t="str">
        <f t="shared" si="0"/>
        <v>{ name: "Elma Knolls Well", landmark: "Well", type: "", region: 6, level: "Surface", x: -670, y: 1354, z: 88, zoom: 4, size: "XS", details: "" },</v>
      </c>
    </row>
    <row r="21" spans="1:11" x14ac:dyDescent="0.2">
      <c r="A21" t="s">
        <v>1560</v>
      </c>
      <c r="C21" s="2">
        <v>6</v>
      </c>
      <c r="D21" s="2" t="s">
        <v>785</v>
      </c>
      <c r="E21" s="2">
        <v>664</v>
      </c>
      <c r="F21" s="2">
        <v>1269</v>
      </c>
      <c r="G21" s="2">
        <v>40</v>
      </c>
      <c r="H21" s="2">
        <v>4</v>
      </c>
      <c r="I21" s="2" t="s">
        <v>2989</v>
      </c>
      <c r="K21" t="str">
        <f t="shared" si="0"/>
        <v>{ name: "Rauru Settlement Ruins Well", landmark: "Well", type: "", region: 6, level: "Surface", x: 664, y: 1269, z: 40, zoom: 4, size: "XS", details: "" },</v>
      </c>
    </row>
    <row r="22" spans="1:11" x14ac:dyDescent="0.2">
      <c r="A22" t="s">
        <v>1586</v>
      </c>
      <c r="C22" s="2">
        <v>6</v>
      </c>
      <c r="D22" s="2" t="s">
        <v>785</v>
      </c>
      <c r="E22" s="2">
        <v>-1069</v>
      </c>
      <c r="F22" s="2">
        <v>2326</v>
      </c>
      <c r="G22" s="2">
        <v>99</v>
      </c>
      <c r="H22" s="2">
        <v>4</v>
      </c>
      <c r="I22" s="2" t="s">
        <v>2989</v>
      </c>
      <c r="J22" t="s">
        <v>3154</v>
      </c>
      <c r="K22" t="str">
        <f t="shared" si="0"/>
        <v>{ name: "Rowan Plain Well", landmark: "Well", type: "", region: 6, level: "Surface", x: -1069, y: 2326, z: 99, zoom: 4, size: "XS", details: "Holds a &lt;img src="icons/chasm.png" style="height: 20px, width: 20px, vertical-align: middle, margin-right: 5px;"&gt;&lt;span style="color: #de878b, font-weight: bold;"&gt;CHASM&lt;/span&gt;" },</v>
      </c>
    </row>
    <row r="23" spans="1:11" x14ac:dyDescent="0.2">
      <c r="A23" t="s">
        <v>1270</v>
      </c>
      <c r="C23" s="2">
        <v>7</v>
      </c>
      <c r="D23" s="2" t="s">
        <v>785</v>
      </c>
      <c r="E23" s="2">
        <v>2620</v>
      </c>
      <c r="F23" s="2">
        <v>1172</v>
      </c>
      <c r="G23" s="2">
        <v>147</v>
      </c>
      <c r="H23" s="2">
        <v>4</v>
      </c>
      <c r="I23" s="2" t="s">
        <v>2989</v>
      </c>
      <c r="K23" t="str">
        <f t="shared" si="0"/>
        <v>{ name: "Foothill Stable Well", landmark: "Well", type: "", region: 7, level: "Surface", x: 2620, y: 1172, z: 147, zoom: 4, size: "XS", details: "" },</v>
      </c>
    </row>
    <row r="24" spans="1:11" x14ac:dyDescent="0.2">
      <c r="A24" t="s">
        <v>1612</v>
      </c>
      <c r="C24" s="2">
        <v>7</v>
      </c>
      <c r="D24" s="2" t="s">
        <v>785</v>
      </c>
      <c r="E24" s="2">
        <v>3058</v>
      </c>
      <c r="F24" s="2">
        <v>2314</v>
      </c>
      <c r="G24" s="2">
        <v>334</v>
      </c>
      <c r="H24" s="2">
        <v>4</v>
      </c>
      <c r="I24" s="2" t="s">
        <v>2989</v>
      </c>
      <c r="K24" t="str">
        <f t="shared" si="0"/>
        <v>{ name: "Shadow Hamlet Ruins Well", landmark: "Well", type: "", region: 7, level: "Surface", x: 3058, y: 2314, z: 334, zoom: 4, size: "XS", details: "" },</v>
      </c>
    </row>
    <row r="25" spans="1:11" x14ac:dyDescent="0.2">
      <c r="A25" t="s">
        <v>1717</v>
      </c>
      <c r="C25" s="2">
        <v>7</v>
      </c>
      <c r="D25" s="2" t="s">
        <v>785</v>
      </c>
      <c r="E25" s="2">
        <v>1084</v>
      </c>
      <c r="F25" s="2">
        <v>1159</v>
      </c>
      <c r="G25" s="2">
        <v>2</v>
      </c>
      <c r="H25" s="2">
        <v>4</v>
      </c>
      <c r="I25" s="2" t="s">
        <v>2989</v>
      </c>
      <c r="K25" t="str">
        <f t="shared" si="0"/>
        <v>{ name: "Woodland Stable Well", landmark: "Well", type: "", region: 7, level: "Surface", x: 1084, y: 1159, z: 2, zoom: 4, size: "XS", details: "" },</v>
      </c>
    </row>
    <row r="26" spans="1:11" x14ac:dyDescent="0.2">
      <c r="A26" t="s">
        <v>1172</v>
      </c>
      <c r="C26" s="2">
        <v>8</v>
      </c>
      <c r="D26" s="2" t="s">
        <v>785</v>
      </c>
      <c r="E26" s="2">
        <v>3718</v>
      </c>
      <c r="F26" s="2">
        <v>1585</v>
      </c>
      <c r="G26" s="2">
        <v>89</v>
      </c>
      <c r="H26" s="2">
        <v>4</v>
      </c>
      <c r="I26" s="2" t="s">
        <v>2989</v>
      </c>
      <c r="K26" t="str">
        <f t="shared" si="0"/>
        <v>{ name: "Construction Site Well", landmark: "Well", type: "", region: 8, level: "Surface", x: 3718, y: 1585, z: 89, zoom: 4, size: "XS", details: "" },</v>
      </c>
    </row>
    <row r="27" spans="1:11" x14ac:dyDescent="0.2">
      <c r="A27" t="s">
        <v>1226</v>
      </c>
      <c r="C27" s="2">
        <v>8</v>
      </c>
      <c r="D27" s="2" t="s">
        <v>785</v>
      </c>
      <c r="E27" s="2">
        <v>4234</v>
      </c>
      <c r="F27" s="2">
        <v>2780</v>
      </c>
      <c r="G27" s="2">
        <v>126</v>
      </c>
      <c r="H27" s="2">
        <v>4</v>
      </c>
      <c r="I27" s="2" t="s">
        <v>2989</v>
      </c>
      <c r="K27" t="str">
        <f t="shared" si="0"/>
        <v>{ name: "East Akkala Stable Well", landmark: "Well", type: "", region: 8, level: "Surface", x: 4234, y: 2780, z: 126, zoom: 4, size: "XS", details: "" },</v>
      </c>
    </row>
    <row r="28" spans="1:11" x14ac:dyDescent="0.2">
      <c r="A28" t="s">
        <v>1624</v>
      </c>
      <c r="C28" s="2">
        <v>8</v>
      </c>
      <c r="D28" s="2" t="s">
        <v>785</v>
      </c>
      <c r="E28" s="2">
        <v>3190</v>
      </c>
      <c r="F28" s="2">
        <v>1713</v>
      </c>
      <c r="G28" s="2">
        <v>201</v>
      </c>
      <c r="H28" s="2">
        <v>4</v>
      </c>
      <c r="I28" s="2" t="s">
        <v>2989</v>
      </c>
      <c r="K28" t="str">
        <f t="shared" si="0"/>
        <v>{ name: "South Akkala Stable Well", landmark: "Well", type: "", region: 8, level: "Surface", x: 3190, y: 1713, z: 201, zoom: 4, size: "XS", details: "" },</v>
      </c>
    </row>
    <row r="29" spans="1:11" x14ac:dyDescent="0.2">
      <c r="A29" t="s">
        <v>1649</v>
      </c>
      <c r="C29" s="2">
        <v>9</v>
      </c>
      <c r="D29" s="2" t="s">
        <v>785</v>
      </c>
      <c r="E29" s="2">
        <v>2743</v>
      </c>
      <c r="F29" s="2">
        <v>172</v>
      </c>
      <c r="G29" s="2">
        <v>130</v>
      </c>
      <c r="H29" s="2">
        <v>4</v>
      </c>
      <c r="I29" s="2" t="s">
        <v>2989</v>
      </c>
      <c r="K29" t="str">
        <f t="shared" si="0"/>
        <v>{ name: "Tabahl Woods Well", landmark: "Well", type: "", region: 9, level: "Surface", x: 2743, y: 172, z: 130, zoom: 4, size: "XS", details: "" },</v>
      </c>
    </row>
    <row r="30" spans="1:11" x14ac:dyDescent="0.2">
      <c r="A30" t="s">
        <v>1299</v>
      </c>
      <c r="C30" s="2">
        <v>10</v>
      </c>
      <c r="D30" s="2" t="s">
        <v>785</v>
      </c>
      <c r="E30" s="2">
        <v>1528</v>
      </c>
      <c r="F30" s="2">
        <v>-330</v>
      </c>
      <c r="G30" s="2">
        <v>9</v>
      </c>
      <c r="H30" s="2">
        <v>4</v>
      </c>
      <c r="I30" s="2" t="s">
        <v>2989</v>
      </c>
      <c r="K30" t="str">
        <f t="shared" si="0"/>
        <v>{ name: "Goponga Village Ruins Well", landmark: "Well", type: "", region: 10, level: "Surface", x: 1528, y: -330, z: 9, zoom: 4, size: "XS", details: "" },</v>
      </c>
    </row>
    <row r="31" spans="1:11" x14ac:dyDescent="0.2">
      <c r="A31" t="s">
        <v>1382</v>
      </c>
      <c r="C31" s="2">
        <v>10</v>
      </c>
      <c r="D31" s="2" t="s">
        <v>785</v>
      </c>
      <c r="E31" s="2">
        <v>1876</v>
      </c>
      <c r="F31" s="2">
        <v>-1040</v>
      </c>
      <c r="G31" s="2">
        <v>123</v>
      </c>
      <c r="H31" s="2">
        <v>4</v>
      </c>
      <c r="I31" s="2" t="s">
        <v>2989</v>
      </c>
      <c r="K31" t="str">
        <f t="shared" si="0"/>
        <v>{ name: "Kakariko Village Well", landmark: "Well", type: "", region: 10, level: "Surface", x: 1876, y: -1040, z: 123, zoom: 4, size: "XS", details: "" },</v>
      </c>
    </row>
    <row r="32" spans="1:11" x14ac:dyDescent="0.2">
      <c r="A32" t="s">
        <v>1425</v>
      </c>
      <c r="C32" s="2">
        <v>10</v>
      </c>
      <c r="D32" s="2" t="s">
        <v>785</v>
      </c>
      <c r="E32" s="2">
        <v>1222</v>
      </c>
      <c r="F32" s="2">
        <v>-396</v>
      </c>
      <c r="G32" s="2">
        <v>10</v>
      </c>
      <c r="H32" s="2">
        <v>4</v>
      </c>
      <c r="I32" s="2" t="s">
        <v>2989</v>
      </c>
      <c r="K32" t="str">
        <f t="shared" si="0"/>
        <v>{ name: "Lanayru Wetlands Well", landmark: "Well", type: "", region: 10, level: "Surface", x: 1222, y: -396, z: 10, zoom: 4, size: "XS", details: "" },</v>
      </c>
    </row>
    <row r="33" spans="1:11" x14ac:dyDescent="0.2">
      <c r="A33" t="s">
        <v>1484</v>
      </c>
      <c r="C33" s="2">
        <v>10</v>
      </c>
      <c r="D33" s="2" t="s">
        <v>785</v>
      </c>
      <c r="E33" s="2">
        <v>1541</v>
      </c>
      <c r="F33" s="2">
        <v>171</v>
      </c>
      <c r="G33" s="2">
        <v>10</v>
      </c>
      <c r="H33" s="2">
        <v>4</v>
      </c>
      <c r="I33" s="2" t="s">
        <v>2989</v>
      </c>
      <c r="K33" t="str">
        <f t="shared" si="0"/>
        <v>{ name: "Moor Garrison Ruins Well", landmark: "Well", type: "", region: 10, level: "Surface", x: 1541, y: 171, z: 10, zoom: 4, size: "XS", details: "" },</v>
      </c>
    </row>
    <row r="34" spans="1:11" x14ac:dyDescent="0.2">
      <c r="A34" t="s">
        <v>1570</v>
      </c>
      <c r="C34" s="2">
        <v>10</v>
      </c>
      <c r="D34" s="2" t="s">
        <v>785</v>
      </c>
      <c r="E34" s="2">
        <v>1718</v>
      </c>
      <c r="F34" s="2">
        <v>-654</v>
      </c>
      <c r="G34" s="2">
        <v>23</v>
      </c>
      <c r="H34" s="2">
        <v>4</v>
      </c>
      <c r="I34" s="2" t="s">
        <v>2989</v>
      </c>
      <c r="K34" t="str">
        <f t="shared" si="0"/>
        <v>{ name: "Rikoka Hills Well", landmark: "Well", type: "", region: 10, level: "Surface", x: 1718, y: -654, z: 23, zoom: 4, size: "XS", details: "" },</v>
      </c>
    </row>
    <row r="35" spans="1:11" x14ac:dyDescent="0.2">
      <c r="A35" t="s">
        <v>1711</v>
      </c>
      <c r="C35" s="2">
        <v>10</v>
      </c>
      <c r="D35" s="2" t="s">
        <v>785</v>
      </c>
      <c r="E35" s="2">
        <v>860</v>
      </c>
      <c r="F35" s="2">
        <v>-262</v>
      </c>
      <c r="G35" s="2">
        <v>26</v>
      </c>
      <c r="H35" s="2">
        <v>4</v>
      </c>
      <c r="I35" s="2" t="s">
        <v>2989</v>
      </c>
      <c r="K35" t="str">
        <f t="shared" si="0"/>
        <v>{ name: "Wetland Stable South Well", landmark: "Well", type: "", region: 10, level: "Surface", x: 860, y: -262, z: 26, zoom: 4, size: "XS", details: "" },</v>
      </c>
    </row>
    <row r="36" spans="1:11" x14ac:dyDescent="0.2">
      <c r="A36" t="s">
        <v>1712</v>
      </c>
      <c r="C36" s="2">
        <v>10</v>
      </c>
      <c r="D36" s="2" t="s">
        <v>785</v>
      </c>
      <c r="E36" s="2">
        <v>884</v>
      </c>
      <c r="F36" s="2">
        <v>-194</v>
      </c>
      <c r="G36" s="2">
        <v>27</v>
      </c>
      <c r="H36" s="2">
        <v>4</v>
      </c>
      <c r="I36" s="2" t="s">
        <v>2989</v>
      </c>
      <c r="K36" t="str">
        <f t="shared" si="0"/>
        <v>{ name: "Wetland Stable Well", landmark: "Well", type: "", region: 10, level: "Surface", x: 884, y: -194, z: 27, zoom: 4, size: "XS", details: "" },</v>
      </c>
    </row>
    <row r="37" spans="1:11" x14ac:dyDescent="0.2">
      <c r="A37" t="s">
        <v>1721</v>
      </c>
      <c r="C37" s="2">
        <v>10</v>
      </c>
      <c r="D37" s="2" t="s">
        <v>785</v>
      </c>
      <c r="E37" s="2">
        <v>1438</v>
      </c>
      <c r="F37" s="2">
        <v>-137</v>
      </c>
      <c r="G37" s="2">
        <v>10</v>
      </c>
      <c r="H37" s="2">
        <v>4</v>
      </c>
      <c r="I37" s="2" t="s">
        <v>2989</v>
      </c>
      <c r="K37" t="str">
        <f t="shared" si="0"/>
        <v>{ name: "Zauz Island Well", landmark: "Well", type: "", region: 10, level: "Surface", x: 1438, y: -137, z: 10, zoom: 4, size: "XS", details: "" },</v>
      </c>
    </row>
    <row r="38" spans="1:11" x14ac:dyDescent="0.2">
      <c r="A38" t="s">
        <v>1330</v>
      </c>
      <c r="C38" s="2">
        <v>11</v>
      </c>
      <c r="D38" s="2" t="s">
        <v>785</v>
      </c>
      <c r="E38" s="2">
        <v>3512</v>
      </c>
      <c r="F38" s="2">
        <v>-2151</v>
      </c>
      <c r="G38" s="2">
        <v>129</v>
      </c>
      <c r="H38" s="2">
        <v>4</v>
      </c>
      <c r="I38" s="2" t="s">
        <v>2989</v>
      </c>
      <c r="K38" t="str">
        <f t="shared" si="0"/>
        <v>{ name: "Hateno Village East Well", landmark: "Well", type: "", region: 11, level: "Surface", x: 3512, y: -2151, z: 129, zoom: 4, size: "XS", details: "" },</v>
      </c>
    </row>
    <row r="39" spans="1:11" x14ac:dyDescent="0.2">
      <c r="A39" t="s">
        <v>1331</v>
      </c>
      <c r="C39" s="2">
        <v>11</v>
      </c>
      <c r="D39" s="2" t="s">
        <v>785</v>
      </c>
      <c r="E39" s="2">
        <v>3418</v>
      </c>
      <c r="F39" s="2">
        <v>-2031</v>
      </c>
      <c r="G39" s="2">
        <v>136</v>
      </c>
      <c r="H39" s="2">
        <v>4</v>
      </c>
      <c r="I39" s="2" t="s">
        <v>2989</v>
      </c>
      <c r="K39" t="str">
        <f t="shared" si="0"/>
        <v>{ name: "Hateno Village North Well", landmark: "Well", type: "", region: 11, level: "Surface", x: 3418, y: -2031, z: 136, zoom: 4, size: "XS", details: "" },</v>
      </c>
    </row>
    <row r="40" spans="1:11" x14ac:dyDescent="0.2">
      <c r="A40" t="s">
        <v>1332</v>
      </c>
      <c r="C40" s="2">
        <v>11</v>
      </c>
      <c r="D40" s="2" t="s">
        <v>785</v>
      </c>
      <c r="E40" s="2">
        <v>3381</v>
      </c>
      <c r="F40" s="2">
        <v>-2209</v>
      </c>
      <c r="G40" s="2">
        <v>135</v>
      </c>
      <c r="H40" s="2">
        <v>4</v>
      </c>
      <c r="I40" s="2" t="s">
        <v>2989</v>
      </c>
      <c r="K40" t="str">
        <f t="shared" si="0"/>
        <v>{ name: "Hateno Village South Well", landmark: "Well", type: "", region: 11, level: "Surface", x: 3381, y: -2209, z: 135, zoom: 4, size: "XS", details: "" },</v>
      </c>
    </row>
    <row r="41" spans="1:11" x14ac:dyDescent="0.2">
      <c r="A41" t="s">
        <v>1333</v>
      </c>
      <c r="C41" s="2">
        <v>11</v>
      </c>
      <c r="D41" s="2" t="s">
        <v>785</v>
      </c>
      <c r="E41" s="2">
        <v>3355</v>
      </c>
      <c r="F41" s="2">
        <v>-2047</v>
      </c>
      <c r="G41" s="2">
        <v>117</v>
      </c>
      <c r="H41" s="2">
        <v>4</v>
      </c>
      <c r="I41" s="2" t="s">
        <v>2989</v>
      </c>
      <c r="K41" t="str">
        <f t="shared" si="0"/>
        <v>{ name: "Hateno Village West Well", landmark: "Well", type: "", region: 11, level: "Surface", x: 3355, y: -2047, z: 117, zoom: 4, size: "XS", details: "" },</v>
      </c>
    </row>
    <row r="42" spans="1:11" x14ac:dyDescent="0.2">
      <c r="A42" t="s">
        <v>1722</v>
      </c>
      <c r="C42" s="2">
        <v>11</v>
      </c>
      <c r="D42" s="2" t="s">
        <v>785</v>
      </c>
      <c r="E42" s="2">
        <v>3302</v>
      </c>
      <c r="F42" s="2">
        <v>-2298</v>
      </c>
      <c r="G42" s="2">
        <v>130</v>
      </c>
      <c r="H42" s="2">
        <v>4</v>
      </c>
      <c r="I42" s="2" t="s">
        <v>2989</v>
      </c>
      <c r="K42" t="str">
        <f t="shared" si="0"/>
        <v>{ name: "Zelda's Secret Well", landmark: "Well", type: "", region: 11, level: "Surface", x: 3302, y: -2298, z: 130, zoom: 4, size: "XS", details: "" },</v>
      </c>
    </row>
    <row r="43" spans="1:11" x14ac:dyDescent="0.2">
      <c r="A43" t="s">
        <v>1222</v>
      </c>
      <c r="C43" s="2">
        <v>12</v>
      </c>
      <c r="D43" s="2" t="s">
        <v>785</v>
      </c>
      <c r="E43" s="2">
        <v>1790</v>
      </c>
      <c r="F43" s="2">
        <v>-1948</v>
      </c>
      <c r="G43" s="2">
        <v>10</v>
      </c>
      <c r="H43" s="2">
        <v>4</v>
      </c>
      <c r="I43" s="2" t="s">
        <v>2989</v>
      </c>
      <c r="K43" t="str">
        <f t="shared" si="0"/>
        <v>{ name: "Dueling Peaks Stable Well", landmark: "Well", type: "", region: 12, level: "Surface", x: 1790, y: -1948, z: 10, zoom: 4, size: "XS", details: "" },</v>
      </c>
    </row>
    <row r="44" spans="1:11" x14ac:dyDescent="0.2">
      <c r="A44" t="s">
        <v>1448</v>
      </c>
      <c r="C44" s="2">
        <v>12</v>
      </c>
      <c r="D44" s="2" t="s">
        <v>785</v>
      </c>
      <c r="E44" s="2">
        <v>2941</v>
      </c>
      <c r="F44" s="2">
        <v>-3375</v>
      </c>
      <c r="G44" s="2">
        <v>12</v>
      </c>
      <c r="H44" s="2">
        <v>4</v>
      </c>
      <c r="I44" s="2" t="s">
        <v>2989</v>
      </c>
      <c r="K44" t="str">
        <f t="shared" si="0"/>
        <v>{ name: "Lurelin Village Well", landmark: "Well", type: "", region: 12, level: "Surface", x: 2941, y: -3375, z: 12, zoom: 4, size: "XS", details: "" },</v>
      </c>
    </row>
    <row r="45" spans="1:11" x14ac:dyDescent="0.2">
      <c r="A45" t="s">
        <v>1203</v>
      </c>
      <c r="C45" s="2">
        <v>13</v>
      </c>
      <c r="D45" s="2" t="s">
        <v>785</v>
      </c>
      <c r="E45" s="2">
        <v>423</v>
      </c>
      <c r="F45" s="2">
        <v>-2040</v>
      </c>
      <c r="G45" s="2">
        <v>9</v>
      </c>
      <c r="H45" s="2">
        <v>4</v>
      </c>
      <c r="I45" s="2" t="s">
        <v>2989</v>
      </c>
      <c r="K45" t="str">
        <f t="shared" si="0"/>
        <v>{ name: "Deya Village Ruins East Well", landmark: "Well", type: "", region: 13, level: "Surface", x: 423, y: -2040, z: 9, zoom: 4, size: "XS", details: "" },</v>
      </c>
    </row>
    <row r="46" spans="1:11" x14ac:dyDescent="0.2">
      <c r="A46" t="s">
        <v>1204</v>
      </c>
      <c r="C46" s="2">
        <v>13</v>
      </c>
      <c r="D46" s="2" t="s">
        <v>785</v>
      </c>
      <c r="E46" s="2">
        <v>317</v>
      </c>
      <c r="F46" s="2">
        <v>-1853</v>
      </c>
      <c r="G46" s="2">
        <v>9</v>
      </c>
      <c r="H46" s="2">
        <v>4</v>
      </c>
      <c r="I46" s="2" t="s">
        <v>2989</v>
      </c>
      <c r="K46" t="str">
        <f t="shared" si="0"/>
        <v>{ name: "Deya Village Ruins North Well", landmark: "Well", type: "", region: 13, level: "Surface", x: 317, y: -1853, z: 9, zoom: 4, size: "XS", details: "" },</v>
      </c>
    </row>
    <row r="47" spans="1:11" x14ac:dyDescent="0.2">
      <c r="A47" t="s">
        <v>1205</v>
      </c>
      <c r="C47" s="2">
        <v>13</v>
      </c>
      <c r="D47" s="2" t="s">
        <v>785</v>
      </c>
      <c r="E47" s="2">
        <v>343</v>
      </c>
      <c r="F47" s="2">
        <v>-2095</v>
      </c>
      <c r="G47" s="2">
        <v>27</v>
      </c>
      <c r="H47" s="2">
        <v>4</v>
      </c>
      <c r="I47" s="2" t="s">
        <v>2989</v>
      </c>
      <c r="K47" t="str">
        <f t="shared" si="0"/>
        <v>{ name: "Deya Village Ruins South Well", landmark: "Well", type: "", region: 13, level: "Surface", x: 343, y: -2095, z: 27, zoom: 4, size: "XS", details: "" },</v>
      </c>
    </row>
    <row r="48" spans="1:11" x14ac:dyDescent="0.2">
      <c r="A48" t="s">
        <v>1206</v>
      </c>
      <c r="C48" s="2">
        <v>13</v>
      </c>
      <c r="D48" s="2" t="s">
        <v>785</v>
      </c>
      <c r="E48" s="2">
        <v>323</v>
      </c>
      <c r="F48" s="2">
        <v>-1930</v>
      </c>
      <c r="G48" s="2">
        <v>11</v>
      </c>
      <c r="H48" s="2">
        <v>4</v>
      </c>
      <c r="I48" s="2" t="s">
        <v>2989</v>
      </c>
      <c r="K48" t="str">
        <f t="shared" si="0"/>
        <v>{ name: "Deya Village Ruins Well", landmark: "Well", type: "", region: 13, level: "Surface", x: 323, y: -1930, z: 11, zoom: 4, size: "XS", details: "" },</v>
      </c>
    </row>
    <row r="49" spans="1:11" x14ac:dyDescent="0.2">
      <c r="A49" t="s">
        <v>1321</v>
      </c>
      <c r="C49" s="2">
        <v>13</v>
      </c>
      <c r="D49" s="2" t="s">
        <v>785</v>
      </c>
      <c r="E49" s="2">
        <v>397</v>
      </c>
      <c r="F49" s="2">
        <v>-3389</v>
      </c>
      <c r="G49" s="2">
        <v>50</v>
      </c>
      <c r="H49" s="2">
        <v>4</v>
      </c>
      <c r="I49" s="2" t="s">
        <v>2989</v>
      </c>
      <c r="K49" t="str">
        <f t="shared" si="0"/>
        <v>{ name: "Haran Lakefront Well", landmark: "Well", type: "", region: 13, level: "Surface", x: 397, y: -3389, z: 50, zoom: 4, size: "XS", details: "" },</v>
      </c>
    </row>
    <row r="50" spans="1:11" x14ac:dyDescent="0.2">
      <c r="A50" t="s">
        <v>1354</v>
      </c>
      <c r="C50" s="2">
        <v>13</v>
      </c>
      <c r="D50" s="2" t="s">
        <v>785</v>
      </c>
      <c r="E50" s="2">
        <v>539</v>
      </c>
      <c r="F50" s="2">
        <v>-3429</v>
      </c>
      <c r="G50" s="2">
        <v>47</v>
      </c>
      <c r="H50" s="2">
        <v>4</v>
      </c>
      <c r="I50" s="2" t="s">
        <v>2989</v>
      </c>
      <c r="K50" t="str">
        <f t="shared" si="0"/>
        <v>{ name: "Highland Stable Well", landmark: "Well", type: "", region: 13, level: "Surface", x: 539, y: -3429, z: 47, zoom: 4, size: "XS", details: "" },</v>
      </c>
    </row>
    <row r="51" spans="1:11" x14ac:dyDescent="0.2">
      <c r="A51" t="s">
        <v>1355</v>
      </c>
      <c r="C51" s="2">
        <v>13</v>
      </c>
      <c r="D51" s="2" t="s">
        <v>785</v>
      </c>
      <c r="E51" s="2">
        <v>316</v>
      </c>
      <c r="F51" s="2">
        <v>-2124</v>
      </c>
      <c r="G51" s="2">
        <v>45</v>
      </c>
      <c r="H51" s="2">
        <v>4</v>
      </c>
      <c r="I51" s="2" t="s">
        <v>2989</v>
      </c>
      <c r="K51" t="str">
        <f t="shared" si="0"/>
        <v>{ name: "Hills of Baumer Well", landmark: "Well", type: "", region: 13, level: "Surface", x: 316, y: -2124, z: 45, zoom: 4, size: "XS", details: "" },</v>
      </c>
    </row>
    <row r="52" spans="1:11" x14ac:dyDescent="0.2">
      <c r="A52" t="s">
        <v>1414</v>
      </c>
      <c r="C52" s="2">
        <v>13</v>
      </c>
      <c r="D52" s="2" t="s">
        <v>785</v>
      </c>
      <c r="E52" s="2">
        <v>1537</v>
      </c>
      <c r="F52" s="2">
        <v>-3551</v>
      </c>
      <c r="G52" s="2">
        <v>60</v>
      </c>
      <c r="H52" s="2">
        <v>4</v>
      </c>
      <c r="I52" s="2" t="s">
        <v>2989</v>
      </c>
      <c r="K52" t="str">
        <f t="shared" si="0"/>
        <v>{ name: "Lakeside Stable Well", landmark: "Well", type: "", region: 13, level: "Surface", x: 1537, y: -3551, z: 60, zoom: 4, size: "XS", details: "" },</v>
      </c>
    </row>
    <row r="53" spans="1:11" x14ac:dyDescent="0.2">
      <c r="A53" t="s">
        <v>1544</v>
      </c>
      <c r="C53" s="2">
        <v>13</v>
      </c>
      <c r="D53" s="2" t="s">
        <v>785</v>
      </c>
      <c r="E53" s="2">
        <v>597</v>
      </c>
      <c r="F53" s="2">
        <v>-2102</v>
      </c>
      <c r="G53" s="2">
        <v>93</v>
      </c>
      <c r="H53" s="2">
        <v>4</v>
      </c>
      <c r="I53" s="2" t="s">
        <v>2989</v>
      </c>
      <c r="K53" t="str">
        <f t="shared" si="0"/>
        <v>{ name: "Popla Foothills North Well", landmark: "Well", type: "", region: 13, level: "Surface", x: 597, y: -2102, z: 93, zoom: 4, size: "XS", details: "" },</v>
      </c>
    </row>
    <row r="54" spans="1:11" x14ac:dyDescent="0.2">
      <c r="A54" t="s">
        <v>1545</v>
      </c>
      <c r="C54" s="2">
        <v>13</v>
      </c>
      <c r="D54" s="2" t="s">
        <v>785</v>
      </c>
      <c r="E54" s="2">
        <v>603</v>
      </c>
      <c r="F54" s="2">
        <v>-2259</v>
      </c>
      <c r="G54" s="2">
        <v>51</v>
      </c>
      <c r="H54" s="2">
        <v>4</v>
      </c>
      <c r="I54" s="2" t="s">
        <v>2989</v>
      </c>
      <c r="K54" t="str">
        <f t="shared" si="0"/>
        <v>{ name: "Popla Foothills South Well", landmark: "Well", type: "", region: 13, level: "Surface", x: 603, y: -2259, z: 51, zoom: 4, size: "XS", details: "" },</v>
      </c>
    </row>
    <row r="55" spans="1:11" x14ac:dyDescent="0.2">
      <c r="A55" t="s">
        <v>1631</v>
      </c>
      <c r="C55" s="2">
        <v>13</v>
      </c>
      <c r="D55" s="2" t="s">
        <v>785</v>
      </c>
      <c r="E55" s="2">
        <v>783</v>
      </c>
      <c r="F55" s="2">
        <v>-1497</v>
      </c>
      <c r="G55" s="2">
        <v>21</v>
      </c>
      <c r="H55" s="2">
        <v>4</v>
      </c>
      <c r="I55" s="2" t="s">
        <v>2989</v>
      </c>
      <c r="J55" t="s">
        <v>3154</v>
      </c>
      <c r="K55" t="str">
        <f t="shared" si="0"/>
        <v>{ name: "South Nabi Lake Well", landmark: "Well", type: "", region: 13, level: "Surface", x: 783, y: -1497, z: 21, zoom: 4, size: "XS", details: "Holds a &lt;img src="icons/chasm.png" style="height: 20px, width: 20px, vertical-align: middle, margin-right: 5px;"&gt;&lt;span style="color: #de878b, font-weight: bold;"&gt;CHASM&lt;/span&gt;" },</v>
      </c>
    </row>
    <row r="56" spans="1:11" x14ac:dyDescent="0.2">
      <c r="A56" t="s">
        <v>1280</v>
      </c>
      <c r="C56" s="2">
        <v>14</v>
      </c>
      <c r="D56" s="2" t="s">
        <v>785</v>
      </c>
      <c r="E56" s="2">
        <v>-2817</v>
      </c>
      <c r="F56" s="2">
        <v>-2228</v>
      </c>
      <c r="G56" s="2">
        <v>29</v>
      </c>
      <c r="H56" s="2">
        <v>4</v>
      </c>
      <c r="I56" s="2" t="s">
        <v>2989</v>
      </c>
      <c r="K56" t="str">
        <f t="shared" si="0"/>
        <v>{ name: "Gerudo Canyon Well", landmark: "Well", type: "", region: 14, level: "Surface", x: -2817, y: -2228, z: 29, zoom: 4, size: "XS", details: "" },</v>
      </c>
    </row>
    <row r="57" spans="1:11" x14ac:dyDescent="0.2">
      <c r="A57" t="s">
        <v>1386</v>
      </c>
      <c r="C57" s="2">
        <v>14</v>
      </c>
      <c r="D57" s="2" t="s">
        <v>785</v>
      </c>
      <c r="E57" s="2">
        <v>-3254</v>
      </c>
      <c r="F57" s="2">
        <v>-2580</v>
      </c>
      <c r="G57" s="2">
        <v>23</v>
      </c>
      <c r="H57" s="2">
        <v>4</v>
      </c>
      <c r="I57" s="2" t="s">
        <v>2989</v>
      </c>
      <c r="K57" t="str">
        <f t="shared" si="0"/>
        <v>{ name: "Kara Kara Bazaar Well", landmark: "Well", type: "", region: 14, level: "Surface", x: -3254, y: -2580, z: 23, zoom: 4, size: "XS", details: "" },</v>
      </c>
    </row>
    <row r="58" spans="1:11" x14ac:dyDescent="0.2">
      <c r="A58" t="s">
        <v>1493</v>
      </c>
      <c r="C58" s="2">
        <v>14</v>
      </c>
      <c r="D58" s="2" t="s">
        <v>785</v>
      </c>
      <c r="E58" s="2">
        <v>-1722</v>
      </c>
      <c r="F58" s="2">
        <v>-2238</v>
      </c>
      <c r="G58" s="2">
        <v>36</v>
      </c>
      <c r="H58" s="2">
        <v>4</v>
      </c>
      <c r="I58" s="2" t="s">
        <v>2989</v>
      </c>
      <c r="K58" t="str">
        <f t="shared" si="0"/>
        <v>{ name: "Mount Nabooru Well", landmark: "Well", type: "", region: 14, level: "Surface", x: -1722, y: -2238, z: 36, zoom: 4, size: "XS", details: "" },</v>
      </c>
    </row>
    <row r="59" spans="1:11" x14ac:dyDescent="0.2">
      <c r="A59" t="s">
        <v>1651</v>
      </c>
      <c r="C59" s="2">
        <v>15</v>
      </c>
      <c r="D59" s="2" t="s">
        <v>785</v>
      </c>
      <c r="E59" s="2">
        <v>-2955</v>
      </c>
      <c r="F59" s="2">
        <v>-531</v>
      </c>
      <c r="G59" s="2">
        <v>169</v>
      </c>
      <c r="H59" s="2">
        <v>4</v>
      </c>
      <c r="I59" s="2" t="s">
        <v>2989</v>
      </c>
      <c r="K59" t="str">
        <f t="shared" si="0"/>
        <v>{ name: "Tabantha Bridge Stable Well", landmark: "Well", type: "", region: 15, level: "Surface", x: -2955, y: -531, z: 169, zoom: 4, size: "XS", details: "" },</v>
      </c>
    </row>
  </sheetData>
  <autoFilter ref="A1:K2" xr:uid="{A095D5C8-FF81-DA46-ADE3-61DE071C2139}">
    <sortState xmlns:xlrd2="http://schemas.microsoft.com/office/spreadsheetml/2017/richdata2" ref="A2:K59">
      <sortCondition ref="C1:C59"/>
    </sortState>
  </autoFilter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2ED02-FC5E-DD4D-A1EB-F18744744B23}">
  <sheetPr codeName="Sheet18"/>
  <dimension ref="A1:S2879"/>
  <sheetViews>
    <sheetView workbookViewId="0">
      <selection activeCell="K1" sqref="K1:S2"/>
    </sheetView>
  </sheetViews>
  <sheetFormatPr baseColWidth="10" defaultRowHeight="16" x14ac:dyDescent="0.2"/>
  <sheetData>
    <row r="1" spans="1:19" x14ac:dyDescent="0.2">
      <c r="A1" s="9" t="s">
        <v>51</v>
      </c>
      <c r="B1" t="s">
        <v>776</v>
      </c>
      <c r="C1" t="str">
        <f t="shared" ref="C1:C64" si="0">""""&amp;SUBSTITUTE(A1,"zzz",H1)&amp;""""&amp;","</f>
        <v>"https://www.zeldadungeon.net/maps/totk/tiles/sky/6/2_9.jpg",</v>
      </c>
      <c r="H1" t="str">
        <f t="shared" ref="H1:H64" si="1">QUOTIENT(ROW(A1),48)+2&amp;"_"&amp;MOD(ROW(A1),48)+8</f>
        <v>2_9</v>
      </c>
      <c r="K1" t="s">
        <v>12</v>
      </c>
      <c r="M1" t="s">
        <v>11</v>
      </c>
      <c r="Q1" t="s">
        <v>10</v>
      </c>
      <c r="S1" t="s">
        <v>9</v>
      </c>
    </row>
    <row r="2" spans="1:19" x14ac:dyDescent="0.2">
      <c r="A2" s="9" t="s">
        <v>51</v>
      </c>
      <c r="B2" t="s">
        <v>775</v>
      </c>
      <c r="C2" t="str">
        <f t="shared" si="0"/>
        <v>"https://www.zeldadungeon.net/maps/totk/tiles/sky/6/2_10.jpg",</v>
      </c>
      <c r="H2" t="str">
        <f t="shared" si="1"/>
        <v>2_10</v>
      </c>
      <c r="K2" t="s">
        <v>3</v>
      </c>
      <c r="M2" t="s">
        <v>2</v>
      </c>
      <c r="Q2" t="s">
        <v>1</v>
      </c>
      <c r="S2" t="s">
        <v>0</v>
      </c>
    </row>
    <row r="3" spans="1:19" x14ac:dyDescent="0.2">
      <c r="A3" s="9" t="s">
        <v>51</v>
      </c>
      <c r="B3" t="s">
        <v>774</v>
      </c>
      <c r="C3" t="str">
        <f t="shared" si="0"/>
        <v>"https://www.zeldadungeon.net/maps/totk/tiles/sky/6/2_11.jpg",</v>
      </c>
      <c r="H3" t="str">
        <f t="shared" si="1"/>
        <v>2_11</v>
      </c>
    </row>
    <row r="4" spans="1:19" x14ac:dyDescent="0.2">
      <c r="A4" s="9" t="s">
        <v>51</v>
      </c>
      <c r="B4" t="s">
        <v>773</v>
      </c>
      <c r="C4" t="str">
        <f t="shared" si="0"/>
        <v>"https://www.zeldadungeon.net/maps/totk/tiles/sky/6/2_12.jpg",</v>
      </c>
      <c r="H4" t="str">
        <f t="shared" si="1"/>
        <v>2_12</v>
      </c>
    </row>
    <row r="5" spans="1:19" x14ac:dyDescent="0.2">
      <c r="A5" s="9" t="s">
        <v>51</v>
      </c>
      <c r="B5" t="s">
        <v>772</v>
      </c>
      <c r="C5" t="str">
        <f t="shared" si="0"/>
        <v>"https://www.zeldadungeon.net/maps/totk/tiles/sky/6/2_13.jpg",</v>
      </c>
      <c r="H5" t="str">
        <f t="shared" si="1"/>
        <v>2_13</v>
      </c>
      <c r="K5">
        <f>720*4</f>
        <v>2880</v>
      </c>
    </row>
    <row r="6" spans="1:19" x14ac:dyDescent="0.2">
      <c r="A6" s="9" t="s">
        <v>51</v>
      </c>
      <c r="B6" t="s">
        <v>771</v>
      </c>
      <c r="C6" t="str">
        <f t="shared" si="0"/>
        <v>"https://www.zeldadungeon.net/maps/totk/tiles/sky/6/2_14.jpg",</v>
      </c>
      <c r="H6" t="str">
        <f t="shared" si="1"/>
        <v>2_14</v>
      </c>
    </row>
    <row r="7" spans="1:19" x14ac:dyDescent="0.2">
      <c r="A7" s="9" t="s">
        <v>51</v>
      </c>
      <c r="B7" t="s">
        <v>770</v>
      </c>
      <c r="C7" t="str">
        <f t="shared" si="0"/>
        <v>"https://www.zeldadungeon.net/maps/totk/tiles/sky/6/2_15.jpg",</v>
      </c>
      <c r="H7" t="str">
        <f t="shared" si="1"/>
        <v>2_15</v>
      </c>
      <c r="Q7" t="s">
        <v>769</v>
      </c>
      <c r="R7" t="s">
        <v>768</v>
      </c>
    </row>
    <row r="8" spans="1:19" x14ac:dyDescent="0.2">
      <c r="A8" s="9" t="s">
        <v>51</v>
      </c>
      <c r="B8" t="s">
        <v>767</v>
      </c>
      <c r="C8" t="str">
        <f t="shared" si="0"/>
        <v>"https://www.zeldadungeon.net/maps/totk/tiles/sky/6/2_16.jpg",</v>
      </c>
      <c r="H8" t="str">
        <f t="shared" si="1"/>
        <v>2_16</v>
      </c>
      <c r="P8" t="s">
        <v>766</v>
      </c>
      <c r="Q8" t="s">
        <v>765</v>
      </c>
      <c r="R8" t="s">
        <v>764</v>
      </c>
    </row>
    <row r="9" spans="1:19" x14ac:dyDescent="0.2">
      <c r="A9" s="9" t="s">
        <v>51</v>
      </c>
      <c r="B9" t="s">
        <v>763</v>
      </c>
      <c r="C9" t="str">
        <f t="shared" si="0"/>
        <v>"https://www.zeldadungeon.net/maps/totk/tiles/sky/6/2_17.jpg",</v>
      </c>
      <c r="H9" t="str">
        <f t="shared" si="1"/>
        <v>2_17</v>
      </c>
    </row>
    <row r="10" spans="1:19" x14ac:dyDescent="0.2">
      <c r="A10" s="9" t="s">
        <v>51</v>
      </c>
      <c r="B10" t="s">
        <v>762</v>
      </c>
      <c r="C10" t="str">
        <f t="shared" si="0"/>
        <v>"https://www.zeldadungeon.net/maps/totk/tiles/sky/6/2_18.jpg",</v>
      </c>
      <c r="H10" t="str">
        <f t="shared" si="1"/>
        <v>2_18</v>
      </c>
    </row>
    <row r="11" spans="1:19" x14ac:dyDescent="0.2">
      <c r="A11" s="9" t="s">
        <v>51</v>
      </c>
      <c r="B11" t="s">
        <v>761</v>
      </c>
      <c r="C11" t="str">
        <f t="shared" si="0"/>
        <v>"https://www.zeldadungeon.net/maps/totk/tiles/sky/6/2_19.jpg",</v>
      </c>
      <c r="H11" t="str">
        <f t="shared" si="1"/>
        <v>2_19</v>
      </c>
    </row>
    <row r="12" spans="1:19" x14ac:dyDescent="0.2">
      <c r="A12" s="9" t="s">
        <v>51</v>
      </c>
      <c r="B12" t="s">
        <v>760</v>
      </c>
      <c r="C12" t="str">
        <f t="shared" si="0"/>
        <v>"https://www.zeldadungeon.net/maps/totk/tiles/sky/6/2_20.jpg",</v>
      </c>
      <c r="H12" t="str">
        <f t="shared" si="1"/>
        <v>2_20</v>
      </c>
    </row>
    <row r="13" spans="1:19" x14ac:dyDescent="0.2">
      <c r="A13" s="9" t="s">
        <v>51</v>
      </c>
      <c r="B13" t="s">
        <v>759</v>
      </c>
      <c r="C13" t="str">
        <f t="shared" si="0"/>
        <v>"https://www.zeldadungeon.net/maps/totk/tiles/sky/6/2_21.jpg",</v>
      </c>
      <c r="H13" t="str">
        <f t="shared" si="1"/>
        <v>2_21</v>
      </c>
    </row>
    <row r="14" spans="1:19" x14ac:dyDescent="0.2">
      <c r="A14" s="9" t="s">
        <v>51</v>
      </c>
      <c r="B14" t="s">
        <v>758</v>
      </c>
      <c r="C14" t="str">
        <f t="shared" si="0"/>
        <v>"https://www.zeldadungeon.net/maps/totk/tiles/sky/6/2_22.jpg",</v>
      </c>
      <c r="H14" t="str">
        <f t="shared" si="1"/>
        <v>2_22</v>
      </c>
    </row>
    <row r="15" spans="1:19" x14ac:dyDescent="0.2">
      <c r="A15" s="9" t="s">
        <v>51</v>
      </c>
      <c r="B15" t="s">
        <v>757</v>
      </c>
      <c r="C15" t="str">
        <f t="shared" si="0"/>
        <v>"https://www.zeldadungeon.net/maps/totk/tiles/sky/6/2_23.jpg",</v>
      </c>
      <c r="H15" t="str">
        <f t="shared" si="1"/>
        <v>2_23</v>
      </c>
    </row>
    <row r="16" spans="1:19" x14ac:dyDescent="0.2">
      <c r="A16" s="9" t="s">
        <v>51</v>
      </c>
      <c r="B16" t="s">
        <v>756</v>
      </c>
      <c r="C16" t="str">
        <f t="shared" si="0"/>
        <v>"https://www.zeldadungeon.net/maps/totk/tiles/sky/6/2_24.jpg",</v>
      </c>
      <c r="H16" t="str">
        <f t="shared" si="1"/>
        <v>2_24</v>
      </c>
    </row>
    <row r="17" spans="1:8" x14ac:dyDescent="0.2">
      <c r="A17" s="9" t="s">
        <v>51</v>
      </c>
      <c r="B17" t="s">
        <v>755</v>
      </c>
      <c r="C17" t="str">
        <f t="shared" si="0"/>
        <v>"https://www.zeldadungeon.net/maps/totk/tiles/sky/6/2_25.jpg",</v>
      </c>
      <c r="H17" t="str">
        <f t="shared" si="1"/>
        <v>2_25</v>
      </c>
    </row>
    <row r="18" spans="1:8" x14ac:dyDescent="0.2">
      <c r="A18" s="9" t="s">
        <v>51</v>
      </c>
      <c r="B18" t="s">
        <v>754</v>
      </c>
      <c r="C18" t="str">
        <f t="shared" si="0"/>
        <v>"https://www.zeldadungeon.net/maps/totk/tiles/sky/6/2_26.jpg",</v>
      </c>
      <c r="H18" t="str">
        <f t="shared" si="1"/>
        <v>2_26</v>
      </c>
    </row>
    <row r="19" spans="1:8" x14ac:dyDescent="0.2">
      <c r="A19" s="9" t="s">
        <v>51</v>
      </c>
      <c r="B19" t="s">
        <v>753</v>
      </c>
      <c r="C19" t="str">
        <f t="shared" si="0"/>
        <v>"https://www.zeldadungeon.net/maps/totk/tiles/sky/6/2_27.jpg",</v>
      </c>
      <c r="H19" t="str">
        <f t="shared" si="1"/>
        <v>2_27</v>
      </c>
    </row>
    <row r="20" spans="1:8" x14ac:dyDescent="0.2">
      <c r="A20" s="9" t="s">
        <v>51</v>
      </c>
      <c r="B20" t="s">
        <v>752</v>
      </c>
      <c r="C20" t="str">
        <f t="shared" si="0"/>
        <v>"https://www.zeldadungeon.net/maps/totk/tiles/sky/6/2_28.jpg",</v>
      </c>
      <c r="H20" t="str">
        <f t="shared" si="1"/>
        <v>2_28</v>
      </c>
    </row>
    <row r="21" spans="1:8" x14ac:dyDescent="0.2">
      <c r="A21" s="9" t="s">
        <v>51</v>
      </c>
      <c r="B21" t="s">
        <v>751</v>
      </c>
      <c r="C21" t="str">
        <f t="shared" si="0"/>
        <v>"https://www.zeldadungeon.net/maps/totk/tiles/sky/6/2_29.jpg",</v>
      </c>
      <c r="H21" t="str">
        <f t="shared" si="1"/>
        <v>2_29</v>
      </c>
    </row>
    <row r="22" spans="1:8" x14ac:dyDescent="0.2">
      <c r="A22" s="9" t="s">
        <v>51</v>
      </c>
      <c r="B22" t="s">
        <v>750</v>
      </c>
      <c r="C22" t="str">
        <f t="shared" si="0"/>
        <v>"https://www.zeldadungeon.net/maps/totk/tiles/sky/6/2_30.jpg",</v>
      </c>
      <c r="H22" t="str">
        <f t="shared" si="1"/>
        <v>2_30</v>
      </c>
    </row>
    <row r="23" spans="1:8" x14ac:dyDescent="0.2">
      <c r="A23" s="9" t="s">
        <v>51</v>
      </c>
      <c r="B23" t="s">
        <v>749</v>
      </c>
      <c r="C23" t="str">
        <f t="shared" si="0"/>
        <v>"https://www.zeldadungeon.net/maps/totk/tiles/sky/6/2_31.jpg",</v>
      </c>
      <c r="H23" t="str">
        <f t="shared" si="1"/>
        <v>2_31</v>
      </c>
    </row>
    <row r="24" spans="1:8" x14ac:dyDescent="0.2">
      <c r="A24" s="9" t="s">
        <v>51</v>
      </c>
      <c r="B24" t="s">
        <v>748</v>
      </c>
      <c r="C24" t="str">
        <f t="shared" si="0"/>
        <v>"https://www.zeldadungeon.net/maps/totk/tiles/sky/6/2_32.jpg",</v>
      </c>
      <c r="H24" t="str">
        <f t="shared" si="1"/>
        <v>2_32</v>
      </c>
    </row>
    <row r="25" spans="1:8" x14ac:dyDescent="0.2">
      <c r="A25" s="9" t="s">
        <v>51</v>
      </c>
      <c r="B25" t="s">
        <v>747</v>
      </c>
      <c r="C25" t="str">
        <f t="shared" si="0"/>
        <v>"https://www.zeldadungeon.net/maps/totk/tiles/sky/6/2_33.jpg",</v>
      </c>
      <c r="H25" t="str">
        <f t="shared" si="1"/>
        <v>2_33</v>
      </c>
    </row>
    <row r="26" spans="1:8" x14ac:dyDescent="0.2">
      <c r="A26" s="9" t="s">
        <v>51</v>
      </c>
      <c r="B26" t="s">
        <v>746</v>
      </c>
      <c r="C26" t="str">
        <f t="shared" si="0"/>
        <v>"https://www.zeldadungeon.net/maps/totk/tiles/sky/6/2_34.jpg",</v>
      </c>
      <c r="H26" t="str">
        <f t="shared" si="1"/>
        <v>2_34</v>
      </c>
    </row>
    <row r="27" spans="1:8" x14ac:dyDescent="0.2">
      <c r="A27" s="9" t="s">
        <v>51</v>
      </c>
      <c r="B27" t="s">
        <v>745</v>
      </c>
      <c r="C27" t="str">
        <f t="shared" si="0"/>
        <v>"https://www.zeldadungeon.net/maps/totk/tiles/sky/6/2_35.jpg",</v>
      </c>
      <c r="H27" t="str">
        <f t="shared" si="1"/>
        <v>2_35</v>
      </c>
    </row>
    <row r="28" spans="1:8" x14ac:dyDescent="0.2">
      <c r="A28" s="9" t="s">
        <v>51</v>
      </c>
      <c r="B28" t="s">
        <v>744</v>
      </c>
      <c r="C28" t="str">
        <f t="shared" si="0"/>
        <v>"https://www.zeldadungeon.net/maps/totk/tiles/sky/6/2_36.jpg",</v>
      </c>
      <c r="H28" t="str">
        <f t="shared" si="1"/>
        <v>2_36</v>
      </c>
    </row>
    <row r="29" spans="1:8" x14ac:dyDescent="0.2">
      <c r="A29" s="9" t="s">
        <v>51</v>
      </c>
      <c r="B29" t="s">
        <v>743</v>
      </c>
      <c r="C29" t="str">
        <f t="shared" si="0"/>
        <v>"https://www.zeldadungeon.net/maps/totk/tiles/sky/6/2_37.jpg",</v>
      </c>
      <c r="H29" t="str">
        <f t="shared" si="1"/>
        <v>2_37</v>
      </c>
    </row>
    <row r="30" spans="1:8" x14ac:dyDescent="0.2">
      <c r="A30" s="9" t="s">
        <v>51</v>
      </c>
      <c r="B30" t="s">
        <v>742</v>
      </c>
      <c r="C30" t="str">
        <f t="shared" si="0"/>
        <v>"https://www.zeldadungeon.net/maps/totk/tiles/sky/6/2_38.jpg",</v>
      </c>
      <c r="H30" t="str">
        <f t="shared" si="1"/>
        <v>2_38</v>
      </c>
    </row>
    <row r="31" spans="1:8" x14ac:dyDescent="0.2">
      <c r="A31" s="9" t="s">
        <v>51</v>
      </c>
      <c r="B31" t="s">
        <v>741</v>
      </c>
      <c r="C31" t="str">
        <f t="shared" si="0"/>
        <v>"https://www.zeldadungeon.net/maps/totk/tiles/sky/6/2_39.jpg",</v>
      </c>
      <c r="H31" t="str">
        <f t="shared" si="1"/>
        <v>2_39</v>
      </c>
    </row>
    <row r="32" spans="1:8" x14ac:dyDescent="0.2">
      <c r="A32" s="9" t="s">
        <v>51</v>
      </c>
      <c r="B32" t="s">
        <v>740</v>
      </c>
      <c r="C32" t="str">
        <f t="shared" si="0"/>
        <v>"https://www.zeldadungeon.net/maps/totk/tiles/sky/6/2_40.jpg",</v>
      </c>
      <c r="H32" t="str">
        <f t="shared" si="1"/>
        <v>2_40</v>
      </c>
    </row>
    <row r="33" spans="1:8" x14ac:dyDescent="0.2">
      <c r="A33" s="9" t="s">
        <v>51</v>
      </c>
      <c r="B33" t="s">
        <v>739</v>
      </c>
      <c r="C33" t="str">
        <f t="shared" si="0"/>
        <v>"https://www.zeldadungeon.net/maps/totk/tiles/sky/6/2_41.jpg",</v>
      </c>
      <c r="H33" t="str">
        <f t="shared" si="1"/>
        <v>2_41</v>
      </c>
    </row>
    <row r="34" spans="1:8" x14ac:dyDescent="0.2">
      <c r="A34" s="9" t="s">
        <v>51</v>
      </c>
      <c r="B34" t="s">
        <v>738</v>
      </c>
      <c r="C34" t="str">
        <f t="shared" si="0"/>
        <v>"https://www.zeldadungeon.net/maps/totk/tiles/sky/6/2_42.jpg",</v>
      </c>
      <c r="H34" t="str">
        <f t="shared" si="1"/>
        <v>2_42</v>
      </c>
    </row>
    <row r="35" spans="1:8" x14ac:dyDescent="0.2">
      <c r="A35" s="9" t="s">
        <v>51</v>
      </c>
      <c r="B35" t="s">
        <v>737</v>
      </c>
      <c r="C35" t="str">
        <f t="shared" si="0"/>
        <v>"https://www.zeldadungeon.net/maps/totk/tiles/sky/6/2_43.jpg",</v>
      </c>
      <c r="H35" t="str">
        <f t="shared" si="1"/>
        <v>2_43</v>
      </c>
    </row>
    <row r="36" spans="1:8" x14ac:dyDescent="0.2">
      <c r="A36" s="9" t="s">
        <v>51</v>
      </c>
      <c r="B36" t="s">
        <v>736</v>
      </c>
      <c r="C36" t="str">
        <f t="shared" si="0"/>
        <v>"https://www.zeldadungeon.net/maps/totk/tiles/sky/6/2_44.jpg",</v>
      </c>
      <c r="H36" t="str">
        <f t="shared" si="1"/>
        <v>2_44</v>
      </c>
    </row>
    <row r="37" spans="1:8" x14ac:dyDescent="0.2">
      <c r="A37" s="9" t="s">
        <v>51</v>
      </c>
      <c r="B37" t="s">
        <v>735</v>
      </c>
      <c r="C37" t="str">
        <f t="shared" si="0"/>
        <v>"https://www.zeldadungeon.net/maps/totk/tiles/sky/6/2_45.jpg",</v>
      </c>
      <c r="H37" t="str">
        <f t="shared" si="1"/>
        <v>2_45</v>
      </c>
    </row>
    <row r="38" spans="1:8" x14ac:dyDescent="0.2">
      <c r="A38" s="9" t="s">
        <v>51</v>
      </c>
      <c r="B38" t="s">
        <v>734</v>
      </c>
      <c r="C38" t="str">
        <f t="shared" si="0"/>
        <v>"https://www.zeldadungeon.net/maps/totk/tiles/sky/6/2_46.jpg",</v>
      </c>
      <c r="H38" t="str">
        <f t="shared" si="1"/>
        <v>2_46</v>
      </c>
    </row>
    <row r="39" spans="1:8" x14ac:dyDescent="0.2">
      <c r="A39" s="9" t="s">
        <v>51</v>
      </c>
      <c r="B39" t="s">
        <v>733</v>
      </c>
      <c r="C39" t="str">
        <f t="shared" si="0"/>
        <v>"https://www.zeldadungeon.net/maps/totk/tiles/sky/6/2_47.jpg",</v>
      </c>
      <c r="H39" t="str">
        <f t="shared" si="1"/>
        <v>2_47</v>
      </c>
    </row>
    <row r="40" spans="1:8" x14ac:dyDescent="0.2">
      <c r="A40" s="9" t="s">
        <v>51</v>
      </c>
      <c r="B40" t="s">
        <v>732</v>
      </c>
      <c r="C40" t="str">
        <f t="shared" si="0"/>
        <v>"https://www.zeldadungeon.net/maps/totk/tiles/sky/6/2_48.jpg",</v>
      </c>
      <c r="H40" t="str">
        <f t="shared" si="1"/>
        <v>2_48</v>
      </c>
    </row>
    <row r="41" spans="1:8" x14ac:dyDescent="0.2">
      <c r="A41" s="9" t="s">
        <v>51</v>
      </c>
      <c r="B41" t="s">
        <v>731</v>
      </c>
      <c r="C41" t="str">
        <f t="shared" si="0"/>
        <v>"https://www.zeldadungeon.net/maps/totk/tiles/sky/6/2_49.jpg",</v>
      </c>
      <c r="H41" t="str">
        <f t="shared" si="1"/>
        <v>2_49</v>
      </c>
    </row>
    <row r="42" spans="1:8" x14ac:dyDescent="0.2">
      <c r="A42" s="9" t="s">
        <v>51</v>
      </c>
      <c r="B42" t="s">
        <v>730</v>
      </c>
      <c r="C42" t="str">
        <f t="shared" si="0"/>
        <v>"https://www.zeldadungeon.net/maps/totk/tiles/sky/6/2_50.jpg",</v>
      </c>
      <c r="H42" t="str">
        <f t="shared" si="1"/>
        <v>2_50</v>
      </c>
    </row>
    <row r="43" spans="1:8" x14ac:dyDescent="0.2">
      <c r="A43" s="9" t="s">
        <v>51</v>
      </c>
      <c r="B43" t="s">
        <v>729</v>
      </c>
      <c r="C43" t="str">
        <f t="shared" si="0"/>
        <v>"https://www.zeldadungeon.net/maps/totk/tiles/sky/6/2_51.jpg",</v>
      </c>
      <c r="H43" t="str">
        <f t="shared" si="1"/>
        <v>2_51</v>
      </c>
    </row>
    <row r="44" spans="1:8" x14ac:dyDescent="0.2">
      <c r="A44" s="9" t="s">
        <v>51</v>
      </c>
      <c r="B44" t="s">
        <v>728</v>
      </c>
      <c r="C44" t="str">
        <f t="shared" si="0"/>
        <v>"https://www.zeldadungeon.net/maps/totk/tiles/sky/6/2_52.jpg",</v>
      </c>
      <c r="H44" t="str">
        <f t="shared" si="1"/>
        <v>2_52</v>
      </c>
    </row>
    <row r="45" spans="1:8" x14ac:dyDescent="0.2">
      <c r="A45" s="9" t="s">
        <v>51</v>
      </c>
      <c r="B45" t="s">
        <v>727</v>
      </c>
      <c r="C45" t="str">
        <f t="shared" si="0"/>
        <v>"https://www.zeldadungeon.net/maps/totk/tiles/sky/6/2_53.jpg",</v>
      </c>
      <c r="H45" t="str">
        <f t="shared" si="1"/>
        <v>2_53</v>
      </c>
    </row>
    <row r="46" spans="1:8" x14ac:dyDescent="0.2">
      <c r="A46" s="9" t="s">
        <v>51</v>
      </c>
      <c r="B46" t="s">
        <v>726</v>
      </c>
      <c r="C46" t="str">
        <f t="shared" si="0"/>
        <v>"https://www.zeldadungeon.net/maps/totk/tiles/sky/6/2_54.jpg",</v>
      </c>
      <c r="H46" t="str">
        <f t="shared" si="1"/>
        <v>2_54</v>
      </c>
    </row>
    <row r="47" spans="1:8" x14ac:dyDescent="0.2">
      <c r="A47" s="9" t="s">
        <v>51</v>
      </c>
      <c r="B47" t="s">
        <v>725</v>
      </c>
      <c r="C47" t="str">
        <f t="shared" si="0"/>
        <v>"https://www.zeldadungeon.net/maps/totk/tiles/sky/6/2_55.jpg",</v>
      </c>
      <c r="H47" t="str">
        <f t="shared" si="1"/>
        <v>2_55</v>
      </c>
    </row>
    <row r="48" spans="1:8" x14ac:dyDescent="0.2">
      <c r="A48" s="9" t="s">
        <v>51</v>
      </c>
      <c r="B48" t="s">
        <v>724</v>
      </c>
      <c r="C48" t="str">
        <f t="shared" si="0"/>
        <v>"https://www.zeldadungeon.net/maps/totk/tiles/sky/6/3_8.jpg",</v>
      </c>
      <c r="H48" t="str">
        <f t="shared" si="1"/>
        <v>3_8</v>
      </c>
    </row>
    <row r="49" spans="1:8" x14ac:dyDescent="0.2">
      <c r="A49" s="9" t="s">
        <v>51</v>
      </c>
      <c r="B49" t="s">
        <v>723</v>
      </c>
      <c r="C49" t="str">
        <f t="shared" si="0"/>
        <v>"https://www.zeldadungeon.net/maps/totk/tiles/sky/6/3_9.jpg",</v>
      </c>
      <c r="H49" t="str">
        <f t="shared" si="1"/>
        <v>3_9</v>
      </c>
    </row>
    <row r="50" spans="1:8" x14ac:dyDescent="0.2">
      <c r="A50" s="9" t="s">
        <v>51</v>
      </c>
      <c r="B50" t="s">
        <v>722</v>
      </c>
      <c r="C50" t="str">
        <f t="shared" si="0"/>
        <v>"https://www.zeldadungeon.net/maps/totk/tiles/sky/6/3_10.jpg",</v>
      </c>
      <c r="H50" t="str">
        <f t="shared" si="1"/>
        <v>3_10</v>
      </c>
    </row>
    <row r="51" spans="1:8" x14ac:dyDescent="0.2">
      <c r="A51" s="9" t="s">
        <v>51</v>
      </c>
      <c r="B51" t="s">
        <v>721</v>
      </c>
      <c r="C51" t="str">
        <f t="shared" si="0"/>
        <v>"https://www.zeldadungeon.net/maps/totk/tiles/sky/6/3_11.jpg",</v>
      </c>
      <c r="H51" t="str">
        <f t="shared" si="1"/>
        <v>3_11</v>
      </c>
    </row>
    <row r="52" spans="1:8" x14ac:dyDescent="0.2">
      <c r="A52" s="9" t="s">
        <v>51</v>
      </c>
      <c r="B52" t="s">
        <v>720</v>
      </c>
      <c r="C52" t="str">
        <f t="shared" si="0"/>
        <v>"https://www.zeldadungeon.net/maps/totk/tiles/sky/6/3_12.jpg",</v>
      </c>
      <c r="H52" t="str">
        <f t="shared" si="1"/>
        <v>3_12</v>
      </c>
    </row>
    <row r="53" spans="1:8" x14ac:dyDescent="0.2">
      <c r="A53" s="9" t="s">
        <v>51</v>
      </c>
      <c r="B53" t="s">
        <v>719</v>
      </c>
      <c r="C53" t="str">
        <f t="shared" si="0"/>
        <v>"https://www.zeldadungeon.net/maps/totk/tiles/sky/6/3_13.jpg",</v>
      </c>
      <c r="H53" t="str">
        <f t="shared" si="1"/>
        <v>3_13</v>
      </c>
    </row>
    <row r="54" spans="1:8" x14ac:dyDescent="0.2">
      <c r="A54" s="9" t="s">
        <v>51</v>
      </c>
      <c r="B54" t="s">
        <v>718</v>
      </c>
      <c r="C54" t="str">
        <f t="shared" si="0"/>
        <v>"https://www.zeldadungeon.net/maps/totk/tiles/sky/6/3_14.jpg",</v>
      </c>
      <c r="H54" t="str">
        <f t="shared" si="1"/>
        <v>3_14</v>
      </c>
    </row>
    <row r="55" spans="1:8" x14ac:dyDescent="0.2">
      <c r="A55" s="9" t="s">
        <v>51</v>
      </c>
      <c r="B55" t="s">
        <v>717</v>
      </c>
      <c r="C55" t="str">
        <f t="shared" si="0"/>
        <v>"https://www.zeldadungeon.net/maps/totk/tiles/sky/6/3_15.jpg",</v>
      </c>
      <c r="H55" t="str">
        <f t="shared" si="1"/>
        <v>3_15</v>
      </c>
    </row>
    <row r="56" spans="1:8" x14ac:dyDescent="0.2">
      <c r="A56" s="9" t="s">
        <v>51</v>
      </c>
      <c r="B56" t="s">
        <v>716</v>
      </c>
      <c r="C56" t="str">
        <f t="shared" si="0"/>
        <v>"https://www.zeldadungeon.net/maps/totk/tiles/sky/6/3_16.jpg",</v>
      </c>
      <c r="H56" t="str">
        <f t="shared" si="1"/>
        <v>3_16</v>
      </c>
    </row>
    <row r="57" spans="1:8" x14ac:dyDescent="0.2">
      <c r="A57" s="9" t="s">
        <v>51</v>
      </c>
      <c r="B57" t="s">
        <v>715</v>
      </c>
      <c r="C57" t="str">
        <f t="shared" si="0"/>
        <v>"https://www.zeldadungeon.net/maps/totk/tiles/sky/6/3_17.jpg",</v>
      </c>
      <c r="H57" t="str">
        <f t="shared" si="1"/>
        <v>3_17</v>
      </c>
    </row>
    <row r="58" spans="1:8" x14ac:dyDescent="0.2">
      <c r="A58" s="9" t="s">
        <v>51</v>
      </c>
      <c r="B58" t="s">
        <v>714</v>
      </c>
      <c r="C58" t="str">
        <f t="shared" si="0"/>
        <v>"https://www.zeldadungeon.net/maps/totk/tiles/sky/6/3_18.jpg",</v>
      </c>
      <c r="H58" t="str">
        <f t="shared" si="1"/>
        <v>3_18</v>
      </c>
    </row>
    <row r="59" spans="1:8" x14ac:dyDescent="0.2">
      <c r="A59" s="9" t="s">
        <v>51</v>
      </c>
      <c r="B59" t="s">
        <v>713</v>
      </c>
      <c r="C59" t="str">
        <f t="shared" si="0"/>
        <v>"https://www.zeldadungeon.net/maps/totk/tiles/sky/6/3_19.jpg",</v>
      </c>
      <c r="H59" t="str">
        <f t="shared" si="1"/>
        <v>3_19</v>
      </c>
    </row>
    <row r="60" spans="1:8" x14ac:dyDescent="0.2">
      <c r="A60" s="9" t="s">
        <v>51</v>
      </c>
      <c r="B60" t="s">
        <v>712</v>
      </c>
      <c r="C60" t="str">
        <f t="shared" si="0"/>
        <v>"https://www.zeldadungeon.net/maps/totk/tiles/sky/6/3_20.jpg",</v>
      </c>
      <c r="H60" t="str">
        <f t="shared" si="1"/>
        <v>3_20</v>
      </c>
    </row>
    <row r="61" spans="1:8" x14ac:dyDescent="0.2">
      <c r="A61" s="9" t="s">
        <v>51</v>
      </c>
      <c r="B61" t="s">
        <v>711</v>
      </c>
      <c r="C61" t="str">
        <f t="shared" si="0"/>
        <v>"https://www.zeldadungeon.net/maps/totk/tiles/sky/6/3_21.jpg",</v>
      </c>
      <c r="H61" t="str">
        <f t="shared" si="1"/>
        <v>3_21</v>
      </c>
    </row>
    <row r="62" spans="1:8" x14ac:dyDescent="0.2">
      <c r="A62" s="9" t="s">
        <v>51</v>
      </c>
      <c r="B62" t="s">
        <v>710</v>
      </c>
      <c r="C62" t="str">
        <f t="shared" si="0"/>
        <v>"https://www.zeldadungeon.net/maps/totk/tiles/sky/6/3_22.jpg",</v>
      </c>
      <c r="H62" t="str">
        <f t="shared" si="1"/>
        <v>3_22</v>
      </c>
    </row>
    <row r="63" spans="1:8" x14ac:dyDescent="0.2">
      <c r="A63" s="9" t="s">
        <v>51</v>
      </c>
      <c r="B63" t="s">
        <v>709</v>
      </c>
      <c r="C63" t="str">
        <f t="shared" si="0"/>
        <v>"https://www.zeldadungeon.net/maps/totk/tiles/sky/6/3_23.jpg",</v>
      </c>
      <c r="H63" t="str">
        <f t="shared" si="1"/>
        <v>3_23</v>
      </c>
    </row>
    <row r="64" spans="1:8" x14ac:dyDescent="0.2">
      <c r="A64" s="9" t="s">
        <v>51</v>
      </c>
      <c r="B64" t="s">
        <v>708</v>
      </c>
      <c r="C64" t="str">
        <f t="shared" si="0"/>
        <v>"https://www.zeldadungeon.net/maps/totk/tiles/sky/6/3_24.jpg",</v>
      </c>
      <c r="H64" t="str">
        <f t="shared" si="1"/>
        <v>3_24</v>
      </c>
    </row>
    <row r="65" spans="1:8" x14ac:dyDescent="0.2">
      <c r="A65" s="9" t="s">
        <v>51</v>
      </c>
      <c r="B65" t="s">
        <v>707</v>
      </c>
      <c r="C65" t="str">
        <f t="shared" ref="C65:C128" si="2">""""&amp;SUBSTITUTE(A65,"zzz",H65)&amp;""""&amp;","</f>
        <v>"https://www.zeldadungeon.net/maps/totk/tiles/sky/6/3_25.jpg",</v>
      </c>
      <c r="H65" t="str">
        <f t="shared" ref="H65:H128" si="3">QUOTIENT(ROW(A65),48)+2&amp;"_"&amp;MOD(ROW(A65),48)+8</f>
        <v>3_25</v>
      </c>
    </row>
    <row r="66" spans="1:8" x14ac:dyDescent="0.2">
      <c r="A66" s="9" t="s">
        <v>51</v>
      </c>
      <c r="B66" t="s">
        <v>706</v>
      </c>
      <c r="C66" t="str">
        <f t="shared" si="2"/>
        <v>"https://www.zeldadungeon.net/maps/totk/tiles/sky/6/3_26.jpg",</v>
      </c>
      <c r="H66" t="str">
        <f t="shared" si="3"/>
        <v>3_26</v>
      </c>
    </row>
    <row r="67" spans="1:8" x14ac:dyDescent="0.2">
      <c r="A67" s="9" t="s">
        <v>51</v>
      </c>
      <c r="B67" t="s">
        <v>705</v>
      </c>
      <c r="C67" t="str">
        <f t="shared" si="2"/>
        <v>"https://www.zeldadungeon.net/maps/totk/tiles/sky/6/3_27.jpg",</v>
      </c>
      <c r="H67" t="str">
        <f t="shared" si="3"/>
        <v>3_27</v>
      </c>
    </row>
    <row r="68" spans="1:8" x14ac:dyDescent="0.2">
      <c r="A68" s="9" t="s">
        <v>51</v>
      </c>
      <c r="B68" t="s">
        <v>704</v>
      </c>
      <c r="C68" t="str">
        <f t="shared" si="2"/>
        <v>"https://www.zeldadungeon.net/maps/totk/tiles/sky/6/3_28.jpg",</v>
      </c>
      <c r="H68" t="str">
        <f t="shared" si="3"/>
        <v>3_28</v>
      </c>
    </row>
    <row r="69" spans="1:8" x14ac:dyDescent="0.2">
      <c r="A69" s="9" t="s">
        <v>51</v>
      </c>
      <c r="B69" t="s">
        <v>703</v>
      </c>
      <c r="C69" t="str">
        <f t="shared" si="2"/>
        <v>"https://www.zeldadungeon.net/maps/totk/tiles/sky/6/3_29.jpg",</v>
      </c>
      <c r="H69" t="str">
        <f t="shared" si="3"/>
        <v>3_29</v>
      </c>
    </row>
    <row r="70" spans="1:8" x14ac:dyDescent="0.2">
      <c r="A70" s="9" t="s">
        <v>51</v>
      </c>
      <c r="B70" t="s">
        <v>702</v>
      </c>
      <c r="C70" t="str">
        <f t="shared" si="2"/>
        <v>"https://www.zeldadungeon.net/maps/totk/tiles/sky/6/3_30.jpg",</v>
      </c>
      <c r="H70" t="str">
        <f t="shared" si="3"/>
        <v>3_30</v>
      </c>
    </row>
    <row r="71" spans="1:8" x14ac:dyDescent="0.2">
      <c r="A71" s="9" t="s">
        <v>51</v>
      </c>
      <c r="B71" t="s">
        <v>701</v>
      </c>
      <c r="C71" t="str">
        <f t="shared" si="2"/>
        <v>"https://www.zeldadungeon.net/maps/totk/tiles/sky/6/3_31.jpg",</v>
      </c>
      <c r="H71" t="str">
        <f t="shared" si="3"/>
        <v>3_31</v>
      </c>
    </row>
    <row r="72" spans="1:8" x14ac:dyDescent="0.2">
      <c r="A72" s="9" t="s">
        <v>51</v>
      </c>
      <c r="B72" t="s">
        <v>700</v>
      </c>
      <c r="C72" t="str">
        <f t="shared" si="2"/>
        <v>"https://www.zeldadungeon.net/maps/totk/tiles/sky/6/3_32.jpg",</v>
      </c>
      <c r="H72" t="str">
        <f t="shared" si="3"/>
        <v>3_32</v>
      </c>
    </row>
    <row r="73" spans="1:8" x14ac:dyDescent="0.2">
      <c r="A73" s="9" t="s">
        <v>51</v>
      </c>
      <c r="B73" t="s">
        <v>699</v>
      </c>
      <c r="C73" t="str">
        <f t="shared" si="2"/>
        <v>"https://www.zeldadungeon.net/maps/totk/tiles/sky/6/3_33.jpg",</v>
      </c>
      <c r="H73" t="str">
        <f t="shared" si="3"/>
        <v>3_33</v>
      </c>
    </row>
    <row r="74" spans="1:8" x14ac:dyDescent="0.2">
      <c r="A74" s="9" t="s">
        <v>51</v>
      </c>
      <c r="B74" t="s">
        <v>698</v>
      </c>
      <c r="C74" t="str">
        <f t="shared" si="2"/>
        <v>"https://www.zeldadungeon.net/maps/totk/tiles/sky/6/3_34.jpg",</v>
      </c>
      <c r="H74" t="str">
        <f t="shared" si="3"/>
        <v>3_34</v>
      </c>
    </row>
    <row r="75" spans="1:8" x14ac:dyDescent="0.2">
      <c r="A75" s="9" t="s">
        <v>51</v>
      </c>
      <c r="B75" t="s">
        <v>697</v>
      </c>
      <c r="C75" t="str">
        <f t="shared" si="2"/>
        <v>"https://www.zeldadungeon.net/maps/totk/tiles/sky/6/3_35.jpg",</v>
      </c>
      <c r="H75" t="str">
        <f t="shared" si="3"/>
        <v>3_35</v>
      </c>
    </row>
    <row r="76" spans="1:8" x14ac:dyDescent="0.2">
      <c r="A76" s="9" t="s">
        <v>51</v>
      </c>
      <c r="B76" t="s">
        <v>696</v>
      </c>
      <c r="C76" t="str">
        <f t="shared" si="2"/>
        <v>"https://www.zeldadungeon.net/maps/totk/tiles/sky/6/3_36.jpg",</v>
      </c>
      <c r="H76" t="str">
        <f t="shared" si="3"/>
        <v>3_36</v>
      </c>
    </row>
    <row r="77" spans="1:8" x14ac:dyDescent="0.2">
      <c r="A77" s="9" t="s">
        <v>51</v>
      </c>
      <c r="B77" t="s">
        <v>695</v>
      </c>
      <c r="C77" t="str">
        <f t="shared" si="2"/>
        <v>"https://www.zeldadungeon.net/maps/totk/tiles/sky/6/3_37.jpg",</v>
      </c>
      <c r="H77" t="str">
        <f t="shared" si="3"/>
        <v>3_37</v>
      </c>
    </row>
    <row r="78" spans="1:8" x14ac:dyDescent="0.2">
      <c r="A78" s="9" t="s">
        <v>51</v>
      </c>
      <c r="B78" t="s">
        <v>694</v>
      </c>
      <c r="C78" t="str">
        <f t="shared" si="2"/>
        <v>"https://www.zeldadungeon.net/maps/totk/tiles/sky/6/3_38.jpg",</v>
      </c>
      <c r="H78" t="str">
        <f t="shared" si="3"/>
        <v>3_38</v>
      </c>
    </row>
    <row r="79" spans="1:8" x14ac:dyDescent="0.2">
      <c r="A79" s="9" t="s">
        <v>51</v>
      </c>
      <c r="B79" t="s">
        <v>693</v>
      </c>
      <c r="C79" t="str">
        <f t="shared" si="2"/>
        <v>"https://www.zeldadungeon.net/maps/totk/tiles/sky/6/3_39.jpg",</v>
      </c>
      <c r="H79" t="str">
        <f t="shared" si="3"/>
        <v>3_39</v>
      </c>
    </row>
    <row r="80" spans="1:8" x14ac:dyDescent="0.2">
      <c r="A80" s="9" t="s">
        <v>51</v>
      </c>
      <c r="B80" t="s">
        <v>692</v>
      </c>
      <c r="C80" t="str">
        <f t="shared" si="2"/>
        <v>"https://www.zeldadungeon.net/maps/totk/tiles/sky/6/3_40.jpg",</v>
      </c>
      <c r="H80" t="str">
        <f t="shared" si="3"/>
        <v>3_40</v>
      </c>
    </row>
    <row r="81" spans="1:8" x14ac:dyDescent="0.2">
      <c r="A81" s="9" t="s">
        <v>51</v>
      </c>
      <c r="B81" t="s">
        <v>691</v>
      </c>
      <c r="C81" t="str">
        <f t="shared" si="2"/>
        <v>"https://www.zeldadungeon.net/maps/totk/tiles/sky/6/3_41.jpg",</v>
      </c>
      <c r="H81" t="str">
        <f t="shared" si="3"/>
        <v>3_41</v>
      </c>
    </row>
    <row r="82" spans="1:8" x14ac:dyDescent="0.2">
      <c r="A82" s="9" t="s">
        <v>51</v>
      </c>
      <c r="B82" t="s">
        <v>690</v>
      </c>
      <c r="C82" t="str">
        <f t="shared" si="2"/>
        <v>"https://www.zeldadungeon.net/maps/totk/tiles/sky/6/3_42.jpg",</v>
      </c>
      <c r="H82" t="str">
        <f t="shared" si="3"/>
        <v>3_42</v>
      </c>
    </row>
    <row r="83" spans="1:8" x14ac:dyDescent="0.2">
      <c r="A83" s="9" t="s">
        <v>51</v>
      </c>
      <c r="B83" t="s">
        <v>689</v>
      </c>
      <c r="C83" t="str">
        <f t="shared" si="2"/>
        <v>"https://www.zeldadungeon.net/maps/totk/tiles/sky/6/3_43.jpg",</v>
      </c>
      <c r="H83" t="str">
        <f t="shared" si="3"/>
        <v>3_43</v>
      </c>
    </row>
    <row r="84" spans="1:8" x14ac:dyDescent="0.2">
      <c r="A84" s="9" t="s">
        <v>51</v>
      </c>
      <c r="B84" t="s">
        <v>688</v>
      </c>
      <c r="C84" t="str">
        <f t="shared" si="2"/>
        <v>"https://www.zeldadungeon.net/maps/totk/tiles/sky/6/3_44.jpg",</v>
      </c>
      <c r="H84" t="str">
        <f t="shared" si="3"/>
        <v>3_44</v>
      </c>
    </row>
    <row r="85" spans="1:8" x14ac:dyDescent="0.2">
      <c r="A85" s="9" t="s">
        <v>51</v>
      </c>
      <c r="B85" t="s">
        <v>687</v>
      </c>
      <c r="C85" t="str">
        <f t="shared" si="2"/>
        <v>"https://www.zeldadungeon.net/maps/totk/tiles/sky/6/3_45.jpg",</v>
      </c>
      <c r="H85" t="str">
        <f t="shared" si="3"/>
        <v>3_45</v>
      </c>
    </row>
    <row r="86" spans="1:8" x14ac:dyDescent="0.2">
      <c r="A86" s="9" t="s">
        <v>51</v>
      </c>
      <c r="B86" t="s">
        <v>686</v>
      </c>
      <c r="C86" t="str">
        <f t="shared" si="2"/>
        <v>"https://www.zeldadungeon.net/maps/totk/tiles/sky/6/3_46.jpg",</v>
      </c>
      <c r="H86" t="str">
        <f t="shared" si="3"/>
        <v>3_46</v>
      </c>
    </row>
    <row r="87" spans="1:8" x14ac:dyDescent="0.2">
      <c r="A87" s="9" t="s">
        <v>51</v>
      </c>
      <c r="B87" t="s">
        <v>685</v>
      </c>
      <c r="C87" t="str">
        <f t="shared" si="2"/>
        <v>"https://www.zeldadungeon.net/maps/totk/tiles/sky/6/3_47.jpg",</v>
      </c>
      <c r="H87" t="str">
        <f t="shared" si="3"/>
        <v>3_47</v>
      </c>
    </row>
    <row r="88" spans="1:8" x14ac:dyDescent="0.2">
      <c r="A88" s="9" t="s">
        <v>51</v>
      </c>
      <c r="B88" t="s">
        <v>684</v>
      </c>
      <c r="C88" t="str">
        <f t="shared" si="2"/>
        <v>"https://www.zeldadungeon.net/maps/totk/tiles/sky/6/3_48.jpg",</v>
      </c>
      <c r="H88" t="str">
        <f t="shared" si="3"/>
        <v>3_48</v>
      </c>
    </row>
    <row r="89" spans="1:8" x14ac:dyDescent="0.2">
      <c r="A89" s="9" t="s">
        <v>51</v>
      </c>
      <c r="B89" t="s">
        <v>683</v>
      </c>
      <c r="C89" t="str">
        <f t="shared" si="2"/>
        <v>"https://www.zeldadungeon.net/maps/totk/tiles/sky/6/3_49.jpg",</v>
      </c>
      <c r="H89" t="str">
        <f t="shared" si="3"/>
        <v>3_49</v>
      </c>
    </row>
    <row r="90" spans="1:8" x14ac:dyDescent="0.2">
      <c r="A90" s="9" t="s">
        <v>51</v>
      </c>
      <c r="B90" t="s">
        <v>682</v>
      </c>
      <c r="C90" t="str">
        <f t="shared" si="2"/>
        <v>"https://www.zeldadungeon.net/maps/totk/tiles/sky/6/3_50.jpg",</v>
      </c>
      <c r="H90" t="str">
        <f t="shared" si="3"/>
        <v>3_50</v>
      </c>
    </row>
    <row r="91" spans="1:8" x14ac:dyDescent="0.2">
      <c r="A91" s="9" t="s">
        <v>51</v>
      </c>
      <c r="B91" t="s">
        <v>681</v>
      </c>
      <c r="C91" t="str">
        <f t="shared" si="2"/>
        <v>"https://www.zeldadungeon.net/maps/totk/tiles/sky/6/3_51.jpg",</v>
      </c>
      <c r="H91" t="str">
        <f t="shared" si="3"/>
        <v>3_51</v>
      </c>
    </row>
    <row r="92" spans="1:8" x14ac:dyDescent="0.2">
      <c r="A92" s="9" t="s">
        <v>51</v>
      </c>
      <c r="B92" t="s">
        <v>680</v>
      </c>
      <c r="C92" t="str">
        <f t="shared" si="2"/>
        <v>"https://www.zeldadungeon.net/maps/totk/tiles/sky/6/3_52.jpg",</v>
      </c>
      <c r="H92" t="str">
        <f t="shared" si="3"/>
        <v>3_52</v>
      </c>
    </row>
    <row r="93" spans="1:8" x14ac:dyDescent="0.2">
      <c r="A93" s="9" t="s">
        <v>51</v>
      </c>
      <c r="B93" t="s">
        <v>679</v>
      </c>
      <c r="C93" t="str">
        <f t="shared" si="2"/>
        <v>"https://www.zeldadungeon.net/maps/totk/tiles/sky/6/3_53.jpg",</v>
      </c>
      <c r="H93" t="str">
        <f t="shared" si="3"/>
        <v>3_53</v>
      </c>
    </row>
    <row r="94" spans="1:8" x14ac:dyDescent="0.2">
      <c r="A94" s="9" t="s">
        <v>51</v>
      </c>
      <c r="B94" t="s">
        <v>678</v>
      </c>
      <c r="C94" t="str">
        <f t="shared" si="2"/>
        <v>"https://www.zeldadungeon.net/maps/totk/tiles/sky/6/3_54.jpg",</v>
      </c>
      <c r="H94" t="str">
        <f t="shared" si="3"/>
        <v>3_54</v>
      </c>
    </row>
    <row r="95" spans="1:8" x14ac:dyDescent="0.2">
      <c r="A95" s="9" t="s">
        <v>51</v>
      </c>
      <c r="B95" t="s">
        <v>677</v>
      </c>
      <c r="C95" t="str">
        <f t="shared" si="2"/>
        <v>"https://www.zeldadungeon.net/maps/totk/tiles/sky/6/3_55.jpg",</v>
      </c>
      <c r="H95" t="str">
        <f t="shared" si="3"/>
        <v>3_55</v>
      </c>
    </row>
    <row r="96" spans="1:8" x14ac:dyDescent="0.2">
      <c r="A96" s="9" t="s">
        <v>51</v>
      </c>
      <c r="B96" t="s">
        <v>676</v>
      </c>
      <c r="C96" t="str">
        <f t="shared" si="2"/>
        <v>"https://www.zeldadungeon.net/maps/totk/tiles/sky/6/4_8.jpg",</v>
      </c>
      <c r="H96" t="str">
        <f t="shared" si="3"/>
        <v>4_8</v>
      </c>
    </row>
    <row r="97" spans="1:8" x14ac:dyDescent="0.2">
      <c r="A97" s="9" t="s">
        <v>51</v>
      </c>
      <c r="B97" t="s">
        <v>675</v>
      </c>
      <c r="C97" t="str">
        <f t="shared" si="2"/>
        <v>"https://www.zeldadungeon.net/maps/totk/tiles/sky/6/4_9.jpg",</v>
      </c>
      <c r="H97" t="str">
        <f t="shared" si="3"/>
        <v>4_9</v>
      </c>
    </row>
    <row r="98" spans="1:8" x14ac:dyDescent="0.2">
      <c r="A98" s="9" t="s">
        <v>51</v>
      </c>
      <c r="B98" t="s">
        <v>674</v>
      </c>
      <c r="C98" t="str">
        <f t="shared" si="2"/>
        <v>"https://www.zeldadungeon.net/maps/totk/tiles/sky/6/4_10.jpg",</v>
      </c>
      <c r="H98" t="str">
        <f t="shared" si="3"/>
        <v>4_10</v>
      </c>
    </row>
    <row r="99" spans="1:8" x14ac:dyDescent="0.2">
      <c r="A99" s="9" t="s">
        <v>51</v>
      </c>
      <c r="B99" t="s">
        <v>673</v>
      </c>
      <c r="C99" t="str">
        <f t="shared" si="2"/>
        <v>"https://www.zeldadungeon.net/maps/totk/tiles/sky/6/4_11.jpg",</v>
      </c>
      <c r="H99" t="str">
        <f t="shared" si="3"/>
        <v>4_11</v>
      </c>
    </row>
    <row r="100" spans="1:8" x14ac:dyDescent="0.2">
      <c r="A100" s="9" t="s">
        <v>51</v>
      </c>
      <c r="B100" t="s">
        <v>672</v>
      </c>
      <c r="C100" t="str">
        <f t="shared" si="2"/>
        <v>"https://www.zeldadungeon.net/maps/totk/tiles/sky/6/4_12.jpg",</v>
      </c>
      <c r="H100" t="str">
        <f t="shared" si="3"/>
        <v>4_12</v>
      </c>
    </row>
    <row r="101" spans="1:8" x14ac:dyDescent="0.2">
      <c r="A101" s="9" t="s">
        <v>51</v>
      </c>
      <c r="B101" t="s">
        <v>671</v>
      </c>
      <c r="C101" t="str">
        <f t="shared" si="2"/>
        <v>"https://www.zeldadungeon.net/maps/totk/tiles/sky/6/4_13.jpg",</v>
      </c>
      <c r="H101" t="str">
        <f t="shared" si="3"/>
        <v>4_13</v>
      </c>
    </row>
    <row r="102" spans="1:8" x14ac:dyDescent="0.2">
      <c r="A102" s="9" t="s">
        <v>51</v>
      </c>
      <c r="B102" t="s">
        <v>670</v>
      </c>
      <c r="C102" t="str">
        <f t="shared" si="2"/>
        <v>"https://www.zeldadungeon.net/maps/totk/tiles/sky/6/4_14.jpg",</v>
      </c>
      <c r="H102" t="str">
        <f t="shared" si="3"/>
        <v>4_14</v>
      </c>
    </row>
    <row r="103" spans="1:8" x14ac:dyDescent="0.2">
      <c r="A103" s="9" t="s">
        <v>51</v>
      </c>
      <c r="B103" t="s">
        <v>669</v>
      </c>
      <c r="C103" t="str">
        <f t="shared" si="2"/>
        <v>"https://www.zeldadungeon.net/maps/totk/tiles/sky/6/4_15.jpg",</v>
      </c>
      <c r="H103" t="str">
        <f t="shared" si="3"/>
        <v>4_15</v>
      </c>
    </row>
    <row r="104" spans="1:8" x14ac:dyDescent="0.2">
      <c r="A104" s="9" t="s">
        <v>51</v>
      </c>
      <c r="B104" t="s">
        <v>668</v>
      </c>
      <c r="C104" t="str">
        <f t="shared" si="2"/>
        <v>"https://www.zeldadungeon.net/maps/totk/tiles/sky/6/4_16.jpg",</v>
      </c>
      <c r="H104" t="str">
        <f t="shared" si="3"/>
        <v>4_16</v>
      </c>
    </row>
    <row r="105" spans="1:8" x14ac:dyDescent="0.2">
      <c r="A105" s="9" t="s">
        <v>51</v>
      </c>
      <c r="B105" t="s">
        <v>667</v>
      </c>
      <c r="C105" t="str">
        <f t="shared" si="2"/>
        <v>"https://www.zeldadungeon.net/maps/totk/tiles/sky/6/4_17.jpg",</v>
      </c>
      <c r="H105" t="str">
        <f t="shared" si="3"/>
        <v>4_17</v>
      </c>
    </row>
    <row r="106" spans="1:8" x14ac:dyDescent="0.2">
      <c r="A106" s="9" t="s">
        <v>51</v>
      </c>
      <c r="B106" t="s">
        <v>666</v>
      </c>
      <c r="C106" t="str">
        <f t="shared" si="2"/>
        <v>"https://www.zeldadungeon.net/maps/totk/tiles/sky/6/4_18.jpg",</v>
      </c>
      <c r="H106" t="str">
        <f t="shared" si="3"/>
        <v>4_18</v>
      </c>
    </row>
    <row r="107" spans="1:8" x14ac:dyDescent="0.2">
      <c r="A107" s="9" t="s">
        <v>51</v>
      </c>
      <c r="B107" t="s">
        <v>665</v>
      </c>
      <c r="C107" t="str">
        <f t="shared" si="2"/>
        <v>"https://www.zeldadungeon.net/maps/totk/tiles/sky/6/4_19.jpg",</v>
      </c>
      <c r="H107" t="str">
        <f t="shared" si="3"/>
        <v>4_19</v>
      </c>
    </row>
    <row r="108" spans="1:8" x14ac:dyDescent="0.2">
      <c r="A108" s="9" t="s">
        <v>51</v>
      </c>
      <c r="B108" t="s">
        <v>664</v>
      </c>
      <c r="C108" t="str">
        <f t="shared" si="2"/>
        <v>"https://www.zeldadungeon.net/maps/totk/tiles/sky/6/4_20.jpg",</v>
      </c>
      <c r="H108" t="str">
        <f t="shared" si="3"/>
        <v>4_20</v>
      </c>
    </row>
    <row r="109" spans="1:8" x14ac:dyDescent="0.2">
      <c r="A109" s="9" t="s">
        <v>51</v>
      </c>
      <c r="B109" t="s">
        <v>663</v>
      </c>
      <c r="C109" t="str">
        <f t="shared" si="2"/>
        <v>"https://www.zeldadungeon.net/maps/totk/tiles/sky/6/4_21.jpg",</v>
      </c>
      <c r="H109" t="str">
        <f t="shared" si="3"/>
        <v>4_21</v>
      </c>
    </row>
    <row r="110" spans="1:8" x14ac:dyDescent="0.2">
      <c r="A110" s="9" t="s">
        <v>51</v>
      </c>
      <c r="B110" t="s">
        <v>662</v>
      </c>
      <c r="C110" t="str">
        <f t="shared" si="2"/>
        <v>"https://www.zeldadungeon.net/maps/totk/tiles/sky/6/4_22.jpg",</v>
      </c>
      <c r="H110" t="str">
        <f t="shared" si="3"/>
        <v>4_22</v>
      </c>
    </row>
    <row r="111" spans="1:8" x14ac:dyDescent="0.2">
      <c r="A111" s="9" t="s">
        <v>51</v>
      </c>
      <c r="B111" t="s">
        <v>661</v>
      </c>
      <c r="C111" t="str">
        <f t="shared" si="2"/>
        <v>"https://www.zeldadungeon.net/maps/totk/tiles/sky/6/4_23.jpg",</v>
      </c>
      <c r="H111" t="str">
        <f t="shared" si="3"/>
        <v>4_23</v>
      </c>
    </row>
    <row r="112" spans="1:8" x14ac:dyDescent="0.2">
      <c r="A112" s="9" t="s">
        <v>51</v>
      </c>
      <c r="B112" t="s">
        <v>660</v>
      </c>
      <c r="C112" t="str">
        <f t="shared" si="2"/>
        <v>"https://www.zeldadungeon.net/maps/totk/tiles/sky/6/4_24.jpg",</v>
      </c>
      <c r="H112" t="str">
        <f t="shared" si="3"/>
        <v>4_24</v>
      </c>
    </row>
    <row r="113" spans="1:8" x14ac:dyDescent="0.2">
      <c r="A113" s="9" t="s">
        <v>51</v>
      </c>
      <c r="B113" t="s">
        <v>659</v>
      </c>
      <c r="C113" t="str">
        <f t="shared" si="2"/>
        <v>"https://www.zeldadungeon.net/maps/totk/tiles/sky/6/4_25.jpg",</v>
      </c>
      <c r="H113" t="str">
        <f t="shared" si="3"/>
        <v>4_25</v>
      </c>
    </row>
    <row r="114" spans="1:8" x14ac:dyDescent="0.2">
      <c r="A114" s="9" t="s">
        <v>51</v>
      </c>
      <c r="B114" t="s">
        <v>658</v>
      </c>
      <c r="C114" t="str">
        <f t="shared" si="2"/>
        <v>"https://www.zeldadungeon.net/maps/totk/tiles/sky/6/4_26.jpg",</v>
      </c>
      <c r="H114" t="str">
        <f t="shared" si="3"/>
        <v>4_26</v>
      </c>
    </row>
    <row r="115" spans="1:8" x14ac:dyDescent="0.2">
      <c r="A115" s="9" t="s">
        <v>51</v>
      </c>
      <c r="B115" t="s">
        <v>657</v>
      </c>
      <c r="C115" t="str">
        <f t="shared" si="2"/>
        <v>"https://www.zeldadungeon.net/maps/totk/tiles/sky/6/4_27.jpg",</v>
      </c>
      <c r="H115" t="str">
        <f t="shared" si="3"/>
        <v>4_27</v>
      </c>
    </row>
    <row r="116" spans="1:8" x14ac:dyDescent="0.2">
      <c r="A116" s="9" t="s">
        <v>51</v>
      </c>
      <c r="B116" t="s">
        <v>656</v>
      </c>
      <c r="C116" t="str">
        <f t="shared" si="2"/>
        <v>"https://www.zeldadungeon.net/maps/totk/tiles/sky/6/4_28.jpg",</v>
      </c>
      <c r="H116" t="str">
        <f t="shared" si="3"/>
        <v>4_28</v>
      </c>
    </row>
    <row r="117" spans="1:8" x14ac:dyDescent="0.2">
      <c r="A117" s="9" t="s">
        <v>51</v>
      </c>
      <c r="B117" t="s">
        <v>655</v>
      </c>
      <c r="C117" t="str">
        <f t="shared" si="2"/>
        <v>"https://www.zeldadungeon.net/maps/totk/tiles/sky/6/4_29.jpg",</v>
      </c>
      <c r="H117" t="str">
        <f t="shared" si="3"/>
        <v>4_29</v>
      </c>
    </row>
    <row r="118" spans="1:8" x14ac:dyDescent="0.2">
      <c r="A118" s="9" t="s">
        <v>51</v>
      </c>
      <c r="B118" t="s">
        <v>654</v>
      </c>
      <c r="C118" t="str">
        <f t="shared" si="2"/>
        <v>"https://www.zeldadungeon.net/maps/totk/tiles/sky/6/4_30.jpg",</v>
      </c>
      <c r="H118" t="str">
        <f t="shared" si="3"/>
        <v>4_30</v>
      </c>
    </row>
    <row r="119" spans="1:8" x14ac:dyDescent="0.2">
      <c r="A119" s="9" t="s">
        <v>51</v>
      </c>
      <c r="B119" t="s">
        <v>653</v>
      </c>
      <c r="C119" t="str">
        <f t="shared" si="2"/>
        <v>"https://www.zeldadungeon.net/maps/totk/tiles/sky/6/4_31.jpg",</v>
      </c>
      <c r="H119" t="str">
        <f t="shared" si="3"/>
        <v>4_31</v>
      </c>
    </row>
    <row r="120" spans="1:8" x14ac:dyDescent="0.2">
      <c r="A120" s="9" t="s">
        <v>51</v>
      </c>
      <c r="B120" t="s">
        <v>652</v>
      </c>
      <c r="C120" t="str">
        <f t="shared" si="2"/>
        <v>"https://www.zeldadungeon.net/maps/totk/tiles/sky/6/4_32.jpg",</v>
      </c>
      <c r="H120" t="str">
        <f t="shared" si="3"/>
        <v>4_32</v>
      </c>
    </row>
    <row r="121" spans="1:8" x14ac:dyDescent="0.2">
      <c r="A121" s="9" t="s">
        <v>51</v>
      </c>
      <c r="B121" t="s">
        <v>651</v>
      </c>
      <c r="C121" t="str">
        <f t="shared" si="2"/>
        <v>"https://www.zeldadungeon.net/maps/totk/tiles/sky/6/4_33.jpg",</v>
      </c>
      <c r="H121" t="str">
        <f t="shared" si="3"/>
        <v>4_33</v>
      </c>
    </row>
    <row r="122" spans="1:8" x14ac:dyDescent="0.2">
      <c r="A122" s="9" t="s">
        <v>51</v>
      </c>
      <c r="B122" t="s">
        <v>650</v>
      </c>
      <c r="C122" t="str">
        <f t="shared" si="2"/>
        <v>"https://www.zeldadungeon.net/maps/totk/tiles/sky/6/4_34.jpg",</v>
      </c>
      <c r="H122" t="str">
        <f t="shared" si="3"/>
        <v>4_34</v>
      </c>
    </row>
    <row r="123" spans="1:8" x14ac:dyDescent="0.2">
      <c r="A123" s="9" t="s">
        <v>51</v>
      </c>
      <c r="B123" t="s">
        <v>649</v>
      </c>
      <c r="C123" t="str">
        <f t="shared" si="2"/>
        <v>"https://www.zeldadungeon.net/maps/totk/tiles/sky/6/4_35.jpg",</v>
      </c>
      <c r="H123" t="str">
        <f t="shared" si="3"/>
        <v>4_35</v>
      </c>
    </row>
    <row r="124" spans="1:8" x14ac:dyDescent="0.2">
      <c r="A124" s="9" t="s">
        <v>51</v>
      </c>
      <c r="B124" t="s">
        <v>648</v>
      </c>
      <c r="C124" t="str">
        <f t="shared" si="2"/>
        <v>"https://www.zeldadungeon.net/maps/totk/tiles/sky/6/4_36.jpg",</v>
      </c>
      <c r="H124" t="str">
        <f t="shared" si="3"/>
        <v>4_36</v>
      </c>
    </row>
    <row r="125" spans="1:8" x14ac:dyDescent="0.2">
      <c r="A125" s="9" t="s">
        <v>51</v>
      </c>
      <c r="B125" t="s">
        <v>647</v>
      </c>
      <c r="C125" t="str">
        <f t="shared" si="2"/>
        <v>"https://www.zeldadungeon.net/maps/totk/tiles/sky/6/4_37.jpg",</v>
      </c>
      <c r="H125" t="str">
        <f t="shared" si="3"/>
        <v>4_37</v>
      </c>
    </row>
    <row r="126" spans="1:8" x14ac:dyDescent="0.2">
      <c r="A126" s="9" t="s">
        <v>51</v>
      </c>
      <c r="B126" t="s">
        <v>646</v>
      </c>
      <c r="C126" t="str">
        <f t="shared" si="2"/>
        <v>"https://www.zeldadungeon.net/maps/totk/tiles/sky/6/4_38.jpg",</v>
      </c>
      <c r="H126" t="str">
        <f t="shared" si="3"/>
        <v>4_38</v>
      </c>
    </row>
    <row r="127" spans="1:8" x14ac:dyDescent="0.2">
      <c r="A127" s="9" t="s">
        <v>51</v>
      </c>
      <c r="B127" t="s">
        <v>645</v>
      </c>
      <c r="C127" t="str">
        <f t="shared" si="2"/>
        <v>"https://www.zeldadungeon.net/maps/totk/tiles/sky/6/4_39.jpg",</v>
      </c>
      <c r="H127" t="str">
        <f t="shared" si="3"/>
        <v>4_39</v>
      </c>
    </row>
    <row r="128" spans="1:8" x14ac:dyDescent="0.2">
      <c r="A128" s="9" t="s">
        <v>51</v>
      </c>
      <c r="B128" t="s">
        <v>644</v>
      </c>
      <c r="C128" t="str">
        <f t="shared" si="2"/>
        <v>"https://www.zeldadungeon.net/maps/totk/tiles/sky/6/4_40.jpg",</v>
      </c>
      <c r="H128" t="str">
        <f t="shared" si="3"/>
        <v>4_40</v>
      </c>
    </row>
    <row r="129" spans="1:8" x14ac:dyDescent="0.2">
      <c r="A129" s="9" t="s">
        <v>51</v>
      </c>
      <c r="B129" t="s">
        <v>643</v>
      </c>
      <c r="C129" t="str">
        <f t="shared" ref="C129:C192" si="4">""""&amp;SUBSTITUTE(A129,"zzz",H129)&amp;""""&amp;","</f>
        <v>"https://www.zeldadungeon.net/maps/totk/tiles/sky/6/4_41.jpg",</v>
      </c>
      <c r="H129" t="str">
        <f t="shared" ref="H129:H192" si="5">QUOTIENT(ROW(A129),48)+2&amp;"_"&amp;MOD(ROW(A129),48)+8</f>
        <v>4_41</v>
      </c>
    </row>
    <row r="130" spans="1:8" x14ac:dyDescent="0.2">
      <c r="A130" s="9" t="s">
        <v>51</v>
      </c>
      <c r="B130" t="s">
        <v>642</v>
      </c>
      <c r="C130" t="str">
        <f t="shared" si="4"/>
        <v>"https://www.zeldadungeon.net/maps/totk/tiles/sky/6/4_42.jpg",</v>
      </c>
      <c r="H130" t="str">
        <f t="shared" si="5"/>
        <v>4_42</v>
      </c>
    </row>
    <row r="131" spans="1:8" x14ac:dyDescent="0.2">
      <c r="A131" s="9" t="s">
        <v>51</v>
      </c>
      <c r="B131" t="s">
        <v>641</v>
      </c>
      <c r="C131" t="str">
        <f t="shared" si="4"/>
        <v>"https://www.zeldadungeon.net/maps/totk/tiles/sky/6/4_43.jpg",</v>
      </c>
      <c r="H131" t="str">
        <f t="shared" si="5"/>
        <v>4_43</v>
      </c>
    </row>
    <row r="132" spans="1:8" x14ac:dyDescent="0.2">
      <c r="A132" s="9" t="s">
        <v>51</v>
      </c>
      <c r="B132" t="s">
        <v>640</v>
      </c>
      <c r="C132" t="str">
        <f t="shared" si="4"/>
        <v>"https://www.zeldadungeon.net/maps/totk/tiles/sky/6/4_44.jpg",</v>
      </c>
      <c r="H132" t="str">
        <f t="shared" si="5"/>
        <v>4_44</v>
      </c>
    </row>
    <row r="133" spans="1:8" x14ac:dyDescent="0.2">
      <c r="A133" s="9" t="s">
        <v>51</v>
      </c>
      <c r="B133" t="s">
        <v>639</v>
      </c>
      <c r="C133" t="str">
        <f t="shared" si="4"/>
        <v>"https://www.zeldadungeon.net/maps/totk/tiles/sky/6/4_45.jpg",</v>
      </c>
      <c r="H133" t="str">
        <f t="shared" si="5"/>
        <v>4_45</v>
      </c>
    </row>
    <row r="134" spans="1:8" x14ac:dyDescent="0.2">
      <c r="A134" s="9" t="s">
        <v>51</v>
      </c>
      <c r="B134" t="s">
        <v>638</v>
      </c>
      <c r="C134" t="str">
        <f t="shared" si="4"/>
        <v>"https://www.zeldadungeon.net/maps/totk/tiles/sky/6/4_46.jpg",</v>
      </c>
      <c r="H134" t="str">
        <f t="shared" si="5"/>
        <v>4_46</v>
      </c>
    </row>
    <row r="135" spans="1:8" x14ac:dyDescent="0.2">
      <c r="A135" s="9" t="s">
        <v>51</v>
      </c>
      <c r="B135" t="s">
        <v>637</v>
      </c>
      <c r="C135" t="str">
        <f t="shared" si="4"/>
        <v>"https://www.zeldadungeon.net/maps/totk/tiles/sky/6/4_47.jpg",</v>
      </c>
      <c r="H135" t="str">
        <f t="shared" si="5"/>
        <v>4_47</v>
      </c>
    </row>
    <row r="136" spans="1:8" x14ac:dyDescent="0.2">
      <c r="A136" s="9" t="s">
        <v>51</v>
      </c>
      <c r="B136" t="s">
        <v>636</v>
      </c>
      <c r="C136" t="str">
        <f t="shared" si="4"/>
        <v>"https://www.zeldadungeon.net/maps/totk/tiles/sky/6/4_48.jpg",</v>
      </c>
      <c r="H136" t="str">
        <f t="shared" si="5"/>
        <v>4_48</v>
      </c>
    </row>
    <row r="137" spans="1:8" x14ac:dyDescent="0.2">
      <c r="A137" s="9" t="s">
        <v>51</v>
      </c>
      <c r="B137" t="s">
        <v>635</v>
      </c>
      <c r="C137" t="str">
        <f t="shared" si="4"/>
        <v>"https://www.zeldadungeon.net/maps/totk/tiles/sky/6/4_49.jpg",</v>
      </c>
      <c r="H137" t="str">
        <f t="shared" si="5"/>
        <v>4_49</v>
      </c>
    </row>
    <row r="138" spans="1:8" x14ac:dyDescent="0.2">
      <c r="A138" s="9" t="s">
        <v>51</v>
      </c>
      <c r="B138" t="s">
        <v>634</v>
      </c>
      <c r="C138" t="str">
        <f t="shared" si="4"/>
        <v>"https://www.zeldadungeon.net/maps/totk/tiles/sky/6/4_50.jpg",</v>
      </c>
      <c r="H138" t="str">
        <f t="shared" si="5"/>
        <v>4_50</v>
      </c>
    </row>
    <row r="139" spans="1:8" x14ac:dyDescent="0.2">
      <c r="A139" s="9" t="s">
        <v>51</v>
      </c>
      <c r="B139" t="s">
        <v>633</v>
      </c>
      <c r="C139" t="str">
        <f t="shared" si="4"/>
        <v>"https://www.zeldadungeon.net/maps/totk/tiles/sky/6/4_51.jpg",</v>
      </c>
      <c r="H139" t="str">
        <f t="shared" si="5"/>
        <v>4_51</v>
      </c>
    </row>
    <row r="140" spans="1:8" x14ac:dyDescent="0.2">
      <c r="A140" s="9" t="s">
        <v>51</v>
      </c>
      <c r="B140" t="s">
        <v>632</v>
      </c>
      <c r="C140" t="str">
        <f t="shared" si="4"/>
        <v>"https://www.zeldadungeon.net/maps/totk/tiles/sky/6/4_52.jpg",</v>
      </c>
      <c r="H140" t="str">
        <f t="shared" si="5"/>
        <v>4_52</v>
      </c>
    </row>
    <row r="141" spans="1:8" x14ac:dyDescent="0.2">
      <c r="A141" s="9" t="s">
        <v>51</v>
      </c>
      <c r="B141" t="s">
        <v>631</v>
      </c>
      <c r="C141" t="str">
        <f t="shared" si="4"/>
        <v>"https://www.zeldadungeon.net/maps/totk/tiles/sky/6/4_53.jpg",</v>
      </c>
      <c r="H141" t="str">
        <f t="shared" si="5"/>
        <v>4_53</v>
      </c>
    </row>
    <row r="142" spans="1:8" x14ac:dyDescent="0.2">
      <c r="A142" s="9" t="s">
        <v>51</v>
      </c>
      <c r="B142" t="s">
        <v>630</v>
      </c>
      <c r="C142" t="str">
        <f t="shared" si="4"/>
        <v>"https://www.zeldadungeon.net/maps/totk/tiles/sky/6/4_54.jpg",</v>
      </c>
      <c r="H142" t="str">
        <f t="shared" si="5"/>
        <v>4_54</v>
      </c>
    </row>
    <row r="143" spans="1:8" x14ac:dyDescent="0.2">
      <c r="A143" s="9" t="s">
        <v>51</v>
      </c>
      <c r="B143" t="s">
        <v>629</v>
      </c>
      <c r="C143" t="str">
        <f t="shared" si="4"/>
        <v>"https://www.zeldadungeon.net/maps/totk/tiles/sky/6/4_55.jpg",</v>
      </c>
      <c r="H143" t="str">
        <f t="shared" si="5"/>
        <v>4_55</v>
      </c>
    </row>
    <row r="144" spans="1:8" x14ac:dyDescent="0.2">
      <c r="A144" s="9" t="s">
        <v>51</v>
      </c>
      <c r="B144" t="s">
        <v>628</v>
      </c>
      <c r="C144" t="str">
        <f t="shared" si="4"/>
        <v>"https://www.zeldadungeon.net/maps/totk/tiles/sky/6/5_8.jpg",</v>
      </c>
      <c r="H144" t="str">
        <f t="shared" si="5"/>
        <v>5_8</v>
      </c>
    </row>
    <row r="145" spans="1:8" x14ac:dyDescent="0.2">
      <c r="A145" s="9" t="s">
        <v>51</v>
      </c>
      <c r="B145" t="s">
        <v>627</v>
      </c>
      <c r="C145" t="str">
        <f t="shared" si="4"/>
        <v>"https://www.zeldadungeon.net/maps/totk/tiles/sky/6/5_9.jpg",</v>
      </c>
      <c r="H145" t="str">
        <f t="shared" si="5"/>
        <v>5_9</v>
      </c>
    </row>
    <row r="146" spans="1:8" x14ac:dyDescent="0.2">
      <c r="A146" s="9" t="s">
        <v>51</v>
      </c>
      <c r="B146" t="s">
        <v>626</v>
      </c>
      <c r="C146" t="str">
        <f t="shared" si="4"/>
        <v>"https://www.zeldadungeon.net/maps/totk/tiles/sky/6/5_10.jpg",</v>
      </c>
      <c r="H146" t="str">
        <f t="shared" si="5"/>
        <v>5_10</v>
      </c>
    </row>
    <row r="147" spans="1:8" x14ac:dyDescent="0.2">
      <c r="A147" s="9" t="s">
        <v>51</v>
      </c>
      <c r="B147" t="s">
        <v>625</v>
      </c>
      <c r="C147" t="str">
        <f t="shared" si="4"/>
        <v>"https://www.zeldadungeon.net/maps/totk/tiles/sky/6/5_11.jpg",</v>
      </c>
      <c r="H147" t="str">
        <f t="shared" si="5"/>
        <v>5_11</v>
      </c>
    </row>
    <row r="148" spans="1:8" x14ac:dyDescent="0.2">
      <c r="A148" s="9" t="s">
        <v>51</v>
      </c>
      <c r="B148" t="s">
        <v>624</v>
      </c>
      <c r="C148" t="str">
        <f t="shared" si="4"/>
        <v>"https://www.zeldadungeon.net/maps/totk/tiles/sky/6/5_12.jpg",</v>
      </c>
      <c r="H148" t="str">
        <f t="shared" si="5"/>
        <v>5_12</v>
      </c>
    </row>
    <row r="149" spans="1:8" x14ac:dyDescent="0.2">
      <c r="A149" s="9" t="s">
        <v>51</v>
      </c>
      <c r="B149" t="s">
        <v>623</v>
      </c>
      <c r="C149" t="str">
        <f t="shared" si="4"/>
        <v>"https://www.zeldadungeon.net/maps/totk/tiles/sky/6/5_13.jpg",</v>
      </c>
      <c r="H149" t="str">
        <f t="shared" si="5"/>
        <v>5_13</v>
      </c>
    </row>
    <row r="150" spans="1:8" x14ac:dyDescent="0.2">
      <c r="A150" s="9" t="s">
        <v>51</v>
      </c>
      <c r="B150" t="s">
        <v>622</v>
      </c>
      <c r="C150" t="str">
        <f t="shared" si="4"/>
        <v>"https://www.zeldadungeon.net/maps/totk/tiles/sky/6/5_14.jpg",</v>
      </c>
      <c r="H150" t="str">
        <f t="shared" si="5"/>
        <v>5_14</v>
      </c>
    </row>
    <row r="151" spans="1:8" x14ac:dyDescent="0.2">
      <c r="A151" s="9" t="s">
        <v>51</v>
      </c>
      <c r="B151" t="s">
        <v>621</v>
      </c>
      <c r="C151" t="str">
        <f t="shared" si="4"/>
        <v>"https://www.zeldadungeon.net/maps/totk/tiles/sky/6/5_15.jpg",</v>
      </c>
      <c r="H151" t="str">
        <f t="shared" si="5"/>
        <v>5_15</v>
      </c>
    </row>
    <row r="152" spans="1:8" x14ac:dyDescent="0.2">
      <c r="A152" s="9" t="s">
        <v>51</v>
      </c>
      <c r="B152" t="s">
        <v>620</v>
      </c>
      <c r="C152" t="str">
        <f t="shared" si="4"/>
        <v>"https://www.zeldadungeon.net/maps/totk/tiles/sky/6/5_16.jpg",</v>
      </c>
      <c r="H152" t="str">
        <f t="shared" si="5"/>
        <v>5_16</v>
      </c>
    </row>
    <row r="153" spans="1:8" x14ac:dyDescent="0.2">
      <c r="A153" s="9" t="s">
        <v>51</v>
      </c>
      <c r="B153" t="s">
        <v>619</v>
      </c>
      <c r="C153" t="str">
        <f t="shared" si="4"/>
        <v>"https://www.zeldadungeon.net/maps/totk/tiles/sky/6/5_17.jpg",</v>
      </c>
      <c r="H153" t="str">
        <f t="shared" si="5"/>
        <v>5_17</v>
      </c>
    </row>
    <row r="154" spans="1:8" x14ac:dyDescent="0.2">
      <c r="A154" s="9" t="s">
        <v>51</v>
      </c>
      <c r="B154" t="s">
        <v>618</v>
      </c>
      <c r="C154" t="str">
        <f t="shared" si="4"/>
        <v>"https://www.zeldadungeon.net/maps/totk/tiles/sky/6/5_18.jpg",</v>
      </c>
      <c r="H154" t="str">
        <f t="shared" si="5"/>
        <v>5_18</v>
      </c>
    </row>
    <row r="155" spans="1:8" x14ac:dyDescent="0.2">
      <c r="A155" s="9" t="s">
        <v>51</v>
      </c>
      <c r="B155" t="s">
        <v>617</v>
      </c>
      <c r="C155" t="str">
        <f t="shared" si="4"/>
        <v>"https://www.zeldadungeon.net/maps/totk/tiles/sky/6/5_19.jpg",</v>
      </c>
      <c r="H155" t="str">
        <f t="shared" si="5"/>
        <v>5_19</v>
      </c>
    </row>
    <row r="156" spans="1:8" x14ac:dyDescent="0.2">
      <c r="A156" s="9" t="s">
        <v>51</v>
      </c>
      <c r="B156" t="s">
        <v>616</v>
      </c>
      <c r="C156" t="str">
        <f t="shared" si="4"/>
        <v>"https://www.zeldadungeon.net/maps/totk/tiles/sky/6/5_20.jpg",</v>
      </c>
      <c r="H156" t="str">
        <f t="shared" si="5"/>
        <v>5_20</v>
      </c>
    </row>
    <row r="157" spans="1:8" x14ac:dyDescent="0.2">
      <c r="A157" s="9" t="s">
        <v>51</v>
      </c>
      <c r="B157" t="s">
        <v>615</v>
      </c>
      <c r="C157" t="str">
        <f t="shared" si="4"/>
        <v>"https://www.zeldadungeon.net/maps/totk/tiles/sky/6/5_21.jpg",</v>
      </c>
      <c r="H157" t="str">
        <f t="shared" si="5"/>
        <v>5_21</v>
      </c>
    </row>
    <row r="158" spans="1:8" x14ac:dyDescent="0.2">
      <c r="A158" s="9" t="s">
        <v>51</v>
      </c>
      <c r="B158" t="s">
        <v>614</v>
      </c>
      <c r="C158" t="str">
        <f t="shared" si="4"/>
        <v>"https://www.zeldadungeon.net/maps/totk/tiles/sky/6/5_22.jpg",</v>
      </c>
      <c r="H158" t="str">
        <f t="shared" si="5"/>
        <v>5_22</v>
      </c>
    </row>
    <row r="159" spans="1:8" x14ac:dyDescent="0.2">
      <c r="A159" s="9" t="s">
        <v>51</v>
      </c>
      <c r="B159" t="s">
        <v>613</v>
      </c>
      <c r="C159" t="str">
        <f t="shared" si="4"/>
        <v>"https://www.zeldadungeon.net/maps/totk/tiles/sky/6/5_23.jpg",</v>
      </c>
      <c r="H159" t="str">
        <f t="shared" si="5"/>
        <v>5_23</v>
      </c>
    </row>
    <row r="160" spans="1:8" x14ac:dyDescent="0.2">
      <c r="A160" s="9" t="s">
        <v>51</v>
      </c>
      <c r="B160" t="s">
        <v>612</v>
      </c>
      <c r="C160" t="str">
        <f t="shared" si="4"/>
        <v>"https://www.zeldadungeon.net/maps/totk/tiles/sky/6/5_24.jpg",</v>
      </c>
      <c r="H160" t="str">
        <f t="shared" si="5"/>
        <v>5_24</v>
      </c>
    </row>
    <row r="161" spans="1:8" x14ac:dyDescent="0.2">
      <c r="A161" s="9" t="s">
        <v>51</v>
      </c>
      <c r="B161" t="s">
        <v>611</v>
      </c>
      <c r="C161" t="str">
        <f t="shared" si="4"/>
        <v>"https://www.zeldadungeon.net/maps/totk/tiles/sky/6/5_25.jpg",</v>
      </c>
      <c r="H161" t="str">
        <f t="shared" si="5"/>
        <v>5_25</v>
      </c>
    </row>
    <row r="162" spans="1:8" x14ac:dyDescent="0.2">
      <c r="A162" s="9" t="s">
        <v>51</v>
      </c>
      <c r="B162" t="s">
        <v>610</v>
      </c>
      <c r="C162" t="str">
        <f t="shared" si="4"/>
        <v>"https://www.zeldadungeon.net/maps/totk/tiles/sky/6/5_26.jpg",</v>
      </c>
      <c r="H162" t="str">
        <f t="shared" si="5"/>
        <v>5_26</v>
      </c>
    </row>
    <row r="163" spans="1:8" x14ac:dyDescent="0.2">
      <c r="A163" s="9" t="s">
        <v>51</v>
      </c>
      <c r="B163" t="s">
        <v>609</v>
      </c>
      <c r="C163" t="str">
        <f t="shared" si="4"/>
        <v>"https://www.zeldadungeon.net/maps/totk/tiles/sky/6/5_27.jpg",</v>
      </c>
      <c r="H163" t="str">
        <f t="shared" si="5"/>
        <v>5_27</v>
      </c>
    </row>
    <row r="164" spans="1:8" x14ac:dyDescent="0.2">
      <c r="A164" s="9" t="s">
        <v>51</v>
      </c>
      <c r="B164" t="s">
        <v>608</v>
      </c>
      <c r="C164" t="str">
        <f t="shared" si="4"/>
        <v>"https://www.zeldadungeon.net/maps/totk/tiles/sky/6/5_28.jpg",</v>
      </c>
      <c r="H164" t="str">
        <f t="shared" si="5"/>
        <v>5_28</v>
      </c>
    </row>
    <row r="165" spans="1:8" x14ac:dyDescent="0.2">
      <c r="A165" s="9" t="s">
        <v>51</v>
      </c>
      <c r="B165" t="s">
        <v>607</v>
      </c>
      <c r="C165" t="str">
        <f t="shared" si="4"/>
        <v>"https://www.zeldadungeon.net/maps/totk/tiles/sky/6/5_29.jpg",</v>
      </c>
      <c r="H165" t="str">
        <f t="shared" si="5"/>
        <v>5_29</v>
      </c>
    </row>
    <row r="166" spans="1:8" x14ac:dyDescent="0.2">
      <c r="A166" s="9" t="s">
        <v>51</v>
      </c>
      <c r="B166" t="s">
        <v>606</v>
      </c>
      <c r="C166" t="str">
        <f t="shared" si="4"/>
        <v>"https://www.zeldadungeon.net/maps/totk/tiles/sky/6/5_30.jpg",</v>
      </c>
      <c r="H166" t="str">
        <f t="shared" si="5"/>
        <v>5_30</v>
      </c>
    </row>
    <row r="167" spans="1:8" x14ac:dyDescent="0.2">
      <c r="A167" s="9" t="s">
        <v>51</v>
      </c>
      <c r="B167" t="s">
        <v>605</v>
      </c>
      <c r="C167" t="str">
        <f t="shared" si="4"/>
        <v>"https://www.zeldadungeon.net/maps/totk/tiles/sky/6/5_31.jpg",</v>
      </c>
      <c r="H167" t="str">
        <f t="shared" si="5"/>
        <v>5_31</v>
      </c>
    </row>
    <row r="168" spans="1:8" x14ac:dyDescent="0.2">
      <c r="A168" s="9" t="s">
        <v>51</v>
      </c>
      <c r="B168" t="s">
        <v>604</v>
      </c>
      <c r="C168" t="str">
        <f t="shared" si="4"/>
        <v>"https://www.zeldadungeon.net/maps/totk/tiles/sky/6/5_32.jpg",</v>
      </c>
      <c r="H168" t="str">
        <f t="shared" si="5"/>
        <v>5_32</v>
      </c>
    </row>
    <row r="169" spans="1:8" x14ac:dyDescent="0.2">
      <c r="A169" s="9" t="s">
        <v>51</v>
      </c>
      <c r="B169" t="s">
        <v>603</v>
      </c>
      <c r="C169" t="str">
        <f t="shared" si="4"/>
        <v>"https://www.zeldadungeon.net/maps/totk/tiles/sky/6/5_33.jpg",</v>
      </c>
      <c r="H169" t="str">
        <f t="shared" si="5"/>
        <v>5_33</v>
      </c>
    </row>
    <row r="170" spans="1:8" x14ac:dyDescent="0.2">
      <c r="A170" s="9" t="s">
        <v>51</v>
      </c>
      <c r="B170" t="s">
        <v>602</v>
      </c>
      <c r="C170" t="str">
        <f t="shared" si="4"/>
        <v>"https://www.zeldadungeon.net/maps/totk/tiles/sky/6/5_34.jpg",</v>
      </c>
      <c r="H170" t="str">
        <f t="shared" si="5"/>
        <v>5_34</v>
      </c>
    </row>
    <row r="171" spans="1:8" x14ac:dyDescent="0.2">
      <c r="A171" s="9" t="s">
        <v>51</v>
      </c>
      <c r="B171" t="s">
        <v>601</v>
      </c>
      <c r="C171" t="str">
        <f t="shared" si="4"/>
        <v>"https://www.zeldadungeon.net/maps/totk/tiles/sky/6/5_35.jpg",</v>
      </c>
      <c r="H171" t="str">
        <f t="shared" si="5"/>
        <v>5_35</v>
      </c>
    </row>
    <row r="172" spans="1:8" x14ac:dyDescent="0.2">
      <c r="A172" s="9" t="s">
        <v>51</v>
      </c>
      <c r="B172" t="s">
        <v>600</v>
      </c>
      <c r="C172" t="str">
        <f t="shared" si="4"/>
        <v>"https://www.zeldadungeon.net/maps/totk/tiles/sky/6/5_36.jpg",</v>
      </c>
      <c r="H172" t="str">
        <f t="shared" si="5"/>
        <v>5_36</v>
      </c>
    </row>
    <row r="173" spans="1:8" x14ac:dyDescent="0.2">
      <c r="A173" s="9" t="s">
        <v>51</v>
      </c>
      <c r="B173" t="s">
        <v>599</v>
      </c>
      <c r="C173" t="str">
        <f t="shared" si="4"/>
        <v>"https://www.zeldadungeon.net/maps/totk/tiles/sky/6/5_37.jpg",</v>
      </c>
      <c r="H173" t="str">
        <f t="shared" si="5"/>
        <v>5_37</v>
      </c>
    </row>
    <row r="174" spans="1:8" x14ac:dyDescent="0.2">
      <c r="A174" s="9" t="s">
        <v>51</v>
      </c>
      <c r="B174" t="s">
        <v>598</v>
      </c>
      <c r="C174" t="str">
        <f t="shared" si="4"/>
        <v>"https://www.zeldadungeon.net/maps/totk/tiles/sky/6/5_38.jpg",</v>
      </c>
      <c r="H174" t="str">
        <f t="shared" si="5"/>
        <v>5_38</v>
      </c>
    </row>
    <row r="175" spans="1:8" x14ac:dyDescent="0.2">
      <c r="A175" s="9" t="s">
        <v>51</v>
      </c>
      <c r="B175" t="s">
        <v>597</v>
      </c>
      <c r="C175" t="str">
        <f t="shared" si="4"/>
        <v>"https://www.zeldadungeon.net/maps/totk/tiles/sky/6/5_39.jpg",</v>
      </c>
      <c r="H175" t="str">
        <f t="shared" si="5"/>
        <v>5_39</v>
      </c>
    </row>
    <row r="176" spans="1:8" x14ac:dyDescent="0.2">
      <c r="A176" s="9" t="s">
        <v>51</v>
      </c>
      <c r="B176" t="s">
        <v>596</v>
      </c>
      <c r="C176" t="str">
        <f t="shared" si="4"/>
        <v>"https://www.zeldadungeon.net/maps/totk/tiles/sky/6/5_40.jpg",</v>
      </c>
      <c r="H176" t="str">
        <f t="shared" si="5"/>
        <v>5_40</v>
      </c>
    </row>
    <row r="177" spans="1:8" x14ac:dyDescent="0.2">
      <c r="A177" s="9" t="s">
        <v>51</v>
      </c>
      <c r="B177" t="s">
        <v>595</v>
      </c>
      <c r="C177" t="str">
        <f t="shared" si="4"/>
        <v>"https://www.zeldadungeon.net/maps/totk/tiles/sky/6/5_41.jpg",</v>
      </c>
      <c r="H177" t="str">
        <f t="shared" si="5"/>
        <v>5_41</v>
      </c>
    </row>
    <row r="178" spans="1:8" x14ac:dyDescent="0.2">
      <c r="A178" s="9" t="s">
        <v>51</v>
      </c>
      <c r="B178" t="s">
        <v>594</v>
      </c>
      <c r="C178" t="str">
        <f t="shared" si="4"/>
        <v>"https://www.zeldadungeon.net/maps/totk/tiles/sky/6/5_42.jpg",</v>
      </c>
      <c r="H178" t="str">
        <f t="shared" si="5"/>
        <v>5_42</v>
      </c>
    </row>
    <row r="179" spans="1:8" x14ac:dyDescent="0.2">
      <c r="A179" s="9" t="s">
        <v>51</v>
      </c>
      <c r="B179" t="s">
        <v>593</v>
      </c>
      <c r="C179" t="str">
        <f t="shared" si="4"/>
        <v>"https://www.zeldadungeon.net/maps/totk/tiles/sky/6/5_43.jpg",</v>
      </c>
      <c r="H179" t="str">
        <f t="shared" si="5"/>
        <v>5_43</v>
      </c>
    </row>
    <row r="180" spans="1:8" x14ac:dyDescent="0.2">
      <c r="A180" s="9" t="s">
        <v>51</v>
      </c>
      <c r="B180" t="s">
        <v>592</v>
      </c>
      <c r="C180" t="str">
        <f t="shared" si="4"/>
        <v>"https://www.zeldadungeon.net/maps/totk/tiles/sky/6/5_44.jpg",</v>
      </c>
      <c r="H180" t="str">
        <f t="shared" si="5"/>
        <v>5_44</v>
      </c>
    </row>
    <row r="181" spans="1:8" x14ac:dyDescent="0.2">
      <c r="A181" s="9" t="s">
        <v>51</v>
      </c>
      <c r="B181" t="s">
        <v>591</v>
      </c>
      <c r="C181" t="str">
        <f t="shared" si="4"/>
        <v>"https://www.zeldadungeon.net/maps/totk/tiles/sky/6/5_45.jpg",</v>
      </c>
      <c r="H181" t="str">
        <f t="shared" si="5"/>
        <v>5_45</v>
      </c>
    </row>
    <row r="182" spans="1:8" x14ac:dyDescent="0.2">
      <c r="A182" s="9" t="s">
        <v>51</v>
      </c>
      <c r="B182" t="s">
        <v>590</v>
      </c>
      <c r="C182" t="str">
        <f t="shared" si="4"/>
        <v>"https://www.zeldadungeon.net/maps/totk/tiles/sky/6/5_46.jpg",</v>
      </c>
      <c r="H182" t="str">
        <f t="shared" si="5"/>
        <v>5_46</v>
      </c>
    </row>
    <row r="183" spans="1:8" x14ac:dyDescent="0.2">
      <c r="A183" s="9" t="s">
        <v>51</v>
      </c>
      <c r="B183" t="s">
        <v>589</v>
      </c>
      <c r="C183" t="str">
        <f t="shared" si="4"/>
        <v>"https://www.zeldadungeon.net/maps/totk/tiles/sky/6/5_47.jpg",</v>
      </c>
      <c r="H183" t="str">
        <f t="shared" si="5"/>
        <v>5_47</v>
      </c>
    </row>
    <row r="184" spans="1:8" x14ac:dyDescent="0.2">
      <c r="A184" s="9" t="s">
        <v>51</v>
      </c>
      <c r="B184" t="s">
        <v>588</v>
      </c>
      <c r="C184" t="str">
        <f t="shared" si="4"/>
        <v>"https://www.zeldadungeon.net/maps/totk/tiles/sky/6/5_48.jpg",</v>
      </c>
      <c r="H184" t="str">
        <f t="shared" si="5"/>
        <v>5_48</v>
      </c>
    </row>
    <row r="185" spans="1:8" x14ac:dyDescent="0.2">
      <c r="A185" s="9" t="s">
        <v>51</v>
      </c>
      <c r="B185" t="s">
        <v>587</v>
      </c>
      <c r="C185" t="str">
        <f t="shared" si="4"/>
        <v>"https://www.zeldadungeon.net/maps/totk/tiles/sky/6/5_49.jpg",</v>
      </c>
      <c r="H185" t="str">
        <f t="shared" si="5"/>
        <v>5_49</v>
      </c>
    </row>
    <row r="186" spans="1:8" x14ac:dyDescent="0.2">
      <c r="A186" s="9" t="s">
        <v>51</v>
      </c>
      <c r="B186" t="s">
        <v>586</v>
      </c>
      <c r="C186" t="str">
        <f t="shared" si="4"/>
        <v>"https://www.zeldadungeon.net/maps/totk/tiles/sky/6/5_50.jpg",</v>
      </c>
      <c r="H186" t="str">
        <f t="shared" si="5"/>
        <v>5_50</v>
      </c>
    </row>
    <row r="187" spans="1:8" x14ac:dyDescent="0.2">
      <c r="A187" s="9" t="s">
        <v>51</v>
      </c>
      <c r="B187" t="s">
        <v>585</v>
      </c>
      <c r="C187" t="str">
        <f t="shared" si="4"/>
        <v>"https://www.zeldadungeon.net/maps/totk/tiles/sky/6/5_51.jpg",</v>
      </c>
      <c r="H187" t="str">
        <f t="shared" si="5"/>
        <v>5_51</v>
      </c>
    </row>
    <row r="188" spans="1:8" x14ac:dyDescent="0.2">
      <c r="A188" s="9" t="s">
        <v>51</v>
      </c>
      <c r="B188" t="s">
        <v>584</v>
      </c>
      <c r="C188" t="str">
        <f t="shared" si="4"/>
        <v>"https://www.zeldadungeon.net/maps/totk/tiles/sky/6/5_52.jpg",</v>
      </c>
      <c r="H188" t="str">
        <f t="shared" si="5"/>
        <v>5_52</v>
      </c>
    </row>
    <row r="189" spans="1:8" x14ac:dyDescent="0.2">
      <c r="A189" s="9" t="s">
        <v>51</v>
      </c>
      <c r="B189" t="s">
        <v>583</v>
      </c>
      <c r="C189" t="str">
        <f t="shared" si="4"/>
        <v>"https://www.zeldadungeon.net/maps/totk/tiles/sky/6/5_53.jpg",</v>
      </c>
      <c r="H189" t="str">
        <f t="shared" si="5"/>
        <v>5_53</v>
      </c>
    </row>
    <row r="190" spans="1:8" x14ac:dyDescent="0.2">
      <c r="A190" s="9" t="s">
        <v>51</v>
      </c>
      <c r="B190" t="s">
        <v>582</v>
      </c>
      <c r="C190" t="str">
        <f t="shared" si="4"/>
        <v>"https://www.zeldadungeon.net/maps/totk/tiles/sky/6/5_54.jpg",</v>
      </c>
      <c r="H190" t="str">
        <f t="shared" si="5"/>
        <v>5_54</v>
      </c>
    </row>
    <row r="191" spans="1:8" x14ac:dyDescent="0.2">
      <c r="A191" s="9" t="s">
        <v>51</v>
      </c>
      <c r="B191" t="s">
        <v>581</v>
      </c>
      <c r="C191" t="str">
        <f t="shared" si="4"/>
        <v>"https://www.zeldadungeon.net/maps/totk/tiles/sky/6/5_55.jpg",</v>
      </c>
      <c r="H191" t="str">
        <f t="shared" si="5"/>
        <v>5_55</v>
      </c>
    </row>
    <row r="192" spans="1:8" x14ac:dyDescent="0.2">
      <c r="A192" s="9" t="s">
        <v>51</v>
      </c>
      <c r="B192" t="s">
        <v>580</v>
      </c>
      <c r="C192" t="str">
        <f t="shared" si="4"/>
        <v>"https://www.zeldadungeon.net/maps/totk/tiles/sky/6/6_8.jpg",</v>
      </c>
      <c r="H192" t="str">
        <f t="shared" si="5"/>
        <v>6_8</v>
      </c>
    </row>
    <row r="193" spans="1:8" x14ac:dyDescent="0.2">
      <c r="A193" s="9" t="s">
        <v>51</v>
      </c>
      <c r="B193" t="s">
        <v>579</v>
      </c>
      <c r="C193" t="str">
        <f t="shared" ref="C193:C256" si="6">""""&amp;SUBSTITUTE(A193,"zzz",H193)&amp;""""&amp;","</f>
        <v>"https://www.zeldadungeon.net/maps/totk/tiles/sky/6/6_9.jpg",</v>
      </c>
      <c r="H193" t="str">
        <f t="shared" ref="H193:H256" si="7">QUOTIENT(ROW(A193),48)+2&amp;"_"&amp;MOD(ROW(A193),48)+8</f>
        <v>6_9</v>
      </c>
    </row>
    <row r="194" spans="1:8" x14ac:dyDescent="0.2">
      <c r="A194" s="9" t="s">
        <v>51</v>
      </c>
      <c r="B194" t="s">
        <v>578</v>
      </c>
      <c r="C194" t="str">
        <f t="shared" si="6"/>
        <v>"https://www.zeldadungeon.net/maps/totk/tiles/sky/6/6_10.jpg",</v>
      </c>
      <c r="H194" t="str">
        <f t="shared" si="7"/>
        <v>6_10</v>
      </c>
    </row>
    <row r="195" spans="1:8" x14ac:dyDescent="0.2">
      <c r="A195" s="9" t="s">
        <v>51</v>
      </c>
      <c r="B195" t="s">
        <v>577</v>
      </c>
      <c r="C195" t="str">
        <f t="shared" si="6"/>
        <v>"https://www.zeldadungeon.net/maps/totk/tiles/sky/6/6_11.jpg",</v>
      </c>
      <c r="H195" t="str">
        <f t="shared" si="7"/>
        <v>6_11</v>
      </c>
    </row>
    <row r="196" spans="1:8" x14ac:dyDescent="0.2">
      <c r="A196" s="9" t="s">
        <v>51</v>
      </c>
      <c r="B196" t="s">
        <v>576</v>
      </c>
      <c r="C196" t="str">
        <f t="shared" si="6"/>
        <v>"https://www.zeldadungeon.net/maps/totk/tiles/sky/6/6_12.jpg",</v>
      </c>
      <c r="H196" t="str">
        <f t="shared" si="7"/>
        <v>6_12</v>
      </c>
    </row>
    <row r="197" spans="1:8" x14ac:dyDescent="0.2">
      <c r="A197" s="9" t="s">
        <v>51</v>
      </c>
      <c r="B197" t="s">
        <v>575</v>
      </c>
      <c r="C197" t="str">
        <f t="shared" si="6"/>
        <v>"https://www.zeldadungeon.net/maps/totk/tiles/sky/6/6_13.jpg",</v>
      </c>
      <c r="H197" t="str">
        <f t="shared" si="7"/>
        <v>6_13</v>
      </c>
    </row>
    <row r="198" spans="1:8" x14ac:dyDescent="0.2">
      <c r="A198" s="9" t="s">
        <v>51</v>
      </c>
      <c r="B198" t="s">
        <v>574</v>
      </c>
      <c r="C198" t="str">
        <f t="shared" si="6"/>
        <v>"https://www.zeldadungeon.net/maps/totk/tiles/sky/6/6_14.jpg",</v>
      </c>
      <c r="H198" t="str">
        <f t="shared" si="7"/>
        <v>6_14</v>
      </c>
    </row>
    <row r="199" spans="1:8" x14ac:dyDescent="0.2">
      <c r="A199" s="9" t="s">
        <v>51</v>
      </c>
      <c r="B199" t="s">
        <v>573</v>
      </c>
      <c r="C199" t="str">
        <f t="shared" si="6"/>
        <v>"https://www.zeldadungeon.net/maps/totk/tiles/sky/6/6_15.jpg",</v>
      </c>
      <c r="H199" t="str">
        <f t="shared" si="7"/>
        <v>6_15</v>
      </c>
    </row>
    <row r="200" spans="1:8" x14ac:dyDescent="0.2">
      <c r="A200" s="9" t="s">
        <v>51</v>
      </c>
      <c r="B200" t="s">
        <v>572</v>
      </c>
      <c r="C200" t="str">
        <f t="shared" si="6"/>
        <v>"https://www.zeldadungeon.net/maps/totk/tiles/sky/6/6_16.jpg",</v>
      </c>
      <c r="H200" t="str">
        <f t="shared" si="7"/>
        <v>6_16</v>
      </c>
    </row>
    <row r="201" spans="1:8" x14ac:dyDescent="0.2">
      <c r="A201" s="9" t="s">
        <v>51</v>
      </c>
      <c r="B201" t="s">
        <v>571</v>
      </c>
      <c r="C201" t="str">
        <f t="shared" si="6"/>
        <v>"https://www.zeldadungeon.net/maps/totk/tiles/sky/6/6_17.jpg",</v>
      </c>
      <c r="H201" t="str">
        <f t="shared" si="7"/>
        <v>6_17</v>
      </c>
    </row>
    <row r="202" spans="1:8" x14ac:dyDescent="0.2">
      <c r="A202" s="9" t="s">
        <v>51</v>
      </c>
      <c r="B202" t="s">
        <v>570</v>
      </c>
      <c r="C202" t="str">
        <f t="shared" si="6"/>
        <v>"https://www.zeldadungeon.net/maps/totk/tiles/sky/6/6_18.jpg",</v>
      </c>
      <c r="H202" t="str">
        <f t="shared" si="7"/>
        <v>6_18</v>
      </c>
    </row>
    <row r="203" spans="1:8" x14ac:dyDescent="0.2">
      <c r="A203" s="9" t="s">
        <v>51</v>
      </c>
      <c r="B203" t="s">
        <v>569</v>
      </c>
      <c r="C203" t="str">
        <f t="shared" si="6"/>
        <v>"https://www.zeldadungeon.net/maps/totk/tiles/sky/6/6_19.jpg",</v>
      </c>
      <c r="H203" t="str">
        <f t="shared" si="7"/>
        <v>6_19</v>
      </c>
    </row>
    <row r="204" spans="1:8" x14ac:dyDescent="0.2">
      <c r="A204" s="9" t="s">
        <v>51</v>
      </c>
      <c r="B204" t="s">
        <v>568</v>
      </c>
      <c r="C204" t="str">
        <f t="shared" si="6"/>
        <v>"https://www.zeldadungeon.net/maps/totk/tiles/sky/6/6_20.jpg",</v>
      </c>
      <c r="H204" t="str">
        <f t="shared" si="7"/>
        <v>6_20</v>
      </c>
    </row>
    <row r="205" spans="1:8" x14ac:dyDescent="0.2">
      <c r="A205" s="9" t="s">
        <v>51</v>
      </c>
      <c r="B205" t="s">
        <v>567</v>
      </c>
      <c r="C205" t="str">
        <f t="shared" si="6"/>
        <v>"https://www.zeldadungeon.net/maps/totk/tiles/sky/6/6_21.jpg",</v>
      </c>
      <c r="H205" t="str">
        <f t="shared" si="7"/>
        <v>6_21</v>
      </c>
    </row>
    <row r="206" spans="1:8" x14ac:dyDescent="0.2">
      <c r="A206" s="9" t="s">
        <v>51</v>
      </c>
      <c r="B206" t="s">
        <v>566</v>
      </c>
      <c r="C206" t="str">
        <f t="shared" si="6"/>
        <v>"https://www.zeldadungeon.net/maps/totk/tiles/sky/6/6_22.jpg",</v>
      </c>
      <c r="H206" t="str">
        <f t="shared" si="7"/>
        <v>6_22</v>
      </c>
    </row>
    <row r="207" spans="1:8" x14ac:dyDescent="0.2">
      <c r="A207" s="9" t="s">
        <v>51</v>
      </c>
      <c r="B207" t="s">
        <v>565</v>
      </c>
      <c r="C207" t="str">
        <f t="shared" si="6"/>
        <v>"https://www.zeldadungeon.net/maps/totk/tiles/sky/6/6_23.jpg",</v>
      </c>
      <c r="H207" t="str">
        <f t="shared" si="7"/>
        <v>6_23</v>
      </c>
    </row>
    <row r="208" spans="1:8" x14ac:dyDescent="0.2">
      <c r="A208" s="9" t="s">
        <v>51</v>
      </c>
      <c r="B208" t="s">
        <v>564</v>
      </c>
      <c r="C208" t="str">
        <f t="shared" si="6"/>
        <v>"https://www.zeldadungeon.net/maps/totk/tiles/sky/6/6_24.jpg",</v>
      </c>
      <c r="H208" t="str">
        <f t="shared" si="7"/>
        <v>6_24</v>
      </c>
    </row>
    <row r="209" spans="1:8" x14ac:dyDescent="0.2">
      <c r="A209" s="9" t="s">
        <v>51</v>
      </c>
      <c r="B209" t="s">
        <v>563</v>
      </c>
      <c r="C209" t="str">
        <f t="shared" si="6"/>
        <v>"https://www.zeldadungeon.net/maps/totk/tiles/sky/6/6_25.jpg",</v>
      </c>
      <c r="H209" t="str">
        <f t="shared" si="7"/>
        <v>6_25</v>
      </c>
    </row>
    <row r="210" spans="1:8" x14ac:dyDescent="0.2">
      <c r="A210" s="9" t="s">
        <v>51</v>
      </c>
      <c r="B210" t="s">
        <v>562</v>
      </c>
      <c r="C210" t="str">
        <f t="shared" si="6"/>
        <v>"https://www.zeldadungeon.net/maps/totk/tiles/sky/6/6_26.jpg",</v>
      </c>
      <c r="H210" t="str">
        <f t="shared" si="7"/>
        <v>6_26</v>
      </c>
    </row>
    <row r="211" spans="1:8" x14ac:dyDescent="0.2">
      <c r="A211" s="9" t="s">
        <v>51</v>
      </c>
      <c r="B211" t="s">
        <v>561</v>
      </c>
      <c r="C211" t="str">
        <f t="shared" si="6"/>
        <v>"https://www.zeldadungeon.net/maps/totk/tiles/sky/6/6_27.jpg",</v>
      </c>
      <c r="H211" t="str">
        <f t="shared" si="7"/>
        <v>6_27</v>
      </c>
    </row>
    <row r="212" spans="1:8" x14ac:dyDescent="0.2">
      <c r="A212" s="9" t="s">
        <v>51</v>
      </c>
      <c r="B212" t="s">
        <v>560</v>
      </c>
      <c r="C212" t="str">
        <f t="shared" si="6"/>
        <v>"https://www.zeldadungeon.net/maps/totk/tiles/sky/6/6_28.jpg",</v>
      </c>
      <c r="H212" t="str">
        <f t="shared" si="7"/>
        <v>6_28</v>
      </c>
    </row>
    <row r="213" spans="1:8" x14ac:dyDescent="0.2">
      <c r="A213" s="9" t="s">
        <v>51</v>
      </c>
      <c r="B213" t="s">
        <v>559</v>
      </c>
      <c r="C213" t="str">
        <f t="shared" si="6"/>
        <v>"https://www.zeldadungeon.net/maps/totk/tiles/sky/6/6_29.jpg",</v>
      </c>
      <c r="H213" t="str">
        <f t="shared" si="7"/>
        <v>6_29</v>
      </c>
    </row>
    <row r="214" spans="1:8" x14ac:dyDescent="0.2">
      <c r="A214" s="9" t="s">
        <v>51</v>
      </c>
      <c r="B214" t="s">
        <v>558</v>
      </c>
      <c r="C214" t="str">
        <f t="shared" si="6"/>
        <v>"https://www.zeldadungeon.net/maps/totk/tiles/sky/6/6_30.jpg",</v>
      </c>
      <c r="H214" t="str">
        <f t="shared" si="7"/>
        <v>6_30</v>
      </c>
    </row>
    <row r="215" spans="1:8" x14ac:dyDescent="0.2">
      <c r="A215" s="9" t="s">
        <v>51</v>
      </c>
      <c r="B215" t="s">
        <v>557</v>
      </c>
      <c r="C215" t="str">
        <f t="shared" si="6"/>
        <v>"https://www.zeldadungeon.net/maps/totk/tiles/sky/6/6_31.jpg",</v>
      </c>
      <c r="H215" t="str">
        <f t="shared" si="7"/>
        <v>6_31</v>
      </c>
    </row>
    <row r="216" spans="1:8" x14ac:dyDescent="0.2">
      <c r="A216" s="9" t="s">
        <v>51</v>
      </c>
      <c r="B216" t="s">
        <v>556</v>
      </c>
      <c r="C216" t="str">
        <f t="shared" si="6"/>
        <v>"https://www.zeldadungeon.net/maps/totk/tiles/sky/6/6_32.jpg",</v>
      </c>
      <c r="H216" t="str">
        <f t="shared" si="7"/>
        <v>6_32</v>
      </c>
    </row>
    <row r="217" spans="1:8" x14ac:dyDescent="0.2">
      <c r="A217" s="9" t="s">
        <v>51</v>
      </c>
      <c r="B217" t="s">
        <v>555</v>
      </c>
      <c r="C217" t="str">
        <f t="shared" si="6"/>
        <v>"https://www.zeldadungeon.net/maps/totk/tiles/sky/6/6_33.jpg",</v>
      </c>
      <c r="H217" t="str">
        <f t="shared" si="7"/>
        <v>6_33</v>
      </c>
    </row>
    <row r="218" spans="1:8" x14ac:dyDescent="0.2">
      <c r="A218" s="9" t="s">
        <v>51</v>
      </c>
      <c r="B218" t="s">
        <v>554</v>
      </c>
      <c r="C218" t="str">
        <f t="shared" si="6"/>
        <v>"https://www.zeldadungeon.net/maps/totk/tiles/sky/6/6_34.jpg",</v>
      </c>
      <c r="H218" t="str">
        <f t="shared" si="7"/>
        <v>6_34</v>
      </c>
    </row>
    <row r="219" spans="1:8" x14ac:dyDescent="0.2">
      <c r="A219" s="9" t="s">
        <v>51</v>
      </c>
      <c r="B219" t="s">
        <v>553</v>
      </c>
      <c r="C219" t="str">
        <f t="shared" si="6"/>
        <v>"https://www.zeldadungeon.net/maps/totk/tiles/sky/6/6_35.jpg",</v>
      </c>
      <c r="H219" t="str">
        <f t="shared" si="7"/>
        <v>6_35</v>
      </c>
    </row>
    <row r="220" spans="1:8" x14ac:dyDescent="0.2">
      <c r="A220" s="9" t="s">
        <v>51</v>
      </c>
      <c r="B220" t="s">
        <v>552</v>
      </c>
      <c r="C220" t="str">
        <f t="shared" si="6"/>
        <v>"https://www.zeldadungeon.net/maps/totk/tiles/sky/6/6_36.jpg",</v>
      </c>
      <c r="H220" t="str">
        <f t="shared" si="7"/>
        <v>6_36</v>
      </c>
    </row>
    <row r="221" spans="1:8" x14ac:dyDescent="0.2">
      <c r="A221" s="9" t="s">
        <v>51</v>
      </c>
      <c r="B221" t="s">
        <v>551</v>
      </c>
      <c r="C221" t="str">
        <f t="shared" si="6"/>
        <v>"https://www.zeldadungeon.net/maps/totk/tiles/sky/6/6_37.jpg",</v>
      </c>
      <c r="H221" t="str">
        <f t="shared" si="7"/>
        <v>6_37</v>
      </c>
    </row>
    <row r="222" spans="1:8" x14ac:dyDescent="0.2">
      <c r="A222" s="9" t="s">
        <v>51</v>
      </c>
      <c r="B222" t="s">
        <v>550</v>
      </c>
      <c r="C222" t="str">
        <f t="shared" si="6"/>
        <v>"https://www.zeldadungeon.net/maps/totk/tiles/sky/6/6_38.jpg",</v>
      </c>
      <c r="H222" t="str">
        <f t="shared" si="7"/>
        <v>6_38</v>
      </c>
    </row>
    <row r="223" spans="1:8" x14ac:dyDescent="0.2">
      <c r="A223" s="9" t="s">
        <v>51</v>
      </c>
      <c r="B223" t="s">
        <v>549</v>
      </c>
      <c r="C223" t="str">
        <f t="shared" si="6"/>
        <v>"https://www.zeldadungeon.net/maps/totk/tiles/sky/6/6_39.jpg",</v>
      </c>
      <c r="H223" t="str">
        <f t="shared" si="7"/>
        <v>6_39</v>
      </c>
    </row>
    <row r="224" spans="1:8" x14ac:dyDescent="0.2">
      <c r="A224" s="9" t="s">
        <v>51</v>
      </c>
      <c r="B224" t="s">
        <v>548</v>
      </c>
      <c r="C224" t="str">
        <f t="shared" si="6"/>
        <v>"https://www.zeldadungeon.net/maps/totk/tiles/sky/6/6_40.jpg",</v>
      </c>
      <c r="H224" t="str">
        <f t="shared" si="7"/>
        <v>6_40</v>
      </c>
    </row>
    <row r="225" spans="1:8" x14ac:dyDescent="0.2">
      <c r="A225" s="9" t="s">
        <v>51</v>
      </c>
      <c r="B225" t="s">
        <v>547</v>
      </c>
      <c r="C225" t="str">
        <f t="shared" si="6"/>
        <v>"https://www.zeldadungeon.net/maps/totk/tiles/sky/6/6_41.jpg",</v>
      </c>
      <c r="H225" t="str">
        <f t="shared" si="7"/>
        <v>6_41</v>
      </c>
    </row>
    <row r="226" spans="1:8" x14ac:dyDescent="0.2">
      <c r="A226" s="9" t="s">
        <v>51</v>
      </c>
      <c r="B226" t="s">
        <v>546</v>
      </c>
      <c r="C226" t="str">
        <f t="shared" si="6"/>
        <v>"https://www.zeldadungeon.net/maps/totk/tiles/sky/6/6_42.jpg",</v>
      </c>
      <c r="H226" t="str">
        <f t="shared" si="7"/>
        <v>6_42</v>
      </c>
    </row>
    <row r="227" spans="1:8" x14ac:dyDescent="0.2">
      <c r="A227" s="9" t="s">
        <v>51</v>
      </c>
      <c r="B227" t="s">
        <v>545</v>
      </c>
      <c r="C227" t="str">
        <f t="shared" si="6"/>
        <v>"https://www.zeldadungeon.net/maps/totk/tiles/sky/6/6_43.jpg",</v>
      </c>
      <c r="H227" t="str">
        <f t="shared" si="7"/>
        <v>6_43</v>
      </c>
    </row>
    <row r="228" spans="1:8" x14ac:dyDescent="0.2">
      <c r="A228" s="9" t="s">
        <v>51</v>
      </c>
      <c r="B228" t="s">
        <v>544</v>
      </c>
      <c r="C228" t="str">
        <f t="shared" si="6"/>
        <v>"https://www.zeldadungeon.net/maps/totk/tiles/sky/6/6_44.jpg",</v>
      </c>
      <c r="H228" t="str">
        <f t="shared" si="7"/>
        <v>6_44</v>
      </c>
    </row>
    <row r="229" spans="1:8" x14ac:dyDescent="0.2">
      <c r="A229" s="9" t="s">
        <v>51</v>
      </c>
      <c r="B229" t="s">
        <v>543</v>
      </c>
      <c r="C229" t="str">
        <f t="shared" si="6"/>
        <v>"https://www.zeldadungeon.net/maps/totk/tiles/sky/6/6_45.jpg",</v>
      </c>
      <c r="H229" t="str">
        <f t="shared" si="7"/>
        <v>6_45</v>
      </c>
    </row>
    <row r="230" spans="1:8" x14ac:dyDescent="0.2">
      <c r="A230" s="9" t="s">
        <v>51</v>
      </c>
      <c r="B230" t="s">
        <v>542</v>
      </c>
      <c r="C230" t="str">
        <f t="shared" si="6"/>
        <v>"https://www.zeldadungeon.net/maps/totk/tiles/sky/6/6_46.jpg",</v>
      </c>
      <c r="H230" t="str">
        <f t="shared" si="7"/>
        <v>6_46</v>
      </c>
    </row>
    <row r="231" spans="1:8" x14ac:dyDescent="0.2">
      <c r="A231" s="9" t="s">
        <v>51</v>
      </c>
      <c r="B231" t="s">
        <v>541</v>
      </c>
      <c r="C231" t="str">
        <f t="shared" si="6"/>
        <v>"https://www.zeldadungeon.net/maps/totk/tiles/sky/6/6_47.jpg",</v>
      </c>
      <c r="H231" t="str">
        <f t="shared" si="7"/>
        <v>6_47</v>
      </c>
    </row>
    <row r="232" spans="1:8" x14ac:dyDescent="0.2">
      <c r="A232" s="9" t="s">
        <v>51</v>
      </c>
      <c r="B232" t="s">
        <v>540</v>
      </c>
      <c r="C232" t="str">
        <f t="shared" si="6"/>
        <v>"https://www.zeldadungeon.net/maps/totk/tiles/sky/6/6_48.jpg",</v>
      </c>
      <c r="H232" t="str">
        <f t="shared" si="7"/>
        <v>6_48</v>
      </c>
    </row>
    <row r="233" spans="1:8" x14ac:dyDescent="0.2">
      <c r="A233" s="9" t="s">
        <v>51</v>
      </c>
      <c r="B233" t="s">
        <v>539</v>
      </c>
      <c r="C233" t="str">
        <f t="shared" si="6"/>
        <v>"https://www.zeldadungeon.net/maps/totk/tiles/sky/6/6_49.jpg",</v>
      </c>
      <c r="H233" t="str">
        <f t="shared" si="7"/>
        <v>6_49</v>
      </c>
    </row>
    <row r="234" spans="1:8" x14ac:dyDescent="0.2">
      <c r="A234" s="9" t="s">
        <v>51</v>
      </c>
      <c r="B234" t="s">
        <v>538</v>
      </c>
      <c r="C234" t="str">
        <f t="shared" si="6"/>
        <v>"https://www.zeldadungeon.net/maps/totk/tiles/sky/6/6_50.jpg",</v>
      </c>
      <c r="H234" t="str">
        <f t="shared" si="7"/>
        <v>6_50</v>
      </c>
    </row>
    <row r="235" spans="1:8" x14ac:dyDescent="0.2">
      <c r="A235" s="9" t="s">
        <v>51</v>
      </c>
      <c r="B235" t="s">
        <v>537</v>
      </c>
      <c r="C235" t="str">
        <f t="shared" si="6"/>
        <v>"https://www.zeldadungeon.net/maps/totk/tiles/sky/6/6_51.jpg",</v>
      </c>
      <c r="H235" t="str">
        <f t="shared" si="7"/>
        <v>6_51</v>
      </c>
    </row>
    <row r="236" spans="1:8" x14ac:dyDescent="0.2">
      <c r="A236" s="9" t="s">
        <v>51</v>
      </c>
      <c r="B236" t="s">
        <v>536</v>
      </c>
      <c r="C236" t="str">
        <f t="shared" si="6"/>
        <v>"https://www.zeldadungeon.net/maps/totk/tiles/sky/6/6_52.jpg",</v>
      </c>
      <c r="H236" t="str">
        <f t="shared" si="7"/>
        <v>6_52</v>
      </c>
    </row>
    <row r="237" spans="1:8" x14ac:dyDescent="0.2">
      <c r="A237" s="9" t="s">
        <v>51</v>
      </c>
      <c r="B237" t="s">
        <v>535</v>
      </c>
      <c r="C237" t="str">
        <f t="shared" si="6"/>
        <v>"https://www.zeldadungeon.net/maps/totk/tiles/sky/6/6_53.jpg",</v>
      </c>
      <c r="H237" t="str">
        <f t="shared" si="7"/>
        <v>6_53</v>
      </c>
    </row>
    <row r="238" spans="1:8" x14ac:dyDescent="0.2">
      <c r="A238" s="9" t="s">
        <v>51</v>
      </c>
      <c r="B238" t="s">
        <v>534</v>
      </c>
      <c r="C238" t="str">
        <f t="shared" si="6"/>
        <v>"https://www.zeldadungeon.net/maps/totk/tiles/sky/6/6_54.jpg",</v>
      </c>
      <c r="H238" t="str">
        <f t="shared" si="7"/>
        <v>6_54</v>
      </c>
    </row>
    <row r="239" spans="1:8" x14ac:dyDescent="0.2">
      <c r="A239" s="9" t="s">
        <v>51</v>
      </c>
      <c r="B239" t="s">
        <v>533</v>
      </c>
      <c r="C239" t="str">
        <f t="shared" si="6"/>
        <v>"https://www.zeldadungeon.net/maps/totk/tiles/sky/6/6_55.jpg",</v>
      </c>
      <c r="H239" t="str">
        <f t="shared" si="7"/>
        <v>6_55</v>
      </c>
    </row>
    <row r="240" spans="1:8" x14ac:dyDescent="0.2">
      <c r="A240" s="9" t="s">
        <v>51</v>
      </c>
      <c r="B240" t="s">
        <v>532</v>
      </c>
      <c r="C240" t="str">
        <f t="shared" si="6"/>
        <v>"https://www.zeldadungeon.net/maps/totk/tiles/sky/6/7_8.jpg",</v>
      </c>
      <c r="H240" t="str">
        <f t="shared" si="7"/>
        <v>7_8</v>
      </c>
    </row>
    <row r="241" spans="1:8" x14ac:dyDescent="0.2">
      <c r="A241" s="9" t="s">
        <v>51</v>
      </c>
      <c r="B241" t="s">
        <v>531</v>
      </c>
      <c r="C241" t="str">
        <f t="shared" si="6"/>
        <v>"https://www.zeldadungeon.net/maps/totk/tiles/sky/6/7_9.jpg",</v>
      </c>
      <c r="H241" t="str">
        <f t="shared" si="7"/>
        <v>7_9</v>
      </c>
    </row>
    <row r="242" spans="1:8" x14ac:dyDescent="0.2">
      <c r="A242" s="9" t="s">
        <v>51</v>
      </c>
      <c r="B242" t="s">
        <v>530</v>
      </c>
      <c r="C242" t="str">
        <f t="shared" si="6"/>
        <v>"https://www.zeldadungeon.net/maps/totk/tiles/sky/6/7_10.jpg",</v>
      </c>
      <c r="H242" t="str">
        <f t="shared" si="7"/>
        <v>7_10</v>
      </c>
    </row>
    <row r="243" spans="1:8" x14ac:dyDescent="0.2">
      <c r="A243" s="9" t="s">
        <v>51</v>
      </c>
      <c r="B243" t="s">
        <v>529</v>
      </c>
      <c r="C243" t="str">
        <f t="shared" si="6"/>
        <v>"https://www.zeldadungeon.net/maps/totk/tiles/sky/6/7_11.jpg",</v>
      </c>
      <c r="H243" t="str">
        <f t="shared" si="7"/>
        <v>7_11</v>
      </c>
    </row>
    <row r="244" spans="1:8" x14ac:dyDescent="0.2">
      <c r="A244" s="9" t="s">
        <v>51</v>
      </c>
      <c r="B244" t="s">
        <v>528</v>
      </c>
      <c r="C244" t="str">
        <f t="shared" si="6"/>
        <v>"https://www.zeldadungeon.net/maps/totk/tiles/sky/6/7_12.jpg",</v>
      </c>
      <c r="H244" t="str">
        <f t="shared" si="7"/>
        <v>7_12</v>
      </c>
    </row>
    <row r="245" spans="1:8" x14ac:dyDescent="0.2">
      <c r="A245" s="9" t="s">
        <v>51</v>
      </c>
      <c r="B245" t="s">
        <v>527</v>
      </c>
      <c r="C245" t="str">
        <f t="shared" si="6"/>
        <v>"https://www.zeldadungeon.net/maps/totk/tiles/sky/6/7_13.jpg",</v>
      </c>
      <c r="H245" t="str">
        <f t="shared" si="7"/>
        <v>7_13</v>
      </c>
    </row>
    <row r="246" spans="1:8" x14ac:dyDescent="0.2">
      <c r="A246" s="9" t="s">
        <v>51</v>
      </c>
      <c r="B246" t="s">
        <v>526</v>
      </c>
      <c r="C246" t="str">
        <f t="shared" si="6"/>
        <v>"https://www.zeldadungeon.net/maps/totk/tiles/sky/6/7_14.jpg",</v>
      </c>
      <c r="H246" t="str">
        <f t="shared" si="7"/>
        <v>7_14</v>
      </c>
    </row>
    <row r="247" spans="1:8" x14ac:dyDescent="0.2">
      <c r="A247" s="9" t="s">
        <v>51</v>
      </c>
      <c r="B247" t="s">
        <v>525</v>
      </c>
      <c r="C247" t="str">
        <f t="shared" si="6"/>
        <v>"https://www.zeldadungeon.net/maps/totk/tiles/sky/6/7_15.jpg",</v>
      </c>
      <c r="H247" t="str">
        <f t="shared" si="7"/>
        <v>7_15</v>
      </c>
    </row>
    <row r="248" spans="1:8" x14ac:dyDescent="0.2">
      <c r="A248" s="9" t="s">
        <v>51</v>
      </c>
      <c r="B248" t="s">
        <v>524</v>
      </c>
      <c r="C248" t="str">
        <f t="shared" si="6"/>
        <v>"https://www.zeldadungeon.net/maps/totk/tiles/sky/6/7_16.jpg",</v>
      </c>
      <c r="H248" t="str">
        <f t="shared" si="7"/>
        <v>7_16</v>
      </c>
    </row>
    <row r="249" spans="1:8" x14ac:dyDescent="0.2">
      <c r="A249" s="9" t="s">
        <v>51</v>
      </c>
      <c r="B249" t="s">
        <v>523</v>
      </c>
      <c r="C249" t="str">
        <f t="shared" si="6"/>
        <v>"https://www.zeldadungeon.net/maps/totk/tiles/sky/6/7_17.jpg",</v>
      </c>
      <c r="H249" t="str">
        <f t="shared" si="7"/>
        <v>7_17</v>
      </c>
    </row>
    <row r="250" spans="1:8" x14ac:dyDescent="0.2">
      <c r="A250" s="9" t="s">
        <v>51</v>
      </c>
      <c r="B250" t="s">
        <v>522</v>
      </c>
      <c r="C250" t="str">
        <f t="shared" si="6"/>
        <v>"https://www.zeldadungeon.net/maps/totk/tiles/sky/6/7_18.jpg",</v>
      </c>
      <c r="H250" t="str">
        <f t="shared" si="7"/>
        <v>7_18</v>
      </c>
    </row>
    <row r="251" spans="1:8" x14ac:dyDescent="0.2">
      <c r="A251" s="9" t="s">
        <v>51</v>
      </c>
      <c r="B251" t="s">
        <v>521</v>
      </c>
      <c r="C251" t="str">
        <f t="shared" si="6"/>
        <v>"https://www.zeldadungeon.net/maps/totk/tiles/sky/6/7_19.jpg",</v>
      </c>
      <c r="H251" t="str">
        <f t="shared" si="7"/>
        <v>7_19</v>
      </c>
    </row>
    <row r="252" spans="1:8" x14ac:dyDescent="0.2">
      <c r="A252" s="9" t="s">
        <v>51</v>
      </c>
      <c r="B252" t="s">
        <v>520</v>
      </c>
      <c r="C252" t="str">
        <f t="shared" si="6"/>
        <v>"https://www.zeldadungeon.net/maps/totk/tiles/sky/6/7_20.jpg",</v>
      </c>
      <c r="H252" t="str">
        <f t="shared" si="7"/>
        <v>7_20</v>
      </c>
    </row>
    <row r="253" spans="1:8" x14ac:dyDescent="0.2">
      <c r="A253" s="9" t="s">
        <v>51</v>
      </c>
      <c r="B253" t="s">
        <v>519</v>
      </c>
      <c r="C253" t="str">
        <f t="shared" si="6"/>
        <v>"https://www.zeldadungeon.net/maps/totk/tiles/sky/6/7_21.jpg",</v>
      </c>
      <c r="H253" t="str">
        <f t="shared" si="7"/>
        <v>7_21</v>
      </c>
    </row>
    <row r="254" spans="1:8" x14ac:dyDescent="0.2">
      <c r="A254" s="9" t="s">
        <v>51</v>
      </c>
      <c r="B254" t="s">
        <v>518</v>
      </c>
      <c r="C254" t="str">
        <f t="shared" si="6"/>
        <v>"https://www.zeldadungeon.net/maps/totk/tiles/sky/6/7_22.jpg",</v>
      </c>
      <c r="H254" t="str">
        <f t="shared" si="7"/>
        <v>7_22</v>
      </c>
    </row>
    <row r="255" spans="1:8" x14ac:dyDescent="0.2">
      <c r="A255" s="9" t="s">
        <v>51</v>
      </c>
      <c r="B255" t="s">
        <v>517</v>
      </c>
      <c r="C255" t="str">
        <f t="shared" si="6"/>
        <v>"https://www.zeldadungeon.net/maps/totk/tiles/sky/6/7_23.jpg",</v>
      </c>
      <c r="H255" t="str">
        <f t="shared" si="7"/>
        <v>7_23</v>
      </c>
    </row>
    <row r="256" spans="1:8" x14ac:dyDescent="0.2">
      <c r="A256" s="9" t="s">
        <v>51</v>
      </c>
      <c r="B256" t="s">
        <v>516</v>
      </c>
      <c r="C256" t="str">
        <f t="shared" si="6"/>
        <v>"https://www.zeldadungeon.net/maps/totk/tiles/sky/6/7_24.jpg",</v>
      </c>
      <c r="H256" t="str">
        <f t="shared" si="7"/>
        <v>7_24</v>
      </c>
    </row>
    <row r="257" spans="1:8" x14ac:dyDescent="0.2">
      <c r="A257" s="9" t="s">
        <v>51</v>
      </c>
      <c r="B257" t="s">
        <v>515</v>
      </c>
      <c r="C257" t="str">
        <f t="shared" ref="C257:C320" si="8">""""&amp;SUBSTITUTE(A257,"zzz",H257)&amp;""""&amp;","</f>
        <v>"https://www.zeldadungeon.net/maps/totk/tiles/sky/6/7_25.jpg",</v>
      </c>
      <c r="H257" t="str">
        <f t="shared" ref="H257:H320" si="9">QUOTIENT(ROW(A257),48)+2&amp;"_"&amp;MOD(ROW(A257),48)+8</f>
        <v>7_25</v>
      </c>
    </row>
    <row r="258" spans="1:8" x14ac:dyDescent="0.2">
      <c r="A258" s="9" t="s">
        <v>51</v>
      </c>
      <c r="B258" t="s">
        <v>514</v>
      </c>
      <c r="C258" t="str">
        <f t="shared" si="8"/>
        <v>"https://www.zeldadungeon.net/maps/totk/tiles/sky/6/7_26.jpg",</v>
      </c>
      <c r="H258" t="str">
        <f t="shared" si="9"/>
        <v>7_26</v>
      </c>
    </row>
    <row r="259" spans="1:8" x14ac:dyDescent="0.2">
      <c r="A259" s="9" t="s">
        <v>51</v>
      </c>
      <c r="B259" t="s">
        <v>513</v>
      </c>
      <c r="C259" t="str">
        <f t="shared" si="8"/>
        <v>"https://www.zeldadungeon.net/maps/totk/tiles/sky/6/7_27.jpg",</v>
      </c>
      <c r="H259" t="str">
        <f t="shared" si="9"/>
        <v>7_27</v>
      </c>
    </row>
    <row r="260" spans="1:8" x14ac:dyDescent="0.2">
      <c r="A260" s="9" t="s">
        <v>51</v>
      </c>
      <c r="B260" t="s">
        <v>512</v>
      </c>
      <c r="C260" t="str">
        <f t="shared" si="8"/>
        <v>"https://www.zeldadungeon.net/maps/totk/tiles/sky/6/7_28.jpg",</v>
      </c>
      <c r="H260" t="str">
        <f t="shared" si="9"/>
        <v>7_28</v>
      </c>
    </row>
    <row r="261" spans="1:8" x14ac:dyDescent="0.2">
      <c r="A261" s="9" t="s">
        <v>51</v>
      </c>
      <c r="B261" t="s">
        <v>511</v>
      </c>
      <c r="C261" t="str">
        <f t="shared" si="8"/>
        <v>"https://www.zeldadungeon.net/maps/totk/tiles/sky/6/7_29.jpg",</v>
      </c>
      <c r="H261" t="str">
        <f t="shared" si="9"/>
        <v>7_29</v>
      </c>
    </row>
    <row r="262" spans="1:8" x14ac:dyDescent="0.2">
      <c r="A262" s="9" t="s">
        <v>51</v>
      </c>
      <c r="B262" t="s">
        <v>510</v>
      </c>
      <c r="C262" t="str">
        <f t="shared" si="8"/>
        <v>"https://www.zeldadungeon.net/maps/totk/tiles/sky/6/7_30.jpg",</v>
      </c>
      <c r="H262" t="str">
        <f t="shared" si="9"/>
        <v>7_30</v>
      </c>
    </row>
    <row r="263" spans="1:8" x14ac:dyDescent="0.2">
      <c r="A263" s="9" t="s">
        <v>51</v>
      </c>
      <c r="B263" t="s">
        <v>509</v>
      </c>
      <c r="C263" t="str">
        <f t="shared" si="8"/>
        <v>"https://www.zeldadungeon.net/maps/totk/tiles/sky/6/7_31.jpg",</v>
      </c>
      <c r="H263" t="str">
        <f t="shared" si="9"/>
        <v>7_31</v>
      </c>
    </row>
    <row r="264" spans="1:8" x14ac:dyDescent="0.2">
      <c r="A264" s="9" t="s">
        <v>51</v>
      </c>
      <c r="B264" t="s">
        <v>508</v>
      </c>
      <c r="C264" t="str">
        <f t="shared" si="8"/>
        <v>"https://www.zeldadungeon.net/maps/totk/tiles/sky/6/7_32.jpg",</v>
      </c>
      <c r="H264" t="str">
        <f t="shared" si="9"/>
        <v>7_32</v>
      </c>
    </row>
    <row r="265" spans="1:8" x14ac:dyDescent="0.2">
      <c r="A265" s="9" t="s">
        <v>51</v>
      </c>
      <c r="B265" t="s">
        <v>507</v>
      </c>
      <c r="C265" t="str">
        <f t="shared" si="8"/>
        <v>"https://www.zeldadungeon.net/maps/totk/tiles/sky/6/7_33.jpg",</v>
      </c>
      <c r="H265" t="str">
        <f t="shared" si="9"/>
        <v>7_33</v>
      </c>
    </row>
    <row r="266" spans="1:8" x14ac:dyDescent="0.2">
      <c r="A266" s="9" t="s">
        <v>51</v>
      </c>
      <c r="B266" t="s">
        <v>506</v>
      </c>
      <c r="C266" t="str">
        <f t="shared" si="8"/>
        <v>"https://www.zeldadungeon.net/maps/totk/tiles/sky/6/7_34.jpg",</v>
      </c>
      <c r="H266" t="str">
        <f t="shared" si="9"/>
        <v>7_34</v>
      </c>
    </row>
    <row r="267" spans="1:8" x14ac:dyDescent="0.2">
      <c r="A267" s="9" t="s">
        <v>51</v>
      </c>
      <c r="B267" t="s">
        <v>505</v>
      </c>
      <c r="C267" t="str">
        <f t="shared" si="8"/>
        <v>"https://www.zeldadungeon.net/maps/totk/tiles/sky/6/7_35.jpg",</v>
      </c>
      <c r="H267" t="str">
        <f t="shared" si="9"/>
        <v>7_35</v>
      </c>
    </row>
    <row r="268" spans="1:8" x14ac:dyDescent="0.2">
      <c r="A268" s="9" t="s">
        <v>51</v>
      </c>
      <c r="B268" t="s">
        <v>504</v>
      </c>
      <c r="C268" t="str">
        <f t="shared" si="8"/>
        <v>"https://www.zeldadungeon.net/maps/totk/tiles/sky/6/7_36.jpg",</v>
      </c>
      <c r="H268" t="str">
        <f t="shared" si="9"/>
        <v>7_36</v>
      </c>
    </row>
    <row r="269" spans="1:8" x14ac:dyDescent="0.2">
      <c r="A269" s="9" t="s">
        <v>51</v>
      </c>
      <c r="B269" t="s">
        <v>503</v>
      </c>
      <c r="C269" t="str">
        <f t="shared" si="8"/>
        <v>"https://www.zeldadungeon.net/maps/totk/tiles/sky/6/7_37.jpg",</v>
      </c>
      <c r="H269" t="str">
        <f t="shared" si="9"/>
        <v>7_37</v>
      </c>
    </row>
    <row r="270" spans="1:8" x14ac:dyDescent="0.2">
      <c r="A270" s="9" t="s">
        <v>51</v>
      </c>
      <c r="B270" t="s">
        <v>502</v>
      </c>
      <c r="C270" t="str">
        <f t="shared" si="8"/>
        <v>"https://www.zeldadungeon.net/maps/totk/tiles/sky/6/7_38.jpg",</v>
      </c>
      <c r="H270" t="str">
        <f t="shared" si="9"/>
        <v>7_38</v>
      </c>
    </row>
    <row r="271" spans="1:8" x14ac:dyDescent="0.2">
      <c r="A271" s="9" t="s">
        <v>51</v>
      </c>
      <c r="B271" t="s">
        <v>501</v>
      </c>
      <c r="C271" t="str">
        <f t="shared" si="8"/>
        <v>"https://www.zeldadungeon.net/maps/totk/tiles/sky/6/7_39.jpg",</v>
      </c>
      <c r="H271" t="str">
        <f t="shared" si="9"/>
        <v>7_39</v>
      </c>
    </row>
    <row r="272" spans="1:8" x14ac:dyDescent="0.2">
      <c r="A272" s="9" t="s">
        <v>51</v>
      </c>
      <c r="B272" t="s">
        <v>500</v>
      </c>
      <c r="C272" t="str">
        <f t="shared" si="8"/>
        <v>"https://www.zeldadungeon.net/maps/totk/tiles/sky/6/7_40.jpg",</v>
      </c>
      <c r="H272" t="str">
        <f t="shared" si="9"/>
        <v>7_40</v>
      </c>
    </row>
    <row r="273" spans="1:8" x14ac:dyDescent="0.2">
      <c r="A273" s="9" t="s">
        <v>51</v>
      </c>
      <c r="B273" t="s">
        <v>499</v>
      </c>
      <c r="C273" t="str">
        <f t="shared" si="8"/>
        <v>"https://www.zeldadungeon.net/maps/totk/tiles/sky/6/7_41.jpg",</v>
      </c>
      <c r="H273" t="str">
        <f t="shared" si="9"/>
        <v>7_41</v>
      </c>
    </row>
    <row r="274" spans="1:8" x14ac:dyDescent="0.2">
      <c r="A274" s="9" t="s">
        <v>51</v>
      </c>
      <c r="B274" t="s">
        <v>498</v>
      </c>
      <c r="C274" t="str">
        <f t="shared" si="8"/>
        <v>"https://www.zeldadungeon.net/maps/totk/tiles/sky/6/7_42.jpg",</v>
      </c>
      <c r="H274" t="str">
        <f t="shared" si="9"/>
        <v>7_42</v>
      </c>
    </row>
    <row r="275" spans="1:8" x14ac:dyDescent="0.2">
      <c r="A275" s="9" t="s">
        <v>51</v>
      </c>
      <c r="B275" t="s">
        <v>497</v>
      </c>
      <c r="C275" t="str">
        <f t="shared" si="8"/>
        <v>"https://www.zeldadungeon.net/maps/totk/tiles/sky/6/7_43.jpg",</v>
      </c>
      <c r="H275" t="str">
        <f t="shared" si="9"/>
        <v>7_43</v>
      </c>
    </row>
    <row r="276" spans="1:8" x14ac:dyDescent="0.2">
      <c r="A276" s="9" t="s">
        <v>51</v>
      </c>
      <c r="B276" t="s">
        <v>496</v>
      </c>
      <c r="C276" t="str">
        <f t="shared" si="8"/>
        <v>"https://www.zeldadungeon.net/maps/totk/tiles/sky/6/7_44.jpg",</v>
      </c>
      <c r="H276" t="str">
        <f t="shared" si="9"/>
        <v>7_44</v>
      </c>
    </row>
    <row r="277" spans="1:8" x14ac:dyDescent="0.2">
      <c r="A277" s="9" t="s">
        <v>51</v>
      </c>
      <c r="B277" t="s">
        <v>495</v>
      </c>
      <c r="C277" t="str">
        <f t="shared" si="8"/>
        <v>"https://www.zeldadungeon.net/maps/totk/tiles/sky/6/7_45.jpg",</v>
      </c>
      <c r="H277" t="str">
        <f t="shared" si="9"/>
        <v>7_45</v>
      </c>
    </row>
    <row r="278" spans="1:8" x14ac:dyDescent="0.2">
      <c r="A278" s="9" t="s">
        <v>51</v>
      </c>
      <c r="B278" t="s">
        <v>494</v>
      </c>
      <c r="C278" t="str">
        <f t="shared" si="8"/>
        <v>"https://www.zeldadungeon.net/maps/totk/tiles/sky/6/7_46.jpg",</v>
      </c>
      <c r="H278" t="str">
        <f t="shared" si="9"/>
        <v>7_46</v>
      </c>
    </row>
    <row r="279" spans="1:8" x14ac:dyDescent="0.2">
      <c r="A279" s="9" t="s">
        <v>51</v>
      </c>
      <c r="B279" t="s">
        <v>493</v>
      </c>
      <c r="C279" t="str">
        <f t="shared" si="8"/>
        <v>"https://www.zeldadungeon.net/maps/totk/tiles/sky/6/7_47.jpg",</v>
      </c>
      <c r="H279" t="str">
        <f t="shared" si="9"/>
        <v>7_47</v>
      </c>
    </row>
    <row r="280" spans="1:8" x14ac:dyDescent="0.2">
      <c r="A280" s="9" t="s">
        <v>51</v>
      </c>
      <c r="B280" t="s">
        <v>492</v>
      </c>
      <c r="C280" t="str">
        <f t="shared" si="8"/>
        <v>"https://www.zeldadungeon.net/maps/totk/tiles/sky/6/7_48.jpg",</v>
      </c>
      <c r="H280" t="str">
        <f t="shared" si="9"/>
        <v>7_48</v>
      </c>
    </row>
    <row r="281" spans="1:8" x14ac:dyDescent="0.2">
      <c r="A281" s="9" t="s">
        <v>51</v>
      </c>
      <c r="B281" t="s">
        <v>491</v>
      </c>
      <c r="C281" t="str">
        <f t="shared" si="8"/>
        <v>"https://www.zeldadungeon.net/maps/totk/tiles/sky/6/7_49.jpg",</v>
      </c>
      <c r="H281" t="str">
        <f t="shared" si="9"/>
        <v>7_49</v>
      </c>
    </row>
    <row r="282" spans="1:8" x14ac:dyDescent="0.2">
      <c r="A282" s="9" t="s">
        <v>51</v>
      </c>
      <c r="B282" t="s">
        <v>490</v>
      </c>
      <c r="C282" t="str">
        <f t="shared" si="8"/>
        <v>"https://www.zeldadungeon.net/maps/totk/tiles/sky/6/7_50.jpg",</v>
      </c>
      <c r="H282" t="str">
        <f t="shared" si="9"/>
        <v>7_50</v>
      </c>
    </row>
    <row r="283" spans="1:8" x14ac:dyDescent="0.2">
      <c r="A283" s="9" t="s">
        <v>51</v>
      </c>
      <c r="B283" t="s">
        <v>489</v>
      </c>
      <c r="C283" t="str">
        <f t="shared" si="8"/>
        <v>"https://www.zeldadungeon.net/maps/totk/tiles/sky/6/7_51.jpg",</v>
      </c>
      <c r="H283" t="str">
        <f t="shared" si="9"/>
        <v>7_51</v>
      </c>
    </row>
    <row r="284" spans="1:8" x14ac:dyDescent="0.2">
      <c r="A284" s="9" t="s">
        <v>51</v>
      </c>
      <c r="B284" t="s">
        <v>488</v>
      </c>
      <c r="C284" t="str">
        <f t="shared" si="8"/>
        <v>"https://www.zeldadungeon.net/maps/totk/tiles/sky/6/7_52.jpg",</v>
      </c>
      <c r="H284" t="str">
        <f t="shared" si="9"/>
        <v>7_52</v>
      </c>
    </row>
    <row r="285" spans="1:8" x14ac:dyDescent="0.2">
      <c r="A285" s="9" t="s">
        <v>51</v>
      </c>
      <c r="B285" t="s">
        <v>487</v>
      </c>
      <c r="C285" t="str">
        <f t="shared" si="8"/>
        <v>"https://www.zeldadungeon.net/maps/totk/tiles/sky/6/7_53.jpg",</v>
      </c>
      <c r="H285" t="str">
        <f t="shared" si="9"/>
        <v>7_53</v>
      </c>
    </row>
    <row r="286" spans="1:8" x14ac:dyDescent="0.2">
      <c r="A286" s="9" t="s">
        <v>51</v>
      </c>
      <c r="B286" t="s">
        <v>486</v>
      </c>
      <c r="C286" t="str">
        <f t="shared" si="8"/>
        <v>"https://www.zeldadungeon.net/maps/totk/tiles/sky/6/7_54.jpg",</v>
      </c>
      <c r="H286" t="str">
        <f t="shared" si="9"/>
        <v>7_54</v>
      </c>
    </row>
    <row r="287" spans="1:8" x14ac:dyDescent="0.2">
      <c r="A287" s="9" t="s">
        <v>51</v>
      </c>
      <c r="B287" t="s">
        <v>485</v>
      </c>
      <c r="C287" t="str">
        <f t="shared" si="8"/>
        <v>"https://www.zeldadungeon.net/maps/totk/tiles/sky/6/7_55.jpg",</v>
      </c>
      <c r="H287" t="str">
        <f t="shared" si="9"/>
        <v>7_55</v>
      </c>
    </row>
    <row r="288" spans="1:8" x14ac:dyDescent="0.2">
      <c r="A288" s="9" t="s">
        <v>51</v>
      </c>
      <c r="B288" t="s">
        <v>484</v>
      </c>
      <c r="C288" t="str">
        <f t="shared" si="8"/>
        <v>"https://www.zeldadungeon.net/maps/totk/tiles/sky/6/8_8.jpg",</v>
      </c>
      <c r="H288" t="str">
        <f t="shared" si="9"/>
        <v>8_8</v>
      </c>
    </row>
    <row r="289" spans="1:8" x14ac:dyDescent="0.2">
      <c r="A289" s="9" t="s">
        <v>51</v>
      </c>
      <c r="B289" t="s">
        <v>483</v>
      </c>
      <c r="C289" t="str">
        <f t="shared" si="8"/>
        <v>"https://www.zeldadungeon.net/maps/totk/tiles/sky/6/8_9.jpg",</v>
      </c>
      <c r="H289" t="str">
        <f t="shared" si="9"/>
        <v>8_9</v>
      </c>
    </row>
    <row r="290" spans="1:8" x14ac:dyDescent="0.2">
      <c r="A290" s="9" t="s">
        <v>51</v>
      </c>
      <c r="B290" t="s">
        <v>482</v>
      </c>
      <c r="C290" t="str">
        <f t="shared" si="8"/>
        <v>"https://www.zeldadungeon.net/maps/totk/tiles/sky/6/8_10.jpg",</v>
      </c>
      <c r="H290" t="str">
        <f t="shared" si="9"/>
        <v>8_10</v>
      </c>
    </row>
    <row r="291" spans="1:8" x14ac:dyDescent="0.2">
      <c r="A291" s="9" t="s">
        <v>51</v>
      </c>
      <c r="B291" t="s">
        <v>481</v>
      </c>
      <c r="C291" t="str">
        <f t="shared" si="8"/>
        <v>"https://www.zeldadungeon.net/maps/totk/tiles/sky/6/8_11.jpg",</v>
      </c>
      <c r="H291" t="str">
        <f t="shared" si="9"/>
        <v>8_11</v>
      </c>
    </row>
    <row r="292" spans="1:8" x14ac:dyDescent="0.2">
      <c r="A292" s="9" t="s">
        <v>51</v>
      </c>
      <c r="B292" t="s">
        <v>480</v>
      </c>
      <c r="C292" t="str">
        <f t="shared" si="8"/>
        <v>"https://www.zeldadungeon.net/maps/totk/tiles/sky/6/8_12.jpg",</v>
      </c>
      <c r="H292" t="str">
        <f t="shared" si="9"/>
        <v>8_12</v>
      </c>
    </row>
    <row r="293" spans="1:8" x14ac:dyDescent="0.2">
      <c r="A293" s="9" t="s">
        <v>51</v>
      </c>
      <c r="B293" t="s">
        <v>479</v>
      </c>
      <c r="C293" t="str">
        <f t="shared" si="8"/>
        <v>"https://www.zeldadungeon.net/maps/totk/tiles/sky/6/8_13.jpg",</v>
      </c>
      <c r="H293" t="str">
        <f t="shared" si="9"/>
        <v>8_13</v>
      </c>
    </row>
    <row r="294" spans="1:8" x14ac:dyDescent="0.2">
      <c r="A294" s="9" t="s">
        <v>51</v>
      </c>
      <c r="B294" t="s">
        <v>478</v>
      </c>
      <c r="C294" t="str">
        <f t="shared" si="8"/>
        <v>"https://www.zeldadungeon.net/maps/totk/tiles/sky/6/8_14.jpg",</v>
      </c>
      <c r="H294" t="str">
        <f t="shared" si="9"/>
        <v>8_14</v>
      </c>
    </row>
    <row r="295" spans="1:8" x14ac:dyDescent="0.2">
      <c r="A295" s="9" t="s">
        <v>51</v>
      </c>
      <c r="B295" t="s">
        <v>477</v>
      </c>
      <c r="C295" t="str">
        <f t="shared" si="8"/>
        <v>"https://www.zeldadungeon.net/maps/totk/tiles/sky/6/8_15.jpg",</v>
      </c>
      <c r="H295" t="str">
        <f t="shared" si="9"/>
        <v>8_15</v>
      </c>
    </row>
    <row r="296" spans="1:8" x14ac:dyDescent="0.2">
      <c r="A296" s="9" t="s">
        <v>51</v>
      </c>
      <c r="B296" t="s">
        <v>476</v>
      </c>
      <c r="C296" t="str">
        <f t="shared" si="8"/>
        <v>"https://www.zeldadungeon.net/maps/totk/tiles/sky/6/8_16.jpg",</v>
      </c>
      <c r="H296" t="str">
        <f t="shared" si="9"/>
        <v>8_16</v>
      </c>
    </row>
    <row r="297" spans="1:8" x14ac:dyDescent="0.2">
      <c r="A297" s="9" t="s">
        <v>51</v>
      </c>
      <c r="B297" t="s">
        <v>475</v>
      </c>
      <c r="C297" t="str">
        <f t="shared" si="8"/>
        <v>"https://www.zeldadungeon.net/maps/totk/tiles/sky/6/8_17.jpg",</v>
      </c>
      <c r="H297" t="str">
        <f t="shared" si="9"/>
        <v>8_17</v>
      </c>
    </row>
    <row r="298" spans="1:8" x14ac:dyDescent="0.2">
      <c r="A298" s="9" t="s">
        <v>51</v>
      </c>
      <c r="B298" t="s">
        <v>474</v>
      </c>
      <c r="C298" t="str">
        <f t="shared" si="8"/>
        <v>"https://www.zeldadungeon.net/maps/totk/tiles/sky/6/8_18.jpg",</v>
      </c>
      <c r="H298" t="str">
        <f t="shared" si="9"/>
        <v>8_18</v>
      </c>
    </row>
    <row r="299" spans="1:8" x14ac:dyDescent="0.2">
      <c r="A299" s="9" t="s">
        <v>51</v>
      </c>
      <c r="B299" t="s">
        <v>473</v>
      </c>
      <c r="C299" t="str">
        <f t="shared" si="8"/>
        <v>"https://www.zeldadungeon.net/maps/totk/tiles/sky/6/8_19.jpg",</v>
      </c>
      <c r="H299" t="str">
        <f t="shared" si="9"/>
        <v>8_19</v>
      </c>
    </row>
    <row r="300" spans="1:8" x14ac:dyDescent="0.2">
      <c r="A300" s="9" t="s">
        <v>51</v>
      </c>
      <c r="B300" t="s">
        <v>472</v>
      </c>
      <c r="C300" t="str">
        <f t="shared" si="8"/>
        <v>"https://www.zeldadungeon.net/maps/totk/tiles/sky/6/8_20.jpg",</v>
      </c>
      <c r="H300" t="str">
        <f t="shared" si="9"/>
        <v>8_20</v>
      </c>
    </row>
    <row r="301" spans="1:8" x14ac:dyDescent="0.2">
      <c r="A301" s="9" t="s">
        <v>51</v>
      </c>
      <c r="B301" t="s">
        <v>471</v>
      </c>
      <c r="C301" t="str">
        <f t="shared" si="8"/>
        <v>"https://www.zeldadungeon.net/maps/totk/tiles/sky/6/8_21.jpg",</v>
      </c>
      <c r="H301" t="str">
        <f t="shared" si="9"/>
        <v>8_21</v>
      </c>
    </row>
    <row r="302" spans="1:8" x14ac:dyDescent="0.2">
      <c r="A302" s="9" t="s">
        <v>51</v>
      </c>
      <c r="B302" t="s">
        <v>470</v>
      </c>
      <c r="C302" t="str">
        <f t="shared" si="8"/>
        <v>"https://www.zeldadungeon.net/maps/totk/tiles/sky/6/8_22.jpg",</v>
      </c>
      <c r="H302" t="str">
        <f t="shared" si="9"/>
        <v>8_22</v>
      </c>
    </row>
    <row r="303" spans="1:8" x14ac:dyDescent="0.2">
      <c r="A303" s="9" t="s">
        <v>51</v>
      </c>
      <c r="B303" t="s">
        <v>469</v>
      </c>
      <c r="C303" t="str">
        <f t="shared" si="8"/>
        <v>"https://www.zeldadungeon.net/maps/totk/tiles/sky/6/8_23.jpg",</v>
      </c>
      <c r="H303" t="str">
        <f t="shared" si="9"/>
        <v>8_23</v>
      </c>
    </row>
    <row r="304" spans="1:8" x14ac:dyDescent="0.2">
      <c r="A304" s="9" t="s">
        <v>51</v>
      </c>
      <c r="B304" t="s">
        <v>468</v>
      </c>
      <c r="C304" t="str">
        <f t="shared" si="8"/>
        <v>"https://www.zeldadungeon.net/maps/totk/tiles/sky/6/8_24.jpg",</v>
      </c>
      <c r="H304" t="str">
        <f t="shared" si="9"/>
        <v>8_24</v>
      </c>
    </row>
    <row r="305" spans="1:8" x14ac:dyDescent="0.2">
      <c r="A305" s="9" t="s">
        <v>51</v>
      </c>
      <c r="B305" t="s">
        <v>467</v>
      </c>
      <c r="C305" t="str">
        <f t="shared" si="8"/>
        <v>"https://www.zeldadungeon.net/maps/totk/tiles/sky/6/8_25.jpg",</v>
      </c>
      <c r="H305" t="str">
        <f t="shared" si="9"/>
        <v>8_25</v>
      </c>
    </row>
    <row r="306" spans="1:8" x14ac:dyDescent="0.2">
      <c r="A306" s="9" t="s">
        <v>51</v>
      </c>
      <c r="B306" t="s">
        <v>466</v>
      </c>
      <c r="C306" t="str">
        <f t="shared" si="8"/>
        <v>"https://www.zeldadungeon.net/maps/totk/tiles/sky/6/8_26.jpg",</v>
      </c>
      <c r="H306" t="str">
        <f t="shared" si="9"/>
        <v>8_26</v>
      </c>
    </row>
    <row r="307" spans="1:8" x14ac:dyDescent="0.2">
      <c r="A307" s="9" t="s">
        <v>51</v>
      </c>
      <c r="B307" t="s">
        <v>465</v>
      </c>
      <c r="C307" t="str">
        <f t="shared" si="8"/>
        <v>"https://www.zeldadungeon.net/maps/totk/tiles/sky/6/8_27.jpg",</v>
      </c>
      <c r="H307" t="str">
        <f t="shared" si="9"/>
        <v>8_27</v>
      </c>
    </row>
    <row r="308" spans="1:8" x14ac:dyDescent="0.2">
      <c r="A308" s="9" t="s">
        <v>51</v>
      </c>
      <c r="B308" t="s">
        <v>464</v>
      </c>
      <c r="C308" t="str">
        <f t="shared" si="8"/>
        <v>"https://www.zeldadungeon.net/maps/totk/tiles/sky/6/8_28.jpg",</v>
      </c>
      <c r="H308" t="str">
        <f t="shared" si="9"/>
        <v>8_28</v>
      </c>
    </row>
    <row r="309" spans="1:8" x14ac:dyDescent="0.2">
      <c r="A309" s="9" t="s">
        <v>51</v>
      </c>
      <c r="B309" t="s">
        <v>463</v>
      </c>
      <c r="C309" t="str">
        <f t="shared" si="8"/>
        <v>"https://www.zeldadungeon.net/maps/totk/tiles/sky/6/8_29.jpg",</v>
      </c>
      <c r="H309" t="str">
        <f t="shared" si="9"/>
        <v>8_29</v>
      </c>
    </row>
    <row r="310" spans="1:8" x14ac:dyDescent="0.2">
      <c r="A310" s="9" t="s">
        <v>51</v>
      </c>
      <c r="B310" t="s">
        <v>462</v>
      </c>
      <c r="C310" t="str">
        <f t="shared" si="8"/>
        <v>"https://www.zeldadungeon.net/maps/totk/tiles/sky/6/8_30.jpg",</v>
      </c>
      <c r="H310" t="str">
        <f t="shared" si="9"/>
        <v>8_30</v>
      </c>
    </row>
    <row r="311" spans="1:8" x14ac:dyDescent="0.2">
      <c r="A311" s="9" t="s">
        <v>51</v>
      </c>
      <c r="B311" t="s">
        <v>461</v>
      </c>
      <c r="C311" t="str">
        <f t="shared" si="8"/>
        <v>"https://www.zeldadungeon.net/maps/totk/tiles/sky/6/8_31.jpg",</v>
      </c>
      <c r="H311" t="str">
        <f t="shared" si="9"/>
        <v>8_31</v>
      </c>
    </row>
    <row r="312" spans="1:8" x14ac:dyDescent="0.2">
      <c r="A312" s="9" t="s">
        <v>51</v>
      </c>
      <c r="B312" t="s">
        <v>460</v>
      </c>
      <c r="C312" t="str">
        <f t="shared" si="8"/>
        <v>"https://www.zeldadungeon.net/maps/totk/tiles/sky/6/8_32.jpg",</v>
      </c>
      <c r="H312" t="str">
        <f t="shared" si="9"/>
        <v>8_32</v>
      </c>
    </row>
    <row r="313" spans="1:8" x14ac:dyDescent="0.2">
      <c r="A313" s="9" t="s">
        <v>51</v>
      </c>
      <c r="B313" t="s">
        <v>459</v>
      </c>
      <c r="C313" t="str">
        <f t="shared" si="8"/>
        <v>"https://www.zeldadungeon.net/maps/totk/tiles/sky/6/8_33.jpg",</v>
      </c>
      <c r="H313" t="str">
        <f t="shared" si="9"/>
        <v>8_33</v>
      </c>
    </row>
    <row r="314" spans="1:8" x14ac:dyDescent="0.2">
      <c r="A314" s="9" t="s">
        <v>51</v>
      </c>
      <c r="B314" t="s">
        <v>458</v>
      </c>
      <c r="C314" t="str">
        <f t="shared" si="8"/>
        <v>"https://www.zeldadungeon.net/maps/totk/tiles/sky/6/8_34.jpg",</v>
      </c>
      <c r="H314" t="str">
        <f t="shared" si="9"/>
        <v>8_34</v>
      </c>
    </row>
    <row r="315" spans="1:8" x14ac:dyDescent="0.2">
      <c r="A315" s="9" t="s">
        <v>51</v>
      </c>
      <c r="B315" t="s">
        <v>457</v>
      </c>
      <c r="C315" t="str">
        <f t="shared" si="8"/>
        <v>"https://www.zeldadungeon.net/maps/totk/tiles/sky/6/8_35.jpg",</v>
      </c>
      <c r="H315" t="str">
        <f t="shared" si="9"/>
        <v>8_35</v>
      </c>
    </row>
    <row r="316" spans="1:8" x14ac:dyDescent="0.2">
      <c r="A316" s="9" t="s">
        <v>51</v>
      </c>
      <c r="B316" t="s">
        <v>456</v>
      </c>
      <c r="C316" t="str">
        <f t="shared" si="8"/>
        <v>"https://www.zeldadungeon.net/maps/totk/tiles/sky/6/8_36.jpg",</v>
      </c>
      <c r="H316" t="str">
        <f t="shared" si="9"/>
        <v>8_36</v>
      </c>
    </row>
    <row r="317" spans="1:8" x14ac:dyDescent="0.2">
      <c r="A317" s="9" t="s">
        <v>51</v>
      </c>
      <c r="B317" t="s">
        <v>455</v>
      </c>
      <c r="C317" t="str">
        <f t="shared" si="8"/>
        <v>"https://www.zeldadungeon.net/maps/totk/tiles/sky/6/8_37.jpg",</v>
      </c>
      <c r="H317" t="str">
        <f t="shared" si="9"/>
        <v>8_37</v>
      </c>
    </row>
    <row r="318" spans="1:8" x14ac:dyDescent="0.2">
      <c r="A318" s="9" t="s">
        <v>51</v>
      </c>
      <c r="B318" t="s">
        <v>454</v>
      </c>
      <c r="C318" t="str">
        <f t="shared" si="8"/>
        <v>"https://www.zeldadungeon.net/maps/totk/tiles/sky/6/8_38.jpg",</v>
      </c>
      <c r="H318" t="str">
        <f t="shared" si="9"/>
        <v>8_38</v>
      </c>
    </row>
    <row r="319" spans="1:8" x14ac:dyDescent="0.2">
      <c r="A319" s="9" t="s">
        <v>51</v>
      </c>
      <c r="B319" t="s">
        <v>453</v>
      </c>
      <c r="C319" t="str">
        <f t="shared" si="8"/>
        <v>"https://www.zeldadungeon.net/maps/totk/tiles/sky/6/8_39.jpg",</v>
      </c>
      <c r="H319" t="str">
        <f t="shared" si="9"/>
        <v>8_39</v>
      </c>
    </row>
    <row r="320" spans="1:8" x14ac:dyDescent="0.2">
      <c r="A320" s="9" t="s">
        <v>51</v>
      </c>
      <c r="B320" t="s">
        <v>452</v>
      </c>
      <c r="C320" t="str">
        <f t="shared" si="8"/>
        <v>"https://www.zeldadungeon.net/maps/totk/tiles/sky/6/8_40.jpg",</v>
      </c>
      <c r="H320" t="str">
        <f t="shared" si="9"/>
        <v>8_40</v>
      </c>
    </row>
    <row r="321" spans="1:8" x14ac:dyDescent="0.2">
      <c r="A321" s="9" t="s">
        <v>51</v>
      </c>
      <c r="B321" t="s">
        <v>451</v>
      </c>
      <c r="C321" t="str">
        <f t="shared" ref="C321:C384" si="10">""""&amp;SUBSTITUTE(A321,"zzz",H321)&amp;""""&amp;","</f>
        <v>"https://www.zeldadungeon.net/maps/totk/tiles/sky/6/8_41.jpg",</v>
      </c>
      <c r="H321" t="str">
        <f t="shared" ref="H321:H384" si="11">QUOTIENT(ROW(A321),48)+2&amp;"_"&amp;MOD(ROW(A321),48)+8</f>
        <v>8_41</v>
      </c>
    </row>
    <row r="322" spans="1:8" x14ac:dyDescent="0.2">
      <c r="A322" s="9" t="s">
        <v>51</v>
      </c>
      <c r="B322" t="s">
        <v>450</v>
      </c>
      <c r="C322" t="str">
        <f t="shared" si="10"/>
        <v>"https://www.zeldadungeon.net/maps/totk/tiles/sky/6/8_42.jpg",</v>
      </c>
      <c r="H322" t="str">
        <f t="shared" si="11"/>
        <v>8_42</v>
      </c>
    </row>
    <row r="323" spans="1:8" x14ac:dyDescent="0.2">
      <c r="A323" s="9" t="s">
        <v>51</v>
      </c>
      <c r="B323" t="s">
        <v>449</v>
      </c>
      <c r="C323" t="str">
        <f t="shared" si="10"/>
        <v>"https://www.zeldadungeon.net/maps/totk/tiles/sky/6/8_43.jpg",</v>
      </c>
      <c r="H323" t="str">
        <f t="shared" si="11"/>
        <v>8_43</v>
      </c>
    </row>
    <row r="324" spans="1:8" x14ac:dyDescent="0.2">
      <c r="A324" s="9" t="s">
        <v>51</v>
      </c>
      <c r="B324" t="s">
        <v>448</v>
      </c>
      <c r="C324" t="str">
        <f t="shared" si="10"/>
        <v>"https://www.zeldadungeon.net/maps/totk/tiles/sky/6/8_44.jpg",</v>
      </c>
      <c r="H324" t="str">
        <f t="shared" si="11"/>
        <v>8_44</v>
      </c>
    </row>
    <row r="325" spans="1:8" x14ac:dyDescent="0.2">
      <c r="A325" s="9" t="s">
        <v>51</v>
      </c>
      <c r="B325" t="s">
        <v>447</v>
      </c>
      <c r="C325" t="str">
        <f t="shared" si="10"/>
        <v>"https://www.zeldadungeon.net/maps/totk/tiles/sky/6/8_45.jpg",</v>
      </c>
      <c r="H325" t="str">
        <f t="shared" si="11"/>
        <v>8_45</v>
      </c>
    </row>
    <row r="326" spans="1:8" x14ac:dyDescent="0.2">
      <c r="A326" s="9" t="s">
        <v>51</v>
      </c>
      <c r="B326" t="s">
        <v>446</v>
      </c>
      <c r="C326" t="str">
        <f t="shared" si="10"/>
        <v>"https://www.zeldadungeon.net/maps/totk/tiles/sky/6/8_46.jpg",</v>
      </c>
      <c r="H326" t="str">
        <f t="shared" si="11"/>
        <v>8_46</v>
      </c>
    </row>
    <row r="327" spans="1:8" x14ac:dyDescent="0.2">
      <c r="A327" s="9" t="s">
        <v>51</v>
      </c>
      <c r="B327" t="s">
        <v>445</v>
      </c>
      <c r="C327" t="str">
        <f t="shared" si="10"/>
        <v>"https://www.zeldadungeon.net/maps/totk/tiles/sky/6/8_47.jpg",</v>
      </c>
      <c r="H327" t="str">
        <f t="shared" si="11"/>
        <v>8_47</v>
      </c>
    </row>
    <row r="328" spans="1:8" x14ac:dyDescent="0.2">
      <c r="A328" s="9" t="s">
        <v>51</v>
      </c>
      <c r="B328" t="s">
        <v>444</v>
      </c>
      <c r="C328" t="str">
        <f t="shared" si="10"/>
        <v>"https://www.zeldadungeon.net/maps/totk/tiles/sky/6/8_48.jpg",</v>
      </c>
      <c r="H328" t="str">
        <f t="shared" si="11"/>
        <v>8_48</v>
      </c>
    </row>
    <row r="329" spans="1:8" x14ac:dyDescent="0.2">
      <c r="A329" s="9" t="s">
        <v>51</v>
      </c>
      <c r="B329" t="s">
        <v>443</v>
      </c>
      <c r="C329" t="str">
        <f t="shared" si="10"/>
        <v>"https://www.zeldadungeon.net/maps/totk/tiles/sky/6/8_49.jpg",</v>
      </c>
      <c r="H329" t="str">
        <f t="shared" si="11"/>
        <v>8_49</v>
      </c>
    </row>
    <row r="330" spans="1:8" x14ac:dyDescent="0.2">
      <c r="A330" s="9" t="s">
        <v>51</v>
      </c>
      <c r="B330" t="s">
        <v>442</v>
      </c>
      <c r="C330" t="str">
        <f t="shared" si="10"/>
        <v>"https://www.zeldadungeon.net/maps/totk/tiles/sky/6/8_50.jpg",</v>
      </c>
      <c r="H330" t="str">
        <f t="shared" si="11"/>
        <v>8_50</v>
      </c>
    </row>
    <row r="331" spans="1:8" x14ac:dyDescent="0.2">
      <c r="A331" s="9" t="s">
        <v>51</v>
      </c>
      <c r="B331" t="s">
        <v>441</v>
      </c>
      <c r="C331" t="str">
        <f t="shared" si="10"/>
        <v>"https://www.zeldadungeon.net/maps/totk/tiles/sky/6/8_51.jpg",</v>
      </c>
      <c r="H331" t="str">
        <f t="shared" si="11"/>
        <v>8_51</v>
      </c>
    </row>
    <row r="332" spans="1:8" x14ac:dyDescent="0.2">
      <c r="A332" s="9" t="s">
        <v>51</v>
      </c>
      <c r="B332" t="s">
        <v>440</v>
      </c>
      <c r="C332" t="str">
        <f t="shared" si="10"/>
        <v>"https://www.zeldadungeon.net/maps/totk/tiles/sky/6/8_52.jpg",</v>
      </c>
      <c r="H332" t="str">
        <f t="shared" si="11"/>
        <v>8_52</v>
      </c>
    </row>
    <row r="333" spans="1:8" x14ac:dyDescent="0.2">
      <c r="A333" s="9" t="s">
        <v>51</v>
      </c>
      <c r="B333" t="s">
        <v>439</v>
      </c>
      <c r="C333" t="str">
        <f t="shared" si="10"/>
        <v>"https://www.zeldadungeon.net/maps/totk/tiles/sky/6/8_53.jpg",</v>
      </c>
      <c r="H333" t="str">
        <f t="shared" si="11"/>
        <v>8_53</v>
      </c>
    </row>
    <row r="334" spans="1:8" x14ac:dyDescent="0.2">
      <c r="A334" s="9" t="s">
        <v>51</v>
      </c>
      <c r="B334" t="s">
        <v>438</v>
      </c>
      <c r="C334" t="str">
        <f t="shared" si="10"/>
        <v>"https://www.zeldadungeon.net/maps/totk/tiles/sky/6/8_54.jpg",</v>
      </c>
      <c r="H334" t="str">
        <f t="shared" si="11"/>
        <v>8_54</v>
      </c>
    </row>
    <row r="335" spans="1:8" x14ac:dyDescent="0.2">
      <c r="A335" s="9" t="s">
        <v>51</v>
      </c>
      <c r="B335" t="s">
        <v>437</v>
      </c>
      <c r="C335" t="str">
        <f t="shared" si="10"/>
        <v>"https://www.zeldadungeon.net/maps/totk/tiles/sky/6/8_55.jpg",</v>
      </c>
      <c r="H335" t="str">
        <f t="shared" si="11"/>
        <v>8_55</v>
      </c>
    </row>
    <row r="336" spans="1:8" x14ac:dyDescent="0.2">
      <c r="A336" s="9" t="s">
        <v>51</v>
      </c>
      <c r="B336" t="s">
        <v>436</v>
      </c>
      <c r="C336" t="str">
        <f t="shared" si="10"/>
        <v>"https://www.zeldadungeon.net/maps/totk/tiles/sky/6/9_8.jpg",</v>
      </c>
      <c r="H336" t="str">
        <f t="shared" si="11"/>
        <v>9_8</v>
      </c>
    </row>
    <row r="337" spans="1:8" x14ac:dyDescent="0.2">
      <c r="A337" s="9" t="s">
        <v>51</v>
      </c>
      <c r="B337" t="s">
        <v>435</v>
      </c>
      <c r="C337" t="str">
        <f t="shared" si="10"/>
        <v>"https://www.zeldadungeon.net/maps/totk/tiles/sky/6/9_9.jpg",</v>
      </c>
      <c r="H337" t="str">
        <f t="shared" si="11"/>
        <v>9_9</v>
      </c>
    </row>
    <row r="338" spans="1:8" x14ac:dyDescent="0.2">
      <c r="A338" s="9" t="s">
        <v>51</v>
      </c>
      <c r="B338" t="s">
        <v>434</v>
      </c>
      <c r="C338" t="str">
        <f t="shared" si="10"/>
        <v>"https://www.zeldadungeon.net/maps/totk/tiles/sky/6/9_10.jpg",</v>
      </c>
      <c r="H338" t="str">
        <f t="shared" si="11"/>
        <v>9_10</v>
      </c>
    </row>
    <row r="339" spans="1:8" x14ac:dyDescent="0.2">
      <c r="A339" s="9" t="s">
        <v>51</v>
      </c>
      <c r="B339" t="s">
        <v>433</v>
      </c>
      <c r="C339" t="str">
        <f t="shared" si="10"/>
        <v>"https://www.zeldadungeon.net/maps/totk/tiles/sky/6/9_11.jpg",</v>
      </c>
      <c r="H339" t="str">
        <f t="shared" si="11"/>
        <v>9_11</v>
      </c>
    </row>
    <row r="340" spans="1:8" x14ac:dyDescent="0.2">
      <c r="A340" s="9" t="s">
        <v>51</v>
      </c>
      <c r="B340" t="s">
        <v>432</v>
      </c>
      <c r="C340" t="str">
        <f t="shared" si="10"/>
        <v>"https://www.zeldadungeon.net/maps/totk/tiles/sky/6/9_12.jpg",</v>
      </c>
      <c r="H340" t="str">
        <f t="shared" si="11"/>
        <v>9_12</v>
      </c>
    </row>
    <row r="341" spans="1:8" x14ac:dyDescent="0.2">
      <c r="A341" s="9" t="s">
        <v>51</v>
      </c>
      <c r="B341" t="s">
        <v>431</v>
      </c>
      <c r="C341" t="str">
        <f t="shared" si="10"/>
        <v>"https://www.zeldadungeon.net/maps/totk/tiles/sky/6/9_13.jpg",</v>
      </c>
      <c r="H341" t="str">
        <f t="shared" si="11"/>
        <v>9_13</v>
      </c>
    </row>
    <row r="342" spans="1:8" x14ac:dyDescent="0.2">
      <c r="A342" s="9" t="s">
        <v>51</v>
      </c>
      <c r="B342" t="s">
        <v>430</v>
      </c>
      <c r="C342" t="str">
        <f t="shared" si="10"/>
        <v>"https://www.zeldadungeon.net/maps/totk/tiles/sky/6/9_14.jpg",</v>
      </c>
      <c r="H342" t="str">
        <f t="shared" si="11"/>
        <v>9_14</v>
      </c>
    </row>
    <row r="343" spans="1:8" x14ac:dyDescent="0.2">
      <c r="A343" s="9" t="s">
        <v>51</v>
      </c>
      <c r="B343" t="s">
        <v>429</v>
      </c>
      <c r="C343" t="str">
        <f t="shared" si="10"/>
        <v>"https://www.zeldadungeon.net/maps/totk/tiles/sky/6/9_15.jpg",</v>
      </c>
      <c r="H343" t="str">
        <f t="shared" si="11"/>
        <v>9_15</v>
      </c>
    </row>
    <row r="344" spans="1:8" x14ac:dyDescent="0.2">
      <c r="A344" s="9" t="s">
        <v>51</v>
      </c>
      <c r="B344" t="s">
        <v>428</v>
      </c>
      <c r="C344" t="str">
        <f t="shared" si="10"/>
        <v>"https://www.zeldadungeon.net/maps/totk/tiles/sky/6/9_16.jpg",</v>
      </c>
      <c r="H344" t="str">
        <f t="shared" si="11"/>
        <v>9_16</v>
      </c>
    </row>
    <row r="345" spans="1:8" x14ac:dyDescent="0.2">
      <c r="A345" s="9" t="s">
        <v>51</v>
      </c>
      <c r="B345" t="s">
        <v>427</v>
      </c>
      <c r="C345" t="str">
        <f t="shared" si="10"/>
        <v>"https://www.zeldadungeon.net/maps/totk/tiles/sky/6/9_17.jpg",</v>
      </c>
      <c r="H345" t="str">
        <f t="shared" si="11"/>
        <v>9_17</v>
      </c>
    </row>
    <row r="346" spans="1:8" x14ac:dyDescent="0.2">
      <c r="A346" s="9" t="s">
        <v>51</v>
      </c>
      <c r="B346" t="s">
        <v>426</v>
      </c>
      <c r="C346" t="str">
        <f t="shared" si="10"/>
        <v>"https://www.zeldadungeon.net/maps/totk/tiles/sky/6/9_18.jpg",</v>
      </c>
      <c r="H346" t="str">
        <f t="shared" si="11"/>
        <v>9_18</v>
      </c>
    </row>
    <row r="347" spans="1:8" x14ac:dyDescent="0.2">
      <c r="A347" s="9" t="s">
        <v>51</v>
      </c>
      <c r="B347" t="s">
        <v>425</v>
      </c>
      <c r="C347" t="str">
        <f t="shared" si="10"/>
        <v>"https://www.zeldadungeon.net/maps/totk/tiles/sky/6/9_19.jpg",</v>
      </c>
      <c r="H347" t="str">
        <f t="shared" si="11"/>
        <v>9_19</v>
      </c>
    </row>
    <row r="348" spans="1:8" x14ac:dyDescent="0.2">
      <c r="A348" s="9" t="s">
        <v>51</v>
      </c>
      <c r="B348" t="s">
        <v>424</v>
      </c>
      <c r="C348" t="str">
        <f t="shared" si="10"/>
        <v>"https://www.zeldadungeon.net/maps/totk/tiles/sky/6/9_20.jpg",</v>
      </c>
      <c r="H348" t="str">
        <f t="shared" si="11"/>
        <v>9_20</v>
      </c>
    </row>
    <row r="349" spans="1:8" x14ac:dyDescent="0.2">
      <c r="A349" s="9" t="s">
        <v>51</v>
      </c>
      <c r="B349" t="s">
        <v>423</v>
      </c>
      <c r="C349" t="str">
        <f t="shared" si="10"/>
        <v>"https://www.zeldadungeon.net/maps/totk/tiles/sky/6/9_21.jpg",</v>
      </c>
      <c r="H349" t="str">
        <f t="shared" si="11"/>
        <v>9_21</v>
      </c>
    </row>
    <row r="350" spans="1:8" x14ac:dyDescent="0.2">
      <c r="A350" s="9" t="s">
        <v>51</v>
      </c>
      <c r="B350" t="s">
        <v>422</v>
      </c>
      <c r="C350" t="str">
        <f t="shared" si="10"/>
        <v>"https://www.zeldadungeon.net/maps/totk/tiles/sky/6/9_22.jpg",</v>
      </c>
      <c r="H350" t="str">
        <f t="shared" si="11"/>
        <v>9_22</v>
      </c>
    </row>
    <row r="351" spans="1:8" x14ac:dyDescent="0.2">
      <c r="A351" s="9" t="s">
        <v>51</v>
      </c>
      <c r="B351" t="s">
        <v>421</v>
      </c>
      <c r="C351" t="str">
        <f t="shared" si="10"/>
        <v>"https://www.zeldadungeon.net/maps/totk/tiles/sky/6/9_23.jpg",</v>
      </c>
      <c r="H351" t="str">
        <f t="shared" si="11"/>
        <v>9_23</v>
      </c>
    </row>
    <row r="352" spans="1:8" x14ac:dyDescent="0.2">
      <c r="A352" s="9" t="s">
        <v>51</v>
      </c>
      <c r="B352" t="s">
        <v>420</v>
      </c>
      <c r="C352" t="str">
        <f t="shared" si="10"/>
        <v>"https://www.zeldadungeon.net/maps/totk/tiles/sky/6/9_24.jpg",</v>
      </c>
      <c r="H352" t="str">
        <f t="shared" si="11"/>
        <v>9_24</v>
      </c>
    </row>
    <row r="353" spans="1:8" x14ac:dyDescent="0.2">
      <c r="A353" s="9" t="s">
        <v>51</v>
      </c>
      <c r="B353" t="s">
        <v>419</v>
      </c>
      <c r="C353" t="str">
        <f t="shared" si="10"/>
        <v>"https://www.zeldadungeon.net/maps/totk/tiles/sky/6/9_25.jpg",</v>
      </c>
      <c r="H353" t="str">
        <f t="shared" si="11"/>
        <v>9_25</v>
      </c>
    </row>
    <row r="354" spans="1:8" x14ac:dyDescent="0.2">
      <c r="A354" s="9" t="s">
        <v>51</v>
      </c>
      <c r="B354" t="s">
        <v>418</v>
      </c>
      <c r="C354" t="str">
        <f t="shared" si="10"/>
        <v>"https://www.zeldadungeon.net/maps/totk/tiles/sky/6/9_26.jpg",</v>
      </c>
      <c r="H354" t="str">
        <f t="shared" si="11"/>
        <v>9_26</v>
      </c>
    </row>
    <row r="355" spans="1:8" x14ac:dyDescent="0.2">
      <c r="A355" s="9" t="s">
        <v>51</v>
      </c>
      <c r="B355" t="s">
        <v>417</v>
      </c>
      <c r="C355" t="str">
        <f t="shared" si="10"/>
        <v>"https://www.zeldadungeon.net/maps/totk/tiles/sky/6/9_27.jpg",</v>
      </c>
      <c r="H355" t="str">
        <f t="shared" si="11"/>
        <v>9_27</v>
      </c>
    </row>
    <row r="356" spans="1:8" x14ac:dyDescent="0.2">
      <c r="A356" s="9" t="s">
        <v>51</v>
      </c>
      <c r="B356" t="s">
        <v>416</v>
      </c>
      <c r="C356" t="str">
        <f t="shared" si="10"/>
        <v>"https://www.zeldadungeon.net/maps/totk/tiles/sky/6/9_28.jpg",</v>
      </c>
      <c r="H356" t="str">
        <f t="shared" si="11"/>
        <v>9_28</v>
      </c>
    </row>
    <row r="357" spans="1:8" x14ac:dyDescent="0.2">
      <c r="A357" s="9" t="s">
        <v>51</v>
      </c>
      <c r="B357" t="s">
        <v>415</v>
      </c>
      <c r="C357" t="str">
        <f t="shared" si="10"/>
        <v>"https://www.zeldadungeon.net/maps/totk/tiles/sky/6/9_29.jpg",</v>
      </c>
      <c r="H357" t="str">
        <f t="shared" si="11"/>
        <v>9_29</v>
      </c>
    </row>
    <row r="358" spans="1:8" x14ac:dyDescent="0.2">
      <c r="A358" s="9" t="s">
        <v>51</v>
      </c>
      <c r="B358" t="s">
        <v>414</v>
      </c>
      <c r="C358" t="str">
        <f t="shared" si="10"/>
        <v>"https://www.zeldadungeon.net/maps/totk/tiles/sky/6/9_30.jpg",</v>
      </c>
      <c r="H358" t="str">
        <f t="shared" si="11"/>
        <v>9_30</v>
      </c>
    </row>
    <row r="359" spans="1:8" x14ac:dyDescent="0.2">
      <c r="A359" s="9" t="s">
        <v>51</v>
      </c>
      <c r="B359" t="s">
        <v>413</v>
      </c>
      <c r="C359" t="str">
        <f t="shared" si="10"/>
        <v>"https://www.zeldadungeon.net/maps/totk/tiles/sky/6/9_31.jpg",</v>
      </c>
      <c r="H359" t="str">
        <f t="shared" si="11"/>
        <v>9_31</v>
      </c>
    </row>
    <row r="360" spans="1:8" x14ac:dyDescent="0.2">
      <c r="A360" s="9" t="s">
        <v>51</v>
      </c>
      <c r="B360" t="s">
        <v>412</v>
      </c>
      <c r="C360" t="str">
        <f t="shared" si="10"/>
        <v>"https://www.zeldadungeon.net/maps/totk/tiles/sky/6/9_32.jpg",</v>
      </c>
      <c r="H360" t="str">
        <f t="shared" si="11"/>
        <v>9_32</v>
      </c>
    </row>
    <row r="361" spans="1:8" x14ac:dyDescent="0.2">
      <c r="A361" s="9" t="s">
        <v>51</v>
      </c>
      <c r="B361" t="s">
        <v>411</v>
      </c>
      <c r="C361" t="str">
        <f t="shared" si="10"/>
        <v>"https://www.zeldadungeon.net/maps/totk/tiles/sky/6/9_33.jpg",</v>
      </c>
      <c r="H361" t="str">
        <f t="shared" si="11"/>
        <v>9_33</v>
      </c>
    </row>
    <row r="362" spans="1:8" x14ac:dyDescent="0.2">
      <c r="A362" s="9" t="s">
        <v>51</v>
      </c>
      <c r="B362" t="s">
        <v>410</v>
      </c>
      <c r="C362" t="str">
        <f t="shared" si="10"/>
        <v>"https://www.zeldadungeon.net/maps/totk/tiles/sky/6/9_34.jpg",</v>
      </c>
      <c r="H362" t="str">
        <f t="shared" si="11"/>
        <v>9_34</v>
      </c>
    </row>
    <row r="363" spans="1:8" x14ac:dyDescent="0.2">
      <c r="A363" s="9" t="s">
        <v>51</v>
      </c>
      <c r="B363" t="s">
        <v>409</v>
      </c>
      <c r="C363" t="str">
        <f t="shared" si="10"/>
        <v>"https://www.zeldadungeon.net/maps/totk/tiles/sky/6/9_35.jpg",</v>
      </c>
      <c r="H363" t="str">
        <f t="shared" si="11"/>
        <v>9_35</v>
      </c>
    </row>
    <row r="364" spans="1:8" x14ac:dyDescent="0.2">
      <c r="A364" s="9" t="s">
        <v>51</v>
      </c>
      <c r="B364" t="s">
        <v>408</v>
      </c>
      <c r="C364" t="str">
        <f t="shared" si="10"/>
        <v>"https://www.zeldadungeon.net/maps/totk/tiles/sky/6/9_36.jpg",</v>
      </c>
      <c r="H364" t="str">
        <f t="shared" si="11"/>
        <v>9_36</v>
      </c>
    </row>
    <row r="365" spans="1:8" x14ac:dyDescent="0.2">
      <c r="A365" s="9" t="s">
        <v>51</v>
      </c>
      <c r="B365" t="s">
        <v>407</v>
      </c>
      <c r="C365" t="str">
        <f t="shared" si="10"/>
        <v>"https://www.zeldadungeon.net/maps/totk/tiles/sky/6/9_37.jpg",</v>
      </c>
      <c r="H365" t="str">
        <f t="shared" si="11"/>
        <v>9_37</v>
      </c>
    </row>
    <row r="366" spans="1:8" x14ac:dyDescent="0.2">
      <c r="A366" s="9" t="s">
        <v>51</v>
      </c>
      <c r="B366" t="s">
        <v>406</v>
      </c>
      <c r="C366" t="str">
        <f t="shared" si="10"/>
        <v>"https://www.zeldadungeon.net/maps/totk/tiles/sky/6/9_38.jpg",</v>
      </c>
      <c r="H366" t="str">
        <f t="shared" si="11"/>
        <v>9_38</v>
      </c>
    </row>
    <row r="367" spans="1:8" x14ac:dyDescent="0.2">
      <c r="A367" s="9" t="s">
        <v>51</v>
      </c>
      <c r="B367" t="s">
        <v>405</v>
      </c>
      <c r="C367" t="str">
        <f t="shared" si="10"/>
        <v>"https://www.zeldadungeon.net/maps/totk/tiles/sky/6/9_39.jpg",</v>
      </c>
      <c r="H367" t="str">
        <f t="shared" si="11"/>
        <v>9_39</v>
      </c>
    </row>
    <row r="368" spans="1:8" x14ac:dyDescent="0.2">
      <c r="A368" s="9" t="s">
        <v>51</v>
      </c>
      <c r="B368" t="s">
        <v>404</v>
      </c>
      <c r="C368" t="str">
        <f t="shared" si="10"/>
        <v>"https://www.zeldadungeon.net/maps/totk/tiles/sky/6/9_40.jpg",</v>
      </c>
      <c r="H368" t="str">
        <f t="shared" si="11"/>
        <v>9_40</v>
      </c>
    </row>
    <row r="369" spans="1:8" x14ac:dyDescent="0.2">
      <c r="A369" s="9" t="s">
        <v>51</v>
      </c>
      <c r="B369" t="s">
        <v>403</v>
      </c>
      <c r="C369" t="str">
        <f t="shared" si="10"/>
        <v>"https://www.zeldadungeon.net/maps/totk/tiles/sky/6/9_41.jpg",</v>
      </c>
      <c r="H369" t="str">
        <f t="shared" si="11"/>
        <v>9_41</v>
      </c>
    </row>
    <row r="370" spans="1:8" x14ac:dyDescent="0.2">
      <c r="A370" s="9" t="s">
        <v>51</v>
      </c>
      <c r="B370" t="s">
        <v>402</v>
      </c>
      <c r="C370" t="str">
        <f t="shared" si="10"/>
        <v>"https://www.zeldadungeon.net/maps/totk/tiles/sky/6/9_42.jpg",</v>
      </c>
      <c r="H370" t="str">
        <f t="shared" si="11"/>
        <v>9_42</v>
      </c>
    </row>
    <row r="371" spans="1:8" x14ac:dyDescent="0.2">
      <c r="A371" s="9" t="s">
        <v>51</v>
      </c>
      <c r="B371" t="s">
        <v>401</v>
      </c>
      <c r="C371" t="str">
        <f t="shared" si="10"/>
        <v>"https://www.zeldadungeon.net/maps/totk/tiles/sky/6/9_43.jpg",</v>
      </c>
      <c r="H371" t="str">
        <f t="shared" si="11"/>
        <v>9_43</v>
      </c>
    </row>
    <row r="372" spans="1:8" x14ac:dyDescent="0.2">
      <c r="A372" s="9" t="s">
        <v>51</v>
      </c>
      <c r="B372" t="s">
        <v>400</v>
      </c>
      <c r="C372" t="str">
        <f t="shared" si="10"/>
        <v>"https://www.zeldadungeon.net/maps/totk/tiles/sky/6/9_44.jpg",</v>
      </c>
      <c r="H372" t="str">
        <f t="shared" si="11"/>
        <v>9_44</v>
      </c>
    </row>
    <row r="373" spans="1:8" x14ac:dyDescent="0.2">
      <c r="A373" s="9" t="s">
        <v>51</v>
      </c>
      <c r="B373" t="s">
        <v>399</v>
      </c>
      <c r="C373" t="str">
        <f t="shared" si="10"/>
        <v>"https://www.zeldadungeon.net/maps/totk/tiles/sky/6/9_45.jpg",</v>
      </c>
      <c r="H373" t="str">
        <f t="shared" si="11"/>
        <v>9_45</v>
      </c>
    </row>
    <row r="374" spans="1:8" x14ac:dyDescent="0.2">
      <c r="A374" s="9" t="s">
        <v>51</v>
      </c>
      <c r="B374" t="s">
        <v>398</v>
      </c>
      <c r="C374" t="str">
        <f t="shared" si="10"/>
        <v>"https://www.zeldadungeon.net/maps/totk/tiles/sky/6/9_46.jpg",</v>
      </c>
      <c r="H374" t="str">
        <f t="shared" si="11"/>
        <v>9_46</v>
      </c>
    </row>
    <row r="375" spans="1:8" x14ac:dyDescent="0.2">
      <c r="A375" s="9" t="s">
        <v>51</v>
      </c>
      <c r="B375" t="s">
        <v>397</v>
      </c>
      <c r="C375" t="str">
        <f t="shared" si="10"/>
        <v>"https://www.zeldadungeon.net/maps/totk/tiles/sky/6/9_47.jpg",</v>
      </c>
      <c r="H375" t="str">
        <f t="shared" si="11"/>
        <v>9_47</v>
      </c>
    </row>
    <row r="376" spans="1:8" x14ac:dyDescent="0.2">
      <c r="A376" s="9" t="s">
        <v>51</v>
      </c>
      <c r="B376" t="s">
        <v>396</v>
      </c>
      <c r="C376" t="str">
        <f t="shared" si="10"/>
        <v>"https://www.zeldadungeon.net/maps/totk/tiles/sky/6/9_48.jpg",</v>
      </c>
      <c r="H376" t="str">
        <f t="shared" si="11"/>
        <v>9_48</v>
      </c>
    </row>
    <row r="377" spans="1:8" x14ac:dyDescent="0.2">
      <c r="A377" s="9" t="s">
        <v>51</v>
      </c>
      <c r="B377" t="s">
        <v>395</v>
      </c>
      <c r="C377" t="str">
        <f t="shared" si="10"/>
        <v>"https://www.zeldadungeon.net/maps/totk/tiles/sky/6/9_49.jpg",</v>
      </c>
      <c r="H377" t="str">
        <f t="shared" si="11"/>
        <v>9_49</v>
      </c>
    </row>
    <row r="378" spans="1:8" x14ac:dyDescent="0.2">
      <c r="A378" s="9" t="s">
        <v>51</v>
      </c>
      <c r="B378" t="s">
        <v>394</v>
      </c>
      <c r="C378" t="str">
        <f t="shared" si="10"/>
        <v>"https://www.zeldadungeon.net/maps/totk/tiles/sky/6/9_50.jpg",</v>
      </c>
      <c r="H378" t="str">
        <f t="shared" si="11"/>
        <v>9_50</v>
      </c>
    </row>
    <row r="379" spans="1:8" x14ac:dyDescent="0.2">
      <c r="A379" s="9" t="s">
        <v>51</v>
      </c>
      <c r="B379" t="s">
        <v>393</v>
      </c>
      <c r="C379" t="str">
        <f t="shared" si="10"/>
        <v>"https://www.zeldadungeon.net/maps/totk/tiles/sky/6/9_51.jpg",</v>
      </c>
      <c r="H379" t="str">
        <f t="shared" si="11"/>
        <v>9_51</v>
      </c>
    </row>
    <row r="380" spans="1:8" x14ac:dyDescent="0.2">
      <c r="A380" s="9" t="s">
        <v>51</v>
      </c>
      <c r="B380" t="s">
        <v>392</v>
      </c>
      <c r="C380" t="str">
        <f t="shared" si="10"/>
        <v>"https://www.zeldadungeon.net/maps/totk/tiles/sky/6/9_52.jpg",</v>
      </c>
      <c r="H380" t="str">
        <f t="shared" si="11"/>
        <v>9_52</v>
      </c>
    </row>
    <row r="381" spans="1:8" x14ac:dyDescent="0.2">
      <c r="A381" s="9" t="s">
        <v>51</v>
      </c>
      <c r="B381" t="s">
        <v>391</v>
      </c>
      <c r="C381" t="str">
        <f t="shared" si="10"/>
        <v>"https://www.zeldadungeon.net/maps/totk/tiles/sky/6/9_53.jpg",</v>
      </c>
      <c r="H381" t="str">
        <f t="shared" si="11"/>
        <v>9_53</v>
      </c>
    </row>
    <row r="382" spans="1:8" x14ac:dyDescent="0.2">
      <c r="A382" s="9" t="s">
        <v>51</v>
      </c>
      <c r="B382" t="s">
        <v>390</v>
      </c>
      <c r="C382" t="str">
        <f t="shared" si="10"/>
        <v>"https://www.zeldadungeon.net/maps/totk/tiles/sky/6/9_54.jpg",</v>
      </c>
      <c r="H382" t="str">
        <f t="shared" si="11"/>
        <v>9_54</v>
      </c>
    </row>
    <row r="383" spans="1:8" x14ac:dyDescent="0.2">
      <c r="A383" s="9" t="s">
        <v>51</v>
      </c>
      <c r="B383" t="s">
        <v>389</v>
      </c>
      <c r="C383" t="str">
        <f t="shared" si="10"/>
        <v>"https://www.zeldadungeon.net/maps/totk/tiles/sky/6/9_55.jpg",</v>
      </c>
      <c r="H383" t="str">
        <f t="shared" si="11"/>
        <v>9_55</v>
      </c>
    </row>
    <row r="384" spans="1:8" x14ac:dyDescent="0.2">
      <c r="A384" s="9" t="s">
        <v>51</v>
      </c>
      <c r="B384" t="s">
        <v>388</v>
      </c>
      <c r="C384" t="str">
        <f t="shared" si="10"/>
        <v>"https://www.zeldadungeon.net/maps/totk/tiles/sky/6/10_8.jpg",</v>
      </c>
      <c r="H384" t="str">
        <f t="shared" si="11"/>
        <v>10_8</v>
      </c>
    </row>
    <row r="385" spans="1:8" x14ac:dyDescent="0.2">
      <c r="A385" s="9" t="s">
        <v>51</v>
      </c>
      <c r="B385" t="s">
        <v>387</v>
      </c>
      <c r="C385" t="str">
        <f t="shared" ref="C385:C448" si="12">""""&amp;SUBSTITUTE(A385,"zzz",H385)&amp;""""&amp;","</f>
        <v>"https://www.zeldadungeon.net/maps/totk/tiles/sky/6/10_9.jpg",</v>
      </c>
      <c r="H385" t="str">
        <f t="shared" ref="H385:H448" si="13">QUOTIENT(ROW(A385),48)+2&amp;"_"&amp;MOD(ROW(A385),48)+8</f>
        <v>10_9</v>
      </c>
    </row>
    <row r="386" spans="1:8" x14ac:dyDescent="0.2">
      <c r="A386" s="9" t="s">
        <v>51</v>
      </c>
      <c r="B386" t="s">
        <v>386</v>
      </c>
      <c r="C386" t="str">
        <f t="shared" si="12"/>
        <v>"https://www.zeldadungeon.net/maps/totk/tiles/sky/6/10_10.jpg",</v>
      </c>
      <c r="H386" t="str">
        <f t="shared" si="13"/>
        <v>10_10</v>
      </c>
    </row>
    <row r="387" spans="1:8" x14ac:dyDescent="0.2">
      <c r="A387" s="9" t="s">
        <v>51</v>
      </c>
      <c r="B387" t="s">
        <v>385</v>
      </c>
      <c r="C387" t="str">
        <f t="shared" si="12"/>
        <v>"https://www.zeldadungeon.net/maps/totk/tiles/sky/6/10_11.jpg",</v>
      </c>
      <c r="H387" t="str">
        <f t="shared" si="13"/>
        <v>10_11</v>
      </c>
    </row>
    <row r="388" spans="1:8" x14ac:dyDescent="0.2">
      <c r="A388" s="9" t="s">
        <v>51</v>
      </c>
      <c r="B388" t="s">
        <v>384</v>
      </c>
      <c r="C388" t="str">
        <f t="shared" si="12"/>
        <v>"https://www.zeldadungeon.net/maps/totk/tiles/sky/6/10_12.jpg",</v>
      </c>
      <c r="H388" t="str">
        <f t="shared" si="13"/>
        <v>10_12</v>
      </c>
    </row>
    <row r="389" spans="1:8" x14ac:dyDescent="0.2">
      <c r="A389" s="9" t="s">
        <v>51</v>
      </c>
      <c r="B389" t="s">
        <v>383</v>
      </c>
      <c r="C389" t="str">
        <f t="shared" si="12"/>
        <v>"https://www.zeldadungeon.net/maps/totk/tiles/sky/6/10_13.jpg",</v>
      </c>
      <c r="H389" t="str">
        <f t="shared" si="13"/>
        <v>10_13</v>
      </c>
    </row>
    <row r="390" spans="1:8" x14ac:dyDescent="0.2">
      <c r="A390" s="9" t="s">
        <v>51</v>
      </c>
      <c r="B390" t="s">
        <v>382</v>
      </c>
      <c r="C390" t="str">
        <f t="shared" si="12"/>
        <v>"https://www.zeldadungeon.net/maps/totk/tiles/sky/6/10_14.jpg",</v>
      </c>
      <c r="H390" t="str">
        <f t="shared" si="13"/>
        <v>10_14</v>
      </c>
    </row>
    <row r="391" spans="1:8" x14ac:dyDescent="0.2">
      <c r="A391" s="9" t="s">
        <v>51</v>
      </c>
      <c r="B391" t="s">
        <v>381</v>
      </c>
      <c r="C391" t="str">
        <f t="shared" si="12"/>
        <v>"https://www.zeldadungeon.net/maps/totk/tiles/sky/6/10_15.jpg",</v>
      </c>
      <c r="H391" t="str">
        <f t="shared" si="13"/>
        <v>10_15</v>
      </c>
    </row>
    <row r="392" spans="1:8" x14ac:dyDescent="0.2">
      <c r="A392" s="9" t="s">
        <v>51</v>
      </c>
      <c r="B392" t="s">
        <v>380</v>
      </c>
      <c r="C392" t="str">
        <f t="shared" si="12"/>
        <v>"https://www.zeldadungeon.net/maps/totk/tiles/sky/6/10_16.jpg",</v>
      </c>
      <c r="H392" t="str">
        <f t="shared" si="13"/>
        <v>10_16</v>
      </c>
    </row>
    <row r="393" spans="1:8" x14ac:dyDescent="0.2">
      <c r="A393" s="9" t="s">
        <v>51</v>
      </c>
      <c r="B393" t="s">
        <v>379</v>
      </c>
      <c r="C393" t="str">
        <f t="shared" si="12"/>
        <v>"https://www.zeldadungeon.net/maps/totk/tiles/sky/6/10_17.jpg",</v>
      </c>
      <c r="H393" t="str">
        <f t="shared" si="13"/>
        <v>10_17</v>
      </c>
    </row>
    <row r="394" spans="1:8" x14ac:dyDescent="0.2">
      <c r="A394" s="9" t="s">
        <v>51</v>
      </c>
      <c r="B394" t="s">
        <v>378</v>
      </c>
      <c r="C394" t="str">
        <f t="shared" si="12"/>
        <v>"https://www.zeldadungeon.net/maps/totk/tiles/sky/6/10_18.jpg",</v>
      </c>
      <c r="H394" t="str">
        <f t="shared" si="13"/>
        <v>10_18</v>
      </c>
    </row>
    <row r="395" spans="1:8" x14ac:dyDescent="0.2">
      <c r="A395" s="9" t="s">
        <v>51</v>
      </c>
      <c r="B395" t="s">
        <v>377</v>
      </c>
      <c r="C395" t="str">
        <f t="shared" si="12"/>
        <v>"https://www.zeldadungeon.net/maps/totk/tiles/sky/6/10_19.jpg",</v>
      </c>
      <c r="H395" t="str">
        <f t="shared" si="13"/>
        <v>10_19</v>
      </c>
    </row>
    <row r="396" spans="1:8" x14ac:dyDescent="0.2">
      <c r="A396" s="9" t="s">
        <v>51</v>
      </c>
      <c r="B396" t="s">
        <v>376</v>
      </c>
      <c r="C396" t="str">
        <f t="shared" si="12"/>
        <v>"https://www.zeldadungeon.net/maps/totk/tiles/sky/6/10_20.jpg",</v>
      </c>
      <c r="H396" t="str">
        <f t="shared" si="13"/>
        <v>10_20</v>
      </c>
    </row>
    <row r="397" spans="1:8" x14ac:dyDescent="0.2">
      <c r="A397" s="9" t="s">
        <v>51</v>
      </c>
      <c r="B397" t="s">
        <v>375</v>
      </c>
      <c r="C397" t="str">
        <f t="shared" si="12"/>
        <v>"https://www.zeldadungeon.net/maps/totk/tiles/sky/6/10_21.jpg",</v>
      </c>
      <c r="H397" t="str">
        <f t="shared" si="13"/>
        <v>10_21</v>
      </c>
    </row>
    <row r="398" spans="1:8" x14ac:dyDescent="0.2">
      <c r="A398" s="9" t="s">
        <v>51</v>
      </c>
      <c r="B398" t="s">
        <v>374</v>
      </c>
      <c r="C398" t="str">
        <f t="shared" si="12"/>
        <v>"https://www.zeldadungeon.net/maps/totk/tiles/sky/6/10_22.jpg",</v>
      </c>
      <c r="H398" t="str">
        <f t="shared" si="13"/>
        <v>10_22</v>
      </c>
    </row>
    <row r="399" spans="1:8" x14ac:dyDescent="0.2">
      <c r="A399" s="9" t="s">
        <v>51</v>
      </c>
      <c r="B399" t="s">
        <v>373</v>
      </c>
      <c r="C399" t="str">
        <f t="shared" si="12"/>
        <v>"https://www.zeldadungeon.net/maps/totk/tiles/sky/6/10_23.jpg",</v>
      </c>
      <c r="H399" t="str">
        <f t="shared" si="13"/>
        <v>10_23</v>
      </c>
    </row>
    <row r="400" spans="1:8" x14ac:dyDescent="0.2">
      <c r="A400" s="9" t="s">
        <v>51</v>
      </c>
      <c r="B400" t="s">
        <v>372</v>
      </c>
      <c r="C400" t="str">
        <f t="shared" si="12"/>
        <v>"https://www.zeldadungeon.net/maps/totk/tiles/sky/6/10_24.jpg",</v>
      </c>
      <c r="H400" t="str">
        <f t="shared" si="13"/>
        <v>10_24</v>
      </c>
    </row>
    <row r="401" spans="1:8" x14ac:dyDescent="0.2">
      <c r="A401" s="9" t="s">
        <v>51</v>
      </c>
      <c r="B401" t="s">
        <v>371</v>
      </c>
      <c r="C401" t="str">
        <f t="shared" si="12"/>
        <v>"https://www.zeldadungeon.net/maps/totk/tiles/sky/6/10_25.jpg",</v>
      </c>
      <c r="H401" t="str">
        <f t="shared" si="13"/>
        <v>10_25</v>
      </c>
    </row>
    <row r="402" spans="1:8" x14ac:dyDescent="0.2">
      <c r="A402" s="9" t="s">
        <v>51</v>
      </c>
      <c r="B402" t="s">
        <v>370</v>
      </c>
      <c r="C402" t="str">
        <f t="shared" si="12"/>
        <v>"https://www.zeldadungeon.net/maps/totk/tiles/sky/6/10_26.jpg",</v>
      </c>
      <c r="H402" t="str">
        <f t="shared" si="13"/>
        <v>10_26</v>
      </c>
    </row>
    <row r="403" spans="1:8" x14ac:dyDescent="0.2">
      <c r="A403" s="9" t="s">
        <v>51</v>
      </c>
      <c r="B403" t="s">
        <v>369</v>
      </c>
      <c r="C403" t="str">
        <f t="shared" si="12"/>
        <v>"https://www.zeldadungeon.net/maps/totk/tiles/sky/6/10_27.jpg",</v>
      </c>
      <c r="H403" t="str">
        <f t="shared" si="13"/>
        <v>10_27</v>
      </c>
    </row>
    <row r="404" spans="1:8" x14ac:dyDescent="0.2">
      <c r="A404" s="9" t="s">
        <v>51</v>
      </c>
      <c r="B404" t="s">
        <v>368</v>
      </c>
      <c r="C404" t="str">
        <f t="shared" si="12"/>
        <v>"https://www.zeldadungeon.net/maps/totk/tiles/sky/6/10_28.jpg",</v>
      </c>
      <c r="H404" t="str">
        <f t="shared" si="13"/>
        <v>10_28</v>
      </c>
    </row>
    <row r="405" spans="1:8" x14ac:dyDescent="0.2">
      <c r="A405" s="9" t="s">
        <v>51</v>
      </c>
      <c r="B405" t="s">
        <v>367</v>
      </c>
      <c r="C405" t="str">
        <f t="shared" si="12"/>
        <v>"https://www.zeldadungeon.net/maps/totk/tiles/sky/6/10_29.jpg",</v>
      </c>
      <c r="H405" t="str">
        <f t="shared" si="13"/>
        <v>10_29</v>
      </c>
    </row>
    <row r="406" spans="1:8" x14ac:dyDescent="0.2">
      <c r="A406" s="9" t="s">
        <v>51</v>
      </c>
      <c r="B406" t="s">
        <v>366</v>
      </c>
      <c r="C406" t="str">
        <f t="shared" si="12"/>
        <v>"https://www.zeldadungeon.net/maps/totk/tiles/sky/6/10_30.jpg",</v>
      </c>
      <c r="H406" t="str">
        <f t="shared" si="13"/>
        <v>10_30</v>
      </c>
    </row>
    <row r="407" spans="1:8" x14ac:dyDescent="0.2">
      <c r="A407" s="9" t="s">
        <v>51</v>
      </c>
      <c r="B407" t="s">
        <v>365</v>
      </c>
      <c r="C407" t="str">
        <f t="shared" si="12"/>
        <v>"https://www.zeldadungeon.net/maps/totk/tiles/sky/6/10_31.jpg",</v>
      </c>
      <c r="H407" t="str">
        <f t="shared" si="13"/>
        <v>10_31</v>
      </c>
    </row>
    <row r="408" spans="1:8" x14ac:dyDescent="0.2">
      <c r="A408" s="9" t="s">
        <v>51</v>
      </c>
      <c r="B408" t="s">
        <v>364</v>
      </c>
      <c r="C408" t="str">
        <f t="shared" si="12"/>
        <v>"https://www.zeldadungeon.net/maps/totk/tiles/sky/6/10_32.jpg",</v>
      </c>
      <c r="H408" t="str">
        <f t="shared" si="13"/>
        <v>10_32</v>
      </c>
    </row>
    <row r="409" spans="1:8" x14ac:dyDescent="0.2">
      <c r="A409" s="9" t="s">
        <v>51</v>
      </c>
      <c r="B409" t="s">
        <v>363</v>
      </c>
      <c r="C409" t="str">
        <f t="shared" si="12"/>
        <v>"https://www.zeldadungeon.net/maps/totk/tiles/sky/6/10_33.jpg",</v>
      </c>
      <c r="H409" t="str">
        <f t="shared" si="13"/>
        <v>10_33</v>
      </c>
    </row>
    <row r="410" spans="1:8" x14ac:dyDescent="0.2">
      <c r="A410" s="9" t="s">
        <v>51</v>
      </c>
      <c r="B410" t="s">
        <v>362</v>
      </c>
      <c r="C410" t="str">
        <f t="shared" si="12"/>
        <v>"https://www.zeldadungeon.net/maps/totk/tiles/sky/6/10_34.jpg",</v>
      </c>
      <c r="H410" t="str">
        <f t="shared" si="13"/>
        <v>10_34</v>
      </c>
    </row>
    <row r="411" spans="1:8" x14ac:dyDescent="0.2">
      <c r="A411" s="9" t="s">
        <v>51</v>
      </c>
      <c r="B411" t="s">
        <v>361</v>
      </c>
      <c r="C411" t="str">
        <f t="shared" si="12"/>
        <v>"https://www.zeldadungeon.net/maps/totk/tiles/sky/6/10_35.jpg",</v>
      </c>
      <c r="H411" t="str">
        <f t="shared" si="13"/>
        <v>10_35</v>
      </c>
    </row>
    <row r="412" spans="1:8" x14ac:dyDescent="0.2">
      <c r="A412" s="9" t="s">
        <v>51</v>
      </c>
      <c r="B412" t="s">
        <v>360</v>
      </c>
      <c r="C412" t="str">
        <f t="shared" si="12"/>
        <v>"https://www.zeldadungeon.net/maps/totk/tiles/sky/6/10_36.jpg",</v>
      </c>
      <c r="H412" t="str">
        <f t="shared" si="13"/>
        <v>10_36</v>
      </c>
    </row>
    <row r="413" spans="1:8" x14ac:dyDescent="0.2">
      <c r="A413" s="9" t="s">
        <v>51</v>
      </c>
      <c r="B413" t="s">
        <v>359</v>
      </c>
      <c r="C413" t="str">
        <f t="shared" si="12"/>
        <v>"https://www.zeldadungeon.net/maps/totk/tiles/sky/6/10_37.jpg",</v>
      </c>
      <c r="H413" t="str">
        <f t="shared" si="13"/>
        <v>10_37</v>
      </c>
    </row>
    <row r="414" spans="1:8" x14ac:dyDescent="0.2">
      <c r="A414" s="9" t="s">
        <v>51</v>
      </c>
      <c r="B414" t="s">
        <v>358</v>
      </c>
      <c r="C414" t="str">
        <f t="shared" si="12"/>
        <v>"https://www.zeldadungeon.net/maps/totk/tiles/sky/6/10_38.jpg",</v>
      </c>
      <c r="H414" t="str">
        <f t="shared" si="13"/>
        <v>10_38</v>
      </c>
    </row>
    <row r="415" spans="1:8" x14ac:dyDescent="0.2">
      <c r="A415" s="9" t="s">
        <v>51</v>
      </c>
      <c r="B415" t="s">
        <v>357</v>
      </c>
      <c r="C415" t="str">
        <f t="shared" si="12"/>
        <v>"https://www.zeldadungeon.net/maps/totk/tiles/sky/6/10_39.jpg",</v>
      </c>
      <c r="H415" t="str">
        <f t="shared" si="13"/>
        <v>10_39</v>
      </c>
    </row>
    <row r="416" spans="1:8" x14ac:dyDescent="0.2">
      <c r="A416" s="9" t="s">
        <v>51</v>
      </c>
      <c r="B416" t="s">
        <v>356</v>
      </c>
      <c r="C416" t="str">
        <f t="shared" si="12"/>
        <v>"https://www.zeldadungeon.net/maps/totk/tiles/sky/6/10_40.jpg",</v>
      </c>
      <c r="H416" t="str">
        <f t="shared" si="13"/>
        <v>10_40</v>
      </c>
    </row>
    <row r="417" spans="1:8" x14ac:dyDescent="0.2">
      <c r="A417" s="9" t="s">
        <v>51</v>
      </c>
      <c r="B417" t="s">
        <v>355</v>
      </c>
      <c r="C417" t="str">
        <f t="shared" si="12"/>
        <v>"https://www.zeldadungeon.net/maps/totk/tiles/sky/6/10_41.jpg",</v>
      </c>
      <c r="H417" t="str">
        <f t="shared" si="13"/>
        <v>10_41</v>
      </c>
    </row>
    <row r="418" spans="1:8" x14ac:dyDescent="0.2">
      <c r="A418" s="9" t="s">
        <v>51</v>
      </c>
      <c r="B418" t="s">
        <v>354</v>
      </c>
      <c r="C418" t="str">
        <f t="shared" si="12"/>
        <v>"https://www.zeldadungeon.net/maps/totk/tiles/sky/6/10_42.jpg",</v>
      </c>
      <c r="H418" t="str">
        <f t="shared" si="13"/>
        <v>10_42</v>
      </c>
    </row>
    <row r="419" spans="1:8" x14ac:dyDescent="0.2">
      <c r="A419" s="9" t="s">
        <v>51</v>
      </c>
      <c r="B419" t="s">
        <v>353</v>
      </c>
      <c r="C419" t="str">
        <f t="shared" si="12"/>
        <v>"https://www.zeldadungeon.net/maps/totk/tiles/sky/6/10_43.jpg",</v>
      </c>
      <c r="H419" t="str">
        <f t="shared" si="13"/>
        <v>10_43</v>
      </c>
    </row>
    <row r="420" spans="1:8" x14ac:dyDescent="0.2">
      <c r="A420" s="9" t="s">
        <v>51</v>
      </c>
      <c r="B420" t="s">
        <v>352</v>
      </c>
      <c r="C420" t="str">
        <f t="shared" si="12"/>
        <v>"https://www.zeldadungeon.net/maps/totk/tiles/sky/6/10_44.jpg",</v>
      </c>
      <c r="H420" t="str">
        <f t="shared" si="13"/>
        <v>10_44</v>
      </c>
    </row>
    <row r="421" spans="1:8" x14ac:dyDescent="0.2">
      <c r="A421" s="9" t="s">
        <v>51</v>
      </c>
      <c r="B421" t="s">
        <v>351</v>
      </c>
      <c r="C421" t="str">
        <f t="shared" si="12"/>
        <v>"https://www.zeldadungeon.net/maps/totk/tiles/sky/6/10_45.jpg",</v>
      </c>
      <c r="H421" t="str">
        <f t="shared" si="13"/>
        <v>10_45</v>
      </c>
    </row>
    <row r="422" spans="1:8" x14ac:dyDescent="0.2">
      <c r="A422" s="9" t="s">
        <v>51</v>
      </c>
      <c r="B422" t="s">
        <v>350</v>
      </c>
      <c r="C422" t="str">
        <f t="shared" si="12"/>
        <v>"https://www.zeldadungeon.net/maps/totk/tiles/sky/6/10_46.jpg",</v>
      </c>
      <c r="H422" t="str">
        <f t="shared" si="13"/>
        <v>10_46</v>
      </c>
    </row>
    <row r="423" spans="1:8" x14ac:dyDescent="0.2">
      <c r="A423" s="9" t="s">
        <v>51</v>
      </c>
      <c r="B423" t="s">
        <v>349</v>
      </c>
      <c r="C423" t="str">
        <f t="shared" si="12"/>
        <v>"https://www.zeldadungeon.net/maps/totk/tiles/sky/6/10_47.jpg",</v>
      </c>
      <c r="H423" t="str">
        <f t="shared" si="13"/>
        <v>10_47</v>
      </c>
    </row>
    <row r="424" spans="1:8" x14ac:dyDescent="0.2">
      <c r="A424" s="9" t="s">
        <v>51</v>
      </c>
      <c r="B424" t="s">
        <v>348</v>
      </c>
      <c r="C424" t="str">
        <f t="shared" si="12"/>
        <v>"https://www.zeldadungeon.net/maps/totk/tiles/sky/6/10_48.jpg",</v>
      </c>
      <c r="H424" t="str">
        <f t="shared" si="13"/>
        <v>10_48</v>
      </c>
    </row>
    <row r="425" spans="1:8" x14ac:dyDescent="0.2">
      <c r="A425" s="9" t="s">
        <v>51</v>
      </c>
      <c r="B425" t="s">
        <v>347</v>
      </c>
      <c r="C425" t="str">
        <f t="shared" si="12"/>
        <v>"https://www.zeldadungeon.net/maps/totk/tiles/sky/6/10_49.jpg",</v>
      </c>
      <c r="H425" t="str">
        <f t="shared" si="13"/>
        <v>10_49</v>
      </c>
    </row>
    <row r="426" spans="1:8" x14ac:dyDescent="0.2">
      <c r="A426" s="9" t="s">
        <v>51</v>
      </c>
      <c r="B426" t="s">
        <v>346</v>
      </c>
      <c r="C426" t="str">
        <f t="shared" si="12"/>
        <v>"https://www.zeldadungeon.net/maps/totk/tiles/sky/6/10_50.jpg",</v>
      </c>
      <c r="H426" t="str">
        <f t="shared" si="13"/>
        <v>10_50</v>
      </c>
    </row>
    <row r="427" spans="1:8" x14ac:dyDescent="0.2">
      <c r="A427" s="9" t="s">
        <v>51</v>
      </c>
      <c r="B427" t="s">
        <v>345</v>
      </c>
      <c r="C427" t="str">
        <f t="shared" si="12"/>
        <v>"https://www.zeldadungeon.net/maps/totk/tiles/sky/6/10_51.jpg",</v>
      </c>
      <c r="H427" t="str">
        <f t="shared" si="13"/>
        <v>10_51</v>
      </c>
    </row>
    <row r="428" spans="1:8" x14ac:dyDescent="0.2">
      <c r="A428" s="9" t="s">
        <v>51</v>
      </c>
      <c r="B428" t="s">
        <v>344</v>
      </c>
      <c r="C428" t="str">
        <f t="shared" si="12"/>
        <v>"https://www.zeldadungeon.net/maps/totk/tiles/sky/6/10_52.jpg",</v>
      </c>
      <c r="H428" t="str">
        <f t="shared" si="13"/>
        <v>10_52</v>
      </c>
    </row>
    <row r="429" spans="1:8" x14ac:dyDescent="0.2">
      <c r="A429" s="9" t="s">
        <v>51</v>
      </c>
      <c r="B429" t="s">
        <v>343</v>
      </c>
      <c r="C429" t="str">
        <f t="shared" si="12"/>
        <v>"https://www.zeldadungeon.net/maps/totk/tiles/sky/6/10_53.jpg",</v>
      </c>
      <c r="H429" t="str">
        <f t="shared" si="13"/>
        <v>10_53</v>
      </c>
    </row>
    <row r="430" spans="1:8" x14ac:dyDescent="0.2">
      <c r="A430" s="9" t="s">
        <v>51</v>
      </c>
      <c r="B430" t="s">
        <v>342</v>
      </c>
      <c r="C430" t="str">
        <f t="shared" si="12"/>
        <v>"https://www.zeldadungeon.net/maps/totk/tiles/sky/6/10_54.jpg",</v>
      </c>
      <c r="H430" t="str">
        <f t="shared" si="13"/>
        <v>10_54</v>
      </c>
    </row>
    <row r="431" spans="1:8" x14ac:dyDescent="0.2">
      <c r="A431" s="9" t="s">
        <v>51</v>
      </c>
      <c r="B431" t="s">
        <v>341</v>
      </c>
      <c r="C431" t="str">
        <f t="shared" si="12"/>
        <v>"https://www.zeldadungeon.net/maps/totk/tiles/sky/6/10_55.jpg",</v>
      </c>
      <c r="H431" t="str">
        <f t="shared" si="13"/>
        <v>10_55</v>
      </c>
    </row>
    <row r="432" spans="1:8" x14ac:dyDescent="0.2">
      <c r="A432" s="9" t="s">
        <v>51</v>
      </c>
      <c r="B432" t="s">
        <v>340</v>
      </c>
      <c r="C432" t="str">
        <f t="shared" si="12"/>
        <v>"https://www.zeldadungeon.net/maps/totk/tiles/sky/6/11_8.jpg",</v>
      </c>
      <c r="H432" t="str">
        <f t="shared" si="13"/>
        <v>11_8</v>
      </c>
    </row>
    <row r="433" spans="1:8" x14ac:dyDescent="0.2">
      <c r="A433" s="9" t="s">
        <v>51</v>
      </c>
      <c r="B433" t="s">
        <v>339</v>
      </c>
      <c r="C433" t="str">
        <f t="shared" si="12"/>
        <v>"https://www.zeldadungeon.net/maps/totk/tiles/sky/6/11_9.jpg",</v>
      </c>
      <c r="H433" t="str">
        <f t="shared" si="13"/>
        <v>11_9</v>
      </c>
    </row>
    <row r="434" spans="1:8" x14ac:dyDescent="0.2">
      <c r="A434" s="9" t="s">
        <v>51</v>
      </c>
      <c r="B434" t="s">
        <v>338</v>
      </c>
      <c r="C434" t="str">
        <f t="shared" si="12"/>
        <v>"https://www.zeldadungeon.net/maps/totk/tiles/sky/6/11_10.jpg",</v>
      </c>
      <c r="H434" t="str">
        <f t="shared" si="13"/>
        <v>11_10</v>
      </c>
    </row>
    <row r="435" spans="1:8" x14ac:dyDescent="0.2">
      <c r="A435" s="9" t="s">
        <v>51</v>
      </c>
      <c r="B435" t="s">
        <v>337</v>
      </c>
      <c r="C435" t="str">
        <f t="shared" si="12"/>
        <v>"https://www.zeldadungeon.net/maps/totk/tiles/sky/6/11_11.jpg",</v>
      </c>
      <c r="H435" t="str">
        <f t="shared" si="13"/>
        <v>11_11</v>
      </c>
    </row>
    <row r="436" spans="1:8" x14ac:dyDescent="0.2">
      <c r="A436" s="9" t="s">
        <v>51</v>
      </c>
      <c r="B436" t="s">
        <v>336</v>
      </c>
      <c r="C436" t="str">
        <f t="shared" si="12"/>
        <v>"https://www.zeldadungeon.net/maps/totk/tiles/sky/6/11_12.jpg",</v>
      </c>
      <c r="H436" t="str">
        <f t="shared" si="13"/>
        <v>11_12</v>
      </c>
    </row>
    <row r="437" spans="1:8" x14ac:dyDescent="0.2">
      <c r="A437" s="9" t="s">
        <v>51</v>
      </c>
      <c r="B437" t="s">
        <v>335</v>
      </c>
      <c r="C437" t="str">
        <f t="shared" si="12"/>
        <v>"https://www.zeldadungeon.net/maps/totk/tiles/sky/6/11_13.jpg",</v>
      </c>
      <c r="H437" t="str">
        <f t="shared" si="13"/>
        <v>11_13</v>
      </c>
    </row>
    <row r="438" spans="1:8" x14ac:dyDescent="0.2">
      <c r="A438" s="9" t="s">
        <v>51</v>
      </c>
      <c r="B438" t="s">
        <v>334</v>
      </c>
      <c r="C438" t="str">
        <f t="shared" si="12"/>
        <v>"https://www.zeldadungeon.net/maps/totk/tiles/sky/6/11_14.jpg",</v>
      </c>
      <c r="H438" t="str">
        <f t="shared" si="13"/>
        <v>11_14</v>
      </c>
    </row>
    <row r="439" spans="1:8" x14ac:dyDescent="0.2">
      <c r="A439" s="9" t="s">
        <v>51</v>
      </c>
      <c r="B439" t="s">
        <v>333</v>
      </c>
      <c r="C439" t="str">
        <f t="shared" si="12"/>
        <v>"https://www.zeldadungeon.net/maps/totk/tiles/sky/6/11_15.jpg",</v>
      </c>
      <c r="H439" t="str">
        <f t="shared" si="13"/>
        <v>11_15</v>
      </c>
    </row>
    <row r="440" spans="1:8" x14ac:dyDescent="0.2">
      <c r="A440" s="9" t="s">
        <v>51</v>
      </c>
      <c r="B440" t="s">
        <v>332</v>
      </c>
      <c r="C440" t="str">
        <f t="shared" si="12"/>
        <v>"https://www.zeldadungeon.net/maps/totk/tiles/sky/6/11_16.jpg",</v>
      </c>
      <c r="H440" t="str">
        <f t="shared" si="13"/>
        <v>11_16</v>
      </c>
    </row>
    <row r="441" spans="1:8" x14ac:dyDescent="0.2">
      <c r="A441" s="9" t="s">
        <v>51</v>
      </c>
      <c r="B441" t="s">
        <v>331</v>
      </c>
      <c r="C441" t="str">
        <f t="shared" si="12"/>
        <v>"https://www.zeldadungeon.net/maps/totk/tiles/sky/6/11_17.jpg",</v>
      </c>
      <c r="H441" t="str">
        <f t="shared" si="13"/>
        <v>11_17</v>
      </c>
    </row>
    <row r="442" spans="1:8" x14ac:dyDescent="0.2">
      <c r="A442" s="9" t="s">
        <v>51</v>
      </c>
      <c r="B442" t="s">
        <v>330</v>
      </c>
      <c r="C442" t="str">
        <f t="shared" si="12"/>
        <v>"https://www.zeldadungeon.net/maps/totk/tiles/sky/6/11_18.jpg",</v>
      </c>
      <c r="H442" t="str">
        <f t="shared" si="13"/>
        <v>11_18</v>
      </c>
    </row>
    <row r="443" spans="1:8" x14ac:dyDescent="0.2">
      <c r="A443" s="9" t="s">
        <v>51</v>
      </c>
      <c r="B443" t="s">
        <v>329</v>
      </c>
      <c r="C443" t="str">
        <f t="shared" si="12"/>
        <v>"https://www.zeldadungeon.net/maps/totk/tiles/sky/6/11_19.jpg",</v>
      </c>
      <c r="H443" t="str">
        <f t="shared" si="13"/>
        <v>11_19</v>
      </c>
    </row>
    <row r="444" spans="1:8" x14ac:dyDescent="0.2">
      <c r="A444" s="9" t="s">
        <v>51</v>
      </c>
      <c r="B444" t="s">
        <v>328</v>
      </c>
      <c r="C444" t="str">
        <f t="shared" si="12"/>
        <v>"https://www.zeldadungeon.net/maps/totk/tiles/sky/6/11_20.jpg",</v>
      </c>
      <c r="H444" t="str">
        <f t="shared" si="13"/>
        <v>11_20</v>
      </c>
    </row>
    <row r="445" spans="1:8" x14ac:dyDescent="0.2">
      <c r="A445" s="9" t="s">
        <v>51</v>
      </c>
      <c r="B445" t="s">
        <v>327</v>
      </c>
      <c r="C445" t="str">
        <f t="shared" si="12"/>
        <v>"https://www.zeldadungeon.net/maps/totk/tiles/sky/6/11_21.jpg",</v>
      </c>
      <c r="H445" t="str">
        <f t="shared" si="13"/>
        <v>11_21</v>
      </c>
    </row>
    <row r="446" spans="1:8" x14ac:dyDescent="0.2">
      <c r="A446" s="9" t="s">
        <v>51</v>
      </c>
      <c r="B446" t="s">
        <v>326</v>
      </c>
      <c r="C446" t="str">
        <f t="shared" si="12"/>
        <v>"https://www.zeldadungeon.net/maps/totk/tiles/sky/6/11_22.jpg",</v>
      </c>
      <c r="H446" t="str">
        <f t="shared" si="13"/>
        <v>11_22</v>
      </c>
    </row>
    <row r="447" spans="1:8" x14ac:dyDescent="0.2">
      <c r="A447" s="9" t="s">
        <v>51</v>
      </c>
      <c r="B447" t="s">
        <v>325</v>
      </c>
      <c r="C447" t="str">
        <f t="shared" si="12"/>
        <v>"https://www.zeldadungeon.net/maps/totk/tiles/sky/6/11_23.jpg",</v>
      </c>
      <c r="H447" t="str">
        <f t="shared" si="13"/>
        <v>11_23</v>
      </c>
    </row>
    <row r="448" spans="1:8" x14ac:dyDescent="0.2">
      <c r="A448" s="9" t="s">
        <v>51</v>
      </c>
      <c r="B448" t="s">
        <v>324</v>
      </c>
      <c r="C448" t="str">
        <f t="shared" si="12"/>
        <v>"https://www.zeldadungeon.net/maps/totk/tiles/sky/6/11_24.jpg",</v>
      </c>
      <c r="H448" t="str">
        <f t="shared" si="13"/>
        <v>11_24</v>
      </c>
    </row>
    <row r="449" spans="1:8" x14ac:dyDescent="0.2">
      <c r="A449" s="9" t="s">
        <v>51</v>
      </c>
      <c r="B449" t="s">
        <v>323</v>
      </c>
      <c r="C449" t="str">
        <f t="shared" ref="C449:C512" si="14">""""&amp;SUBSTITUTE(A449,"zzz",H449)&amp;""""&amp;","</f>
        <v>"https://www.zeldadungeon.net/maps/totk/tiles/sky/6/11_25.jpg",</v>
      </c>
      <c r="H449" t="str">
        <f t="shared" ref="H449:H512" si="15">QUOTIENT(ROW(A449),48)+2&amp;"_"&amp;MOD(ROW(A449),48)+8</f>
        <v>11_25</v>
      </c>
    </row>
    <row r="450" spans="1:8" x14ac:dyDescent="0.2">
      <c r="A450" s="9" t="s">
        <v>51</v>
      </c>
      <c r="B450" t="s">
        <v>322</v>
      </c>
      <c r="C450" t="str">
        <f t="shared" si="14"/>
        <v>"https://www.zeldadungeon.net/maps/totk/tiles/sky/6/11_26.jpg",</v>
      </c>
      <c r="H450" t="str">
        <f t="shared" si="15"/>
        <v>11_26</v>
      </c>
    </row>
    <row r="451" spans="1:8" x14ac:dyDescent="0.2">
      <c r="A451" s="9" t="s">
        <v>51</v>
      </c>
      <c r="B451" t="s">
        <v>321</v>
      </c>
      <c r="C451" t="str">
        <f t="shared" si="14"/>
        <v>"https://www.zeldadungeon.net/maps/totk/tiles/sky/6/11_27.jpg",</v>
      </c>
      <c r="H451" t="str">
        <f t="shared" si="15"/>
        <v>11_27</v>
      </c>
    </row>
    <row r="452" spans="1:8" x14ac:dyDescent="0.2">
      <c r="A452" s="9" t="s">
        <v>51</v>
      </c>
      <c r="B452" t="s">
        <v>320</v>
      </c>
      <c r="C452" t="str">
        <f t="shared" si="14"/>
        <v>"https://www.zeldadungeon.net/maps/totk/tiles/sky/6/11_28.jpg",</v>
      </c>
      <c r="H452" t="str">
        <f t="shared" si="15"/>
        <v>11_28</v>
      </c>
    </row>
    <row r="453" spans="1:8" x14ac:dyDescent="0.2">
      <c r="A453" s="9" t="s">
        <v>51</v>
      </c>
      <c r="B453" t="s">
        <v>319</v>
      </c>
      <c r="C453" t="str">
        <f t="shared" si="14"/>
        <v>"https://www.zeldadungeon.net/maps/totk/tiles/sky/6/11_29.jpg",</v>
      </c>
      <c r="H453" t="str">
        <f t="shared" si="15"/>
        <v>11_29</v>
      </c>
    </row>
    <row r="454" spans="1:8" x14ac:dyDescent="0.2">
      <c r="A454" s="9" t="s">
        <v>51</v>
      </c>
      <c r="B454" t="s">
        <v>318</v>
      </c>
      <c r="C454" t="str">
        <f t="shared" si="14"/>
        <v>"https://www.zeldadungeon.net/maps/totk/tiles/sky/6/11_30.jpg",</v>
      </c>
      <c r="H454" t="str">
        <f t="shared" si="15"/>
        <v>11_30</v>
      </c>
    </row>
    <row r="455" spans="1:8" x14ac:dyDescent="0.2">
      <c r="A455" s="9" t="s">
        <v>51</v>
      </c>
      <c r="B455" t="s">
        <v>317</v>
      </c>
      <c r="C455" t="str">
        <f t="shared" si="14"/>
        <v>"https://www.zeldadungeon.net/maps/totk/tiles/sky/6/11_31.jpg",</v>
      </c>
      <c r="H455" t="str">
        <f t="shared" si="15"/>
        <v>11_31</v>
      </c>
    </row>
    <row r="456" spans="1:8" x14ac:dyDescent="0.2">
      <c r="A456" s="9" t="s">
        <v>51</v>
      </c>
      <c r="B456" t="s">
        <v>316</v>
      </c>
      <c r="C456" t="str">
        <f t="shared" si="14"/>
        <v>"https://www.zeldadungeon.net/maps/totk/tiles/sky/6/11_32.jpg",</v>
      </c>
      <c r="H456" t="str">
        <f t="shared" si="15"/>
        <v>11_32</v>
      </c>
    </row>
    <row r="457" spans="1:8" x14ac:dyDescent="0.2">
      <c r="A457" s="9" t="s">
        <v>51</v>
      </c>
      <c r="B457" t="s">
        <v>315</v>
      </c>
      <c r="C457" t="str">
        <f t="shared" si="14"/>
        <v>"https://www.zeldadungeon.net/maps/totk/tiles/sky/6/11_33.jpg",</v>
      </c>
      <c r="H457" t="str">
        <f t="shared" si="15"/>
        <v>11_33</v>
      </c>
    </row>
    <row r="458" spans="1:8" x14ac:dyDescent="0.2">
      <c r="A458" s="9" t="s">
        <v>51</v>
      </c>
      <c r="B458" t="s">
        <v>314</v>
      </c>
      <c r="C458" t="str">
        <f t="shared" si="14"/>
        <v>"https://www.zeldadungeon.net/maps/totk/tiles/sky/6/11_34.jpg",</v>
      </c>
      <c r="H458" t="str">
        <f t="shared" si="15"/>
        <v>11_34</v>
      </c>
    </row>
    <row r="459" spans="1:8" x14ac:dyDescent="0.2">
      <c r="A459" s="9" t="s">
        <v>51</v>
      </c>
      <c r="B459" t="s">
        <v>313</v>
      </c>
      <c r="C459" t="str">
        <f t="shared" si="14"/>
        <v>"https://www.zeldadungeon.net/maps/totk/tiles/sky/6/11_35.jpg",</v>
      </c>
      <c r="H459" t="str">
        <f t="shared" si="15"/>
        <v>11_35</v>
      </c>
    </row>
    <row r="460" spans="1:8" x14ac:dyDescent="0.2">
      <c r="A460" s="9" t="s">
        <v>51</v>
      </c>
      <c r="B460" t="s">
        <v>312</v>
      </c>
      <c r="C460" t="str">
        <f t="shared" si="14"/>
        <v>"https://www.zeldadungeon.net/maps/totk/tiles/sky/6/11_36.jpg",</v>
      </c>
      <c r="H460" t="str">
        <f t="shared" si="15"/>
        <v>11_36</v>
      </c>
    </row>
    <row r="461" spans="1:8" x14ac:dyDescent="0.2">
      <c r="A461" s="9" t="s">
        <v>51</v>
      </c>
      <c r="B461" t="s">
        <v>311</v>
      </c>
      <c r="C461" t="str">
        <f t="shared" si="14"/>
        <v>"https://www.zeldadungeon.net/maps/totk/tiles/sky/6/11_37.jpg",</v>
      </c>
      <c r="H461" t="str">
        <f t="shared" si="15"/>
        <v>11_37</v>
      </c>
    </row>
    <row r="462" spans="1:8" x14ac:dyDescent="0.2">
      <c r="A462" s="9" t="s">
        <v>51</v>
      </c>
      <c r="B462" t="s">
        <v>310</v>
      </c>
      <c r="C462" t="str">
        <f t="shared" si="14"/>
        <v>"https://www.zeldadungeon.net/maps/totk/tiles/sky/6/11_38.jpg",</v>
      </c>
      <c r="H462" t="str">
        <f t="shared" si="15"/>
        <v>11_38</v>
      </c>
    </row>
    <row r="463" spans="1:8" x14ac:dyDescent="0.2">
      <c r="A463" s="9" t="s">
        <v>51</v>
      </c>
      <c r="B463" t="s">
        <v>309</v>
      </c>
      <c r="C463" t="str">
        <f t="shared" si="14"/>
        <v>"https://www.zeldadungeon.net/maps/totk/tiles/sky/6/11_39.jpg",</v>
      </c>
      <c r="H463" t="str">
        <f t="shared" si="15"/>
        <v>11_39</v>
      </c>
    </row>
    <row r="464" spans="1:8" x14ac:dyDescent="0.2">
      <c r="A464" s="9" t="s">
        <v>51</v>
      </c>
      <c r="B464" t="s">
        <v>308</v>
      </c>
      <c r="C464" t="str">
        <f t="shared" si="14"/>
        <v>"https://www.zeldadungeon.net/maps/totk/tiles/sky/6/11_40.jpg",</v>
      </c>
      <c r="H464" t="str">
        <f t="shared" si="15"/>
        <v>11_40</v>
      </c>
    </row>
    <row r="465" spans="1:8" x14ac:dyDescent="0.2">
      <c r="A465" s="9" t="s">
        <v>51</v>
      </c>
      <c r="B465" t="s">
        <v>307</v>
      </c>
      <c r="C465" t="str">
        <f t="shared" si="14"/>
        <v>"https://www.zeldadungeon.net/maps/totk/tiles/sky/6/11_41.jpg",</v>
      </c>
      <c r="H465" t="str">
        <f t="shared" si="15"/>
        <v>11_41</v>
      </c>
    </row>
    <row r="466" spans="1:8" x14ac:dyDescent="0.2">
      <c r="A466" s="9" t="s">
        <v>51</v>
      </c>
      <c r="B466" t="s">
        <v>306</v>
      </c>
      <c r="C466" t="str">
        <f t="shared" si="14"/>
        <v>"https://www.zeldadungeon.net/maps/totk/tiles/sky/6/11_42.jpg",</v>
      </c>
      <c r="H466" t="str">
        <f t="shared" si="15"/>
        <v>11_42</v>
      </c>
    </row>
    <row r="467" spans="1:8" x14ac:dyDescent="0.2">
      <c r="A467" s="9" t="s">
        <v>51</v>
      </c>
      <c r="B467" t="s">
        <v>305</v>
      </c>
      <c r="C467" t="str">
        <f t="shared" si="14"/>
        <v>"https://www.zeldadungeon.net/maps/totk/tiles/sky/6/11_43.jpg",</v>
      </c>
      <c r="H467" t="str">
        <f t="shared" si="15"/>
        <v>11_43</v>
      </c>
    </row>
    <row r="468" spans="1:8" x14ac:dyDescent="0.2">
      <c r="A468" s="9" t="s">
        <v>51</v>
      </c>
      <c r="B468" t="s">
        <v>304</v>
      </c>
      <c r="C468" t="str">
        <f t="shared" si="14"/>
        <v>"https://www.zeldadungeon.net/maps/totk/tiles/sky/6/11_44.jpg",</v>
      </c>
      <c r="H468" t="str">
        <f t="shared" si="15"/>
        <v>11_44</v>
      </c>
    </row>
    <row r="469" spans="1:8" x14ac:dyDescent="0.2">
      <c r="A469" s="9" t="s">
        <v>51</v>
      </c>
      <c r="B469" t="s">
        <v>303</v>
      </c>
      <c r="C469" t="str">
        <f t="shared" si="14"/>
        <v>"https://www.zeldadungeon.net/maps/totk/tiles/sky/6/11_45.jpg",</v>
      </c>
      <c r="H469" t="str">
        <f t="shared" si="15"/>
        <v>11_45</v>
      </c>
    </row>
    <row r="470" spans="1:8" x14ac:dyDescent="0.2">
      <c r="A470" s="9" t="s">
        <v>51</v>
      </c>
      <c r="B470" t="s">
        <v>302</v>
      </c>
      <c r="C470" t="str">
        <f t="shared" si="14"/>
        <v>"https://www.zeldadungeon.net/maps/totk/tiles/sky/6/11_46.jpg",</v>
      </c>
      <c r="H470" t="str">
        <f t="shared" si="15"/>
        <v>11_46</v>
      </c>
    </row>
    <row r="471" spans="1:8" x14ac:dyDescent="0.2">
      <c r="A471" s="9" t="s">
        <v>51</v>
      </c>
      <c r="B471" t="s">
        <v>301</v>
      </c>
      <c r="C471" t="str">
        <f t="shared" si="14"/>
        <v>"https://www.zeldadungeon.net/maps/totk/tiles/sky/6/11_47.jpg",</v>
      </c>
      <c r="H471" t="str">
        <f t="shared" si="15"/>
        <v>11_47</v>
      </c>
    </row>
    <row r="472" spans="1:8" x14ac:dyDescent="0.2">
      <c r="A472" s="9" t="s">
        <v>51</v>
      </c>
      <c r="B472" t="s">
        <v>300</v>
      </c>
      <c r="C472" t="str">
        <f t="shared" si="14"/>
        <v>"https://www.zeldadungeon.net/maps/totk/tiles/sky/6/11_48.jpg",</v>
      </c>
      <c r="H472" t="str">
        <f t="shared" si="15"/>
        <v>11_48</v>
      </c>
    </row>
    <row r="473" spans="1:8" x14ac:dyDescent="0.2">
      <c r="A473" s="9" t="s">
        <v>51</v>
      </c>
      <c r="B473" t="s">
        <v>299</v>
      </c>
      <c r="C473" t="str">
        <f t="shared" si="14"/>
        <v>"https://www.zeldadungeon.net/maps/totk/tiles/sky/6/11_49.jpg",</v>
      </c>
      <c r="H473" t="str">
        <f t="shared" si="15"/>
        <v>11_49</v>
      </c>
    </row>
    <row r="474" spans="1:8" x14ac:dyDescent="0.2">
      <c r="A474" s="9" t="s">
        <v>51</v>
      </c>
      <c r="B474" t="s">
        <v>298</v>
      </c>
      <c r="C474" t="str">
        <f t="shared" si="14"/>
        <v>"https://www.zeldadungeon.net/maps/totk/tiles/sky/6/11_50.jpg",</v>
      </c>
      <c r="H474" t="str">
        <f t="shared" si="15"/>
        <v>11_50</v>
      </c>
    </row>
    <row r="475" spans="1:8" x14ac:dyDescent="0.2">
      <c r="A475" s="9" t="s">
        <v>51</v>
      </c>
      <c r="B475" t="s">
        <v>297</v>
      </c>
      <c r="C475" t="str">
        <f t="shared" si="14"/>
        <v>"https://www.zeldadungeon.net/maps/totk/tiles/sky/6/11_51.jpg",</v>
      </c>
      <c r="H475" t="str">
        <f t="shared" si="15"/>
        <v>11_51</v>
      </c>
    </row>
    <row r="476" spans="1:8" x14ac:dyDescent="0.2">
      <c r="A476" s="9" t="s">
        <v>51</v>
      </c>
      <c r="B476" t="s">
        <v>296</v>
      </c>
      <c r="C476" t="str">
        <f t="shared" si="14"/>
        <v>"https://www.zeldadungeon.net/maps/totk/tiles/sky/6/11_52.jpg",</v>
      </c>
      <c r="H476" t="str">
        <f t="shared" si="15"/>
        <v>11_52</v>
      </c>
    </row>
    <row r="477" spans="1:8" x14ac:dyDescent="0.2">
      <c r="A477" s="9" t="s">
        <v>51</v>
      </c>
      <c r="B477" t="s">
        <v>295</v>
      </c>
      <c r="C477" t="str">
        <f t="shared" si="14"/>
        <v>"https://www.zeldadungeon.net/maps/totk/tiles/sky/6/11_53.jpg",</v>
      </c>
      <c r="H477" t="str">
        <f t="shared" si="15"/>
        <v>11_53</v>
      </c>
    </row>
    <row r="478" spans="1:8" x14ac:dyDescent="0.2">
      <c r="A478" s="9" t="s">
        <v>51</v>
      </c>
      <c r="B478" t="s">
        <v>294</v>
      </c>
      <c r="C478" t="str">
        <f t="shared" si="14"/>
        <v>"https://www.zeldadungeon.net/maps/totk/tiles/sky/6/11_54.jpg",</v>
      </c>
      <c r="H478" t="str">
        <f t="shared" si="15"/>
        <v>11_54</v>
      </c>
    </row>
    <row r="479" spans="1:8" x14ac:dyDescent="0.2">
      <c r="A479" s="9" t="s">
        <v>51</v>
      </c>
      <c r="B479" t="s">
        <v>293</v>
      </c>
      <c r="C479" t="str">
        <f t="shared" si="14"/>
        <v>"https://www.zeldadungeon.net/maps/totk/tiles/sky/6/11_55.jpg",</v>
      </c>
      <c r="H479" t="str">
        <f t="shared" si="15"/>
        <v>11_55</v>
      </c>
    </row>
    <row r="480" spans="1:8" x14ac:dyDescent="0.2">
      <c r="A480" s="9" t="s">
        <v>51</v>
      </c>
      <c r="B480" t="s">
        <v>292</v>
      </c>
      <c r="C480" t="str">
        <f t="shared" si="14"/>
        <v>"https://www.zeldadungeon.net/maps/totk/tiles/sky/6/12_8.jpg",</v>
      </c>
      <c r="H480" t="str">
        <f t="shared" si="15"/>
        <v>12_8</v>
      </c>
    </row>
    <row r="481" spans="1:8" x14ac:dyDescent="0.2">
      <c r="A481" s="9" t="s">
        <v>51</v>
      </c>
      <c r="B481" t="s">
        <v>291</v>
      </c>
      <c r="C481" t="str">
        <f t="shared" si="14"/>
        <v>"https://www.zeldadungeon.net/maps/totk/tiles/sky/6/12_9.jpg",</v>
      </c>
      <c r="H481" t="str">
        <f t="shared" si="15"/>
        <v>12_9</v>
      </c>
    </row>
    <row r="482" spans="1:8" x14ac:dyDescent="0.2">
      <c r="A482" s="9" t="s">
        <v>51</v>
      </c>
      <c r="B482" t="s">
        <v>290</v>
      </c>
      <c r="C482" t="str">
        <f t="shared" si="14"/>
        <v>"https://www.zeldadungeon.net/maps/totk/tiles/sky/6/12_10.jpg",</v>
      </c>
      <c r="H482" t="str">
        <f t="shared" si="15"/>
        <v>12_10</v>
      </c>
    </row>
    <row r="483" spans="1:8" x14ac:dyDescent="0.2">
      <c r="A483" s="9" t="s">
        <v>51</v>
      </c>
      <c r="B483" t="s">
        <v>289</v>
      </c>
      <c r="C483" t="str">
        <f t="shared" si="14"/>
        <v>"https://www.zeldadungeon.net/maps/totk/tiles/sky/6/12_11.jpg",</v>
      </c>
      <c r="H483" t="str">
        <f t="shared" si="15"/>
        <v>12_11</v>
      </c>
    </row>
    <row r="484" spans="1:8" x14ac:dyDescent="0.2">
      <c r="A484" s="9" t="s">
        <v>51</v>
      </c>
      <c r="B484" t="s">
        <v>288</v>
      </c>
      <c r="C484" t="str">
        <f t="shared" si="14"/>
        <v>"https://www.zeldadungeon.net/maps/totk/tiles/sky/6/12_12.jpg",</v>
      </c>
      <c r="H484" t="str">
        <f t="shared" si="15"/>
        <v>12_12</v>
      </c>
    </row>
    <row r="485" spans="1:8" x14ac:dyDescent="0.2">
      <c r="A485" s="9" t="s">
        <v>51</v>
      </c>
      <c r="B485" t="s">
        <v>287</v>
      </c>
      <c r="C485" t="str">
        <f t="shared" si="14"/>
        <v>"https://www.zeldadungeon.net/maps/totk/tiles/sky/6/12_13.jpg",</v>
      </c>
      <c r="H485" t="str">
        <f t="shared" si="15"/>
        <v>12_13</v>
      </c>
    </row>
    <row r="486" spans="1:8" x14ac:dyDescent="0.2">
      <c r="A486" s="9" t="s">
        <v>51</v>
      </c>
      <c r="B486" t="s">
        <v>286</v>
      </c>
      <c r="C486" t="str">
        <f t="shared" si="14"/>
        <v>"https://www.zeldadungeon.net/maps/totk/tiles/sky/6/12_14.jpg",</v>
      </c>
      <c r="H486" t="str">
        <f t="shared" si="15"/>
        <v>12_14</v>
      </c>
    </row>
    <row r="487" spans="1:8" x14ac:dyDescent="0.2">
      <c r="A487" s="9" t="s">
        <v>51</v>
      </c>
      <c r="B487" t="s">
        <v>285</v>
      </c>
      <c r="C487" t="str">
        <f t="shared" si="14"/>
        <v>"https://www.zeldadungeon.net/maps/totk/tiles/sky/6/12_15.jpg",</v>
      </c>
      <c r="H487" t="str">
        <f t="shared" si="15"/>
        <v>12_15</v>
      </c>
    </row>
    <row r="488" spans="1:8" x14ac:dyDescent="0.2">
      <c r="A488" s="9" t="s">
        <v>51</v>
      </c>
      <c r="B488" t="s">
        <v>284</v>
      </c>
      <c r="C488" t="str">
        <f t="shared" si="14"/>
        <v>"https://www.zeldadungeon.net/maps/totk/tiles/sky/6/12_16.jpg",</v>
      </c>
      <c r="H488" t="str">
        <f t="shared" si="15"/>
        <v>12_16</v>
      </c>
    </row>
    <row r="489" spans="1:8" x14ac:dyDescent="0.2">
      <c r="A489" s="9" t="s">
        <v>51</v>
      </c>
      <c r="B489" t="s">
        <v>283</v>
      </c>
      <c r="C489" t="str">
        <f t="shared" si="14"/>
        <v>"https://www.zeldadungeon.net/maps/totk/tiles/sky/6/12_17.jpg",</v>
      </c>
      <c r="H489" t="str">
        <f t="shared" si="15"/>
        <v>12_17</v>
      </c>
    </row>
    <row r="490" spans="1:8" x14ac:dyDescent="0.2">
      <c r="A490" s="9" t="s">
        <v>51</v>
      </c>
      <c r="B490" t="s">
        <v>282</v>
      </c>
      <c r="C490" t="str">
        <f t="shared" si="14"/>
        <v>"https://www.zeldadungeon.net/maps/totk/tiles/sky/6/12_18.jpg",</v>
      </c>
      <c r="H490" t="str">
        <f t="shared" si="15"/>
        <v>12_18</v>
      </c>
    </row>
    <row r="491" spans="1:8" x14ac:dyDescent="0.2">
      <c r="A491" s="9" t="s">
        <v>51</v>
      </c>
      <c r="B491" t="s">
        <v>281</v>
      </c>
      <c r="C491" t="str">
        <f t="shared" si="14"/>
        <v>"https://www.zeldadungeon.net/maps/totk/tiles/sky/6/12_19.jpg",</v>
      </c>
      <c r="H491" t="str">
        <f t="shared" si="15"/>
        <v>12_19</v>
      </c>
    </row>
    <row r="492" spans="1:8" x14ac:dyDescent="0.2">
      <c r="A492" s="9" t="s">
        <v>51</v>
      </c>
      <c r="B492" t="s">
        <v>280</v>
      </c>
      <c r="C492" t="str">
        <f t="shared" si="14"/>
        <v>"https://www.zeldadungeon.net/maps/totk/tiles/sky/6/12_20.jpg",</v>
      </c>
      <c r="H492" t="str">
        <f t="shared" si="15"/>
        <v>12_20</v>
      </c>
    </row>
    <row r="493" spans="1:8" x14ac:dyDescent="0.2">
      <c r="A493" s="9" t="s">
        <v>51</v>
      </c>
      <c r="B493" t="s">
        <v>279</v>
      </c>
      <c r="C493" t="str">
        <f t="shared" si="14"/>
        <v>"https://www.zeldadungeon.net/maps/totk/tiles/sky/6/12_21.jpg",</v>
      </c>
      <c r="H493" t="str">
        <f t="shared" si="15"/>
        <v>12_21</v>
      </c>
    </row>
    <row r="494" spans="1:8" x14ac:dyDescent="0.2">
      <c r="A494" s="9" t="s">
        <v>51</v>
      </c>
      <c r="B494" t="s">
        <v>278</v>
      </c>
      <c r="C494" t="str">
        <f t="shared" si="14"/>
        <v>"https://www.zeldadungeon.net/maps/totk/tiles/sky/6/12_22.jpg",</v>
      </c>
      <c r="H494" t="str">
        <f t="shared" si="15"/>
        <v>12_22</v>
      </c>
    </row>
    <row r="495" spans="1:8" x14ac:dyDescent="0.2">
      <c r="A495" s="9" t="s">
        <v>51</v>
      </c>
      <c r="B495" t="s">
        <v>277</v>
      </c>
      <c r="C495" t="str">
        <f t="shared" si="14"/>
        <v>"https://www.zeldadungeon.net/maps/totk/tiles/sky/6/12_23.jpg",</v>
      </c>
      <c r="H495" t="str">
        <f t="shared" si="15"/>
        <v>12_23</v>
      </c>
    </row>
    <row r="496" spans="1:8" x14ac:dyDescent="0.2">
      <c r="A496" s="9" t="s">
        <v>51</v>
      </c>
      <c r="B496" t="s">
        <v>276</v>
      </c>
      <c r="C496" t="str">
        <f t="shared" si="14"/>
        <v>"https://www.zeldadungeon.net/maps/totk/tiles/sky/6/12_24.jpg",</v>
      </c>
      <c r="H496" t="str">
        <f t="shared" si="15"/>
        <v>12_24</v>
      </c>
    </row>
    <row r="497" spans="1:8" x14ac:dyDescent="0.2">
      <c r="A497" s="9" t="s">
        <v>51</v>
      </c>
      <c r="B497" t="s">
        <v>275</v>
      </c>
      <c r="C497" t="str">
        <f t="shared" si="14"/>
        <v>"https://www.zeldadungeon.net/maps/totk/tiles/sky/6/12_25.jpg",</v>
      </c>
      <c r="H497" t="str">
        <f t="shared" si="15"/>
        <v>12_25</v>
      </c>
    </row>
    <row r="498" spans="1:8" x14ac:dyDescent="0.2">
      <c r="A498" s="9" t="s">
        <v>51</v>
      </c>
      <c r="B498" t="s">
        <v>274</v>
      </c>
      <c r="C498" t="str">
        <f t="shared" si="14"/>
        <v>"https://www.zeldadungeon.net/maps/totk/tiles/sky/6/12_26.jpg",</v>
      </c>
      <c r="H498" t="str">
        <f t="shared" si="15"/>
        <v>12_26</v>
      </c>
    </row>
    <row r="499" spans="1:8" x14ac:dyDescent="0.2">
      <c r="A499" s="9" t="s">
        <v>51</v>
      </c>
      <c r="B499" t="s">
        <v>273</v>
      </c>
      <c r="C499" t="str">
        <f t="shared" si="14"/>
        <v>"https://www.zeldadungeon.net/maps/totk/tiles/sky/6/12_27.jpg",</v>
      </c>
      <c r="H499" t="str">
        <f t="shared" si="15"/>
        <v>12_27</v>
      </c>
    </row>
    <row r="500" spans="1:8" x14ac:dyDescent="0.2">
      <c r="A500" s="9" t="s">
        <v>51</v>
      </c>
      <c r="B500" t="s">
        <v>272</v>
      </c>
      <c r="C500" t="str">
        <f t="shared" si="14"/>
        <v>"https://www.zeldadungeon.net/maps/totk/tiles/sky/6/12_28.jpg",</v>
      </c>
      <c r="H500" t="str">
        <f t="shared" si="15"/>
        <v>12_28</v>
      </c>
    </row>
    <row r="501" spans="1:8" x14ac:dyDescent="0.2">
      <c r="A501" s="9" t="s">
        <v>51</v>
      </c>
      <c r="B501" t="s">
        <v>271</v>
      </c>
      <c r="C501" t="str">
        <f t="shared" si="14"/>
        <v>"https://www.zeldadungeon.net/maps/totk/tiles/sky/6/12_29.jpg",</v>
      </c>
      <c r="H501" t="str">
        <f t="shared" si="15"/>
        <v>12_29</v>
      </c>
    </row>
    <row r="502" spans="1:8" x14ac:dyDescent="0.2">
      <c r="A502" s="9" t="s">
        <v>51</v>
      </c>
      <c r="B502" t="s">
        <v>270</v>
      </c>
      <c r="C502" t="str">
        <f t="shared" si="14"/>
        <v>"https://www.zeldadungeon.net/maps/totk/tiles/sky/6/12_30.jpg",</v>
      </c>
      <c r="H502" t="str">
        <f t="shared" si="15"/>
        <v>12_30</v>
      </c>
    </row>
    <row r="503" spans="1:8" x14ac:dyDescent="0.2">
      <c r="A503" s="9" t="s">
        <v>51</v>
      </c>
      <c r="B503" t="s">
        <v>269</v>
      </c>
      <c r="C503" t="str">
        <f t="shared" si="14"/>
        <v>"https://www.zeldadungeon.net/maps/totk/tiles/sky/6/12_31.jpg",</v>
      </c>
      <c r="H503" t="str">
        <f t="shared" si="15"/>
        <v>12_31</v>
      </c>
    </row>
    <row r="504" spans="1:8" x14ac:dyDescent="0.2">
      <c r="A504" s="9" t="s">
        <v>51</v>
      </c>
      <c r="B504" t="s">
        <v>268</v>
      </c>
      <c r="C504" t="str">
        <f t="shared" si="14"/>
        <v>"https://www.zeldadungeon.net/maps/totk/tiles/sky/6/12_32.jpg",</v>
      </c>
      <c r="H504" t="str">
        <f t="shared" si="15"/>
        <v>12_32</v>
      </c>
    </row>
    <row r="505" spans="1:8" x14ac:dyDescent="0.2">
      <c r="A505" s="9" t="s">
        <v>51</v>
      </c>
      <c r="B505" t="s">
        <v>267</v>
      </c>
      <c r="C505" t="str">
        <f t="shared" si="14"/>
        <v>"https://www.zeldadungeon.net/maps/totk/tiles/sky/6/12_33.jpg",</v>
      </c>
      <c r="H505" t="str">
        <f t="shared" si="15"/>
        <v>12_33</v>
      </c>
    </row>
    <row r="506" spans="1:8" x14ac:dyDescent="0.2">
      <c r="A506" s="9" t="s">
        <v>51</v>
      </c>
      <c r="B506" t="s">
        <v>266</v>
      </c>
      <c r="C506" t="str">
        <f t="shared" si="14"/>
        <v>"https://www.zeldadungeon.net/maps/totk/tiles/sky/6/12_34.jpg",</v>
      </c>
      <c r="H506" t="str">
        <f t="shared" si="15"/>
        <v>12_34</v>
      </c>
    </row>
    <row r="507" spans="1:8" x14ac:dyDescent="0.2">
      <c r="A507" s="9" t="s">
        <v>51</v>
      </c>
      <c r="B507" t="s">
        <v>265</v>
      </c>
      <c r="C507" t="str">
        <f t="shared" si="14"/>
        <v>"https://www.zeldadungeon.net/maps/totk/tiles/sky/6/12_35.jpg",</v>
      </c>
      <c r="H507" t="str">
        <f t="shared" si="15"/>
        <v>12_35</v>
      </c>
    </row>
    <row r="508" spans="1:8" x14ac:dyDescent="0.2">
      <c r="A508" s="9" t="s">
        <v>51</v>
      </c>
      <c r="B508" t="s">
        <v>264</v>
      </c>
      <c r="C508" t="str">
        <f t="shared" si="14"/>
        <v>"https://www.zeldadungeon.net/maps/totk/tiles/sky/6/12_36.jpg",</v>
      </c>
      <c r="H508" t="str">
        <f t="shared" si="15"/>
        <v>12_36</v>
      </c>
    </row>
    <row r="509" spans="1:8" x14ac:dyDescent="0.2">
      <c r="A509" s="9" t="s">
        <v>51</v>
      </c>
      <c r="B509" t="s">
        <v>263</v>
      </c>
      <c r="C509" t="str">
        <f t="shared" si="14"/>
        <v>"https://www.zeldadungeon.net/maps/totk/tiles/sky/6/12_37.jpg",</v>
      </c>
      <c r="H509" t="str">
        <f t="shared" si="15"/>
        <v>12_37</v>
      </c>
    </row>
    <row r="510" spans="1:8" x14ac:dyDescent="0.2">
      <c r="A510" s="9" t="s">
        <v>51</v>
      </c>
      <c r="B510" t="s">
        <v>262</v>
      </c>
      <c r="C510" t="str">
        <f t="shared" si="14"/>
        <v>"https://www.zeldadungeon.net/maps/totk/tiles/sky/6/12_38.jpg",</v>
      </c>
      <c r="H510" t="str">
        <f t="shared" si="15"/>
        <v>12_38</v>
      </c>
    </row>
    <row r="511" spans="1:8" x14ac:dyDescent="0.2">
      <c r="A511" s="9" t="s">
        <v>51</v>
      </c>
      <c r="B511" t="s">
        <v>261</v>
      </c>
      <c r="C511" t="str">
        <f t="shared" si="14"/>
        <v>"https://www.zeldadungeon.net/maps/totk/tiles/sky/6/12_39.jpg",</v>
      </c>
      <c r="H511" t="str">
        <f t="shared" si="15"/>
        <v>12_39</v>
      </c>
    </row>
    <row r="512" spans="1:8" x14ac:dyDescent="0.2">
      <c r="A512" s="9" t="s">
        <v>51</v>
      </c>
      <c r="B512" t="s">
        <v>260</v>
      </c>
      <c r="C512" t="str">
        <f t="shared" si="14"/>
        <v>"https://www.zeldadungeon.net/maps/totk/tiles/sky/6/12_40.jpg",</v>
      </c>
      <c r="H512" t="str">
        <f t="shared" si="15"/>
        <v>12_40</v>
      </c>
    </row>
    <row r="513" spans="1:8" x14ac:dyDescent="0.2">
      <c r="A513" s="9" t="s">
        <v>51</v>
      </c>
      <c r="B513" t="s">
        <v>259</v>
      </c>
      <c r="C513" t="str">
        <f t="shared" ref="C513:C576" si="16">""""&amp;SUBSTITUTE(A513,"zzz",H513)&amp;""""&amp;","</f>
        <v>"https://www.zeldadungeon.net/maps/totk/tiles/sky/6/12_41.jpg",</v>
      </c>
      <c r="H513" t="str">
        <f t="shared" ref="H513:H576" si="17">QUOTIENT(ROW(A513),48)+2&amp;"_"&amp;MOD(ROW(A513),48)+8</f>
        <v>12_41</v>
      </c>
    </row>
    <row r="514" spans="1:8" x14ac:dyDescent="0.2">
      <c r="A514" s="9" t="s">
        <v>51</v>
      </c>
      <c r="B514" t="s">
        <v>258</v>
      </c>
      <c r="C514" t="str">
        <f t="shared" si="16"/>
        <v>"https://www.zeldadungeon.net/maps/totk/tiles/sky/6/12_42.jpg",</v>
      </c>
      <c r="H514" t="str">
        <f t="shared" si="17"/>
        <v>12_42</v>
      </c>
    </row>
    <row r="515" spans="1:8" x14ac:dyDescent="0.2">
      <c r="A515" s="9" t="s">
        <v>51</v>
      </c>
      <c r="B515" t="s">
        <v>257</v>
      </c>
      <c r="C515" t="str">
        <f t="shared" si="16"/>
        <v>"https://www.zeldadungeon.net/maps/totk/tiles/sky/6/12_43.jpg",</v>
      </c>
      <c r="H515" t="str">
        <f t="shared" si="17"/>
        <v>12_43</v>
      </c>
    </row>
    <row r="516" spans="1:8" x14ac:dyDescent="0.2">
      <c r="A516" s="9" t="s">
        <v>51</v>
      </c>
      <c r="B516" t="s">
        <v>256</v>
      </c>
      <c r="C516" t="str">
        <f t="shared" si="16"/>
        <v>"https://www.zeldadungeon.net/maps/totk/tiles/sky/6/12_44.jpg",</v>
      </c>
      <c r="H516" t="str">
        <f t="shared" si="17"/>
        <v>12_44</v>
      </c>
    </row>
    <row r="517" spans="1:8" x14ac:dyDescent="0.2">
      <c r="A517" s="9" t="s">
        <v>51</v>
      </c>
      <c r="B517" t="s">
        <v>255</v>
      </c>
      <c r="C517" t="str">
        <f t="shared" si="16"/>
        <v>"https://www.zeldadungeon.net/maps/totk/tiles/sky/6/12_45.jpg",</v>
      </c>
      <c r="H517" t="str">
        <f t="shared" si="17"/>
        <v>12_45</v>
      </c>
    </row>
    <row r="518" spans="1:8" x14ac:dyDescent="0.2">
      <c r="A518" s="9" t="s">
        <v>51</v>
      </c>
      <c r="B518" t="s">
        <v>254</v>
      </c>
      <c r="C518" t="str">
        <f t="shared" si="16"/>
        <v>"https://www.zeldadungeon.net/maps/totk/tiles/sky/6/12_46.jpg",</v>
      </c>
      <c r="H518" t="str">
        <f t="shared" si="17"/>
        <v>12_46</v>
      </c>
    </row>
    <row r="519" spans="1:8" x14ac:dyDescent="0.2">
      <c r="A519" s="9" t="s">
        <v>51</v>
      </c>
      <c r="B519" t="s">
        <v>253</v>
      </c>
      <c r="C519" t="str">
        <f t="shared" si="16"/>
        <v>"https://www.zeldadungeon.net/maps/totk/tiles/sky/6/12_47.jpg",</v>
      </c>
      <c r="H519" t="str">
        <f t="shared" si="17"/>
        <v>12_47</v>
      </c>
    </row>
    <row r="520" spans="1:8" x14ac:dyDescent="0.2">
      <c r="A520" s="9" t="s">
        <v>51</v>
      </c>
      <c r="B520" t="s">
        <v>252</v>
      </c>
      <c r="C520" t="str">
        <f t="shared" si="16"/>
        <v>"https://www.zeldadungeon.net/maps/totk/tiles/sky/6/12_48.jpg",</v>
      </c>
      <c r="H520" t="str">
        <f t="shared" si="17"/>
        <v>12_48</v>
      </c>
    </row>
    <row r="521" spans="1:8" x14ac:dyDescent="0.2">
      <c r="A521" s="9" t="s">
        <v>51</v>
      </c>
      <c r="B521" t="s">
        <v>251</v>
      </c>
      <c r="C521" t="str">
        <f t="shared" si="16"/>
        <v>"https://www.zeldadungeon.net/maps/totk/tiles/sky/6/12_49.jpg",</v>
      </c>
      <c r="H521" t="str">
        <f t="shared" si="17"/>
        <v>12_49</v>
      </c>
    </row>
    <row r="522" spans="1:8" x14ac:dyDescent="0.2">
      <c r="A522" s="9" t="s">
        <v>51</v>
      </c>
      <c r="B522" t="s">
        <v>250</v>
      </c>
      <c r="C522" t="str">
        <f t="shared" si="16"/>
        <v>"https://www.zeldadungeon.net/maps/totk/tiles/sky/6/12_50.jpg",</v>
      </c>
      <c r="H522" t="str">
        <f t="shared" si="17"/>
        <v>12_50</v>
      </c>
    </row>
    <row r="523" spans="1:8" x14ac:dyDescent="0.2">
      <c r="A523" s="9" t="s">
        <v>51</v>
      </c>
      <c r="B523" t="s">
        <v>249</v>
      </c>
      <c r="C523" t="str">
        <f t="shared" si="16"/>
        <v>"https://www.zeldadungeon.net/maps/totk/tiles/sky/6/12_51.jpg",</v>
      </c>
      <c r="H523" t="str">
        <f t="shared" si="17"/>
        <v>12_51</v>
      </c>
    </row>
    <row r="524" spans="1:8" x14ac:dyDescent="0.2">
      <c r="A524" s="9" t="s">
        <v>51</v>
      </c>
      <c r="B524" t="s">
        <v>248</v>
      </c>
      <c r="C524" t="str">
        <f t="shared" si="16"/>
        <v>"https://www.zeldadungeon.net/maps/totk/tiles/sky/6/12_52.jpg",</v>
      </c>
      <c r="H524" t="str">
        <f t="shared" si="17"/>
        <v>12_52</v>
      </c>
    </row>
    <row r="525" spans="1:8" x14ac:dyDescent="0.2">
      <c r="A525" s="9" t="s">
        <v>51</v>
      </c>
      <c r="B525" t="s">
        <v>247</v>
      </c>
      <c r="C525" t="str">
        <f t="shared" si="16"/>
        <v>"https://www.zeldadungeon.net/maps/totk/tiles/sky/6/12_53.jpg",</v>
      </c>
      <c r="H525" t="str">
        <f t="shared" si="17"/>
        <v>12_53</v>
      </c>
    </row>
    <row r="526" spans="1:8" x14ac:dyDescent="0.2">
      <c r="A526" s="9" t="s">
        <v>51</v>
      </c>
      <c r="B526" t="s">
        <v>246</v>
      </c>
      <c r="C526" t="str">
        <f t="shared" si="16"/>
        <v>"https://www.zeldadungeon.net/maps/totk/tiles/sky/6/12_54.jpg",</v>
      </c>
      <c r="H526" t="str">
        <f t="shared" si="17"/>
        <v>12_54</v>
      </c>
    </row>
    <row r="527" spans="1:8" x14ac:dyDescent="0.2">
      <c r="A527" s="9" t="s">
        <v>51</v>
      </c>
      <c r="B527" t="s">
        <v>245</v>
      </c>
      <c r="C527" t="str">
        <f t="shared" si="16"/>
        <v>"https://www.zeldadungeon.net/maps/totk/tiles/sky/6/12_55.jpg",</v>
      </c>
      <c r="H527" t="str">
        <f t="shared" si="17"/>
        <v>12_55</v>
      </c>
    </row>
    <row r="528" spans="1:8" x14ac:dyDescent="0.2">
      <c r="A528" s="9" t="s">
        <v>51</v>
      </c>
      <c r="B528" t="s">
        <v>244</v>
      </c>
      <c r="C528" t="str">
        <f t="shared" si="16"/>
        <v>"https://www.zeldadungeon.net/maps/totk/tiles/sky/6/13_8.jpg",</v>
      </c>
      <c r="H528" t="str">
        <f t="shared" si="17"/>
        <v>13_8</v>
      </c>
    </row>
    <row r="529" spans="1:8" x14ac:dyDescent="0.2">
      <c r="A529" s="9" t="s">
        <v>51</v>
      </c>
      <c r="B529" t="s">
        <v>243</v>
      </c>
      <c r="C529" t="str">
        <f t="shared" si="16"/>
        <v>"https://www.zeldadungeon.net/maps/totk/tiles/sky/6/13_9.jpg",</v>
      </c>
      <c r="H529" t="str">
        <f t="shared" si="17"/>
        <v>13_9</v>
      </c>
    </row>
    <row r="530" spans="1:8" x14ac:dyDescent="0.2">
      <c r="A530" s="9" t="s">
        <v>51</v>
      </c>
      <c r="B530" t="s">
        <v>242</v>
      </c>
      <c r="C530" t="str">
        <f t="shared" si="16"/>
        <v>"https://www.zeldadungeon.net/maps/totk/tiles/sky/6/13_10.jpg",</v>
      </c>
      <c r="H530" t="str">
        <f t="shared" si="17"/>
        <v>13_10</v>
      </c>
    </row>
    <row r="531" spans="1:8" x14ac:dyDescent="0.2">
      <c r="A531" s="9" t="s">
        <v>51</v>
      </c>
      <c r="B531" t="s">
        <v>241</v>
      </c>
      <c r="C531" t="str">
        <f t="shared" si="16"/>
        <v>"https://www.zeldadungeon.net/maps/totk/tiles/sky/6/13_11.jpg",</v>
      </c>
      <c r="H531" t="str">
        <f t="shared" si="17"/>
        <v>13_11</v>
      </c>
    </row>
    <row r="532" spans="1:8" x14ac:dyDescent="0.2">
      <c r="A532" s="9" t="s">
        <v>51</v>
      </c>
      <c r="B532" t="s">
        <v>240</v>
      </c>
      <c r="C532" t="str">
        <f t="shared" si="16"/>
        <v>"https://www.zeldadungeon.net/maps/totk/tiles/sky/6/13_12.jpg",</v>
      </c>
      <c r="H532" t="str">
        <f t="shared" si="17"/>
        <v>13_12</v>
      </c>
    </row>
    <row r="533" spans="1:8" x14ac:dyDescent="0.2">
      <c r="A533" s="9" t="s">
        <v>51</v>
      </c>
      <c r="B533" t="s">
        <v>239</v>
      </c>
      <c r="C533" t="str">
        <f t="shared" si="16"/>
        <v>"https://www.zeldadungeon.net/maps/totk/tiles/sky/6/13_13.jpg",</v>
      </c>
      <c r="H533" t="str">
        <f t="shared" si="17"/>
        <v>13_13</v>
      </c>
    </row>
    <row r="534" spans="1:8" x14ac:dyDescent="0.2">
      <c r="A534" s="9" t="s">
        <v>51</v>
      </c>
      <c r="B534" t="s">
        <v>238</v>
      </c>
      <c r="C534" t="str">
        <f t="shared" si="16"/>
        <v>"https://www.zeldadungeon.net/maps/totk/tiles/sky/6/13_14.jpg",</v>
      </c>
      <c r="H534" t="str">
        <f t="shared" si="17"/>
        <v>13_14</v>
      </c>
    </row>
    <row r="535" spans="1:8" x14ac:dyDescent="0.2">
      <c r="A535" s="9" t="s">
        <v>51</v>
      </c>
      <c r="B535" t="s">
        <v>237</v>
      </c>
      <c r="C535" t="str">
        <f t="shared" si="16"/>
        <v>"https://www.zeldadungeon.net/maps/totk/tiles/sky/6/13_15.jpg",</v>
      </c>
      <c r="H535" t="str">
        <f t="shared" si="17"/>
        <v>13_15</v>
      </c>
    </row>
    <row r="536" spans="1:8" x14ac:dyDescent="0.2">
      <c r="A536" s="9" t="s">
        <v>51</v>
      </c>
      <c r="B536" t="s">
        <v>236</v>
      </c>
      <c r="C536" t="str">
        <f t="shared" si="16"/>
        <v>"https://www.zeldadungeon.net/maps/totk/tiles/sky/6/13_16.jpg",</v>
      </c>
      <c r="H536" t="str">
        <f t="shared" si="17"/>
        <v>13_16</v>
      </c>
    </row>
    <row r="537" spans="1:8" x14ac:dyDescent="0.2">
      <c r="A537" s="9" t="s">
        <v>51</v>
      </c>
      <c r="B537" t="s">
        <v>235</v>
      </c>
      <c r="C537" t="str">
        <f t="shared" si="16"/>
        <v>"https://www.zeldadungeon.net/maps/totk/tiles/sky/6/13_17.jpg",</v>
      </c>
      <c r="H537" t="str">
        <f t="shared" si="17"/>
        <v>13_17</v>
      </c>
    </row>
    <row r="538" spans="1:8" x14ac:dyDescent="0.2">
      <c r="A538" s="9" t="s">
        <v>51</v>
      </c>
      <c r="B538" t="s">
        <v>234</v>
      </c>
      <c r="C538" t="str">
        <f t="shared" si="16"/>
        <v>"https://www.zeldadungeon.net/maps/totk/tiles/sky/6/13_18.jpg",</v>
      </c>
      <c r="H538" t="str">
        <f t="shared" si="17"/>
        <v>13_18</v>
      </c>
    </row>
    <row r="539" spans="1:8" x14ac:dyDescent="0.2">
      <c r="A539" s="9" t="s">
        <v>51</v>
      </c>
      <c r="B539" t="s">
        <v>233</v>
      </c>
      <c r="C539" t="str">
        <f t="shared" si="16"/>
        <v>"https://www.zeldadungeon.net/maps/totk/tiles/sky/6/13_19.jpg",</v>
      </c>
      <c r="H539" t="str">
        <f t="shared" si="17"/>
        <v>13_19</v>
      </c>
    </row>
    <row r="540" spans="1:8" x14ac:dyDescent="0.2">
      <c r="A540" s="9" t="s">
        <v>51</v>
      </c>
      <c r="B540" t="s">
        <v>232</v>
      </c>
      <c r="C540" t="str">
        <f t="shared" si="16"/>
        <v>"https://www.zeldadungeon.net/maps/totk/tiles/sky/6/13_20.jpg",</v>
      </c>
      <c r="H540" t="str">
        <f t="shared" si="17"/>
        <v>13_20</v>
      </c>
    </row>
    <row r="541" spans="1:8" x14ac:dyDescent="0.2">
      <c r="A541" s="9" t="s">
        <v>51</v>
      </c>
      <c r="B541" t="s">
        <v>231</v>
      </c>
      <c r="C541" t="str">
        <f t="shared" si="16"/>
        <v>"https://www.zeldadungeon.net/maps/totk/tiles/sky/6/13_21.jpg",</v>
      </c>
      <c r="H541" t="str">
        <f t="shared" si="17"/>
        <v>13_21</v>
      </c>
    </row>
    <row r="542" spans="1:8" x14ac:dyDescent="0.2">
      <c r="A542" s="9" t="s">
        <v>51</v>
      </c>
      <c r="B542" t="s">
        <v>230</v>
      </c>
      <c r="C542" t="str">
        <f t="shared" si="16"/>
        <v>"https://www.zeldadungeon.net/maps/totk/tiles/sky/6/13_22.jpg",</v>
      </c>
      <c r="H542" t="str">
        <f t="shared" si="17"/>
        <v>13_22</v>
      </c>
    </row>
    <row r="543" spans="1:8" x14ac:dyDescent="0.2">
      <c r="A543" s="9" t="s">
        <v>51</v>
      </c>
      <c r="B543" t="s">
        <v>229</v>
      </c>
      <c r="C543" t="str">
        <f t="shared" si="16"/>
        <v>"https://www.zeldadungeon.net/maps/totk/tiles/sky/6/13_23.jpg",</v>
      </c>
      <c r="H543" t="str">
        <f t="shared" si="17"/>
        <v>13_23</v>
      </c>
    </row>
    <row r="544" spans="1:8" x14ac:dyDescent="0.2">
      <c r="A544" s="9" t="s">
        <v>51</v>
      </c>
      <c r="B544" t="s">
        <v>228</v>
      </c>
      <c r="C544" t="str">
        <f t="shared" si="16"/>
        <v>"https://www.zeldadungeon.net/maps/totk/tiles/sky/6/13_24.jpg",</v>
      </c>
      <c r="H544" t="str">
        <f t="shared" si="17"/>
        <v>13_24</v>
      </c>
    </row>
    <row r="545" spans="1:8" x14ac:dyDescent="0.2">
      <c r="A545" s="9" t="s">
        <v>51</v>
      </c>
      <c r="B545" t="s">
        <v>227</v>
      </c>
      <c r="C545" t="str">
        <f t="shared" si="16"/>
        <v>"https://www.zeldadungeon.net/maps/totk/tiles/sky/6/13_25.jpg",</v>
      </c>
      <c r="H545" t="str">
        <f t="shared" si="17"/>
        <v>13_25</v>
      </c>
    </row>
    <row r="546" spans="1:8" x14ac:dyDescent="0.2">
      <c r="A546" s="9" t="s">
        <v>51</v>
      </c>
      <c r="B546" t="s">
        <v>226</v>
      </c>
      <c r="C546" t="str">
        <f t="shared" si="16"/>
        <v>"https://www.zeldadungeon.net/maps/totk/tiles/sky/6/13_26.jpg",</v>
      </c>
      <c r="H546" t="str">
        <f t="shared" si="17"/>
        <v>13_26</v>
      </c>
    </row>
    <row r="547" spans="1:8" x14ac:dyDescent="0.2">
      <c r="A547" s="9" t="s">
        <v>51</v>
      </c>
      <c r="B547" t="s">
        <v>225</v>
      </c>
      <c r="C547" t="str">
        <f t="shared" si="16"/>
        <v>"https://www.zeldadungeon.net/maps/totk/tiles/sky/6/13_27.jpg",</v>
      </c>
      <c r="H547" t="str">
        <f t="shared" si="17"/>
        <v>13_27</v>
      </c>
    </row>
    <row r="548" spans="1:8" x14ac:dyDescent="0.2">
      <c r="A548" s="9" t="s">
        <v>51</v>
      </c>
      <c r="B548" t="s">
        <v>224</v>
      </c>
      <c r="C548" t="str">
        <f t="shared" si="16"/>
        <v>"https://www.zeldadungeon.net/maps/totk/tiles/sky/6/13_28.jpg",</v>
      </c>
      <c r="H548" t="str">
        <f t="shared" si="17"/>
        <v>13_28</v>
      </c>
    </row>
    <row r="549" spans="1:8" x14ac:dyDescent="0.2">
      <c r="A549" s="9" t="s">
        <v>51</v>
      </c>
      <c r="B549" t="s">
        <v>223</v>
      </c>
      <c r="C549" t="str">
        <f t="shared" si="16"/>
        <v>"https://www.zeldadungeon.net/maps/totk/tiles/sky/6/13_29.jpg",</v>
      </c>
      <c r="H549" t="str">
        <f t="shared" si="17"/>
        <v>13_29</v>
      </c>
    </row>
    <row r="550" spans="1:8" x14ac:dyDescent="0.2">
      <c r="A550" s="9" t="s">
        <v>51</v>
      </c>
      <c r="B550" t="s">
        <v>222</v>
      </c>
      <c r="C550" t="str">
        <f t="shared" si="16"/>
        <v>"https://www.zeldadungeon.net/maps/totk/tiles/sky/6/13_30.jpg",</v>
      </c>
      <c r="H550" t="str">
        <f t="shared" si="17"/>
        <v>13_30</v>
      </c>
    </row>
    <row r="551" spans="1:8" x14ac:dyDescent="0.2">
      <c r="A551" s="9" t="s">
        <v>51</v>
      </c>
      <c r="B551" t="s">
        <v>221</v>
      </c>
      <c r="C551" t="str">
        <f t="shared" si="16"/>
        <v>"https://www.zeldadungeon.net/maps/totk/tiles/sky/6/13_31.jpg",</v>
      </c>
      <c r="H551" t="str">
        <f t="shared" si="17"/>
        <v>13_31</v>
      </c>
    </row>
    <row r="552" spans="1:8" x14ac:dyDescent="0.2">
      <c r="A552" s="9" t="s">
        <v>51</v>
      </c>
      <c r="B552" t="s">
        <v>220</v>
      </c>
      <c r="C552" t="str">
        <f t="shared" si="16"/>
        <v>"https://www.zeldadungeon.net/maps/totk/tiles/sky/6/13_32.jpg",</v>
      </c>
      <c r="H552" t="str">
        <f t="shared" si="17"/>
        <v>13_32</v>
      </c>
    </row>
    <row r="553" spans="1:8" x14ac:dyDescent="0.2">
      <c r="A553" s="9" t="s">
        <v>51</v>
      </c>
      <c r="B553" t="s">
        <v>219</v>
      </c>
      <c r="C553" t="str">
        <f t="shared" si="16"/>
        <v>"https://www.zeldadungeon.net/maps/totk/tiles/sky/6/13_33.jpg",</v>
      </c>
      <c r="H553" t="str">
        <f t="shared" si="17"/>
        <v>13_33</v>
      </c>
    </row>
    <row r="554" spans="1:8" x14ac:dyDescent="0.2">
      <c r="A554" s="9" t="s">
        <v>51</v>
      </c>
      <c r="B554" t="s">
        <v>218</v>
      </c>
      <c r="C554" t="str">
        <f t="shared" si="16"/>
        <v>"https://www.zeldadungeon.net/maps/totk/tiles/sky/6/13_34.jpg",</v>
      </c>
      <c r="H554" t="str">
        <f t="shared" si="17"/>
        <v>13_34</v>
      </c>
    </row>
    <row r="555" spans="1:8" x14ac:dyDescent="0.2">
      <c r="A555" s="9" t="s">
        <v>51</v>
      </c>
      <c r="B555" t="s">
        <v>217</v>
      </c>
      <c r="C555" t="str">
        <f t="shared" si="16"/>
        <v>"https://www.zeldadungeon.net/maps/totk/tiles/sky/6/13_35.jpg",</v>
      </c>
      <c r="H555" t="str">
        <f t="shared" si="17"/>
        <v>13_35</v>
      </c>
    </row>
    <row r="556" spans="1:8" x14ac:dyDescent="0.2">
      <c r="A556" s="9" t="s">
        <v>51</v>
      </c>
      <c r="B556" t="s">
        <v>216</v>
      </c>
      <c r="C556" t="str">
        <f t="shared" si="16"/>
        <v>"https://www.zeldadungeon.net/maps/totk/tiles/sky/6/13_36.jpg",</v>
      </c>
      <c r="H556" t="str">
        <f t="shared" si="17"/>
        <v>13_36</v>
      </c>
    </row>
    <row r="557" spans="1:8" x14ac:dyDescent="0.2">
      <c r="A557" s="9" t="s">
        <v>51</v>
      </c>
      <c r="B557" t="s">
        <v>215</v>
      </c>
      <c r="C557" t="str">
        <f t="shared" si="16"/>
        <v>"https://www.zeldadungeon.net/maps/totk/tiles/sky/6/13_37.jpg",</v>
      </c>
      <c r="H557" t="str">
        <f t="shared" si="17"/>
        <v>13_37</v>
      </c>
    </row>
    <row r="558" spans="1:8" x14ac:dyDescent="0.2">
      <c r="A558" s="9" t="s">
        <v>51</v>
      </c>
      <c r="B558" t="s">
        <v>214</v>
      </c>
      <c r="C558" t="str">
        <f t="shared" si="16"/>
        <v>"https://www.zeldadungeon.net/maps/totk/tiles/sky/6/13_38.jpg",</v>
      </c>
      <c r="H558" t="str">
        <f t="shared" si="17"/>
        <v>13_38</v>
      </c>
    </row>
    <row r="559" spans="1:8" x14ac:dyDescent="0.2">
      <c r="A559" s="9" t="s">
        <v>51</v>
      </c>
      <c r="B559" t="s">
        <v>213</v>
      </c>
      <c r="C559" t="str">
        <f t="shared" si="16"/>
        <v>"https://www.zeldadungeon.net/maps/totk/tiles/sky/6/13_39.jpg",</v>
      </c>
      <c r="H559" t="str">
        <f t="shared" si="17"/>
        <v>13_39</v>
      </c>
    </row>
    <row r="560" spans="1:8" x14ac:dyDescent="0.2">
      <c r="A560" s="9" t="s">
        <v>51</v>
      </c>
      <c r="B560" t="s">
        <v>212</v>
      </c>
      <c r="C560" t="str">
        <f t="shared" si="16"/>
        <v>"https://www.zeldadungeon.net/maps/totk/tiles/sky/6/13_40.jpg",</v>
      </c>
      <c r="H560" t="str">
        <f t="shared" si="17"/>
        <v>13_40</v>
      </c>
    </row>
    <row r="561" spans="1:8" x14ac:dyDescent="0.2">
      <c r="A561" s="9" t="s">
        <v>51</v>
      </c>
      <c r="B561" t="s">
        <v>211</v>
      </c>
      <c r="C561" t="str">
        <f t="shared" si="16"/>
        <v>"https://www.zeldadungeon.net/maps/totk/tiles/sky/6/13_41.jpg",</v>
      </c>
      <c r="H561" t="str">
        <f t="shared" si="17"/>
        <v>13_41</v>
      </c>
    </row>
    <row r="562" spans="1:8" x14ac:dyDescent="0.2">
      <c r="A562" s="9" t="s">
        <v>51</v>
      </c>
      <c r="B562" t="s">
        <v>210</v>
      </c>
      <c r="C562" t="str">
        <f t="shared" si="16"/>
        <v>"https://www.zeldadungeon.net/maps/totk/tiles/sky/6/13_42.jpg",</v>
      </c>
      <c r="H562" t="str">
        <f t="shared" si="17"/>
        <v>13_42</v>
      </c>
    </row>
    <row r="563" spans="1:8" x14ac:dyDescent="0.2">
      <c r="A563" s="9" t="s">
        <v>51</v>
      </c>
      <c r="B563" t="s">
        <v>209</v>
      </c>
      <c r="C563" t="str">
        <f t="shared" si="16"/>
        <v>"https://www.zeldadungeon.net/maps/totk/tiles/sky/6/13_43.jpg",</v>
      </c>
      <c r="H563" t="str">
        <f t="shared" si="17"/>
        <v>13_43</v>
      </c>
    </row>
    <row r="564" spans="1:8" x14ac:dyDescent="0.2">
      <c r="A564" s="9" t="s">
        <v>51</v>
      </c>
      <c r="B564" t="s">
        <v>208</v>
      </c>
      <c r="C564" t="str">
        <f t="shared" si="16"/>
        <v>"https://www.zeldadungeon.net/maps/totk/tiles/sky/6/13_44.jpg",</v>
      </c>
      <c r="H564" t="str">
        <f t="shared" si="17"/>
        <v>13_44</v>
      </c>
    </row>
    <row r="565" spans="1:8" x14ac:dyDescent="0.2">
      <c r="A565" s="9" t="s">
        <v>51</v>
      </c>
      <c r="B565" t="s">
        <v>207</v>
      </c>
      <c r="C565" t="str">
        <f t="shared" si="16"/>
        <v>"https://www.zeldadungeon.net/maps/totk/tiles/sky/6/13_45.jpg",</v>
      </c>
      <c r="H565" t="str">
        <f t="shared" si="17"/>
        <v>13_45</v>
      </c>
    </row>
    <row r="566" spans="1:8" x14ac:dyDescent="0.2">
      <c r="A566" s="9" t="s">
        <v>51</v>
      </c>
      <c r="B566" t="s">
        <v>206</v>
      </c>
      <c r="C566" t="str">
        <f t="shared" si="16"/>
        <v>"https://www.zeldadungeon.net/maps/totk/tiles/sky/6/13_46.jpg",</v>
      </c>
      <c r="H566" t="str">
        <f t="shared" si="17"/>
        <v>13_46</v>
      </c>
    </row>
    <row r="567" spans="1:8" x14ac:dyDescent="0.2">
      <c r="A567" s="9" t="s">
        <v>51</v>
      </c>
      <c r="B567" t="s">
        <v>205</v>
      </c>
      <c r="C567" t="str">
        <f t="shared" si="16"/>
        <v>"https://www.zeldadungeon.net/maps/totk/tiles/sky/6/13_47.jpg",</v>
      </c>
      <c r="H567" t="str">
        <f t="shared" si="17"/>
        <v>13_47</v>
      </c>
    </row>
    <row r="568" spans="1:8" x14ac:dyDescent="0.2">
      <c r="A568" s="9" t="s">
        <v>51</v>
      </c>
      <c r="B568" t="s">
        <v>204</v>
      </c>
      <c r="C568" t="str">
        <f t="shared" si="16"/>
        <v>"https://www.zeldadungeon.net/maps/totk/tiles/sky/6/13_48.jpg",</v>
      </c>
      <c r="H568" t="str">
        <f t="shared" si="17"/>
        <v>13_48</v>
      </c>
    </row>
    <row r="569" spans="1:8" x14ac:dyDescent="0.2">
      <c r="A569" s="9" t="s">
        <v>51</v>
      </c>
      <c r="B569" t="s">
        <v>203</v>
      </c>
      <c r="C569" t="str">
        <f t="shared" si="16"/>
        <v>"https://www.zeldadungeon.net/maps/totk/tiles/sky/6/13_49.jpg",</v>
      </c>
      <c r="H569" t="str">
        <f t="shared" si="17"/>
        <v>13_49</v>
      </c>
    </row>
    <row r="570" spans="1:8" x14ac:dyDescent="0.2">
      <c r="A570" s="9" t="s">
        <v>51</v>
      </c>
      <c r="B570" t="s">
        <v>202</v>
      </c>
      <c r="C570" t="str">
        <f t="shared" si="16"/>
        <v>"https://www.zeldadungeon.net/maps/totk/tiles/sky/6/13_50.jpg",</v>
      </c>
      <c r="H570" t="str">
        <f t="shared" si="17"/>
        <v>13_50</v>
      </c>
    </row>
    <row r="571" spans="1:8" x14ac:dyDescent="0.2">
      <c r="A571" s="9" t="s">
        <v>51</v>
      </c>
      <c r="B571" t="s">
        <v>201</v>
      </c>
      <c r="C571" t="str">
        <f t="shared" si="16"/>
        <v>"https://www.zeldadungeon.net/maps/totk/tiles/sky/6/13_51.jpg",</v>
      </c>
      <c r="H571" t="str">
        <f t="shared" si="17"/>
        <v>13_51</v>
      </c>
    </row>
    <row r="572" spans="1:8" x14ac:dyDescent="0.2">
      <c r="A572" s="9" t="s">
        <v>51</v>
      </c>
      <c r="B572" t="s">
        <v>200</v>
      </c>
      <c r="C572" t="str">
        <f t="shared" si="16"/>
        <v>"https://www.zeldadungeon.net/maps/totk/tiles/sky/6/13_52.jpg",</v>
      </c>
      <c r="H572" t="str">
        <f t="shared" si="17"/>
        <v>13_52</v>
      </c>
    </row>
    <row r="573" spans="1:8" x14ac:dyDescent="0.2">
      <c r="A573" s="9" t="s">
        <v>51</v>
      </c>
      <c r="B573" t="s">
        <v>199</v>
      </c>
      <c r="C573" t="str">
        <f t="shared" si="16"/>
        <v>"https://www.zeldadungeon.net/maps/totk/tiles/sky/6/13_53.jpg",</v>
      </c>
      <c r="H573" t="str">
        <f t="shared" si="17"/>
        <v>13_53</v>
      </c>
    </row>
    <row r="574" spans="1:8" x14ac:dyDescent="0.2">
      <c r="A574" s="9" t="s">
        <v>51</v>
      </c>
      <c r="B574" t="s">
        <v>198</v>
      </c>
      <c r="C574" t="str">
        <f t="shared" si="16"/>
        <v>"https://www.zeldadungeon.net/maps/totk/tiles/sky/6/13_54.jpg",</v>
      </c>
      <c r="H574" t="str">
        <f t="shared" si="17"/>
        <v>13_54</v>
      </c>
    </row>
    <row r="575" spans="1:8" x14ac:dyDescent="0.2">
      <c r="A575" s="9" t="s">
        <v>51</v>
      </c>
      <c r="B575" t="s">
        <v>197</v>
      </c>
      <c r="C575" t="str">
        <f t="shared" si="16"/>
        <v>"https://www.zeldadungeon.net/maps/totk/tiles/sky/6/13_55.jpg",</v>
      </c>
      <c r="H575" t="str">
        <f t="shared" si="17"/>
        <v>13_55</v>
      </c>
    </row>
    <row r="576" spans="1:8" x14ac:dyDescent="0.2">
      <c r="A576" s="9" t="s">
        <v>51</v>
      </c>
      <c r="B576" t="s">
        <v>196</v>
      </c>
      <c r="C576" t="str">
        <f t="shared" si="16"/>
        <v>"https://www.zeldadungeon.net/maps/totk/tiles/sky/6/14_8.jpg",</v>
      </c>
      <c r="H576" t="str">
        <f t="shared" si="17"/>
        <v>14_8</v>
      </c>
    </row>
    <row r="577" spans="1:8" x14ac:dyDescent="0.2">
      <c r="A577" s="9" t="s">
        <v>51</v>
      </c>
      <c r="B577" t="s">
        <v>195</v>
      </c>
      <c r="C577" t="str">
        <f t="shared" ref="C577:C640" si="18">""""&amp;SUBSTITUTE(A577,"zzz",H577)&amp;""""&amp;","</f>
        <v>"https://www.zeldadungeon.net/maps/totk/tiles/sky/6/14_9.jpg",</v>
      </c>
      <c r="H577" t="str">
        <f t="shared" ref="H577:H640" si="19">QUOTIENT(ROW(A577),48)+2&amp;"_"&amp;MOD(ROW(A577),48)+8</f>
        <v>14_9</v>
      </c>
    </row>
    <row r="578" spans="1:8" x14ac:dyDescent="0.2">
      <c r="A578" s="9" t="s">
        <v>51</v>
      </c>
      <c r="B578" t="s">
        <v>194</v>
      </c>
      <c r="C578" t="str">
        <f t="shared" si="18"/>
        <v>"https://www.zeldadungeon.net/maps/totk/tiles/sky/6/14_10.jpg",</v>
      </c>
      <c r="H578" t="str">
        <f t="shared" si="19"/>
        <v>14_10</v>
      </c>
    </row>
    <row r="579" spans="1:8" x14ac:dyDescent="0.2">
      <c r="A579" s="9" t="s">
        <v>51</v>
      </c>
      <c r="B579" t="s">
        <v>193</v>
      </c>
      <c r="C579" t="str">
        <f t="shared" si="18"/>
        <v>"https://www.zeldadungeon.net/maps/totk/tiles/sky/6/14_11.jpg",</v>
      </c>
      <c r="H579" t="str">
        <f t="shared" si="19"/>
        <v>14_11</v>
      </c>
    </row>
    <row r="580" spans="1:8" x14ac:dyDescent="0.2">
      <c r="A580" s="9" t="s">
        <v>51</v>
      </c>
      <c r="B580" t="s">
        <v>192</v>
      </c>
      <c r="C580" t="str">
        <f t="shared" si="18"/>
        <v>"https://www.zeldadungeon.net/maps/totk/tiles/sky/6/14_12.jpg",</v>
      </c>
      <c r="H580" t="str">
        <f t="shared" si="19"/>
        <v>14_12</v>
      </c>
    </row>
    <row r="581" spans="1:8" x14ac:dyDescent="0.2">
      <c r="A581" s="9" t="s">
        <v>51</v>
      </c>
      <c r="B581" t="s">
        <v>191</v>
      </c>
      <c r="C581" t="str">
        <f t="shared" si="18"/>
        <v>"https://www.zeldadungeon.net/maps/totk/tiles/sky/6/14_13.jpg",</v>
      </c>
      <c r="H581" t="str">
        <f t="shared" si="19"/>
        <v>14_13</v>
      </c>
    </row>
    <row r="582" spans="1:8" x14ac:dyDescent="0.2">
      <c r="A582" s="9" t="s">
        <v>51</v>
      </c>
      <c r="B582" t="s">
        <v>190</v>
      </c>
      <c r="C582" t="str">
        <f t="shared" si="18"/>
        <v>"https://www.zeldadungeon.net/maps/totk/tiles/sky/6/14_14.jpg",</v>
      </c>
      <c r="H582" t="str">
        <f t="shared" si="19"/>
        <v>14_14</v>
      </c>
    </row>
    <row r="583" spans="1:8" x14ac:dyDescent="0.2">
      <c r="A583" s="9" t="s">
        <v>51</v>
      </c>
      <c r="B583" t="s">
        <v>189</v>
      </c>
      <c r="C583" t="str">
        <f t="shared" si="18"/>
        <v>"https://www.zeldadungeon.net/maps/totk/tiles/sky/6/14_15.jpg",</v>
      </c>
      <c r="H583" t="str">
        <f t="shared" si="19"/>
        <v>14_15</v>
      </c>
    </row>
    <row r="584" spans="1:8" x14ac:dyDescent="0.2">
      <c r="A584" s="9" t="s">
        <v>51</v>
      </c>
      <c r="B584" t="s">
        <v>188</v>
      </c>
      <c r="C584" t="str">
        <f t="shared" si="18"/>
        <v>"https://www.zeldadungeon.net/maps/totk/tiles/sky/6/14_16.jpg",</v>
      </c>
      <c r="H584" t="str">
        <f t="shared" si="19"/>
        <v>14_16</v>
      </c>
    </row>
    <row r="585" spans="1:8" x14ac:dyDescent="0.2">
      <c r="A585" s="9" t="s">
        <v>51</v>
      </c>
      <c r="B585" t="s">
        <v>187</v>
      </c>
      <c r="C585" t="str">
        <f t="shared" si="18"/>
        <v>"https://www.zeldadungeon.net/maps/totk/tiles/sky/6/14_17.jpg",</v>
      </c>
      <c r="H585" t="str">
        <f t="shared" si="19"/>
        <v>14_17</v>
      </c>
    </row>
    <row r="586" spans="1:8" x14ac:dyDescent="0.2">
      <c r="A586" s="9" t="s">
        <v>51</v>
      </c>
      <c r="B586" t="s">
        <v>186</v>
      </c>
      <c r="C586" t="str">
        <f t="shared" si="18"/>
        <v>"https://www.zeldadungeon.net/maps/totk/tiles/sky/6/14_18.jpg",</v>
      </c>
      <c r="H586" t="str">
        <f t="shared" si="19"/>
        <v>14_18</v>
      </c>
    </row>
    <row r="587" spans="1:8" x14ac:dyDescent="0.2">
      <c r="A587" s="9" t="s">
        <v>51</v>
      </c>
      <c r="B587" t="s">
        <v>185</v>
      </c>
      <c r="C587" t="str">
        <f t="shared" si="18"/>
        <v>"https://www.zeldadungeon.net/maps/totk/tiles/sky/6/14_19.jpg",</v>
      </c>
      <c r="H587" t="str">
        <f t="shared" si="19"/>
        <v>14_19</v>
      </c>
    </row>
    <row r="588" spans="1:8" x14ac:dyDescent="0.2">
      <c r="A588" s="9" t="s">
        <v>51</v>
      </c>
      <c r="B588" t="s">
        <v>184</v>
      </c>
      <c r="C588" t="str">
        <f t="shared" si="18"/>
        <v>"https://www.zeldadungeon.net/maps/totk/tiles/sky/6/14_20.jpg",</v>
      </c>
      <c r="H588" t="str">
        <f t="shared" si="19"/>
        <v>14_20</v>
      </c>
    </row>
    <row r="589" spans="1:8" x14ac:dyDescent="0.2">
      <c r="A589" s="9" t="s">
        <v>51</v>
      </c>
      <c r="B589" t="s">
        <v>183</v>
      </c>
      <c r="C589" t="str">
        <f t="shared" si="18"/>
        <v>"https://www.zeldadungeon.net/maps/totk/tiles/sky/6/14_21.jpg",</v>
      </c>
      <c r="H589" t="str">
        <f t="shared" si="19"/>
        <v>14_21</v>
      </c>
    </row>
    <row r="590" spans="1:8" x14ac:dyDescent="0.2">
      <c r="A590" s="9" t="s">
        <v>51</v>
      </c>
      <c r="B590" t="s">
        <v>182</v>
      </c>
      <c r="C590" t="str">
        <f t="shared" si="18"/>
        <v>"https://www.zeldadungeon.net/maps/totk/tiles/sky/6/14_22.jpg",</v>
      </c>
      <c r="H590" t="str">
        <f t="shared" si="19"/>
        <v>14_22</v>
      </c>
    </row>
    <row r="591" spans="1:8" x14ac:dyDescent="0.2">
      <c r="A591" s="9" t="s">
        <v>51</v>
      </c>
      <c r="B591" t="s">
        <v>181</v>
      </c>
      <c r="C591" t="str">
        <f t="shared" si="18"/>
        <v>"https://www.zeldadungeon.net/maps/totk/tiles/sky/6/14_23.jpg",</v>
      </c>
      <c r="H591" t="str">
        <f t="shared" si="19"/>
        <v>14_23</v>
      </c>
    </row>
    <row r="592" spans="1:8" x14ac:dyDescent="0.2">
      <c r="A592" s="9" t="s">
        <v>51</v>
      </c>
      <c r="B592" t="s">
        <v>180</v>
      </c>
      <c r="C592" t="str">
        <f t="shared" si="18"/>
        <v>"https://www.zeldadungeon.net/maps/totk/tiles/sky/6/14_24.jpg",</v>
      </c>
      <c r="H592" t="str">
        <f t="shared" si="19"/>
        <v>14_24</v>
      </c>
    </row>
    <row r="593" spans="1:8" x14ac:dyDescent="0.2">
      <c r="A593" s="9" t="s">
        <v>51</v>
      </c>
      <c r="B593" t="s">
        <v>179</v>
      </c>
      <c r="C593" t="str">
        <f t="shared" si="18"/>
        <v>"https://www.zeldadungeon.net/maps/totk/tiles/sky/6/14_25.jpg",</v>
      </c>
      <c r="H593" t="str">
        <f t="shared" si="19"/>
        <v>14_25</v>
      </c>
    </row>
    <row r="594" spans="1:8" x14ac:dyDescent="0.2">
      <c r="A594" s="9" t="s">
        <v>51</v>
      </c>
      <c r="B594" t="s">
        <v>178</v>
      </c>
      <c r="C594" t="str">
        <f t="shared" si="18"/>
        <v>"https://www.zeldadungeon.net/maps/totk/tiles/sky/6/14_26.jpg",</v>
      </c>
      <c r="H594" t="str">
        <f t="shared" si="19"/>
        <v>14_26</v>
      </c>
    </row>
    <row r="595" spans="1:8" x14ac:dyDescent="0.2">
      <c r="A595" s="9" t="s">
        <v>51</v>
      </c>
      <c r="B595" t="s">
        <v>177</v>
      </c>
      <c r="C595" t="str">
        <f t="shared" si="18"/>
        <v>"https://www.zeldadungeon.net/maps/totk/tiles/sky/6/14_27.jpg",</v>
      </c>
      <c r="H595" t="str">
        <f t="shared" si="19"/>
        <v>14_27</v>
      </c>
    </row>
    <row r="596" spans="1:8" x14ac:dyDescent="0.2">
      <c r="A596" s="9" t="s">
        <v>51</v>
      </c>
      <c r="B596" t="s">
        <v>176</v>
      </c>
      <c r="C596" t="str">
        <f t="shared" si="18"/>
        <v>"https://www.zeldadungeon.net/maps/totk/tiles/sky/6/14_28.jpg",</v>
      </c>
      <c r="H596" t="str">
        <f t="shared" si="19"/>
        <v>14_28</v>
      </c>
    </row>
    <row r="597" spans="1:8" x14ac:dyDescent="0.2">
      <c r="A597" s="9" t="s">
        <v>51</v>
      </c>
      <c r="B597" t="s">
        <v>175</v>
      </c>
      <c r="C597" t="str">
        <f t="shared" si="18"/>
        <v>"https://www.zeldadungeon.net/maps/totk/tiles/sky/6/14_29.jpg",</v>
      </c>
      <c r="H597" t="str">
        <f t="shared" si="19"/>
        <v>14_29</v>
      </c>
    </row>
    <row r="598" spans="1:8" x14ac:dyDescent="0.2">
      <c r="A598" s="9" t="s">
        <v>51</v>
      </c>
      <c r="B598" t="s">
        <v>174</v>
      </c>
      <c r="C598" t="str">
        <f t="shared" si="18"/>
        <v>"https://www.zeldadungeon.net/maps/totk/tiles/sky/6/14_30.jpg",</v>
      </c>
      <c r="H598" t="str">
        <f t="shared" si="19"/>
        <v>14_30</v>
      </c>
    </row>
    <row r="599" spans="1:8" x14ac:dyDescent="0.2">
      <c r="A599" s="9" t="s">
        <v>51</v>
      </c>
      <c r="B599" t="s">
        <v>173</v>
      </c>
      <c r="C599" t="str">
        <f t="shared" si="18"/>
        <v>"https://www.zeldadungeon.net/maps/totk/tiles/sky/6/14_31.jpg",</v>
      </c>
      <c r="H599" t="str">
        <f t="shared" si="19"/>
        <v>14_31</v>
      </c>
    </row>
    <row r="600" spans="1:8" x14ac:dyDescent="0.2">
      <c r="A600" s="9" t="s">
        <v>51</v>
      </c>
      <c r="B600" t="s">
        <v>172</v>
      </c>
      <c r="C600" t="str">
        <f t="shared" si="18"/>
        <v>"https://www.zeldadungeon.net/maps/totk/tiles/sky/6/14_32.jpg",</v>
      </c>
      <c r="H600" t="str">
        <f t="shared" si="19"/>
        <v>14_32</v>
      </c>
    </row>
    <row r="601" spans="1:8" x14ac:dyDescent="0.2">
      <c r="A601" s="9" t="s">
        <v>51</v>
      </c>
      <c r="B601" t="s">
        <v>171</v>
      </c>
      <c r="C601" t="str">
        <f t="shared" si="18"/>
        <v>"https://www.zeldadungeon.net/maps/totk/tiles/sky/6/14_33.jpg",</v>
      </c>
      <c r="H601" t="str">
        <f t="shared" si="19"/>
        <v>14_33</v>
      </c>
    </row>
    <row r="602" spans="1:8" x14ac:dyDescent="0.2">
      <c r="A602" s="9" t="s">
        <v>51</v>
      </c>
      <c r="B602" t="s">
        <v>170</v>
      </c>
      <c r="C602" t="str">
        <f t="shared" si="18"/>
        <v>"https://www.zeldadungeon.net/maps/totk/tiles/sky/6/14_34.jpg",</v>
      </c>
      <c r="H602" t="str">
        <f t="shared" si="19"/>
        <v>14_34</v>
      </c>
    </row>
    <row r="603" spans="1:8" x14ac:dyDescent="0.2">
      <c r="A603" s="9" t="s">
        <v>51</v>
      </c>
      <c r="B603" t="s">
        <v>169</v>
      </c>
      <c r="C603" t="str">
        <f t="shared" si="18"/>
        <v>"https://www.zeldadungeon.net/maps/totk/tiles/sky/6/14_35.jpg",</v>
      </c>
      <c r="H603" t="str">
        <f t="shared" si="19"/>
        <v>14_35</v>
      </c>
    </row>
    <row r="604" spans="1:8" x14ac:dyDescent="0.2">
      <c r="A604" s="9" t="s">
        <v>51</v>
      </c>
      <c r="B604" t="s">
        <v>168</v>
      </c>
      <c r="C604" t="str">
        <f t="shared" si="18"/>
        <v>"https://www.zeldadungeon.net/maps/totk/tiles/sky/6/14_36.jpg",</v>
      </c>
      <c r="H604" t="str">
        <f t="shared" si="19"/>
        <v>14_36</v>
      </c>
    </row>
    <row r="605" spans="1:8" x14ac:dyDescent="0.2">
      <c r="A605" s="9" t="s">
        <v>51</v>
      </c>
      <c r="B605" t="s">
        <v>167</v>
      </c>
      <c r="C605" t="str">
        <f t="shared" si="18"/>
        <v>"https://www.zeldadungeon.net/maps/totk/tiles/sky/6/14_37.jpg",</v>
      </c>
      <c r="H605" t="str">
        <f t="shared" si="19"/>
        <v>14_37</v>
      </c>
    </row>
    <row r="606" spans="1:8" x14ac:dyDescent="0.2">
      <c r="A606" s="9" t="s">
        <v>51</v>
      </c>
      <c r="B606" t="s">
        <v>166</v>
      </c>
      <c r="C606" t="str">
        <f t="shared" si="18"/>
        <v>"https://www.zeldadungeon.net/maps/totk/tiles/sky/6/14_38.jpg",</v>
      </c>
      <c r="H606" t="str">
        <f t="shared" si="19"/>
        <v>14_38</v>
      </c>
    </row>
    <row r="607" spans="1:8" x14ac:dyDescent="0.2">
      <c r="A607" s="9" t="s">
        <v>51</v>
      </c>
      <c r="B607" t="s">
        <v>165</v>
      </c>
      <c r="C607" t="str">
        <f t="shared" si="18"/>
        <v>"https://www.zeldadungeon.net/maps/totk/tiles/sky/6/14_39.jpg",</v>
      </c>
      <c r="H607" t="str">
        <f t="shared" si="19"/>
        <v>14_39</v>
      </c>
    </row>
    <row r="608" spans="1:8" x14ac:dyDescent="0.2">
      <c r="A608" s="9" t="s">
        <v>51</v>
      </c>
      <c r="B608" t="s">
        <v>164</v>
      </c>
      <c r="C608" t="str">
        <f t="shared" si="18"/>
        <v>"https://www.zeldadungeon.net/maps/totk/tiles/sky/6/14_40.jpg",</v>
      </c>
      <c r="H608" t="str">
        <f t="shared" si="19"/>
        <v>14_40</v>
      </c>
    </row>
    <row r="609" spans="1:8" x14ac:dyDescent="0.2">
      <c r="A609" s="9" t="s">
        <v>51</v>
      </c>
      <c r="B609" t="s">
        <v>163</v>
      </c>
      <c r="C609" t="str">
        <f t="shared" si="18"/>
        <v>"https://www.zeldadungeon.net/maps/totk/tiles/sky/6/14_41.jpg",</v>
      </c>
      <c r="H609" t="str">
        <f t="shared" si="19"/>
        <v>14_41</v>
      </c>
    </row>
    <row r="610" spans="1:8" x14ac:dyDescent="0.2">
      <c r="A610" s="9" t="s">
        <v>51</v>
      </c>
      <c r="B610" t="s">
        <v>162</v>
      </c>
      <c r="C610" t="str">
        <f t="shared" si="18"/>
        <v>"https://www.zeldadungeon.net/maps/totk/tiles/sky/6/14_42.jpg",</v>
      </c>
      <c r="H610" t="str">
        <f t="shared" si="19"/>
        <v>14_42</v>
      </c>
    </row>
    <row r="611" spans="1:8" x14ac:dyDescent="0.2">
      <c r="A611" s="9" t="s">
        <v>51</v>
      </c>
      <c r="B611" t="s">
        <v>161</v>
      </c>
      <c r="C611" t="str">
        <f t="shared" si="18"/>
        <v>"https://www.zeldadungeon.net/maps/totk/tiles/sky/6/14_43.jpg",</v>
      </c>
      <c r="H611" t="str">
        <f t="shared" si="19"/>
        <v>14_43</v>
      </c>
    </row>
    <row r="612" spans="1:8" x14ac:dyDescent="0.2">
      <c r="A612" s="9" t="s">
        <v>51</v>
      </c>
      <c r="B612" t="s">
        <v>160</v>
      </c>
      <c r="C612" t="str">
        <f t="shared" si="18"/>
        <v>"https://www.zeldadungeon.net/maps/totk/tiles/sky/6/14_44.jpg",</v>
      </c>
      <c r="H612" t="str">
        <f t="shared" si="19"/>
        <v>14_44</v>
      </c>
    </row>
    <row r="613" spans="1:8" x14ac:dyDescent="0.2">
      <c r="A613" s="9" t="s">
        <v>51</v>
      </c>
      <c r="B613" t="s">
        <v>159</v>
      </c>
      <c r="C613" t="str">
        <f t="shared" si="18"/>
        <v>"https://www.zeldadungeon.net/maps/totk/tiles/sky/6/14_45.jpg",</v>
      </c>
      <c r="H613" t="str">
        <f t="shared" si="19"/>
        <v>14_45</v>
      </c>
    </row>
    <row r="614" spans="1:8" x14ac:dyDescent="0.2">
      <c r="A614" s="9" t="s">
        <v>51</v>
      </c>
      <c r="B614" t="s">
        <v>158</v>
      </c>
      <c r="C614" t="str">
        <f t="shared" si="18"/>
        <v>"https://www.zeldadungeon.net/maps/totk/tiles/sky/6/14_46.jpg",</v>
      </c>
      <c r="H614" t="str">
        <f t="shared" si="19"/>
        <v>14_46</v>
      </c>
    </row>
    <row r="615" spans="1:8" x14ac:dyDescent="0.2">
      <c r="A615" s="9" t="s">
        <v>51</v>
      </c>
      <c r="B615" t="s">
        <v>157</v>
      </c>
      <c r="C615" t="str">
        <f t="shared" si="18"/>
        <v>"https://www.zeldadungeon.net/maps/totk/tiles/sky/6/14_47.jpg",</v>
      </c>
      <c r="H615" t="str">
        <f t="shared" si="19"/>
        <v>14_47</v>
      </c>
    </row>
    <row r="616" spans="1:8" x14ac:dyDescent="0.2">
      <c r="A616" s="9" t="s">
        <v>51</v>
      </c>
      <c r="B616" t="s">
        <v>156</v>
      </c>
      <c r="C616" t="str">
        <f t="shared" si="18"/>
        <v>"https://www.zeldadungeon.net/maps/totk/tiles/sky/6/14_48.jpg",</v>
      </c>
      <c r="H616" t="str">
        <f t="shared" si="19"/>
        <v>14_48</v>
      </c>
    </row>
    <row r="617" spans="1:8" x14ac:dyDescent="0.2">
      <c r="A617" s="9" t="s">
        <v>51</v>
      </c>
      <c r="B617" t="s">
        <v>155</v>
      </c>
      <c r="C617" t="str">
        <f t="shared" si="18"/>
        <v>"https://www.zeldadungeon.net/maps/totk/tiles/sky/6/14_49.jpg",</v>
      </c>
      <c r="H617" t="str">
        <f t="shared" si="19"/>
        <v>14_49</v>
      </c>
    </row>
    <row r="618" spans="1:8" x14ac:dyDescent="0.2">
      <c r="A618" s="9" t="s">
        <v>51</v>
      </c>
      <c r="B618" t="s">
        <v>154</v>
      </c>
      <c r="C618" t="str">
        <f t="shared" si="18"/>
        <v>"https://www.zeldadungeon.net/maps/totk/tiles/sky/6/14_50.jpg",</v>
      </c>
      <c r="H618" t="str">
        <f t="shared" si="19"/>
        <v>14_50</v>
      </c>
    </row>
    <row r="619" spans="1:8" x14ac:dyDescent="0.2">
      <c r="A619" s="9" t="s">
        <v>51</v>
      </c>
      <c r="B619" t="s">
        <v>153</v>
      </c>
      <c r="C619" t="str">
        <f t="shared" si="18"/>
        <v>"https://www.zeldadungeon.net/maps/totk/tiles/sky/6/14_51.jpg",</v>
      </c>
      <c r="H619" t="str">
        <f t="shared" si="19"/>
        <v>14_51</v>
      </c>
    </row>
    <row r="620" spans="1:8" x14ac:dyDescent="0.2">
      <c r="A620" s="9" t="s">
        <v>51</v>
      </c>
      <c r="B620" t="s">
        <v>152</v>
      </c>
      <c r="C620" t="str">
        <f t="shared" si="18"/>
        <v>"https://www.zeldadungeon.net/maps/totk/tiles/sky/6/14_52.jpg",</v>
      </c>
      <c r="H620" t="str">
        <f t="shared" si="19"/>
        <v>14_52</v>
      </c>
    </row>
    <row r="621" spans="1:8" x14ac:dyDescent="0.2">
      <c r="A621" s="9" t="s">
        <v>51</v>
      </c>
      <c r="B621" t="s">
        <v>151</v>
      </c>
      <c r="C621" t="str">
        <f t="shared" si="18"/>
        <v>"https://www.zeldadungeon.net/maps/totk/tiles/sky/6/14_53.jpg",</v>
      </c>
      <c r="H621" t="str">
        <f t="shared" si="19"/>
        <v>14_53</v>
      </c>
    </row>
    <row r="622" spans="1:8" x14ac:dyDescent="0.2">
      <c r="A622" s="9" t="s">
        <v>51</v>
      </c>
      <c r="B622" t="s">
        <v>150</v>
      </c>
      <c r="C622" t="str">
        <f t="shared" si="18"/>
        <v>"https://www.zeldadungeon.net/maps/totk/tiles/sky/6/14_54.jpg",</v>
      </c>
      <c r="H622" t="str">
        <f t="shared" si="19"/>
        <v>14_54</v>
      </c>
    </row>
    <row r="623" spans="1:8" x14ac:dyDescent="0.2">
      <c r="A623" s="9" t="s">
        <v>51</v>
      </c>
      <c r="B623" t="s">
        <v>149</v>
      </c>
      <c r="C623" t="str">
        <f t="shared" si="18"/>
        <v>"https://www.zeldadungeon.net/maps/totk/tiles/sky/6/14_55.jpg",</v>
      </c>
      <c r="H623" t="str">
        <f t="shared" si="19"/>
        <v>14_55</v>
      </c>
    </row>
    <row r="624" spans="1:8" x14ac:dyDescent="0.2">
      <c r="A624" s="9" t="s">
        <v>51</v>
      </c>
      <c r="B624" t="s">
        <v>148</v>
      </c>
      <c r="C624" t="str">
        <f t="shared" si="18"/>
        <v>"https://www.zeldadungeon.net/maps/totk/tiles/sky/6/15_8.jpg",</v>
      </c>
      <c r="H624" t="str">
        <f t="shared" si="19"/>
        <v>15_8</v>
      </c>
    </row>
    <row r="625" spans="1:8" x14ac:dyDescent="0.2">
      <c r="A625" s="9" t="s">
        <v>51</v>
      </c>
      <c r="B625" t="s">
        <v>147</v>
      </c>
      <c r="C625" t="str">
        <f t="shared" si="18"/>
        <v>"https://www.zeldadungeon.net/maps/totk/tiles/sky/6/15_9.jpg",</v>
      </c>
      <c r="H625" t="str">
        <f t="shared" si="19"/>
        <v>15_9</v>
      </c>
    </row>
    <row r="626" spans="1:8" x14ac:dyDescent="0.2">
      <c r="A626" s="9" t="s">
        <v>51</v>
      </c>
      <c r="B626" t="s">
        <v>146</v>
      </c>
      <c r="C626" t="str">
        <f t="shared" si="18"/>
        <v>"https://www.zeldadungeon.net/maps/totk/tiles/sky/6/15_10.jpg",</v>
      </c>
      <c r="H626" t="str">
        <f t="shared" si="19"/>
        <v>15_10</v>
      </c>
    </row>
    <row r="627" spans="1:8" x14ac:dyDescent="0.2">
      <c r="A627" s="9" t="s">
        <v>51</v>
      </c>
      <c r="B627" t="s">
        <v>145</v>
      </c>
      <c r="C627" t="str">
        <f t="shared" si="18"/>
        <v>"https://www.zeldadungeon.net/maps/totk/tiles/sky/6/15_11.jpg",</v>
      </c>
      <c r="H627" t="str">
        <f t="shared" si="19"/>
        <v>15_11</v>
      </c>
    </row>
    <row r="628" spans="1:8" x14ac:dyDescent="0.2">
      <c r="A628" s="9" t="s">
        <v>51</v>
      </c>
      <c r="B628" t="s">
        <v>144</v>
      </c>
      <c r="C628" t="str">
        <f t="shared" si="18"/>
        <v>"https://www.zeldadungeon.net/maps/totk/tiles/sky/6/15_12.jpg",</v>
      </c>
      <c r="H628" t="str">
        <f t="shared" si="19"/>
        <v>15_12</v>
      </c>
    </row>
    <row r="629" spans="1:8" x14ac:dyDescent="0.2">
      <c r="A629" s="9" t="s">
        <v>51</v>
      </c>
      <c r="B629" t="s">
        <v>143</v>
      </c>
      <c r="C629" t="str">
        <f t="shared" si="18"/>
        <v>"https://www.zeldadungeon.net/maps/totk/tiles/sky/6/15_13.jpg",</v>
      </c>
      <c r="H629" t="str">
        <f t="shared" si="19"/>
        <v>15_13</v>
      </c>
    </row>
    <row r="630" spans="1:8" x14ac:dyDescent="0.2">
      <c r="A630" s="9" t="s">
        <v>51</v>
      </c>
      <c r="B630" t="s">
        <v>142</v>
      </c>
      <c r="C630" t="str">
        <f t="shared" si="18"/>
        <v>"https://www.zeldadungeon.net/maps/totk/tiles/sky/6/15_14.jpg",</v>
      </c>
      <c r="H630" t="str">
        <f t="shared" si="19"/>
        <v>15_14</v>
      </c>
    </row>
    <row r="631" spans="1:8" x14ac:dyDescent="0.2">
      <c r="A631" s="9" t="s">
        <v>51</v>
      </c>
      <c r="B631" t="s">
        <v>141</v>
      </c>
      <c r="C631" t="str">
        <f t="shared" si="18"/>
        <v>"https://www.zeldadungeon.net/maps/totk/tiles/sky/6/15_15.jpg",</v>
      </c>
      <c r="H631" t="str">
        <f t="shared" si="19"/>
        <v>15_15</v>
      </c>
    </row>
    <row r="632" spans="1:8" x14ac:dyDescent="0.2">
      <c r="A632" s="9" t="s">
        <v>51</v>
      </c>
      <c r="B632" t="s">
        <v>140</v>
      </c>
      <c r="C632" t="str">
        <f t="shared" si="18"/>
        <v>"https://www.zeldadungeon.net/maps/totk/tiles/sky/6/15_16.jpg",</v>
      </c>
      <c r="H632" t="str">
        <f t="shared" si="19"/>
        <v>15_16</v>
      </c>
    </row>
    <row r="633" spans="1:8" x14ac:dyDescent="0.2">
      <c r="A633" s="9" t="s">
        <v>51</v>
      </c>
      <c r="B633" t="s">
        <v>139</v>
      </c>
      <c r="C633" t="str">
        <f t="shared" si="18"/>
        <v>"https://www.zeldadungeon.net/maps/totk/tiles/sky/6/15_17.jpg",</v>
      </c>
      <c r="H633" t="str">
        <f t="shared" si="19"/>
        <v>15_17</v>
      </c>
    </row>
    <row r="634" spans="1:8" x14ac:dyDescent="0.2">
      <c r="A634" s="9" t="s">
        <v>51</v>
      </c>
      <c r="B634" t="s">
        <v>138</v>
      </c>
      <c r="C634" t="str">
        <f t="shared" si="18"/>
        <v>"https://www.zeldadungeon.net/maps/totk/tiles/sky/6/15_18.jpg",</v>
      </c>
      <c r="H634" t="str">
        <f t="shared" si="19"/>
        <v>15_18</v>
      </c>
    </row>
    <row r="635" spans="1:8" x14ac:dyDescent="0.2">
      <c r="A635" s="9" t="s">
        <v>51</v>
      </c>
      <c r="B635" t="s">
        <v>137</v>
      </c>
      <c r="C635" t="str">
        <f t="shared" si="18"/>
        <v>"https://www.zeldadungeon.net/maps/totk/tiles/sky/6/15_19.jpg",</v>
      </c>
      <c r="H635" t="str">
        <f t="shared" si="19"/>
        <v>15_19</v>
      </c>
    </row>
    <row r="636" spans="1:8" x14ac:dyDescent="0.2">
      <c r="A636" s="9" t="s">
        <v>51</v>
      </c>
      <c r="B636" t="s">
        <v>136</v>
      </c>
      <c r="C636" t="str">
        <f t="shared" si="18"/>
        <v>"https://www.zeldadungeon.net/maps/totk/tiles/sky/6/15_20.jpg",</v>
      </c>
      <c r="H636" t="str">
        <f t="shared" si="19"/>
        <v>15_20</v>
      </c>
    </row>
    <row r="637" spans="1:8" x14ac:dyDescent="0.2">
      <c r="A637" s="9" t="s">
        <v>51</v>
      </c>
      <c r="B637" t="s">
        <v>135</v>
      </c>
      <c r="C637" t="str">
        <f t="shared" si="18"/>
        <v>"https://www.zeldadungeon.net/maps/totk/tiles/sky/6/15_21.jpg",</v>
      </c>
      <c r="H637" t="str">
        <f t="shared" si="19"/>
        <v>15_21</v>
      </c>
    </row>
    <row r="638" spans="1:8" x14ac:dyDescent="0.2">
      <c r="A638" s="9" t="s">
        <v>51</v>
      </c>
      <c r="B638" t="s">
        <v>134</v>
      </c>
      <c r="C638" t="str">
        <f t="shared" si="18"/>
        <v>"https://www.zeldadungeon.net/maps/totk/tiles/sky/6/15_22.jpg",</v>
      </c>
      <c r="H638" t="str">
        <f t="shared" si="19"/>
        <v>15_22</v>
      </c>
    </row>
    <row r="639" spans="1:8" x14ac:dyDescent="0.2">
      <c r="A639" s="9" t="s">
        <v>51</v>
      </c>
      <c r="B639" t="s">
        <v>133</v>
      </c>
      <c r="C639" t="str">
        <f t="shared" si="18"/>
        <v>"https://www.zeldadungeon.net/maps/totk/tiles/sky/6/15_23.jpg",</v>
      </c>
      <c r="H639" t="str">
        <f t="shared" si="19"/>
        <v>15_23</v>
      </c>
    </row>
    <row r="640" spans="1:8" x14ac:dyDescent="0.2">
      <c r="A640" s="9" t="s">
        <v>51</v>
      </c>
      <c r="B640" t="s">
        <v>132</v>
      </c>
      <c r="C640" t="str">
        <f t="shared" si="18"/>
        <v>"https://www.zeldadungeon.net/maps/totk/tiles/sky/6/15_24.jpg",</v>
      </c>
      <c r="H640" t="str">
        <f t="shared" si="19"/>
        <v>15_24</v>
      </c>
    </row>
    <row r="641" spans="1:8" x14ac:dyDescent="0.2">
      <c r="A641" s="9" t="s">
        <v>51</v>
      </c>
      <c r="B641" t="s">
        <v>131</v>
      </c>
      <c r="C641" t="str">
        <f t="shared" ref="C641:C704" si="20">""""&amp;SUBSTITUTE(A641,"zzz",H641)&amp;""""&amp;","</f>
        <v>"https://www.zeldadungeon.net/maps/totk/tiles/sky/6/15_25.jpg",</v>
      </c>
      <c r="H641" t="str">
        <f t="shared" ref="H641:H704" si="21">QUOTIENT(ROW(A641),48)+2&amp;"_"&amp;MOD(ROW(A641),48)+8</f>
        <v>15_25</v>
      </c>
    </row>
    <row r="642" spans="1:8" x14ac:dyDescent="0.2">
      <c r="A642" s="9" t="s">
        <v>51</v>
      </c>
      <c r="B642" t="s">
        <v>130</v>
      </c>
      <c r="C642" t="str">
        <f t="shared" si="20"/>
        <v>"https://www.zeldadungeon.net/maps/totk/tiles/sky/6/15_26.jpg",</v>
      </c>
      <c r="H642" t="str">
        <f t="shared" si="21"/>
        <v>15_26</v>
      </c>
    </row>
    <row r="643" spans="1:8" x14ac:dyDescent="0.2">
      <c r="A643" s="9" t="s">
        <v>51</v>
      </c>
      <c r="B643" t="s">
        <v>129</v>
      </c>
      <c r="C643" t="str">
        <f t="shared" si="20"/>
        <v>"https://www.zeldadungeon.net/maps/totk/tiles/sky/6/15_27.jpg",</v>
      </c>
      <c r="H643" t="str">
        <f t="shared" si="21"/>
        <v>15_27</v>
      </c>
    </row>
    <row r="644" spans="1:8" x14ac:dyDescent="0.2">
      <c r="A644" s="9" t="s">
        <v>51</v>
      </c>
      <c r="B644" t="s">
        <v>128</v>
      </c>
      <c r="C644" t="str">
        <f t="shared" si="20"/>
        <v>"https://www.zeldadungeon.net/maps/totk/tiles/sky/6/15_28.jpg",</v>
      </c>
      <c r="H644" t="str">
        <f t="shared" si="21"/>
        <v>15_28</v>
      </c>
    </row>
    <row r="645" spans="1:8" x14ac:dyDescent="0.2">
      <c r="A645" s="9" t="s">
        <v>51</v>
      </c>
      <c r="B645" t="s">
        <v>127</v>
      </c>
      <c r="C645" t="str">
        <f t="shared" si="20"/>
        <v>"https://www.zeldadungeon.net/maps/totk/tiles/sky/6/15_29.jpg",</v>
      </c>
      <c r="H645" t="str">
        <f t="shared" si="21"/>
        <v>15_29</v>
      </c>
    </row>
    <row r="646" spans="1:8" x14ac:dyDescent="0.2">
      <c r="A646" s="9" t="s">
        <v>51</v>
      </c>
      <c r="B646" t="s">
        <v>126</v>
      </c>
      <c r="C646" t="str">
        <f t="shared" si="20"/>
        <v>"https://www.zeldadungeon.net/maps/totk/tiles/sky/6/15_30.jpg",</v>
      </c>
      <c r="H646" t="str">
        <f t="shared" si="21"/>
        <v>15_30</v>
      </c>
    </row>
    <row r="647" spans="1:8" x14ac:dyDescent="0.2">
      <c r="A647" s="9" t="s">
        <v>51</v>
      </c>
      <c r="B647" t="s">
        <v>125</v>
      </c>
      <c r="C647" t="str">
        <f t="shared" si="20"/>
        <v>"https://www.zeldadungeon.net/maps/totk/tiles/sky/6/15_31.jpg",</v>
      </c>
      <c r="H647" t="str">
        <f t="shared" si="21"/>
        <v>15_31</v>
      </c>
    </row>
    <row r="648" spans="1:8" x14ac:dyDescent="0.2">
      <c r="A648" s="9" t="s">
        <v>51</v>
      </c>
      <c r="B648" t="s">
        <v>124</v>
      </c>
      <c r="C648" t="str">
        <f t="shared" si="20"/>
        <v>"https://www.zeldadungeon.net/maps/totk/tiles/sky/6/15_32.jpg",</v>
      </c>
      <c r="H648" t="str">
        <f t="shared" si="21"/>
        <v>15_32</v>
      </c>
    </row>
    <row r="649" spans="1:8" x14ac:dyDescent="0.2">
      <c r="A649" s="9" t="s">
        <v>51</v>
      </c>
      <c r="B649" t="s">
        <v>123</v>
      </c>
      <c r="C649" t="str">
        <f t="shared" si="20"/>
        <v>"https://www.zeldadungeon.net/maps/totk/tiles/sky/6/15_33.jpg",</v>
      </c>
      <c r="H649" t="str">
        <f t="shared" si="21"/>
        <v>15_33</v>
      </c>
    </row>
    <row r="650" spans="1:8" x14ac:dyDescent="0.2">
      <c r="A650" s="9" t="s">
        <v>51</v>
      </c>
      <c r="B650" t="s">
        <v>122</v>
      </c>
      <c r="C650" t="str">
        <f t="shared" si="20"/>
        <v>"https://www.zeldadungeon.net/maps/totk/tiles/sky/6/15_34.jpg",</v>
      </c>
      <c r="H650" t="str">
        <f t="shared" si="21"/>
        <v>15_34</v>
      </c>
    </row>
    <row r="651" spans="1:8" x14ac:dyDescent="0.2">
      <c r="A651" s="9" t="s">
        <v>51</v>
      </c>
      <c r="B651" t="s">
        <v>121</v>
      </c>
      <c r="C651" t="str">
        <f t="shared" si="20"/>
        <v>"https://www.zeldadungeon.net/maps/totk/tiles/sky/6/15_35.jpg",</v>
      </c>
      <c r="H651" t="str">
        <f t="shared" si="21"/>
        <v>15_35</v>
      </c>
    </row>
    <row r="652" spans="1:8" x14ac:dyDescent="0.2">
      <c r="A652" s="9" t="s">
        <v>51</v>
      </c>
      <c r="B652" t="s">
        <v>120</v>
      </c>
      <c r="C652" t="str">
        <f t="shared" si="20"/>
        <v>"https://www.zeldadungeon.net/maps/totk/tiles/sky/6/15_36.jpg",</v>
      </c>
      <c r="H652" t="str">
        <f t="shared" si="21"/>
        <v>15_36</v>
      </c>
    </row>
    <row r="653" spans="1:8" x14ac:dyDescent="0.2">
      <c r="A653" s="9" t="s">
        <v>51</v>
      </c>
      <c r="B653" t="s">
        <v>119</v>
      </c>
      <c r="C653" t="str">
        <f t="shared" si="20"/>
        <v>"https://www.zeldadungeon.net/maps/totk/tiles/sky/6/15_37.jpg",</v>
      </c>
      <c r="H653" t="str">
        <f t="shared" si="21"/>
        <v>15_37</v>
      </c>
    </row>
    <row r="654" spans="1:8" x14ac:dyDescent="0.2">
      <c r="A654" s="9" t="s">
        <v>51</v>
      </c>
      <c r="B654" t="s">
        <v>118</v>
      </c>
      <c r="C654" t="str">
        <f t="shared" si="20"/>
        <v>"https://www.zeldadungeon.net/maps/totk/tiles/sky/6/15_38.jpg",</v>
      </c>
      <c r="H654" t="str">
        <f t="shared" si="21"/>
        <v>15_38</v>
      </c>
    </row>
    <row r="655" spans="1:8" x14ac:dyDescent="0.2">
      <c r="A655" s="9" t="s">
        <v>51</v>
      </c>
      <c r="B655" t="s">
        <v>117</v>
      </c>
      <c r="C655" t="str">
        <f t="shared" si="20"/>
        <v>"https://www.zeldadungeon.net/maps/totk/tiles/sky/6/15_39.jpg",</v>
      </c>
      <c r="H655" t="str">
        <f t="shared" si="21"/>
        <v>15_39</v>
      </c>
    </row>
    <row r="656" spans="1:8" x14ac:dyDescent="0.2">
      <c r="A656" s="9" t="s">
        <v>51</v>
      </c>
      <c r="B656" t="s">
        <v>116</v>
      </c>
      <c r="C656" t="str">
        <f t="shared" si="20"/>
        <v>"https://www.zeldadungeon.net/maps/totk/tiles/sky/6/15_40.jpg",</v>
      </c>
      <c r="H656" t="str">
        <f t="shared" si="21"/>
        <v>15_40</v>
      </c>
    </row>
    <row r="657" spans="1:8" x14ac:dyDescent="0.2">
      <c r="A657" s="9" t="s">
        <v>51</v>
      </c>
      <c r="B657" t="s">
        <v>115</v>
      </c>
      <c r="C657" t="str">
        <f t="shared" si="20"/>
        <v>"https://www.zeldadungeon.net/maps/totk/tiles/sky/6/15_41.jpg",</v>
      </c>
      <c r="H657" t="str">
        <f t="shared" si="21"/>
        <v>15_41</v>
      </c>
    </row>
    <row r="658" spans="1:8" x14ac:dyDescent="0.2">
      <c r="A658" s="9" t="s">
        <v>51</v>
      </c>
      <c r="B658" t="s">
        <v>114</v>
      </c>
      <c r="C658" t="str">
        <f t="shared" si="20"/>
        <v>"https://www.zeldadungeon.net/maps/totk/tiles/sky/6/15_42.jpg",</v>
      </c>
      <c r="H658" t="str">
        <f t="shared" si="21"/>
        <v>15_42</v>
      </c>
    </row>
    <row r="659" spans="1:8" x14ac:dyDescent="0.2">
      <c r="A659" s="9" t="s">
        <v>51</v>
      </c>
      <c r="B659" t="s">
        <v>113</v>
      </c>
      <c r="C659" t="str">
        <f t="shared" si="20"/>
        <v>"https://www.zeldadungeon.net/maps/totk/tiles/sky/6/15_43.jpg",</v>
      </c>
      <c r="H659" t="str">
        <f t="shared" si="21"/>
        <v>15_43</v>
      </c>
    </row>
    <row r="660" spans="1:8" x14ac:dyDescent="0.2">
      <c r="A660" s="9" t="s">
        <v>51</v>
      </c>
      <c r="B660" t="s">
        <v>112</v>
      </c>
      <c r="C660" t="str">
        <f t="shared" si="20"/>
        <v>"https://www.zeldadungeon.net/maps/totk/tiles/sky/6/15_44.jpg",</v>
      </c>
      <c r="H660" t="str">
        <f t="shared" si="21"/>
        <v>15_44</v>
      </c>
    </row>
    <row r="661" spans="1:8" x14ac:dyDescent="0.2">
      <c r="A661" s="9" t="s">
        <v>51</v>
      </c>
      <c r="B661" t="s">
        <v>111</v>
      </c>
      <c r="C661" t="str">
        <f t="shared" si="20"/>
        <v>"https://www.zeldadungeon.net/maps/totk/tiles/sky/6/15_45.jpg",</v>
      </c>
      <c r="H661" t="str">
        <f t="shared" si="21"/>
        <v>15_45</v>
      </c>
    </row>
    <row r="662" spans="1:8" x14ac:dyDescent="0.2">
      <c r="A662" s="9" t="s">
        <v>51</v>
      </c>
      <c r="B662" t="s">
        <v>110</v>
      </c>
      <c r="C662" t="str">
        <f t="shared" si="20"/>
        <v>"https://www.zeldadungeon.net/maps/totk/tiles/sky/6/15_46.jpg",</v>
      </c>
      <c r="H662" t="str">
        <f t="shared" si="21"/>
        <v>15_46</v>
      </c>
    </row>
    <row r="663" spans="1:8" x14ac:dyDescent="0.2">
      <c r="A663" s="9" t="s">
        <v>51</v>
      </c>
      <c r="B663" t="s">
        <v>109</v>
      </c>
      <c r="C663" t="str">
        <f t="shared" si="20"/>
        <v>"https://www.zeldadungeon.net/maps/totk/tiles/sky/6/15_47.jpg",</v>
      </c>
      <c r="H663" t="str">
        <f t="shared" si="21"/>
        <v>15_47</v>
      </c>
    </row>
    <row r="664" spans="1:8" x14ac:dyDescent="0.2">
      <c r="A664" s="9" t="s">
        <v>51</v>
      </c>
      <c r="B664" t="s">
        <v>108</v>
      </c>
      <c r="C664" t="str">
        <f t="shared" si="20"/>
        <v>"https://www.zeldadungeon.net/maps/totk/tiles/sky/6/15_48.jpg",</v>
      </c>
      <c r="H664" t="str">
        <f t="shared" si="21"/>
        <v>15_48</v>
      </c>
    </row>
    <row r="665" spans="1:8" x14ac:dyDescent="0.2">
      <c r="A665" s="9" t="s">
        <v>51</v>
      </c>
      <c r="B665" t="s">
        <v>107</v>
      </c>
      <c r="C665" t="str">
        <f t="shared" si="20"/>
        <v>"https://www.zeldadungeon.net/maps/totk/tiles/sky/6/15_49.jpg",</v>
      </c>
      <c r="H665" t="str">
        <f t="shared" si="21"/>
        <v>15_49</v>
      </c>
    </row>
    <row r="666" spans="1:8" x14ac:dyDescent="0.2">
      <c r="A666" s="9" t="s">
        <v>51</v>
      </c>
      <c r="B666" t="s">
        <v>106</v>
      </c>
      <c r="C666" t="str">
        <f t="shared" si="20"/>
        <v>"https://www.zeldadungeon.net/maps/totk/tiles/sky/6/15_50.jpg",</v>
      </c>
      <c r="H666" t="str">
        <f t="shared" si="21"/>
        <v>15_50</v>
      </c>
    </row>
    <row r="667" spans="1:8" x14ac:dyDescent="0.2">
      <c r="A667" s="9" t="s">
        <v>51</v>
      </c>
      <c r="B667" t="s">
        <v>105</v>
      </c>
      <c r="C667" t="str">
        <f t="shared" si="20"/>
        <v>"https://www.zeldadungeon.net/maps/totk/tiles/sky/6/15_51.jpg",</v>
      </c>
      <c r="H667" t="str">
        <f t="shared" si="21"/>
        <v>15_51</v>
      </c>
    </row>
    <row r="668" spans="1:8" x14ac:dyDescent="0.2">
      <c r="A668" s="9" t="s">
        <v>51</v>
      </c>
      <c r="B668" t="s">
        <v>104</v>
      </c>
      <c r="C668" t="str">
        <f t="shared" si="20"/>
        <v>"https://www.zeldadungeon.net/maps/totk/tiles/sky/6/15_52.jpg",</v>
      </c>
      <c r="H668" t="str">
        <f t="shared" si="21"/>
        <v>15_52</v>
      </c>
    </row>
    <row r="669" spans="1:8" x14ac:dyDescent="0.2">
      <c r="A669" s="9" t="s">
        <v>51</v>
      </c>
      <c r="B669" t="s">
        <v>103</v>
      </c>
      <c r="C669" t="str">
        <f t="shared" si="20"/>
        <v>"https://www.zeldadungeon.net/maps/totk/tiles/sky/6/15_53.jpg",</v>
      </c>
      <c r="H669" t="str">
        <f t="shared" si="21"/>
        <v>15_53</v>
      </c>
    </row>
    <row r="670" spans="1:8" x14ac:dyDescent="0.2">
      <c r="A670" s="9" t="s">
        <v>51</v>
      </c>
      <c r="B670" t="s">
        <v>102</v>
      </c>
      <c r="C670" t="str">
        <f t="shared" si="20"/>
        <v>"https://www.zeldadungeon.net/maps/totk/tiles/sky/6/15_54.jpg",</v>
      </c>
      <c r="H670" t="str">
        <f t="shared" si="21"/>
        <v>15_54</v>
      </c>
    </row>
    <row r="671" spans="1:8" x14ac:dyDescent="0.2">
      <c r="A671" s="9" t="s">
        <v>51</v>
      </c>
      <c r="B671" t="s">
        <v>101</v>
      </c>
      <c r="C671" t="str">
        <f t="shared" si="20"/>
        <v>"https://www.zeldadungeon.net/maps/totk/tiles/sky/6/15_55.jpg",</v>
      </c>
      <c r="H671" t="str">
        <f t="shared" si="21"/>
        <v>15_55</v>
      </c>
    </row>
    <row r="672" spans="1:8" x14ac:dyDescent="0.2">
      <c r="A672" s="9" t="s">
        <v>51</v>
      </c>
      <c r="B672" t="s">
        <v>100</v>
      </c>
      <c r="C672" t="str">
        <f t="shared" si="20"/>
        <v>"https://www.zeldadungeon.net/maps/totk/tiles/sky/6/16_8.jpg",</v>
      </c>
      <c r="H672" t="str">
        <f t="shared" si="21"/>
        <v>16_8</v>
      </c>
    </row>
    <row r="673" spans="1:8" x14ac:dyDescent="0.2">
      <c r="A673" s="9" t="s">
        <v>51</v>
      </c>
      <c r="B673" t="s">
        <v>99</v>
      </c>
      <c r="C673" t="str">
        <f t="shared" si="20"/>
        <v>"https://www.zeldadungeon.net/maps/totk/tiles/sky/6/16_9.jpg",</v>
      </c>
      <c r="H673" t="str">
        <f t="shared" si="21"/>
        <v>16_9</v>
      </c>
    </row>
    <row r="674" spans="1:8" x14ac:dyDescent="0.2">
      <c r="A674" s="9" t="s">
        <v>51</v>
      </c>
      <c r="B674" t="s">
        <v>98</v>
      </c>
      <c r="C674" t="str">
        <f t="shared" si="20"/>
        <v>"https://www.zeldadungeon.net/maps/totk/tiles/sky/6/16_10.jpg",</v>
      </c>
      <c r="H674" t="str">
        <f t="shared" si="21"/>
        <v>16_10</v>
      </c>
    </row>
    <row r="675" spans="1:8" x14ac:dyDescent="0.2">
      <c r="A675" s="9" t="s">
        <v>51</v>
      </c>
      <c r="B675" t="s">
        <v>97</v>
      </c>
      <c r="C675" t="str">
        <f t="shared" si="20"/>
        <v>"https://www.zeldadungeon.net/maps/totk/tiles/sky/6/16_11.jpg",</v>
      </c>
      <c r="H675" t="str">
        <f t="shared" si="21"/>
        <v>16_11</v>
      </c>
    </row>
    <row r="676" spans="1:8" x14ac:dyDescent="0.2">
      <c r="A676" s="9" t="s">
        <v>51</v>
      </c>
      <c r="B676" t="s">
        <v>96</v>
      </c>
      <c r="C676" t="str">
        <f t="shared" si="20"/>
        <v>"https://www.zeldadungeon.net/maps/totk/tiles/sky/6/16_12.jpg",</v>
      </c>
      <c r="H676" t="str">
        <f t="shared" si="21"/>
        <v>16_12</v>
      </c>
    </row>
    <row r="677" spans="1:8" x14ac:dyDescent="0.2">
      <c r="A677" s="9" t="s">
        <v>51</v>
      </c>
      <c r="B677" t="s">
        <v>95</v>
      </c>
      <c r="C677" t="str">
        <f t="shared" si="20"/>
        <v>"https://www.zeldadungeon.net/maps/totk/tiles/sky/6/16_13.jpg",</v>
      </c>
      <c r="H677" t="str">
        <f t="shared" si="21"/>
        <v>16_13</v>
      </c>
    </row>
    <row r="678" spans="1:8" x14ac:dyDescent="0.2">
      <c r="A678" s="9" t="s">
        <v>51</v>
      </c>
      <c r="B678" t="s">
        <v>94</v>
      </c>
      <c r="C678" t="str">
        <f t="shared" si="20"/>
        <v>"https://www.zeldadungeon.net/maps/totk/tiles/sky/6/16_14.jpg",</v>
      </c>
      <c r="H678" t="str">
        <f t="shared" si="21"/>
        <v>16_14</v>
      </c>
    </row>
    <row r="679" spans="1:8" x14ac:dyDescent="0.2">
      <c r="A679" s="9" t="s">
        <v>51</v>
      </c>
      <c r="B679" t="s">
        <v>93</v>
      </c>
      <c r="C679" t="str">
        <f t="shared" si="20"/>
        <v>"https://www.zeldadungeon.net/maps/totk/tiles/sky/6/16_15.jpg",</v>
      </c>
      <c r="H679" t="str">
        <f t="shared" si="21"/>
        <v>16_15</v>
      </c>
    </row>
    <row r="680" spans="1:8" x14ac:dyDescent="0.2">
      <c r="A680" s="9" t="s">
        <v>51</v>
      </c>
      <c r="B680" t="s">
        <v>92</v>
      </c>
      <c r="C680" t="str">
        <f t="shared" si="20"/>
        <v>"https://www.zeldadungeon.net/maps/totk/tiles/sky/6/16_16.jpg",</v>
      </c>
      <c r="H680" t="str">
        <f t="shared" si="21"/>
        <v>16_16</v>
      </c>
    </row>
    <row r="681" spans="1:8" x14ac:dyDescent="0.2">
      <c r="A681" s="9" t="s">
        <v>51</v>
      </c>
      <c r="B681" t="s">
        <v>91</v>
      </c>
      <c r="C681" t="str">
        <f t="shared" si="20"/>
        <v>"https://www.zeldadungeon.net/maps/totk/tiles/sky/6/16_17.jpg",</v>
      </c>
      <c r="H681" t="str">
        <f t="shared" si="21"/>
        <v>16_17</v>
      </c>
    </row>
    <row r="682" spans="1:8" x14ac:dyDescent="0.2">
      <c r="A682" s="9" t="s">
        <v>51</v>
      </c>
      <c r="B682" t="s">
        <v>90</v>
      </c>
      <c r="C682" t="str">
        <f t="shared" si="20"/>
        <v>"https://www.zeldadungeon.net/maps/totk/tiles/sky/6/16_18.jpg",</v>
      </c>
      <c r="H682" t="str">
        <f t="shared" si="21"/>
        <v>16_18</v>
      </c>
    </row>
    <row r="683" spans="1:8" x14ac:dyDescent="0.2">
      <c r="A683" s="9" t="s">
        <v>51</v>
      </c>
      <c r="B683" t="s">
        <v>89</v>
      </c>
      <c r="C683" t="str">
        <f t="shared" si="20"/>
        <v>"https://www.zeldadungeon.net/maps/totk/tiles/sky/6/16_19.jpg",</v>
      </c>
      <c r="H683" t="str">
        <f t="shared" si="21"/>
        <v>16_19</v>
      </c>
    </row>
    <row r="684" spans="1:8" x14ac:dyDescent="0.2">
      <c r="A684" s="9" t="s">
        <v>51</v>
      </c>
      <c r="B684" t="s">
        <v>88</v>
      </c>
      <c r="C684" t="str">
        <f t="shared" si="20"/>
        <v>"https://www.zeldadungeon.net/maps/totk/tiles/sky/6/16_20.jpg",</v>
      </c>
      <c r="H684" t="str">
        <f t="shared" si="21"/>
        <v>16_20</v>
      </c>
    </row>
    <row r="685" spans="1:8" x14ac:dyDescent="0.2">
      <c r="A685" s="9" t="s">
        <v>51</v>
      </c>
      <c r="B685" t="s">
        <v>87</v>
      </c>
      <c r="C685" t="str">
        <f t="shared" si="20"/>
        <v>"https://www.zeldadungeon.net/maps/totk/tiles/sky/6/16_21.jpg",</v>
      </c>
      <c r="H685" t="str">
        <f t="shared" si="21"/>
        <v>16_21</v>
      </c>
    </row>
    <row r="686" spans="1:8" x14ac:dyDescent="0.2">
      <c r="A686" s="9" t="s">
        <v>51</v>
      </c>
      <c r="B686" t="s">
        <v>86</v>
      </c>
      <c r="C686" t="str">
        <f t="shared" si="20"/>
        <v>"https://www.zeldadungeon.net/maps/totk/tiles/sky/6/16_22.jpg",</v>
      </c>
      <c r="H686" t="str">
        <f t="shared" si="21"/>
        <v>16_22</v>
      </c>
    </row>
    <row r="687" spans="1:8" x14ac:dyDescent="0.2">
      <c r="A687" s="9" t="s">
        <v>51</v>
      </c>
      <c r="B687" t="s">
        <v>85</v>
      </c>
      <c r="C687" t="str">
        <f t="shared" si="20"/>
        <v>"https://www.zeldadungeon.net/maps/totk/tiles/sky/6/16_23.jpg",</v>
      </c>
      <c r="H687" t="str">
        <f t="shared" si="21"/>
        <v>16_23</v>
      </c>
    </row>
    <row r="688" spans="1:8" x14ac:dyDescent="0.2">
      <c r="A688" s="9" t="s">
        <v>51</v>
      </c>
      <c r="B688" t="s">
        <v>84</v>
      </c>
      <c r="C688" t="str">
        <f t="shared" si="20"/>
        <v>"https://www.zeldadungeon.net/maps/totk/tiles/sky/6/16_24.jpg",</v>
      </c>
      <c r="H688" t="str">
        <f t="shared" si="21"/>
        <v>16_24</v>
      </c>
    </row>
    <row r="689" spans="1:8" x14ac:dyDescent="0.2">
      <c r="A689" s="9" t="s">
        <v>51</v>
      </c>
      <c r="B689" t="s">
        <v>83</v>
      </c>
      <c r="C689" t="str">
        <f t="shared" si="20"/>
        <v>"https://www.zeldadungeon.net/maps/totk/tiles/sky/6/16_25.jpg",</v>
      </c>
      <c r="H689" t="str">
        <f t="shared" si="21"/>
        <v>16_25</v>
      </c>
    </row>
    <row r="690" spans="1:8" x14ac:dyDescent="0.2">
      <c r="A690" s="9" t="s">
        <v>51</v>
      </c>
      <c r="B690" t="s">
        <v>82</v>
      </c>
      <c r="C690" t="str">
        <f t="shared" si="20"/>
        <v>"https://www.zeldadungeon.net/maps/totk/tiles/sky/6/16_26.jpg",</v>
      </c>
      <c r="H690" t="str">
        <f t="shared" si="21"/>
        <v>16_26</v>
      </c>
    </row>
    <row r="691" spans="1:8" x14ac:dyDescent="0.2">
      <c r="A691" s="9" t="s">
        <v>51</v>
      </c>
      <c r="B691" t="s">
        <v>81</v>
      </c>
      <c r="C691" t="str">
        <f t="shared" si="20"/>
        <v>"https://www.zeldadungeon.net/maps/totk/tiles/sky/6/16_27.jpg",</v>
      </c>
      <c r="H691" t="str">
        <f t="shared" si="21"/>
        <v>16_27</v>
      </c>
    </row>
    <row r="692" spans="1:8" x14ac:dyDescent="0.2">
      <c r="A692" s="9" t="s">
        <v>51</v>
      </c>
      <c r="B692" t="s">
        <v>80</v>
      </c>
      <c r="C692" t="str">
        <f t="shared" si="20"/>
        <v>"https://www.zeldadungeon.net/maps/totk/tiles/sky/6/16_28.jpg",</v>
      </c>
      <c r="H692" t="str">
        <f t="shared" si="21"/>
        <v>16_28</v>
      </c>
    </row>
    <row r="693" spans="1:8" x14ac:dyDescent="0.2">
      <c r="A693" s="9" t="s">
        <v>51</v>
      </c>
      <c r="B693" t="s">
        <v>79</v>
      </c>
      <c r="C693" t="str">
        <f t="shared" si="20"/>
        <v>"https://www.zeldadungeon.net/maps/totk/tiles/sky/6/16_29.jpg",</v>
      </c>
      <c r="H693" t="str">
        <f t="shared" si="21"/>
        <v>16_29</v>
      </c>
    </row>
    <row r="694" spans="1:8" x14ac:dyDescent="0.2">
      <c r="A694" s="9" t="s">
        <v>51</v>
      </c>
      <c r="B694" t="s">
        <v>78</v>
      </c>
      <c r="C694" t="str">
        <f t="shared" si="20"/>
        <v>"https://www.zeldadungeon.net/maps/totk/tiles/sky/6/16_30.jpg",</v>
      </c>
      <c r="H694" t="str">
        <f t="shared" si="21"/>
        <v>16_30</v>
      </c>
    </row>
    <row r="695" spans="1:8" x14ac:dyDescent="0.2">
      <c r="A695" s="9" t="s">
        <v>51</v>
      </c>
      <c r="B695" t="s">
        <v>77</v>
      </c>
      <c r="C695" t="str">
        <f t="shared" si="20"/>
        <v>"https://www.zeldadungeon.net/maps/totk/tiles/sky/6/16_31.jpg",</v>
      </c>
      <c r="H695" t="str">
        <f t="shared" si="21"/>
        <v>16_31</v>
      </c>
    </row>
    <row r="696" spans="1:8" x14ac:dyDescent="0.2">
      <c r="A696" s="9" t="s">
        <v>51</v>
      </c>
      <c r="B696" t="s">
        <v>76</v>
      </c>
      <c r="C696" t="str">
        <f t="shared" si="20"/>
        <v>"https://www.zeldadungeon.net/maps/totk/tiles/sky/6/16_32.jpg",</v>
      </c>
      <c r="H696" t="str">
        <f t="shared" si="21"/>
        <v>16_32</v>
      </c>
    </row>
    <row r="697" spans="1:8" x14ac:dyDescent="0.2">
      <c r="A697" s="9" t="s">
        <v>51</v>
      </c>
      <c r="B697" t="s">
        <v>75</v>
      </c>
      <c r="C697" t="str">
        <f t="shared" si="20"/>
        <v>"https://www.zeldadungeon.net/maps/totk/tiles/sky/6/16_33.jpg",</v>
      </c>
      <c r="H697" t="str">
        <f t="shared" si="21"/>
        <v>16_33</v>
      </c>
    </row>
    <row r="698" spans="1:8" x14ac:dyDescent="0.2">
      <c r="A698" s="9" t="s">
        <v>51</v>
      </c>
      <c r="B698" t="s">
        <v>74</v>
      </c>
      <c r="C698" t="str">
        <f t="shared" si="20"/>
        <v>"https://www.zeldadungeon.net/maps/totk/tiles/sky/6/16_34.jpg",</v>
      </c>
      <c r="H698" t="str">
        <f t="shared" si="21"/>
        <v>16_34</v>
      </c>
    </row>
    <row r="699" spans="1:8" x14ac:dyDescent="0.2">
      <c r="A699" s="9" t="s">
        <v>51</v>
      </c>
      <c r="B699" t="s">
        <v>73</v>
      </c>
      <c r="C699" t="str">
        <f t="shared" si="20"/>
        <v>"https://www.zeldadungeon.net/maps/totk/tiles/sky/6/16_35.jpg",</v>
      </c>
      <c r="H699" t="str">
        <f t="shared" si="21"/>
        <v>16_35</v>
      </c>
    </row>
    <row r="700" spans="1:8" x14ac:dyDescent="0.2">
      <c r="A700" s="9" t="s">
        <v>51</v>
      </c>
      <c r="B700" t="s">
        <v>72</v>
      </c>
      <c r="C700" t="str">
        <f t="shared" si="20"/>
        <v>"https://www.zeldadungeon.net/maps/totk/tiles/sky/6/16_36.jpg",</v>
      </c>
      <c r="H700" t="str">
        <f t="shared" si="21"/>
        <v>16_36</v>
      </c>
    </row>
    <row r="701" spans="1:8" x14ac:dyDescent="0.2">
      <c r="A701" s="9" t="s">
        <v>51</v>
      </c>
      <c r="B701" t="s">
        <v>71</v>
      </c>
      <c r="C701" t="str">
        <f t="shared" si="20"/>
        <v>"https://www.zeldadungeon.net/maps/totk/tiles/sky/6/16_37.jpg",</v>
      </c>
      <c r="H701" t="str">
        <f t="shared" si="21"/>
        <v>16_37</v>
      </c>
    </row>
    <row r="702" spans="1:8" x14ac:dyDescent="0.2">
      <c r="A702" s="9" t="s">
        <v>51</v>
      </c>
      <c r="B702" t="s">
        <v>70</v>
      </c>
      <c r="C702" t="str">
        <f t="shared" si="20"/>
        <v>"https://www.zeldadungeon.net/maps/totk/tiles/sky/6/16_38.jpg",</v>
      </c>
      <c r="H702" t="str">
        <f t="shared" si="21"/>
        <v>16_38</v>
      </c>
    </row>
    <row r="703" spans="1:8" x14ac:dyDescent="0.2">
      <c r="A703" s="9" t="s">
        <v>51</v>
      </c>
      <c r="B703" t="s">
        <v>69</v>
      </c>
      <c r="C703" t="str">
        <f t="shared" si="20"/>
        <v>"https://www.zeldadungeon.net/maps/totk/tiles/sky/6/16_39.jpg",</v>
      </c>
      <c r="H703" t="str">
        <f t="shared" si="21"/>
        <v>16_39</v>
      </c>
    </row>
    <row r="704" spans="1:8" x14ac:dyDescent="0.2">
      <c r="A704" s="9" t="s">
        <v>51</v>
      </c>
      <c r="B704" t="s">
        <v>68</v>
      </c>
      <c r="C704" t="str">
        <f t="shared" si="20"/>
        <v>"https://www.zeldadungeon.net/maps/totk/tiles/sky/6/16_40.jpg",</v>
      </c>
      <c r="H704" t="str">
        <f t="shared" si="21"/>
        <v>16_40</v>
      </c>
    </row>
    <row r="705" spans="1:8" x14ac:dyDescent="0.2">
      <c r="A705" s="9" t="s">
        <v>51</v>
      </c>
      <c r="B705" t="s">
        <v>67</v>
      </c>
      <c r="C705" t="str">
        <f t="shared" ref="C705:C768" si="22">""""&amp;SUBSTITUTE(A705,"zzz",H705)&amp;""""&amp;","</f>
        <v>"https://www.zeldadungeon.net/maps/totk/tiles/sky/6/16_41.jpg",</v>
      </c>
      <c r="H705" t="str">
        <f t="shared" ref="H705:H768" si="23">QUOTIENT(ROW(A705),48)+2&amp;"_"&amp;MOD(ROW(A705),48)+8</f>
        <v>16_41</v>
      </c>
    </row>
    <row r="706" spans="1:8" x14ac:dyDescent="0.2">
      <c r="A706" s="9" t="s">
        <v>51</v>
      </c>
      <c r="B706" t="s">
        <v>66</v>
      </c>
      <c r="C706" t="str">
        <f t="shared" si="22"/>
        <v>"https://www.zeldadungeon.net/maps/totk/tiles/sky/6/16_42.jpg",</v>
      </c>
      <c r="H706" t="str">
        <f t="shared" si="23"/>
        <v>16_42</v>
      </c>
    </row>
    <row r="707" spans="1:8" x14ac:dyDescent="0.2">
      <c r="A707" s="9" t="s">
        <v>51</v>
      </c>
      <c r="B707" t="s">
        <v>65</v>
      </c>
      <c r="C707" t="str">
        <f t="shared" si="22"/>
        <v>"https://www.zeldadungeon.net/maps/totk/tiles/sky/6/16_43.jpg",</v>
      </c>
      <c r="H707" t="str">
        <f t="shared" si="23"/>
        <v>16_43</v>
      </c>
    </row>
    <row r="708" spans="1:8" x14ac:dyDescent="0.2">
      <c r="A708" s="9" t="s">
        <v>51</v>
      </c>
      <c r="B708" t="s">
        <v>64</v>
      </c>
      <c r="C708" t="str">
        <f t="shared" si="22"/>
        <v>"https://www.zeldadungeon.net/maps/totk/tiles/sky/6/16_44.jpg",</v>
      </c>
      <c r="H708" t="str">
        <f t="shared" si="23"/>
        <v>16_44</v>
      </c>
    </row>
    <row r="709" spans="1:8" x14ac:dyDescent="0.2">
      <c r="A709" s="9" t="s">
        <v>51</v>
      </c>
      <c r="B709" t="s">
        <v>63</v>
      </c>
      <c r="C709" t="str">
        <f t="shared" si="22"/>
        <v>"https://www.zeldadungeon.net/maps/totk/tiles/sky/6/16_45.jpg",</v>
      </c>
      <c r="H709" t="str">
        <f t="shared" si="23"/>
        <v>16_45</v>
      </c>
    </row>
    <row r="710" spans="1:8" x14ac:dyDescent="0.2">
      <c r="A710" s="9" t="s">
        <v>51</v>
      </c>
      <c r="B710" t="s">
        <v>62</v>
      </c>
      <c r="C710" t="str">
        <f t="shared" si="22"/>
        <v>"https://www.zeldadungeon.net/maps/totk/tiles/sky/6/16_46.jpg",</v>
      </c>
      <c r="H710" t="str">
        <f t="shared" si="23"/>
        <v>16_46</v>
      </c>
    </row>
    <row r="711" spans="1:8" x14ac:dyDescent="0.2">
      <c r="A711" s="9" t="s">
        <v>51</v>
      </c>
      <c r="B711" t="s">
        <v>61</v>
      </c>
      <c r="C711" t="str">
        <f t="shared" si="22"/>
        <v>"https://www.zeldadungeon.net/maps/totk/tiles/sky/6/16_47.jpg",</v>
      </c>
      <c r="H711" t="str">
        <f t="shared" si="23"/>
        <v>16_47</v>
      </c>
    </row>
    <row r="712" spans="1:8" x14ac:dyDescent="0.2">
      <c r="A712" s="9" t="s">
        <v>51</v>
      </c>
      <c r="B712" t="s">
        <v>60</v>
      </c>
      <c r="C712" t="str">
        <f t="shared" si="22"/>
        <v>"https://www.zeldadungeon.net/maps/totk/tiles/sky/6/16_48.jpg",</v>
      </c>
      <c r="H712" t="str">
        <f t="shared" si="23"/>
        <v>16_48</v>
      </c>
    </row>
    <row r="713" spans="1:8" x14ac:dyDescent="0.2">
      <c r="A713" s="9" t="s">
        <v>51</v>
      </c>
      <c r="B713" t="s">
        <v>59</v>
      </c>
      <c r="C713" t="str">
        <f t="shared" si="22"/>
        <v>"https://www.zeldadungeon.net/maps/totk/tiles/sky/6/16_49.jpg",</v>
      </c>
      <c r="H713" t="str">
        <f t="shared" si="23"/>
        <v>16_49</v>
      </c>
    </row>
    <row r="714" spans="1:8" x14ac:dyDescent="0.2">
      <c r="A714" s="9" t="s">
        <v>51</v>
      </c>
      <c r="B714" t="s">
        <v>58</v>
      </c>
      <c r="C714" t="str">
        <f t="shared" si="22"/>
        <v>"https://www.zeldadungeon.net/maps/totk/tiles/sky/6/16_50.jpg",</v>
      </c>
      <c r="H714" t="str">
        <f t="shared" si="23"/>
        <v>16_50</v>
      </c>
    </row>
    <row r="715" spans="1:8" x14ac:dyDescent="0.2">
      <c r="A715" s="9" t="s">
        <v>51</v>
      </c>
      <c r="B715" t="s">
        <v>57</v>
      </c>
      <c r="C715" t="str">
        <f t="shared" si="22"/>
        <v>"https://www.zeldadungeon.net/maps/totk/tiles/sky/6/16_51.jpg",</v>
      </c>
      <c r="H715" t="str">
        <f t="shared" si="23"/>
        <v>16_51</v>
      </c>
    </row>
    <row r="716" spans="1:8" x14ac:dyDescent="0.2">
      <c r="A716" s="9" t="s">
        <v>51</v>
      </c>
      <c r="B716" t="s">
        <v>56</v>
      </c>
      <c r="C716" t="str">
        <f t="shared" si="22"/>
        <v>"https://www.zeldadungeon.net/maps/totk/tiles/sky/6/16_52.jpg",</v>
      </c>
      <c r="H716" t="str">
        <f t="shared" si="23"/>
        <v>16_52</v>
      </c>
    </row>
    <row r="717" spans="1:8" x14ac:dyDescent="0.2">
      <c r="A717" s="9" t="s">
        <v>51</v>
      </c>
      <c r="B717" t="s">
        <v>55</v>
      </c>
      <c r="C717" t="str">
        <f t="shared" si="22"/>
        <v>"https://www.zeldadungeon.net/maps/totk/tiles/sky/6/16_53.jpg",</v>
      </c>
      <c r="H717" t="str">
        <f t="shared" si="23"/>
        <v>16_53</v>
      </c>
    </row>
    <row r="718" spans="1:8" x14ac:dyDescent="0.2">
      <c r="A718" s="9" t="s">
        <v>51</v>
      </c>
      <c r="B718" t="s">
        <v>54</v>
      </c>
      <c r="C718" t="str">
        <f t="shared" si="22"/>
        <v>"https://www.zeldadungeon.net/maps/totk/tiles/sky/6/16_54.jpg",</v>
      </c>
      <c r="H718" t="str">
        <f t="shared" si="23"/>
        <v>16_54</v>
      </c>
    </row>
    <row r="719" spans="1:8" x14ac:dyDescent="0.2">
      <c r="A719" s="9" t="s">
        <v>51</v>
      </c>
      <c r="B719" t="s">
        <v>53</v>
      </c>
      <c r="C719" t="str">
        <f t="shared" si="22"/>
        <v>"https://www.zeldadungeon.net/maps/totk/tiles/sky/6/16_55.jpg",</v>
      </c>
      <c r="H719" t="str">
        <f t="shared" si="23"/>
        <v>16_55</v>
      </c>
    </row>
    <row r="720" spans="1:8" x14ac:dyDescent="0.2">
      <c r="A720" s="9" t="s">
        <v>51</v>
      </c>
      <c r="B720" t="s">
        <v>52</v>
      </c>
      <c r="C720" t="str">
        <f t="shared" si="22"/>
        <v>"https://www.zeldadungeon.net/maps/totk/tiles/sky/6/17_8.jpg",</v>
      </c>
      <c r="H720" t="str">
        <f t="shared" si="23"/>
        <v>17_8</v>
      </c>
    </row>
    <row r="721" spans="1:8" x14ac:dyDescent="0.2">
      <c r="A721" s="9" t="s">
        <v>51</v>
      </c>
      <c r="C721" t="str">
        <f t="shared" si="22"/>
        <v>"https://www.zeldadungeon.net/maps/totk/tiles/sky/6/17_9.jpg",</v>
      </c>
      <c r="H721" t="str">
        <f t="shared" si="23"/>
        <v>17_9</v>
      </c>
    </row>
    <row r="722" spans="1:8" x14ac:dyDescent="0.2">
      <c r="A722" s="9" t="s">
        <v>51</v>
      </c>
      <c r="C722" t="str">
        <f t="shared" si="22"/>
        <v>"https://www.zeldadungeon.net/maps/totk/tiles/sky/6/17_10.jpg",</v>
      </c>
      <c r="H722" t="str">
        <f t="shared" si="23"/>
        <v>17_10</v>
      </c>
    </row>
    <row r="723" spans="1:8" x14ac:dyDescent="0.2">
      <c r="A723" s="9" t="s">
        <v>51</v>
      </c>
      <c r="C723" t="str">
        <f t="shared" si="22"/>
        <v>"https://www.zeldadungeon.net/maps/totk/tiles/sky/6/17_11.jpg",</v>
      </c>
      <c r="H723" t="str">
        <f t="shared" si="23"/>
        <v>17_11</v>
      </c>
    </row>
    <row r="724" spans="1:8" x14ac:dyDescent="0.2">
      <c r="A724" s="9" t="s">
        <v>51</v>
      </c>
      <c r="C724" t="str">
        <f t="shared" si="22"/>
        <v>"https://www.zeldadungeon.net/maps/totk/tiles/sky/6/17_12.jpg",</v>
      </c>
      <c r="H724" t="str">
        <f t="shared" si="23"/>
        <v>17_12</v>
      </c>
    </row>
    <row r="725" spans="1:8" x14ac:dyDescent="0.2">
      <c r="A725" s="9" t="s">
        <v>51</v>
      </c>
      <c r="C725" t="str">
        <f t="shared" si="22"/>
        <v>"https://www.zeldadungeon.net/maps/totk/tiles/sky/6/17_13.jpg",</v>
      </c>
      <c r="H725" t="str">
        <f t="shared" si="23"/>
        <v>17_13</v>
      </c>
    </row>
    <row r="726" spans="1:8" x14ac:dyDescent="0.2">
      <c r="A726" s="9" t="s">
        <v>51</v>
      </c>
      <c r="C726" t="str">
        <f t="shared" si="22"/>
        <v>"https://www.zeldadungeon.net/maps/totk/tiles/sky/6/17_14.jpg",</v>
      </c>
      <c r="H726" t="str">
        <f t="shared" si="23"/>
        <v>17_14</v>
      </c>
    </row>
    <row r="727" spans="1:8" x14ac:dyDescent="0.2">
      <c r="A727" s="9" t="s">
        <v>51</v>
      </c>
      <c r="C727" t="str">
        <f t="shared" si="22"/>
        <v>"https://www.zeldadungeon.net/maps/totk/tiles/sky/6/17_15.jpg",</v>
      </c>
      <c r="H727" t="str">
        <f t="shared" si="23"/>
        <v>17_15</v>
      </c>
    </row>
    <row r="728" spans="1:8" x14ac:dyDescent="0.2">
      <c r="A728" s="9" t="s">
        <v>51</v>
      </c>
      <c r="C728" t="str">
        <f t="shared" si="22"/>
        <v>"https://www.zeldadungeon.net/maps/totk/tiles/sky/6/17_16.jpg",</v>
      </c>
      <c r="H728" t="str">
        <f t="shared" si="23"/>
        <v>17_16</v>
      </c>
    </row>
    <row r="729" spans="1:8" x14ac:dyDescent="0.2">
      <c r="A729" s="9" t="s">
        <v>51</v>
      </c>
      <c r="C729" t="str">
        <f t="shared" si="22"/>
        <v>"https://www.zeldadungeon.net/maps/totk/tiles/sky/6/17_17.jpg",</v>
      </c>
      <c r="H729" t="str">
        <f t="shared" si="23"/>
        <v>17_17</v>
      </c>
    </row>
    <row r="730" spans="1:8" x14ac:dyDescent="0.2">
      <c r="A730" s="9" t="s">
        <v>51</v>
      </c>
      <c r="C730" t="str">
        <f t="shared" si="22"/>
        <v>"https://www.zeldadungeon.net/maps/totk/tiles/sky/6/17_18.jpg",</v>
      </c>
      <c r="H730" t="str">
        <f t="shared" si="23"/>
        <v>17_18</v>
      </c>
    </row>
    <row r="731" spans="1:8" x14ac:dyDescent="0.2">
      <c r="A731" s="9" t="s">
        <v>51</v>
      </c>
      <c r="C731" t="str">
        <f t="shared" si="22"/>
        <v>"https://www.zeldadungeon.net/maps/totk/tiles/sky/6/17_19.jpg",</v>
      </c>
      <c r="H731" t="str">
        <f t="shared" si="23"/>
        <v>17_19</v>
      </c>
    </row>
    <row r="732" spans="1:8" x14ac:dyDescent="0.2">
      <c r="A732" s="9" t="s">
        <v>51</v>
      </c>
      <c r="C732" t="str">
        <f t="shared" si="22"/>
        <v>"https://www.zeldadungeon.net/maps/totk/tiles/sky/6/17_20.jpg",</v>
      </c>
      <c r="H732" t="str">
        <f t="shared" si="23"/>
        <v>17_20</v>
      </c>
    </row>
    <row r="733" spans="1:8" x14ac:dyDescent="0.2">
      <c r="A733" s="9" t="s">
        <v>51</v>
      </c>
      <c r="C733" t="str">
        <f t="shared" si="22"/>
        <v>"https://www.zeldadungeon.net/maps/totk/tiles/sky/6/17_21.jpg",</v>
      </c>
      <c r="H733" t="str">
        <f t="shared" si="23"/>
        <v>17_21</v>
      </c>
    </row>
    <row r="734" spans="1:8" x14ac:dyDescent="0.2">
      <c r="A734" s="9" t="s">
        <v>51</v>
      </c>
      <c r="C734" t="str">
        <f t="shared" si="22"/>
        <v>"https://www.zeldadungeon.net/maps/totk/tiles/sky/6/17_22.jpg",</v>
      </c>
      <c r="H734" t="str">
        <f t="shared" si="23"/>
        <v>17_22</v>
      </c>
    </row>
    <row r="735" spans="1:8" x14ac:dyDescent="0.2">
      <c r="A735" s="9" t="s">
        <v>51</v>
      </c>
      <c r="C735" t="str">
        <f t="shared" si="22"/>
        <v>"https://www.zeldadungeon.net/maps/totk/tiles/sky/6/17_23.jpg",</v>
      </c>
      <c r="H735" t="str">
        <f t="shared" si="23"/>
        <v>17_23</v>
      </c>
    </row>
    <row r="736" spans="1:8" x14ac:dyDescent="0.2">
      <c r="A736" s="9" t="s">
        <v>51</v>
      </c>
      <c r="C736" t="str">
        <f t="shared" si="22"/>
        <v>"https://www.zeldadungeon.net/maps/totk/tiles/sky/6/17_24.jpg",</v>
      </c>
      <c r="H736" t="str">
        <f t="shared" si="23"/>
        <v>17_24</v>
      </c>
    </row>
    <row r="737" spans="1:8" x14ac:dyDescent="0.2">
      <c r="A737" s="9" t="s">
        <v>51</v>
      </c>
      <c r="C737" t="str">
        <f t="shared" si="22"/>
        <v>"https://www.zeldadungeon.net/maps/totk/tiles/sky/6/17_25.jpg",</v>
      </c>
      <c r="H737" t="str">
        <f t="shared" si="23"/>
        <v>17_25</v>
      </c>
    </row>
    <row r="738" spans="1:8" x14ac:dyDescent="0.2">
      <c r="A738" s="9" t="s">
        <v>51</v>
      </c>
      <c r="C738" t="str">
        <f t="shared" si="22"/>
        <v>"https://www.zeldadungeon.net/maps/totk/tiles/sky/6/17_26.jpg",</v>
      </c>
      <c r="H738" t="str">
        <f t="shared" si="23"/>
        <v>17_26</v>
      </c>
    </row>
    <row r="739" spans="1:8" x14ac:dyDescent="0.2">
      <c r="A739" s="9" t="s">
        <v>51</v>
      </c>
      <c r="C739" t="str">
        <f t="shared" si="22"/>
        <v>"https://www.zeldadungeon.net/maps/totk/tiles/sky/6/17_27.jpg",</v>
      </c>
      <c r="H739" t="str">
        <f t="shared" si="23"/>
        <v>17_27</v>
      </c>
    </row>
    <row r="740" spans="1:8" x14ac:dyDescent="0.2">
      <c r="A740" s="9" t="s">
        <v>51</v>
      </c>
      <c r="C740" t="str">
        <f t="shared" si="22"/>
        <v>"https://www.zeldadungeon.net/maps/totk/tiles/sky/6/17_28.jpg",</v>
      </c>
      <c r="H740" t="str">
        <f t="shared" si="23"/>
        <v>17_28</v>
      </c>
    </row>
    <row r="741" spans="1:8" x14ac:dyDescent="0.2">
      <c r="A741" s="9" t="s">
        <v>51</v>
      </c>
      <c r="C741" t="str">
        <f t="shared" si="22"/>
        <v>"https://www.zeldadungeon.net/maps/totk/tiles/sky/6/17_29.jpg",</v>
      </c>
      <c r="H741" t="str">
        <f t="shared" si="23"/>
        <v>17_29</v>
      </c>
    </row>
    <row r="742" spans="1:8" x14ac:dyDescent="0.2">
      <c r="A742" s="9" t="s">
        <v>51</v>
      </c>
      <c r="C742" t="str">
        <f t="shared" si="22"/>
        <v>"https://www.zeldadungeon.net/maps/totk/tiles/sky/6/17_30.jpg",</v>
      </c>
      <c r="H742" t="str">
        <f t="shared" si="23"/>
        <v>17_30</v>
      </c>
    </row>
    <row r="743" spans="1:8" x14ac:dyDescent="0.2">
      <c r="A743" s="9" t="s">
        <v>51</v>
      </c>
      <c r="C743" t="str">
        <f t="shared" si="22"/>
        <v>"https://www.zeldadungeon.net/maps/totk/tiles/sky/6/17_31.jpg",</v>
      </c>
      <c r="H743" t="str">
        <f t="shared" si="23"/>
        <v>17_31</v>
      </c>
    </row>
    <row r="744" spans="1:8" x14ac:dyDescent="0.2">
      <c r="A744" s="9" t="s">
        <v>51</v>
      </c>
      <c r="C744" t="str">
        <f t="shared" si="22"/>
        <v>"https://www.zeldadungeon.net/maps/totk/tiles/sky/6/17_32.jpg",</v>
      </c>
      <c r="H744" t="str">
        <f t="shared" si="23"/>
        <v>17_32</v>
      </c>
    </row>
    <row r="745" spans="1:8" x14ac:dyDescent="0.2">
      <c r="A745" s="9" t="s">
        <v>51</v>
      </c>
      <c r="C745" t="str">
        <f t="shared" si="22"/>
        <v>"https://www.zeldadungeon.net/maps/totk/tiles/sky/6/17_33.jpg",</v>
      </c>
      <c r="H745" t="str">
        <f t="shared" si="23"/>
        <v>17_33</v>
      </c>
    </row>
    <row r="746" spans="1:8" x14ac:dyDescent="0.2">
      <c r="A746" s="9" t="s">
        <v>51</v>
      </c>
      <c r="C746" t="str">
        <f t="shared" si="22"/>
        <v>"https://www.zeldadungeon.net/maps/totk/tiles/sky/6/17_34.jpg",</v>
      </c>
      <c r="H746" t="str">
        <f t="shared" si="23"/>
        <v>17_34</v>
      </c>
    </row>
    <row r="747" spans="1:8" x14ac:dyDescent="0.2">
      <c r="A747" s="9" t="s">
        <v>51</v>
      </c>
      <c r="C747" t="str">
        <f t="shared" si="22"/>
        <v>"https://www.zeldadungeon.net/maps/totk/tiles/sky/6/17_35.jpg",</v>
      </c>
      <c r="H747" t="str">
        <f t="shared" si="23"/>
        <v>17_35</v>
      </c>
    </row>
    <row r="748" spans="1:8" x14ac:dyDescent="0.2">
      <c r="A748" s="9" t="s">
        <v>51</v>
      </c>
      <c r="C748" t="str">
        <f t="shared" si="22"/>
        <v>"https://www.zeldadungeon.net/maps/totk/tiles/sky/6/17_36.jpg",</v>
      </c>
      <c r="H748" t="str">
        <f t="shared" si="23"/>
        <v>17_36</v>
      </c>
    </row>
    <row r="749" spans="1:8" x14ac:dyDescent="0.2">
      <c r="A749" s="9" t="s">
        <v>51</v>
      </c>
      <c r="C749" t="str">
        <f t="shared" si="22"/>
        <v>"https://www.zeldadungeon.net/maps/totk/tiles/sky/6/17_37.jpg",</v>
      </c>
      <c r="H749" t="str">
        <f t="shared" si="23"/>
        <v>17_37</v>
      </c>
    </row>
    <row r="750" spans="1:8" x14ac:dyDescent="0.2">
      <c r="A750" s="9" t="s">
        <v>51</v>
      </c>
      <c r="C750" t="str">
        <f t="shared" si="22"/>
        <v>"https://www.zeldadungeon.net/maps/totk/tiles/sky/6/17_38.jpg",</v>
      </c>
      <c r="H750" t="str">
        <f t="shared" si="23"/>
        <v>17_38</v>
      </c>
    </row>
    <row r="751" spans="1:8" x14ac:dyDescent="0.2">
      <c r="A751" s="9" t="s">
        <v>51</v>
      </c>
      <c r="C751" t="str">
        <f t="shared" si="22"/>
        <v>"https://www.zeldadungeon.net/maps/totk/tiles/sky/6/17_39.jpg",</v>
      </c>
      <c r="H751" t="str">
        <f t="shared" si="23"/>
        <v>17_39</v>
      </c>
    </row>
    <row r="752" spans="1:8" x14ac:dyDescent="0.2">
      <c r="A752" s="9" t="s">
        <v>51</v>
      </c>
      <c r="C752" t="str">
        <f t="shared" si="22"/>
        <v>"https://www.zeldadungeon.net/maps/totk/tiles/sky/6/17_40.jpg",</v>
      </c>
      <c r="H752" t="str">
        <f t="shared" si="23"/>
        <v>17_40</v>
      </c>
    </row>
    <row r="753" spans="1:8" x14ac:dyDescent="0.2">
      <c r="A753" s="9" t="s">
        <v>51</v>
      </c>
      <c r="C753" t="str">
        <f t="shared" si="22"/>
        <v>"https://www.zeldadungeon.net/maps/totk/tiles/sky/6/17_41.jpg",</v>
      </c>
      <c r="H753" t="str">
        <f t="shared" si="23"/>
        <v>17_41</v>
      </c>
    </row>
    <row r="754" spans="1:8" x14ac:dyDescent="0.2">
      <c r="A754" s="9" t="s">
        <v>51</v>
      </c>
      <c r="C754" t="str">
        <f t="shared" si="22"/>
        <v>"https://www.zeldadungeon.net/maps/totk/tiles/sky/6/17_42.jpg",</v>
      </c>
      <c r="H754" t="str">
        <f t="shared" si="23"/>
        <v>17_42</v>
      </c>
    </row>
    <row r="755" spans="1:8" x14ac:dyDescent="0.2">
      <c r="A755" s="9" t="s">
        <v>51</v>
      </c>
      <c r="C755" t="str">
        <f t="shared" si="22"/>
        <v>"https://www.zeldadungeon.net/maps/totk/tiles/sky/6/17_43.jpg",</v>
      </c>
      <c r="H755" t="str">
        <f t="shared" si="23"/>
        <v>17_43</v>
      </c>
    </row>
    <row r="756" spans="1:8" x14ac:dyDescent="0.2">
      <c r="A756" s="9" t="s">
        <v>51</v>
      </c>
      <c r="C756" t="str">
        <f t="shared" si="22"/>
        <v>"https://www.zeldadungeon.net/maps/totk/tiles/sky/6/17_44.jpg",</v>
      </c>
      <c r="H756" t="str">
        <f t="shared" si="23"/>
        <v>17_44</v>
      </c>
    </row>
    <row r="757" spans="1:8" x14ac:dyDescent="0.2">
      <c r="A757" s="9" t="s">
        <v>51</v>
      </c>
      <c r="C757" t="str">
        <f t="shared" si="22"/>
        <v>"https://www.zeldadungeon.net/maps/totk/tiles/sky/6/17_45.jpg",</v>
      </c>
      <c r="H757" t="str">
        <f t="shared" si="23"/>
        <v>17_45</v>
      </c>
    </row>
    <row r="758" spans="1:8" x14ac:dyDescent="0.2">
      <c r="A758" s="9" t="s">
        <v>51</v>
      </c>
      <c r="C758" t="str">
        <f t="shared" si="22"/>
        <v>"https://www.zeldadungeon.net/maps/totk/tiles/sky/6/17_46.jpg",</v>
      </c>
      <c r="H758" t="str">
        <f t="shared" si="23"/>
        <v>17_46</v>
      </c>
    </row>
    <row r="759" spans="1:8" x14ac:dyDescent="0.2">
      <c r="A759" s="9" t="s">
        <v>51</v>
      </c>
      <c r="C759" t="str">
        <f t="shared" si="22"/>
        <v>"https://www.zeldadungeon.net/maps/totk/tiles/sky/6/17_47.jpg",</v>
      </c>
      <c r="H759" t="str">
        <f t="shared" si="23"/>
        <v>17_47</v>
      </c>
    </row>
    <row r="760" spans="1:8" x14ac:dyDescent="0.2">
      <c r="A760" s="9" t="s">
        <v>51</v>
      </c>
      <c r="C760" t="str">
        <f t="shared" si="22"/>
        <v>"https://www.zeldadungeon.net/maps/totk/tiles/sky/6/17_48.jpg",</v>
      </c>
      <c r="H760" t="str">
        <f t="shared" si="23"/>
        <v>17_48</v>
      </c>
    </row>
    <row r="761" spans="1:8" x14ac:dyDescent="0.2">
      <c r="A761" s="9" t="s">
        <v>51</v>
      </c>
      <c r="C761" t="str">
        <f t="shared" si="22"/>
        <v>"https://www.zeldadungeon.net/maps/totk/tiles/sky/6/17_49.jpg",</v>
      </c>
      <c r="H761" t="str">
        <f t="shared" si="23"/>
        <v>17_49</v>
      </c>
    </row>
    <row r="762" spans="1:8" x14ac:dyDescent="0.2">
      <c r="A762" s="9" t="s">
        <v>51</v>
      </c>
      <c r="C762" t="str">
        <f t="shared" si="22"/>
        <v>"https://www.zeldadungeon.net/maps/totk/tiles/sky/6/17_50.jpg",</v>
      </c>
      <c r="H762" t="str">
        <f t="shared" si="23"/>
        <v>17_50</v>
      </c>
    </row>
    <row r="763" spans="1:8" x14ac:dyDescent="0.2">
      <c r="A763" s="9" t="s">
        <v>51</v>
      </c>
      <c r="C763" t="str">
        <f t="shared" si="22"/>
        <v>"https://www.zeldadungeon.net/maps/totk/tiles/sky/6/17_51.jpg",</v>
      </c>
      <c r="H763" t="str">
        <f t="shared" si="23"/>
        <v>17_51</v>
      </c>
    </row>
    <row r="764" spans="1:8" x14ac:dyDescent="0.2">
      <c r="A764" s="9" t="s">
        <v>51</v>
      </c>
      <c r="C764" t="str">
        <f t="shared" si="22"/>
        <v>"https://www.zeldadungeon.net/maps/totk/tiles/sky/6/17_52.jpg",</v>
      </c>
      <c r="H764" t="str">
        <f t="shared" si="23"/>
        <v>17_52</v>
      </c>
    </row>
    <row r="765" spans="1:8" x14ac:dyDescent="0.2">
      <c r="A765" s="9" t="s">
        <v>51</v>
      </c>
      <c r="C765" t="str">
        <f t="shared" si="22"/>
        <v>"https://www.zeldadungeon.net/maps/totk/tiles/sky/6/17_53.jpg",</v>
      </c>
      <c r="H765" t="str">
        <f t="shared" si="23"/>
        <v>17_53</v>
      </c>
    </row>
    <row r="766" spans="1:8" x14ac:dyDescent="0.2">
      <c r="A766" s="9" t="s">
        <v>51</v>
      </c>
      <c r="C766" t="str">
        <f t="shared" si="22"/>
        <v>"https://www.zeldadungeon.net/maps/totk/tiles/sky/6/17_54.jpg",</v>
      </c>
      <c r="H766" t="str">
        <f t="shared" si="23"/>
        <v>17_54</v>
      </c>
    </row>
    <row r="767" spans="1:8" x14ac:dyDescent="0.2">
      <c r="A767" s="9" t="s">
        <v>51</v>
      </c>
      <c r="C767" t="str">
        <f t="shared" si="22"/>
        <v>"https://www.zeldadungeon.net/maps/totk/tiles/sky/6/17_55.jpg",</v>
      </c>
      <c r="H767" t="str">
        <f t="shared" si="23"/>
        <v>17_55</v>
      </c>
    </row>
    <row r="768" spans="1:8" x14ac:dyDescent="0.2">
      <c r="A768" s="9" t="s">
        <v>51</v>
      </c>
      <c r="C768" t="str">
        <f t="shared" si="22"/>
        <v>"https://www.zeldadungeon.net/maps/totk/tiles/sky/6/18_8.jpg",</v>
      </c>
      <c r="H768" t="str">
        <f t="shared" si="23"/>
        <v>18_8</v>
      </c>
    </row>
    <row r="769" spans="1:8" x14ac:dyDescent="0.2">
      <c r="A769" s="9" t="s">
        <v>51</v>
      </c>
      <c r="C769" t="str">
        <f t="shared" ref="C769:C832" si="24">""""&amp;SUBSTITUTE(A769,"zzz",H769)&amp;""""&amp;","</f>
        <v>"https://www.zeldadungeon.net/maps/totk/tiles/sky/6/18_9.jpg",</v>
      </c>
      <c r="H769" t="str">
        <f t="shared" ref="H769:H832" si="25">QUOTIENT(ROW(A769),48)+2&amp;"_"&amp;MOD(ROW(A769),48)+8</f>
        <v>18_9</v>
      </c>
    </row>
    <row r="770" spans="1:8" x14ac:dyDescent="0.2">
      <c r="A770" s="9" t="s">
        <v>51</v>
      </c>
      <c r="C770" t="str">
        <f t="shared" si="24"/>
        <v>"https://www.zeldadungeon.net/maps/totk/tiles/sky/6/18_10.jpg",</v>
      </c>
      <c r="H770" t="str">
        <f t="shared" si="25"/>
        <v>18_10</v>
      </c>
    </row>
    <row r="771" spans="1:8" x14ac:dyDescent="0.2">
      <c r="A771" s="9" t="s">
        <v>51</v>
      </c>
      <c r="C771" t="str">
        <f t="shared" si="24"/>
        <v>"https://www.zeldadungeon.net/maps/totk/tiles/sky/6/18_11.jpg",</v>
      </c>
      <c r="H771" t="str">
        <f t="shared" si="25"/>
        <v>18_11</v>
      </c>
    </row>
    <row r="772" spans="1:8" x14ac:dyDescent="0.2">
      <c r="A772" s="9" t="s">
        <v>51</v>
      </c>
      <c r="C772" t="str">
        <f t="shared" si="24"/>
        <v>"https://www.zeldadungeon.net/maps/totk/tiles/sky/6/18_12.jpg",</v>
      </c>
      <c r="H772" t="str">
        <f t="shared" si="25"/>
        <v>18_12</v>
      </c>
    </row>
    <row r="773" spans="1:8" x14ac:dyDescent="0.2">
      <c r="A773" s="9" t="s">
        <v>51</v>
      </c>
      <c r="C773" t="str">
        <f t="shared" si="24"/>
        <v>"https://www.zeldadungeon.net/maps/totk/tiles/sky/6/18_13.jpg",</v>
      </c>
      <c r="H773" t="str">
        <f t="shared" si="25"/>
        <v>18_13</v>
      </c>
    </row>
    <row r="774" spans="1:8" x14ac:dyDescent="0.2">
      <c r="A774" s="9" t="s">
        <v>51</v>
      </c>
      <c r="C774" t="str">
        <f t="shared" si="24"/>
        <v>"https://www.zeldadungeon.net/maps/totk/tiles/sky/6/18_14.jpg",</v>
      </c>
      <c r="H774" t="str">
        <f t="shared" si="25"/>
        <v>18_14</v>
      </c>
    </row>
    <row r="775" spans="1:8" x14ac:dyDescent="0.2">
      <c r="A775" s="9" t="s">
        <v>51</v>
      </c>
      <c r="C775" t="str">
        <f t="shared" si="24"/>
        <v>"https://www.zeldadungeon.net/maps/totk/tiles/sky/6/18_15.jpg",</v>
      </c>
      <c r="H775" t="str">
        <f t="shared" si="25"/>
        <v>18_15</v>
      </c>
    </row>
    <row r="776" spans="1:8" x14ac:dyDescent="0.2">
      <c r="A776" s="9" t="s">
        <v>51</v>
      </c>
      <c r="C776" t="str">
        <f t="shared" si="24"/>
        <v>"https://www.zeldadungeon.net/maps/totk/tiles/sky/6/18_16.jpg",</v>
      </c>
      <c r="H776" t="str">
        <f t="shared" si="25"/>
        <v>18_16</v>
      </c>
    </row>
    <row r="777" spans="1:8" x14ac:dyDescent="0.2">
      <c r="A777" s="9" t="s">
        <v>51</v>
      </c>
      <c r="C777" t="str">
        <f t="shared" si="24"/>
        <v>"https://www.zeldadungeon.net/maps/totk/tiles/sky/6/18_17.jpg",</v>
      </c>
      <c r="H777" t="str">
        <f t="shared" si="25"/>
        <v>18_17</v>
      </c>
    </row>
    <row r="778" spans="1:8" x14ac:dyDescent="0.2">
      <c r="A778" s="9" t="s">
        <v>51</v>
      </c>
      <c r="C778" t="str">
        <f t="shared" si="24"/>
        <v>"https://www.zeldadungeon.net/maps/totk/tiles/sky/6/18_18.jpg",</v>
      </c>
      <c r="H778" t="str">
        <f t="shared" si="25"/>
        <v>18_18</v>
      </c>
    </row>
    <row r="779" spans="1:8" x14ac:dyDescent="0.2">
      <c r="A779" s="9" t="s">
        <v>51</v>
      </c>
      <c r="C779" t="str">
        <f t="shared" si="24"/>
        <v>"https://www.zeldadungeon.net/maps/totk/tiles/sky/6/18_19.jpg",</v>
      </c>
      <c r="H779" t="str">
        <f t="shared" si="25"/>
        <v>18_19</v>
      </c>
    </row>
    <row r="780" spans="1:8" x14ac:dyDescent="0.2">
      <c r="A780" s="9" t="s">
        <v>51</v>
      </c>
      <c r="C780" t="str">
        <f t="shared" si="24"/>
        <v>"https://www.zeldadungeon.net/maps/totk/tiles/sky/6/18_20.jpg",</v>
      </c>
      <c r="H780" t="str">
        <f t="shared" si="25"/>
        <v>18_20</v>
      </c>
    </row>
    <row r="781" spans="1:8" x14ac:dyDescent="0.2">
      <c r="A781" s="9" t="s">
        <v>51</v>
      </c>
      <c r="C781" t="str">
        <f t="shared" si="24"/>
        <v>"https://www.zeldadungeon.net/maps/totk/tiles/sky/6/18_21.jpg",</v>
      </c>
      <c r="H781" t="str">
        <f t="shared" si="25"/>
        <v>18_21</v>
      </c>
    </row>
    <row r="782" spans="1:8" x14ac:dyDescent="0.2">
      <c r="A782" s="9" t="s">
        <v>51</v>
      </c>
      <c r="C782" t="str">
        <f t="shared" si="24"/>
        <v>"https://www.zeldadungeon.net/maps/totk/tiles/sky/6/18_22.jpg",</v>
      </c>
      <c r="H782" t="str">
        <f t="shared" si="25"/>
        <v>18_22</v>
      </c>
    </row>
    <row r="783" spans="1:8" x14ac:dyDescent="0.2">
      <c r="A783" s="9" t="s">
        <v>51</v>
      </c>
      <c r="C783" t="str">
        <f t="shared" si="24"/>
        <v>"https://www.zeldadungeon.net/maps/totk/tiles/sky/6/18_23.jpg",</v>
      </c>
      <c r="H783" t="str">
        <f t="shared" si="25"/>
        <v>18_23</v>
      </c>
    </row>
    <row r="784" spans="1:8" x14ac:dyDescent="0.2">
      <c r="A784" s="9" t="s">
        <v>51</v>
      </c>
      <c r="C784" t="str">
        <f t="shared" si="24"/>
        <v>"https://www.zeldadungeon.net/maps/totk/tiles/sky/6/18_24.jpg",</v>
      </c>
      <c r="H784" t="str">
        <f t="shared" si="25"/>
        <v>18_24</v>
      </c>
    </row>
    <row r="785" spans="1:8" x14ac:dyDescent="0.2">
      <c r="A785" s="9" t="s">
        <v>51</v>
      </c>
      <c r="C785" t="str">
        <f t="shared" si="24"/>
        <v>"https://www.zeldadungeon.net/maps/totk/tiles/sky/6/18_25.jpg",</v>
      </c>
      <c r="H785" t="str">
        <f t="shared" si="25"/>
        <v>18_25</v>
      </c>
    </row>
    <row r="786" spans="1:8" x14ac:dyDescent="0.2">
      <c r="A786" s="9" t="s">
        <v>51</v>
      </c>
      <c r="C786" t="str">
        <f t="shared" si="24"/>
        <v>"https://www.zeldadungeon.net/maps/totk/tiles/sky/6/18_26.jpg",</v>
      </c>
      <c r="H786" t="str">
        <f t="shared" si="25"/>
        <v>18_26</v>
      </c>
    </row>
    <row r="787" spans="1:8" x14ac:dyDescent="0.2">
      <c r="A787" s="9" t="s">
        <v>51</v>
      </c>
      <c r="C787" t="str">
        <f t="shared" si="24"/>
        <v>"https://www.zeldadungeon.net/maps/totk/tiles/sky/6/18_27.jpg",</v>
      </c>
      <c r="H787" t="str">
        <f t="shared" si="25"/>
        <v>18_27</v>
      </c>
    </row>
    <row r="788" spans="1:8" x14ac:dyDescent="0.2">
      <c r="A788" s="9" t="s">
        <v>51</v>
      </c>
      <c r="C788" t="str">
        <f t="shared" si="24"/>
        <v>"https://www.zeldadungeon.net/maps/totk/tiles/sky/6/18_28.jpg",</v>
      </c>
      <c r="H788" t="str">
        <f t="shared" si="25"/>
        <v>18_28</v>
      </c>
    </row>
    <row r="789" spans="1:8" x14ac:dyDescent="0.2">
      <c r="A789" s="9" t="s">
        <v>51</v>
      </c>
      <c r="C789" t="str">
        <f t="shared" si="24"/>
        <v>"https://www.zeldadungeon.net/maps/totk/tiles/sky/6/18_29.jpg",</v>
      </c>
      <c r="H789" t="str">
        <f t="shared" si="25"/>
        <v>18_29</v>
      </c>
    </row>
    <row r="790" spans="1:8" x14ac:dyDescent="0.2">
      <c r="A790" s="9" t="s">
        <v>51</v>
      </c>
      <c r="C790" t="str">
        <f t="shared" si="24"/>
        <v>"https://www.zeldadungeon.net/maps/totk/tiles/sky/6/18_30.jpg",</v>
      </c>
      <c r="H790" t="str">
        <f t="shared" si="25"/>
        <v>18_30</v>
      </c>
    </row>
    <row r="791" spans="1:8" x14ac:dyDescent="0.2">
      <c r="A791" s="9" t="s">
        <v>51</v>
      </c>
      <c r="C791" t="str">
        <f t="shared" si="24"/>
        <v>"https://www.zeldadungeon.net/maps/totk/tiles/sky/6/18_31.jpg",</v>
      </c>
      <c r="H791" t="str">
        <f t="shared" si="25"/>
        <v>18_31</v>
      </c>
    </row>
    <row r="792" spans="1:8" x14ac:dyDescent="0.2">
      <c r="A792" s="9" t="s">
        <v>51</v>
      </c>
      <c r="C792" t="str">
        <f t="shared" si="24"/>
        <v>"https://www.zeldadungeon.net/maps/totk/tiles/sky/6/18_32.jpg",</v>
      </c>
      <c r="H792" t="str">
        <f t="shared" si="25"/>
        <v>18_32</v>
      </c>
    </row>
    <row r="793" spans="1:8" x14ac:dyDescent="0.2">
      <c r="A793" s="9" t="s">
        <v>51</v>
      </c>
      <c r="C793" t="str">
        <f t="shared" si="24"/>
        <v>"https://www.zeldadungeon.net/maps/totk/tiles/sky/6/18_33.jpg",</v>
      </c>
      <c r="H793" t="str">
        <f t="shared" si="25"/>
        <v>18_33</v>
      </c>
    </row>
    <row r="794" spans="1:8" x14ac:dyDescent="0.2">
      <c r="A794" s="9" t="s">
        <v>51</v>
      </c>
      <c r="C794" t="str">
        <f t="shared" si="24"/>
        <v>"https://www.zeldadungeon.net/maps/totk/tiles/sky/6/18_34.jpg",</v>
      </c>
      <c r="H794" t="str">
        <f t="shared" si="25"/>
        <v>18_34</v>
      </c>
    </row>
    <row r="795" spans="1:8" x14ac:dyDescent="0.2">
      <c r="A795" s="9" t="s">
        <v>51</v>
      </c>
      <c r="C795" t="str">
        <f t="shared" si="24"/>
        <v>"https://www.zeldadungeon.net/maps/totk/tiles/sky/6/18_35.jpg",</v>
      </c>
      <c r="H795" t="str">
        <f t="shared" si="25"/>
        <v>18_35</v>
      </c>
    </row>
    <row r="796" spans="1:8" x14ac:dyDescent="0.2">
      <c r="A796" s="9" t="s">
        <v>51</v>
      </c>
      <c r="C796" t="str">
        <f t="shared" si="24"/>
        <v>"https://www.zeldadungeon.net/maps/totk/tiles/sky/6/18_36.jpg",</v>
      </c>
      <c r="H796" t="str">
        <f t="shared" si="25"/>
        <v>18_36</v>
      </c>
    </row>
    <row r="797" spans="1:8" x14ac:dyDescent="0.2">
      <c r="A797" s="9" t="s">
        <v>51</v>
      </c>
      <c r="C797" t="str">
        <f t="shared" si="24"/>
        <v>"https://www.zeldadungeon.net/maps/totk/tiles/sky/6/18_37.jpg",</v>
      </c>
      <c r="H797" t="str">
        <f t="shared" si="25"/>
        <v>18_37</v>
      </c>
    </row>
    <row r="798" spans="1:8" x14ac:dyDescent="0.2">
      <c r="A798" s="9" t="s">
        <v>51</v>
      </c>
      <c r="C798" t="str">
        <f t="shared" si="24"/>
        <v>"https://www.zeldadungeon.net/maps/totk/tiles/sky/6/18_38.jpg",</v>
      </c>
      <c r="H798" t="str">
        <f t="shared" si="25"/>
        <v>18_38</v>
      </c>
    </row>
    <row r="799" spans="1:8" x14ac:dyDescent="0.2">
      <c r="A799" s="9" t="s">
        <v>51</v>
      </c>
      <c r="C799" t="str">
        <f t="shared" si="24"/>
        <v>"https://www.zeldadungeon.net/maps/totk/tiles/sky/6/18_39.jpg",</v>
      </c>
      <c r="H799" t="str">
        <f t="shared" si="25"/>
        <v>18_39</v>
      </c>
    </row>
    <row r="800" spans="1:8" x14ac:dyDescent="0.2">
      <c r="A800" s="9" t="s">
        <v>51</v>
      </c>
      <c r="C800" t="str">
        <f t="shared" si="24"/>
        <v>"https://www.zeldadungeon.net/maps/totk/tiles/sky/6/18_40.jpg",</v>
      </c>
      <c r="H800" t="str">
        <f t="shared" si="25"/>
        <v>18_40</v>
      </c>
    </row>
    <row r="801" spans="1:8" x14ac:dyDescent="0.2">
      <c r="A801" s="9" t="s">
        <v>51</v>
      </c>
      <c r="C801" t="str">
        <f t="shared" si="24"/>
        <v>"https://www.zeldadungeon.net/maps/totk/tiles/sky/6/18_41.jpg",</v>
      </c>
      <c r="H801" t="str">
        <f t="shared" si="25"/>
        <v>18_41</v>
      </c>
    </row>
    <row r="802" spans="1:8" x14ac:dyDescent="0.2">
      <c r="A802" s="9" t="s">
        <v>51</v>
      </c>
      <c r="C802" t="str">
        <f t="shared" si="24"/>
        <v>"https://www.zeldadungeon.net/maps/totk/tiles/sky/6/18_42.jpg",</v>
      </c>
      <c r="H802" t="str">
        <f t="shared" si="25"/>
        <v>18_42</v>
      </c>
    </row>
    <row r="803" spans="1:8" x14ac:dyDescent="0.2">
      <c r="A803" s="9" t="s">
        <v>51</v>
      </c>
      <c r="C803" t="str">
        <f t="shared" si="24"/>
        <v>"https://www.zeldadungeon.net/maps/totk/tiles/sky/6/18_43.jpg",</v>
      </c>
      <c r="H803" t="str">
        <f t="shared" si="25"/>
        <v>18_43</v>
      </c>
    </row>
    <row r="804" spans="1:8" x14ac:dyDescent="0.2">
      <c r="A804" s="9" t="s">
        <v>51</v>
      </c>
      <c r="C804" t="str">
        <f t="shared" si="24"/>
        <v>"https://www.zeldadungeon.net/maps/totk/tiles/sky/6/18_44.jpg",</v>
      </c>
      <c r="H804" t="str">
        <f t="shared" si="25"/>
        <v>18_44</v>
      </c>
    </row>
    <row r="805" spans="1:8" x14ac:dyDescent="0.2">
      <c r="A805" s="9" t="s">
        <v>51</v>
      </c>
      <c r="C805" t="str">
        <f t="shared" si="24"/>
        <v>"https://www.zeldadungeon.net/maps/totk/tiles/sky/6/18_45.jpg",</v>
      </c>
      <c r="H805" t="str">
        <f t="shared" si="25"/>
        <v>18_45</v>
      </c>
    </row>
    <row r="806" spans="1:8" x14ac:dyDescent="0.2">
      <c r="A806" s="9" t="s">
        <v>51</v>
      </c>
      <c r="C806" t="str">
        <f t="shared" si="24"/>
        <v>"https://www.zeldadungeon.net/maps/totk/tiles/sky/6/18_46.jpg",</v>
      </c>
      <c r="H806" t="str">
        <f t="shared" si="25"/>
        <v>18_46</v>
      </c>
    </row>
    <row r="807" spans="1:8" x14ac:dyDescent="0.2">
      <c r="A807" s="9" t="s">
        <v>51</v>
      </c>
      <c r="C807" t="str">
        <f t="shared" si="24"/>
        <v>"https://www.zeldadungeon.net/maps/totk/tiles/sky/6/18_47.jpg",</v>
      </c>
      <c r="H807" t="str">
        <f t="shared" si="25"/>
        <v>18_47</v>
      </c>
    </row>
    <row r="808" spans="1:8" x14ac:dyDescent="0.2">
      <c r="A808" s="9" t="s">
        <v>51</v>
      </c>
      <c r="C808" t="str">
        <f t="shared" si="24"/>
        <v>"https://www.zeldadungeon.net/maps/totk/tiles/sky/6/18_48.jpg",</v>
      </c>
      <c r="H808" t="str">
        <f t="shared" si="25"/>
        <v>18_48</v>
      </c>
    </row>
    <row r="809" spans="1:8" x14ac:dyDescent="0.2">
      <c r="A809" s="9" t="s">
        <v>51</v>
      </c>
      <c r="C809" t="str">
        <f t="shared" si="24"/>
        <v>"https://www.zeldadungeon.net/maps/totk/tiles/sky/6/18_49.jpg",</v>
      </c>
      <c r="H809" t="str">
        <f t="shared" si="25"/>
        <v>18_49</v>
      </c>
    </row>
    <row r="810" spans="1:8" x14ac:dyDescent="0.2">
      <c r="A810" s="9" t="s">
        <v>51</v>
      </c>
      <c r="C810" t="str">
        <f t="shared" si="24"/>
        <v>"https://www.zeldadungeon.net/maps/totk/tiles/sky/6/18_50.jpg",</v>
      </c>
      <c r="H810" t="str">
        <f t="shared" si="25"/>
        <v>18_50</v>
      </c>
    </row>
    <row r="811" spans="1:8" x14ac:dyDescent="0.2">
      <c r="A811" s="9" t="s">
        <v>51</v>
      </c>
      <c r="C811" t="str">
        <f t="shared" si="24"/>
        <v>"https://www.zeldadungeon.net/maps/totk/tiles/sky/6/18_51.jpg",</v>
      </c>
      <c r="H811" t="str">
        <f t="shared" si="25"/>
        <v>18_51</v>
      </c>
    </row>
    <row r="812" spans="1:8" x14ac:dyDescent="0.2">
      <c r="A812" s="9" t="s">
        <v>51</v>
      </c>
      <c r="C812" t="str">
        <f t="shared" si="24"/>
        <v>"https://www.zeldadungeon.net/maps/totk/tiles/sky/6/18_52.jpg",</v>
      </c>
      <c r="H812" t="str">
        <f t="shared" si="25"/>
        <v>18_52</v>
      </c>
    </row>
    <row r="813" spans="1:8" x14ac:dyDescent="0.2">
      <c r="A813" s="9" t="s">
        <v>51</v>
      </c>
      <c r="C813" t="str">
        <f t="shared" si="24"/>
        <v>"https://www.zeldadungeon.net/maps/totk/tiles/sky/6/18_53.jpg",</v>
      </c>
      <c r="H813" t="str">
        <f t="shared" si="25"/>
        <v>18_53</v>
      </c>
    </row>
    <row r="814" spans="1:8" x14ac:dyDescent="0.2">
      <c r="A814" s="9" t="s">
        <v>51</v>
      </c>
      <c r="C814" t="str">
        <f t="shared" si="24"/>
        <v>"https://www.zeldadungeon.net/maps/totk/tiles/sky/6/18_54.jpg",</v>
      </c>
      <c r="H814" t="str">
        <f t="shared" si="25"/>
        <v>18_54</v>
      </c>
    </row>
    <row r="815" spans="1:8" x14ac:dyDescent="0.2">
      <c r="A815" s="9" t="s">
        <v>51</v>
      </c>
      <c r="C815" t="str">
        <f t="shared" si="24"/>
        <v>"https://www.zeldadungeon.net/maps/totk/tiles/sky/6/18_55.jpg",</v>
      </c>
      <c r="H815" t="str">
        <f t="shared" si="25"/>
        <v>18_55</v>
      </c>
    </row>
    <row r="816" spans="1:8" x14ac:dyDescent="0.2">
      <c r="A816" s="9" t="s">
        <v>51</v>
      </c>
      <c r="C816" t="str">
        <f t="shared" si="24"/>
        <v>"https://www.zeldadungeon.net/maps/totk/tiles/sky/6/19_8.jpg",</v>
      </c>
      <c r="H816" t="str">
        <f t="shared" si="25"/>
        <v>19_8</v>
      </c>
    </row>
    <row r="817" spans="1:8" x14ac:dyDescent="0.2">
      <c r="A817" s="9" t="s">
        <v>51</v>
      </c>
      <c r="C817" t="str">
        <f t="shared" si="24"/>
        <v>"https://www.zeldadungeon.net/maps/totk/tiles/sky/6/19_9.jpg",</v>
      </c>
      <c r="H817" t="str">
        <f t="shared" si="25"/>
        <v>19_9</v>
      </c>
    </row>
    <row r="818" spans="1:8" x14ac:dyDescent="0.2">
      <c r="A818" s="9" t="s">
        <v>51</v>
      </c>
      <c r="C818" t="str">
        <f t="shared" si="24"/>
        <v>"https://www.zeldadungeon.net/maps/totk/tiles/sky/6/19_10.jpg",</v>
      </c>
      <c r="H818" t="str">
        <f t="shared" si="25"/>
        <v>19_10</v>
      </c>
    </row>
    <row r="819" spans="1:8" x14ac:dyDescent="0.2">
      <c r="A819" s="9" t="s">
        <v>51</v>
      </c>
      <c r="C819" t="str">
        <f t="shared" si="24"/>
        <v>"https://www.zeldadungeon.net/maps/totk/tiles/sky/6/19_11.jpg",</v>
      </c>
      <c r="H819" t="str">
        <f t="shared" si="25"/>
        <v>19_11</v>
      </c>
    </row>
    <row r="820" spans="1:8" x14ac:dyDescent="0.2">
      <c r="A820" s="9" t="s">
        <v>51</v>
      </c>
      <c r="C820" t="str">
        <f t="shared" si="24"/>
        <v>"https://www.zeldadungeon.net/maps/totk/tiles/sky/6/19_12.jpg",</v>
      </c>
      <c r="H820" t="str">
        <f t="shared" si="25"/>
        <v>19_12</v>
      </c>
    </row>
    <row r="821" spans="1:8" x14ac:dyDescent="0.2">
      <c r="A821" s="9" t="s">
        <v>51</v>
      </c>
      <c r="C821" t="str">
        <f t="shared" si="24"/>
        <v>"https://www.zeldadungeon.net/maps/totk/tiles/sky/6/19_13.jpg",</v>
      </c>
      <c r="H821" t="str">
        <f t="shared" si="25"/>
        <v>19_13</v>
      </c>
    </row>
    <row r="822" spans="1:8" x14ac:dyDescent="0.2">
      <c r="A822" s="9" t="s">
        <v>51</v>
      </c>
      <c r="C822" t="str">
        <f t="shared" si="24"/>
        <v>"https://www.zeldadungeon.net/maps/totk/tiles/sky/6/19_14.jpg",</v>
      </c>
      <c r="H822" t="str">
        <f t="shared" si="25"/>
        <v>19_14</v>
      </c>
    </row>
    <row r="823" spans="1:8" x14ac:dyDescent="0.2">
      <c r="A823" s="9" t="s">
        <v>51</v>
      </c>
      <c r="C823" t="str">
        <f t="shared" si="24"/>
        <v>"https://www.zeldadungeon.net/maps/totk/tiles/sky/6/19_15.jpg",</v>
      </c>
      <c r="H823" t="str">
        <f t="shared" si="25"/>
        <v>19_15</v>
      </c>
    </row>
    <row r="824" spans="1:8" x14ac:dyDescent="0.2">
      <c r="A824" s="9" t="s">
        <v>51</v>
      </c>
      <c r="C824" t="str">
        <f t="shared" si="24"/>
        <v>"https://www.zeldadungeon.net/maps/totk/tiles/sky/6/19_16.jpg",</v>
      </c>
      <c r="H824" t="str">
        <f t="shared" si="25"/>
        <v>19_16</v>
      </c>
    </row>
    <row r="825" spans="1:8" x14ac:dyDescent="0.2">
      <c r="A825" s="9" t="s">
        <v>51</v>
      </c>
      <c r="C825" t="str">
        <f t="shared" si="24"/>
        <v>"https://www.zeldadungeon.net/maps/totk/tiles/sky/6/19_17.jpg",</v>
      </c>
      <c r="H825" t="str">
        <f t="shared" si="25"/>
        <v>19_17</v>
      </c>
    </row>
    <row r="826" spans="1:8" x14ac:dyDescent="0.2">
      <c r="A826" s="9" t="s">
        <v>51</v>
      </c>
      <c r="C826" t="str">
        <f t="shared" si="24"/>
        <v>"https://www.zeldadungeon.net/maps/totk/tiles/sky/6/19_18.jpg",</v>
      </c>
      <c r="H826" t="str">
        <f t="shared" si="25"/>
        <v>19_18</v>
      </c>
    </row>
    <row r="827" spans="1:8" x14ac:dyDescent="0.2">
      <c r="A827" s="9" t="s">
        <v>51</v>
      </c>
      <c r="C827" t="str">
        <f t="shared" si="24"/>
        <v>"https://www.zeldadungeon.net/maps/totk/tiles/sky/6/19_19.jpg",</v>
      </c>
      <c r="H827" t="str">
        <f t="shared" si="25"/>
        <v>19_19</v>
      </c>
    </row>
    <row r="828" spans="1:8" x14ac:dyDescent="0.2">
      <c r="A828" s="9" t="s">
        <v>51</v>
      </c>
      <c r="C828" t="str">
        <f t="shared" si="24"/>
        <v>"https://www.zeldadungeon.net/maps/totk/tiles/sky/6/19_20.jpg",</v>
      </c>
      <c r="H828" t="str">
        <f t="shared" si="25"/>
        <v>19_20</v>
      </c>
    </row>
    <row r="829" spans="1:8" x14ac:dyDescent="0.2">
      <c r="A829" s="9" t="s">
        <v>51</v>
      </c>
      <c r="C829" t="str">
        <f t="shared" si="24"/>
        <v>"https://www.zeldadungeon.net/maps/totk/tiles/sky/6/19_21.jpg",</v>
      </c>
      <c r="H829" t="str">
        <f t="shared" si="25"/>
        <v>19_21</v>
      </c>
    </row>
    <row r="830" spans="1:8" x14ac:dyDescent="0.2">
      <c r="A830" s="9" t="s">
        <v>51</v>
      </c>
      <c r="C830" t="str">
        <f t="shared" si="24"/>
        <v>"https://www.zeldadungeon.net/maps/totk/tiles/sky/6/19_22.jpg",</v>
      </c>
      <c r="H830" t="str">
        <f t="shared" si="25"/>
        <v>19_22</v>
      </c>
    </row>
    <row r="831" spans="1:8" x14ac:dyDescent="0.2">
      <c r="A831" s="9" t="s">
        <v>51</v>
      </c>
      <c r="C831" t="str">
        <f t="shared" si="24"/>
        <v>"https://www.zeldadungeon.net/maps/totk/tiles/sky/6/19_23.jpg",</v>
      </c>
      <c r="H831" t="str">
        <f t="shared" si="25"/>
        <v>19_23</v>
      </c>
    </row>
    <row r="832" spans="1:8" x14ac:dyDescent="0.2">
      <c r="A832" s="9" t="s">
        <v>51</v>
      </c>
      <c r="C832" t="str">
        <f t="shared" si="24"/>
        <v>"https://www.zeldadungeon.net/maps/totk/tiles/sky/6/19_24.jpg",</v>
      </c>
      <c r="H832" t="str">
        <f t="shared" si="25"/>
        <v>19_24</v>
      </c>
    </row>
    <row r="833" spans="1:8" x14ac:dyDescent="0.2">
      <c r="A833" s="9" t="s">
        <v>51</v>
      </c>
      <c r="C833" t="str">
        <f t="shared" ref="C833:C896" si="26">""""&amp;SUBSTITUTE(A833,"zzz",H833)&amp;""""&amp;","</f>
        <v>"https://www.zeldadungeon.net/maps/totk/tiles/sky/6/19_25.jpg",</v>
      </c>
      <c r="H833" t="str">
        <f t="shared" ref="H833:H896" si="27">QUOTIENT(ROW(A833),48)+2&amp;"_"&amp;MOD(ROW(A833),48)+8</f>
        <v>19_25</v>
      </c>
    </row>
    <row r="834" spans="1:8" x14ac:dyDescent="0.2">
      <c r="A834" s="9" t="s">
        <v>51</v>
      </c>
      <c r="C834" t="str">
        <f t="shared" si="26"/>
        <v>"https://www.zeldadungeon.net/maps/totk/tiles/sky/6/19_26.jpg",</v>
      </c>
      <c r="H834" t="str">
        <f t="shared" si="27"/>
        <v>19_26</v>
      </c>
    </row>
    <row r="835" spans="1:8" x14ac:dyDescent="0.2">
      <c r="A835" s="9" t="s">
        <v>51</v>
      </c>
      <c r="C835" t="str">
        <f t="shared" si="26"/>
        <v>"https://www.zeldadungeon.net/maps/totk/tiles/sky/6/19_27.jpg",</v>
      </c>
      <c r="H835" t="str">
        <f t="shared" si="27"/>
        <v>19_27</v>
      </c>
    </row>
    <row r="836" spans="1:8" x14ac:dyDescent="0.2">
      <c r="A836" s="9" t="s">
        <v>51</v>
      </c>
      <c r="C836" t="str">
        <f t="shared" si="26"/>
        <v>"https://www.zeldadungeon.net/maps/totk/tiles/sky/6/19_28.jpg",</v>
      </c>
      <c r="H836" t="str">
        <f t="shared" si="27"/>
        <v>19_28</v>
      </c>
    </row>
    <row r="837" spans="1:8" x14ac:dyDescent="0.2">
      <c r="A837" s="9" t="s">
        <v>51</v>
      </c>
      <c r="C837" t="str">
        <f t="shared" si="26"/>
        <v>"https://www.zeldadungeon.net/maps/totk/tiles/sky/6/19_29.jpg",</v>
      </c>
      <c r="H837" t="str">
        <f t="shared" si="27"/>
        <v>19_29</v>
      </c>
    </row>
    <row r="838" spans="1:8" x14ac:dyDescent="0.2">
      <c r="A838" s="9" t="s">
        <v>51</v>
      </c>
      <c r="C838" t="str">
        <f t="shared" si="26"/>
        <v>"https://www.zeldadungeon.net/maps/totk/tiles/sky/6/19_30.jpg",</v>
      </c>
      <c r="H838" t="str">
        <f t="shared" si="27"/>
        <v>19_30</v>
      </c>
    </row>
    <row r="839" spans="1:8" x14ac:dyDescent="0.2">
      <c r="A839" s="9" t="s">
        <v>51</v>
      </c>
      <c r="C839" t="str">
        <f t="shared" si="26"/>
        <v>"https://www.zeldadungeon.net/maps/totk/tiles/sky/6/19_31.jpg",</v>
      </c>
      <c r="H839" t="str">
        <f t="shared" si="27"/>
        <v>19_31</v>
      </c>
    </row>
    <row r="840" spans="1:8" x14ac:dyDescent="0.2">
      <c r="A840" s="9" t="s">
        <v>51</v>
      </c>
      <c r="C840" t="str">
        <f t="shared" si="26"/>
        <v>"https://www.zeldadungeon.net/maps/totk/tiles/sky/6/19_32.jpg",</v>
      </c>
      <c r="H840" t="str">
        <f t="shared" si="27"/>
        <v>19_32</v>
      </c>
    </row>
    <row r="841" spans="1:8" x14ac:dyDescent="0.2">
      <c r="A841" s="9" t="s">
        <v>51</v>
      </c>
      <c r="C841" t="str">
        <f t="shared" si="26"/>
        <v>"https://www.zeldadungeon.net/maps/totk/tiles/sky/6/19_33.jpg",</v>
      </c>
      <c r="H841" t="str">
        <f t="shared" si="27"/>
        <v>19_33</v>
      </c>
    </row>
    <row r="842" spans="1:8" x14ac:dyDescent="0.2">
      <c r="A842" s="9" t="s">
        <v>51</v>
      </c>
      <c r="C842" t="str">
        <f t="shared" si="26"/>
        <v>"https://www.zeldadungeon.net/maps/totk/tiles/sky/6/19_34.jpg",</v>
      </c>
      <c r="H842" t="str">
        <f t="shared" si="27"/>
        <v>19_34</v>
      </c>
    </row>
    <row r="843" spans="1:8" x14ac:dyDescent="0.2">
      <c r="A843" s="9" t="s">
        <v>51</v>
      </c>
      <c r="C843" t="str">
        <f t="shared" si="26"/>
        <v>"https://www.zeldadungeon.net/maps/totk/tiles/sky/6/19_35.jpg",</v>
      </c>
      <c r="H843" t="str">
        <f t="shared" si="27"/>
        <v>19_35</v>
      </c>
    </row>
    <row r="844" spans="1:8" x14ac:dyDescent="0.2">
      <c r="A844" s="9" t="s">
        <v>51</v>
      </c>
      <c r="C844" t="str">
        <f t="shared" si="26"/>
        <v>"https://www.zeldadungeon.net/maps/totk/tiles/sky/6/19_36.jpg",</v>
      </c>
      <c r="H844" t="str">
        <f t="shared" si="27"/>
        <v>19_36</v>
      </c>
    </row>
    <row r="845" spans="1:8" x14ac:dyDescent="0.2">
      <c r="A845" s="9" t="s">
        <v>51</v>
      </c>
      <c r="C845" t="str">
        <f t="shared" si="26"/>
        <v>"https://www.zeldadungeon.net/maps/totk/tiles/sky/6/19_37.jpg",</v>
      </c>
      <c r="H845" t="str">
        <f t="shared" si="27"/>
        <v>19_37</v>
      </c>
    </row>
    <row r="846" spans="1:8" x14ac:dyDescent="0.2">
      <c r="A846" s="9" t="s">
        <v>51</v>
      </c>
      <c r="C846" t="str">
        <f t="shared" si="26"/>
        <v>"https://www.zeldadungeon.net/maps/totk/tiles/sky/6/19_38.jpg",</v>
      </c>
      <c r="H846" t="str">
        <f t="shared" si="27"/>
        <v>19_38</v>
      </c>
    </row>
    <row r="847" spans="1:8" x14ac:dyDescent="0.2">
      <c r="A847" s="9" t="s">
        <v>51</v>
      </c>
      <c r="C847" t="str">
        <f t="shared" si="26"/>
        <v>"https://www.zeldadungeon.net/maps/totk/tiles/sky/6/19_39.jpg",</v>
      </c>
      <c r="H847" t="str">
        <f t="shared" si="27"/>
        <v>19_39</v>
      </c>
    </row>
    <row r="848" spans="1:8" x14ac:dyDescent="0.2">
      <c r="A848" s="9" t="s">
        <v>51</v>
      </c>
      <c r="C848" t="str">
        <f t="shared" si="26"/>
        <v>"https://www.zeldadungeon.net/maps/totk/tiles/sky/6/19_40.jpg",</v>
      </c>
      <c r="H848" t="str">
        <f t="shared" si="27"/>
        <v>19_40</v>
      </c>
    </row>
    <row r="849" spans="1:8" x14ac:dyDescent="0.2">
      <c r="A849" s="9" t="s">
        <v>51</v>
      </c>
      <c r="C849" t="str">
        <f t="shared" si="26"/>
        <v>"https://www.zeldadungeon.net/maps/totk/tiles/sky/6/19_41.jpg",</v>
      </c>
      <c r="H849" t="str">
        <f t="shared" si="27"/>
        <v>19_41</v>
      </c>
    </row>
    <row r="850" spans="1:8" x14ac:dyDescent="0.2">
      <c r="A850" s="9" t="s">
        <v>51</v>
      </c>
      <c r="C850" t="str">
        <f t="shared" si="26"/>
        <v>"https://www.zeldadungeon.net/maps/totk/tiles/sky/6/19_42.jpg",</v>
      </c>
      <c r="H850" t="str">
        <f t="shared" si="27"/>
        <v>19_42</v>
      </c>
    </row>
    <row r="851" spans="1:8" x14ac:dyDescent="0.2">
      <c r="A851" s="9" t="s">
        <v>51</v>
      </c>
      <c r="C851" t="str">
        <f t="shared" si="26"/>
        <v>"https://www.zeldadungeon.net/maps/totk/tiles/sky/6/19_43.jpg",</v>
      </c>
      <c r="H851" t="str">
        <f t="shared" si="27"/>
        <v>19_43</v>
      </c>
    </row>
    <row r="852" spans="1:8" x14ac:dyDescent="0.2">
      <c r="A852" s="9" t="s">
        <v>51</v>
      </c>
      <c r="C852" t="str">
        <f t="shared" si="26"/>
        <v>"https://www.zeldadungeon.net/maps/totk/tiles/sky/6/19_44.jpg",</v>
      </c>
      <c r="H852" t="str">
        <f t="shared" si="27"/>
        <v>19_44</v>
      </c>
    </row>
    <row r="853" spans="1:8" x14ac:dyDescent="0.2">
      <c r="A853" s="9" t="s">
        <v>51</v>
      </c>
      <c r="C853" t="str">
        <f t="shared" si="26"/>
        <v>"https://www.zeldadungeon.net/maps/totk/tiles/sky/6/19_45.jpg",</v>
      </c>
      <c r="H853" t="str">
        <f t="shared" si="27"/>
        <v>19_45</v>
      </c>
    </row>
    <row r="854" spans="1:8" x14ac:dyDescent="0.2">
      <c r="A854" s="9" t="s">
        <v>51</v>
      </c>
      <c r="C854" t="str">
        <f t="shared" si="26"/>
        <v>"https://www.zeldadungeon.net/maps/totk/tiles/sky/6/19_46.jpg",</v>
      </c>
      <c r="H854" t="str">
        <f t="shared" si="27"/>
        <v>19_46</v>
      </c>
    </row>
    <row r="855" spans="1:8" x14ac:dyDescent="0.2">
      <c r="A855" s="9" t="s">
        <v>51</v>
      </c>
      <c r="C855" t="str">
        <f t="shared" si="26"/>
        <v>"https://www.zeldadungeon.net/maps/totk/tiles/sky/6/19_47.jpg",</v>
      </c>
      <c r="H855" t="str">
        <f t="shared" si="27"/>
        <v>19_47</v>
      </c>
    </row>
    <row r="856" spans="1:8" x14ac:dyDescent="0.2">
      <c r="A856" s="9" t="s">
        <v>51</v>
      </c>
      <c r="C856" t="str">
        <f t="shared" si="26"/>
        <v>"https://www.zeldadungeon.net/maps/totk/tiles/sky/6/19_48.jpg",</v>
      </c>
      <c r="H856" t="str">
        <f t="shared" si="27"/>
        <v>19_48</v>
      </c>
    </row>
    <row r="857" spans="1:8" x14ac:dyDescent="0.2">
      <c r="A857" s="9" t="s">
        <v>51</v>
      </c>
      <c r="C857" t="str">
        <f t="shared" si="26"/>
        <v>"https://www.zeldadungeon.net/maps/totk/tiles/sky/6/19_49.jpg",</v>
      </c>
      <c r="H857" t="str">
        <f t="shared" si="27"/>
        <v>19_49</v>
      </c>
    </row>
    <row r="858" spans="1:8" x14ac:dyDescent="0.2">
      <c r="A858" s="9" t="s">
        <v>51</v>
      </c>
      <c r="C858" t="str">
        <f t="shared" si="26"/>
        <v>"https://www.zeldadungeon.net/maps/totk/tiles/sky/6/19_50.jpg",</v>
      </c>
      <c r="H858" t="str">
        <f t="shared" si="27"/>
        <v>19_50</v>
      </c>
    </row>
    <row r="859" spans="1:8" x14ac:dyDescent="0.2">
      <c r="A859" s="9" t="s">
        <v>51</v>
      </c>
      <c r="C859" t="str">
        <f t="shared" si="26"/>
        <v>"https://www.zeldadungeon.net/maps/totk/tiles/sky/6/19_51.jpg",</v>
      </c>
      <c r="H859" t="str">
        <f t="shared" si="27"/>
        <v>19_51</v>
      </c>
    </row>
    <row r="860" spans="1:8" x14ac:dyDescent="0.2">
      <c r="A860" s="9" t="s">
        <v>51</v>
      </c>
      <c r="C860" t="str">
        <f t="shared" si="26"/>
        <v>"https://www.zeldadungeon.net/maps/totk/tiles/sky/6/19_52.jpg",</v>
      </c>
      <c r="H860" t="str">
        <f t="shared" si="27"/>
        <v>19_52</v>
      </c>
    </row>
    <row r="861" spans="1:8" x14ac:dyDescent="0.2">
      <c r="A861" s="9" t="s">
        <v>51</v>
      </c>
      <c r="C861" t="str">
        <f t="shared" si="26"/>
        <v>"https://www.zeldadungeon.net/maps/totk/tiles/sky/6/19_53.jpg",</v>
      </c>
      <c r="H861" t="str">
        <f t="shared" si="27"/>
        <v>19_53</v>
      </c>
    </row>
    <row r="862" spans="1:8" x14ac:dyDescent="0.2">
      <c r="A862" s="9" t="s">
        <v>51</v>
      </c>
      <c r="C862" t="str">
        <f t="shared" si="26"/>
        <v>"https://www.zeldadungeon.net/maps/totk/tiles/sky/6/19_54.jpg",</v>
      </c>
      <c r="H862" t="str">
        <f t="shared" si="27"/>
        <v>19_54</v>
      </c>
    </row>
    <row r="863" spans="1:8" x14ac:dyDescent="0.2">
      <c r="A863" s="9" t="s">
        <v>51</v>
      </c>
      <c r="C863" t="str">
        <f t="shared" si="26"/>
        <v>"https://www.zeldadungeon.net/maps/totk/tiles/sky/6/19_55.jpg",</v>
      </c>
      <c r="H863" t="str">
        <f t="shared" si="27"/>
        <v>19_55</v>
      </c>
    </row>
    <row r="864" spans="1:8" x14ac:dyDescent="0.2">
      <c r="A864" s="9" t="s">
        <v>51</v>
      </c>
      <c r="C864" t="str">
        <f t="shared" si="26"/>
        <v>"https://www.zeldadungeon.net/maps/totk/tiles/sky/6/20_8.jpg",</v>
      </c>
      <c r="H864" t="str">
        <f t="shared" si="27"/>
        <v>20_8</v>
      </c>
    </row>
    <row r="865" spans="1:8" x14ac:dyDescent="0.2">
      <c r="A865" s="9" t="s">
        <v>51</v>
      </c>
      <c r="C865" t="str">
        <f t="shared" si="26"/>
        <v>"https://www.zeldadungeon.net/maps/totk/tiles/sky/6/20_9.jpg",</v>
      </c>
      <c r="H865" t="str">
        <f t="shared" si="27"/>
        <v>20_9</v>
      </c>
    </row>
    <row r="866" spans="1:8" x14ac:dyDescent="0.2">
      <c r="A866" s="9" t="s">
        <v>51</v>
      </c>
      <c r="C866" t="str">
        <f t="shared" si="26"/>
        <v>"https://www.zeldadungeon.net/maps/totk/tiles/sky/6/20_10.jpg",</v>
      </c>
      <c r="H866" t="str">
        <f t="shared" si="27"/>
        <v>20_10</v>
      </c>
    </row>
    <row r="867" spans="1:8" x14ac:dyDescent="0.2">
      <c r="A867" s="9" t="s">
        <v>51</v>
      </c>
      <c r="C867" t="str">
        <f t="shared" si="26"/>
        <v>"https://www.zeldadungeon.net/maps/totk/tiles/sky/6/20_11.jpg",</v>
      </c>
      <c r="H867" t="str">
        <f t="shared" si="27"/>
        <v>20_11</v>
      </c>
    </row>
    <row r="868" spans="1:8" x14ac:dyDescent="0.2">
      <c r="A868" s="9" t="s">
        <v>51</v>
      </c>
      <c r="C868" t="str">
        <f t="shared" si="26"/>
        <v>"https://www.zeldadungeon.net/maps/totk/tiles/sky/6/20_12.jpg",</v>
      </c>
      <c r="H868" t="str">
        <f t="shared" si="27"/>
        <v>20_12</v>
      </c>
    </row>
    <row r="869" spans="1:8" x14ac:dyDescent="0.2">
      <c r="A869" s="9" t="s">
        <v>51</v>
      </c>
      <c r="C869" t="str">
        <f t="shared" si="26"/>
        <v>"https://www.zeldadungeon.net/maps/totk/tiles/sky/6/20_13.jpg",</v>
      </c>
      <c r="H869" t="str">
        <f t="shared" si="27"/>
        <v>20_13</v>
      </c>
    </row>
    <row r="870" spans="1:8" x14ac:dyDescent="0.2">
      <c r="A870" s="9" t="s">
        <v>51</v>
      </c>
      <c r="C870" t="str">
        <f t="shared" si="26"/>
        <v>"https://www.zeldadungeon.net/maps/totk/tiles/sky/6/20_14.jpg",</v>
      </c>
      <c r="H870" t="str">
        <f t="shared" si="27"/>
        <v>20_14</v>
      </c>
    </row>
    <row r="871" spans="1:8" x14ac:dyDescent="0.2">
      <c r="A871" s="9" t="s">
        <v>51</v>
      </c>
      <c r="C871" t="str">
        <f t="shared" si="26"/>
        <v>"https://www.zeldadungeon.net/maps/totk/tiles/sky/6/20_15.jpg",</v>
      </c>
      <c r="H871" t="str">
        <f t="shared" si="27"/>
        <v>20_15</v>
      </c>
    </row>
    <row r="872" spans="1:8" x14ac:dyDescent="0.2">
      <c r="A872" s="9" t="s">
        <v>51</v>
      </c>
      <c r="C872" t="str">
        <f t="shared" si="26"/>
        <v>"https://www.zeldadungeon.net/maps/totk/tiles/sky/6/20_16.jpg",</v>
      </c>
      <c r="H872" t="str">
        <f t="shared" si="27"/>
        <v>20_16</v>
      </c>
    </row>
    <row r="873" spans="1:8" x14ac:dyDescent="0.2">
      <c r="A873" s="9" t="s">
        <v>51</v>
      </c>
      <c r="C873" t="str">
        <f t="shared" si="26"/>
        <v>"https://www.zeldadungeon.net/maps/totk/tiles/sky/6/20_17.jpg",</v>
      </c>
      <c r="H873" t="str">
        <f t="shared" si="27"/>
        <v>20_17</v>
      </c>
    </row>
    <row r="874" spans="1:8" x14ac:dyDescent="0.2">
      <c r="A874" s="9" t="s">
        <v>51</v>
      </c>
      <c r="C874" t="str">
        <f t="shared" si="26"/>
        <v>"https://www.zeldadungeon.net/maps/totk/tiles/sky/6/20_18.jpg",</v>
      </c>
      <c r="H874" t="str">
        <f t="shared" si="27"/>
        <v>20_18</v>
      </c>
    </row>
    <row r="875" spans="1:8" x14ac:dyDescent="0.2">
      <c r="A875" s="9" t="s">
        <v>51</v>
      </c>
      <c r="C875" t="str">
        <f t="shared" si="26"/>
        <v>"https://www.zeldadungeon.net/maps/totk/tiles/sky/6/20_19.jpg",</v>
      </c>
      <c r="H875" t="str">
        <f t="shared" si="27"/>
        <v>20_19</v>
      </c>
    </row>
    <row r="876" spans="1:8" x14ac:dyDescent="0.2">
      <c r="A876" s="9" t="s">
        <v>51</v>
      </c>
      <c r="C876" t="str">
        <f t="shared" si="26"/>
        <v>"https://www.zeldadungeon.net/maps/totk/tiles/sky/6/20_20.jpg",</v>
      </c>
      <c r="H876" t="str">
        <f t="shared" si="27"/>
        <v>20_20</v>
      </c>
    </row>
    <row r="877" spans="1:8" x14ac:dyDescent="0.2">
      <c r="A877" s="9" t="s">
        <v>51</v>
      </c>
      <c r="C877" t="str">
        <f t="shared" si="26"/>
        <v>"https://www.zeldadungeon.net/maps/totk/tiles/sky/6/20_21.jpg",</v>
      </c>
      <c r="H877" t="str">
        <f t="shared" si="27"/>
        <v>20_21</v>
      </c>
    </row>
    <row r="878" spans="1:8" x14ac:dyDescent="0.2">
      <c r="A878" s="9" t="s">
        <v>51</v>
      </c>
      <c r="C878" t="str">
        <f t="shared" si="26"/>
        <v>"https://www.zeldadungeon.net/maps/totk/tiles/sky/6/20_22.jpg",</v>
      </c>
      <c r="H878" t="str">
        <f t="shared" si="27"/>
        <v>20_22</v>
      </c>
    </row>
    <row r="879" spans="1:8" x14ac:dyDescent="0.2">
      <c r="A879" s="9" t="s">
        <v>51</v>
      </c>
      <c r="C879" t="str">
        <f t="shared" si="26"/>
        <v>"https://www.zeldadungeon.net/maps/totk/tiles/sky/6/20_23.jpg",</v>
      </c>
      <c r="H879" t="str">
        <f t="shared" si="27"/>
        <v>20_23</v>
      </c>
    </row>
    <row r="880" spans="1:8" x14ac:dyDescent="0.2">
      <c r="A880" s="9" t="s">
        <v>51</v>
      </c>
      <c r="C880" t="str">
        <f t="shared" si="26"/>
        <v>"https://www.zeldadungeon.net/maps/totk/tiles/sky/6/20_24.jpg",</v>
      </c>
      <c r="H880" t="str">
        <f t="shared" si="27"/>
        <v>20_24</v>
      </c>
    </row>
    <row r="881" spans="1:8" x14ac:dyDescent="0.2">
      <c r="A881" s="9" t="s">
        <v>51</v>
      </c>
      <c r="C881" t="str">
        <f t="shared" si="26"/>
        <v>"https://www.zeldadungeon.net/maps/totk/tiles/sky/6/20_25.jpg",</v>
      </c>
      <c r="H881" t="str">
        <f t="shared" si="27"/>
        <v>20_25</v>
      </c>
    </row>
    <row r="882" spans="1:8" x14ac:dyDescent="0.2">
      <c r="A882" s="9" t="s">
        <v>51</v>
      </c>
      <c r="C882" t="str">
        <f t="shared" si="26"/>
        <v>"https://www.zeldadungeon.net/maps/totk/tiles/sky/6/20_26.jpg",</v>
      </c>
      <c r="H882" t="str">
        <f t="shared" si="27"/>
        <v>20_26</v>
      </c>
    </row>
    <row r="883" spans="1:8" x14ac:dyDescent="0.2">
      <c r="A883" s="9" t="s">
        <v>51</v>
      </c>
      <c r="C883" t="str">
        <f t="shared" si="26"/>
        <v>"https://www.zeldadungeon.net/maps/totk/tiles/sky/6/20_27.jpg",</v>
      </c>
      <c r="H883" t="str">
        <f t="shared" si="27"/>
        <v>20_27</v>
      </c>
    </row>
    <row r="884" spans="1:8" x14ac:dyDescent="0.2">
      <c r="A884" s="9" t="s">
        <v>51</v>
      </c>
      <c r="C884" t="str">
        <f t="shared" si="26"/>
        <v>"https://www.zeldadungeon.net/maps/totk/tiles/sky/6/20_28.jpg",</v>
      </c>
      <c r="H884" t="str">
        <f t="shared" si="27"/>
        <v>20_28</v>
      </c>
    </row>
    <row r="885" spans="1:8" x14ac:dyDescent="0.2">
      <c r="A885" s="9" t="s">
        <v>51</v>
      </c>
      <c r="C885" t="str">
        <f t="shared" si="26"/>
        <v>"https://www.zeldadungeon.net/maps/totk/tiles/sky/6/20_29.jpg",</v>
      </c>
      <c r="H885" t="str">
        <f t="shared" si="27"/>
        <v>20_29</v>
      </c>
    </row>
    <row r="886" spans="1:8" x14ac:dyDescent="0.2">
      <c r="A886" s="9" t="s">
        <v>51</v>
      </c>
      <c r="C886" t="str">
        <f t="shared" si="26"/>
        <v>"https://www.zeldadungeon.net/maps/totk/tiles/sky/6/20_30.jpg",</v>
      </c>
      <c r="H886" t="str">
        <f t="shared" si="27"/>
        <v>20_30</v>
      </c>
    </row>
    <row r="887" spans="1:8" x14ac:dyDescent="0.2">
      <c r="A887" s="9" t="s">
        <v>51</v>
      </c>
      <c r="C887" t="str">
        <f t="shared" si="26"/>
        <v>"https://www.zeldadungeon.net/maps/totk/tiles/sky/6/20_31.jpg",</v>
      </c>
      <c r="H887" t="str">
        <f t="shared" si="27"/>
        <v>20_31</v>
      </c>
    </row>
    <row r="888" spans="1:8" x14ac:dyDescent="0.2">
      <c r="A888" s="9" t="s">
        <v>51</v>
      </c>
      <c r="C888" t="str">
        <f t="shared" si="26"/>
        <v>"https://www.zeldadungeon.net/maps/totk/tiles/sky/6/20_32.jpg",</v>
      </c>
      <c r="H888" t="str">
        <f t="shared" si="27"/>
        <v>20_32</v>
      </c>
    </row>
    <row r="889" spans="1:8" x14ac:dyDescent="0.2">
      <c r="A889" s="9" t="s">
        <v>51</v>
      </c>
      <c r="C889" t="str">
        <f t="shared" si="26"/>
        <v>"https://www.zeldadungeon.net/maps/totk/tiles/sky/6/20_33.jpg",</v>
      </c>
      <c r="H889" t="str">
        <f t="shared" si="27"/>
        <v>20_33</v>
      </c>
    </row>
    <row r="890" spans="1:8" x14ac:dyDescent="0.2">
      <c r="A890" s="9" t="s">
        <v>51</v>
      </c>
      <c r="C890" t="str">
        <f t="shared" si="26"/>
        <v>"https://www.zeldadungeon.net/maps/totk/tiles/sky/6/20_34.jpg",</v>
      </c>
      <c r="H890" t="str">
        <f t="shared" si="27"/>
        <v>20_34</v>
      </c>
    </row>
    <row r="891" spans="1:8" x14ac:dyDescent="0.2">
      <c r="A891" s="9" t="s">
        <v>51</v>
      </c>
      <c r="C891" t="str">
        <f t="shared" si="26"/>
        <v>"https://www.zeldadungeon.net/maps/totk/tiles/sky/6/20_35.jpg",</v>
      </c>
      <c r="H891" t="str">
        <f t="shared" si="27"/>
        <v>20_35</v>
      </c>
    </row>
    <row r="892" spans="1:8" x14ac:dyDescent="0.2">
      <c r="A892" s="9" t="s">
        <v>51</v>
      </c>
      <c r="C892" t="str">
        <f t="shared" si="26"/>
        <v>"https://www.zeldadungeon.net/maps/totk/tiles/sky/6/20_36.jpg",</v>
      </c>
      <c r="H892" t="str">
        <f t="shared" si="27"/>
        <v>20_36</v>
      </c>
    </row>
    <row r="893" spans="1:8" x14ac:dyDescent="0.2">
      <c r="A893" s="9" t="s">
        <v>51</v>
      </c>
      <c r="C893" t="str">
        <f t="shared" si="26"/>
        <v>"https://www.zeldadungeon.net/maps/totk/tiles/sky/6/20_37.jpg",</v>
      </c>
      <c r="H893" t="str">
        <f t="shared" si="27"/>
        <v>20_37</v>
      </c>
    </row>
    <row r="894" spans="1:8" x14ac:dyDescent="0.2">
      <c r="A894" s="9" t="s">
        <v>51</v>
      </c>
      <c r="C894" t="str">
        <f t="shared" si="26"/>
        <v>"https://www.zeldadungeon.net/maps/totk/tiles/sky/6/20_38.jpg",</v>
      </c>
      <c r="H894" t="str">
        <f t="shared" si="27"/>
        <v>20_38</v>
      </c>
    </row>
    <row r="895" spans="1:8" x14ac:dyDescent="0.2">
      <c r="A895" s="9" t="s">
        <v>51</v>
      </c>
      <c r="C895" t="str">
        <f t="shared" si="26"/>
        <v>"https://www.zeldadungeon.net/maps/totk/tiles/sky/6/20_39.jpg",</v>
      </c>
      <c r="H895" t="str">
        <f t="shared" si="27"/>
        <v>20_39</v>
      </c>
    </row>
    <row r="896" spans="1:8" x14ac:dyDescent="0.2">
      <c r="A896" s="9" t="s">
        <v>51</v>
      </c>
      <c r="C896" t="str">
        <f t="shared" si="26"/>
        <v>"https://www.zeldadungeon.net/maps/totk/tiles/sky/6/20_40.jpg",</v>
      </c>
      <c r="H896" t="str">
        <f t="shared" si="27"/>
        <v>20_40</v>
      </c>
    </row>
    <row r="897" spans="1:8" x14ac:dyDescent="0.2">
      <c r="A897" s="9" t="s">
        <v>51</v>
      </c>
      <c r="C897" t="str">
        <f t="shared" ref="C897:C960" si="28">""""&amp;SUBSTITUTE(A897,"zzz",H897)&amp;""""&amp;","</f>
        <v>"https://www.zeldadungeon.net/maps/totk/tiles/sky/6/20_41.jpg",</v>
      </c>
      <c r="H897" t="str">
        <f t="shared" ref="H897:H960" si="29">QUOTIENT(ROW(A897),48)+2&amp;"_"&amp;MOD(ROW(A897),48)+8</f>
        <v>20_41</v>
      </c>
    </row>
    <row r="898" spans="1:8" x14ac:dyDescent="0.2">
      <c r="A898" s="9" t="s">
        <v>51</v>
      </c>
      <c r="C898" t="str">
        <f t="shared" si="28"/>
        <v>"https://www.zeldadungeon.net/maps/totk/tiles/sky/6/20_42.jpg",</v>
      </c>
      <c r="H898" t="str">
        <f t="shared" si="29"/>
        <v>20_42</v>
      </c>
    </row>
    <row r="899" spans="1:8" x14ac:dyDescent="0.2">
      <c r="A899" s="9" t="s">
        <v>51</v>
      </c>
      <c r="C899" t="str">
        <f t="shared" si="28"/>
        <v>"https://www.zeldadungeon.net/maps/totk/tiles/sky/6/20_43.jpg",</v>
      </c>
      <c r="H899" t="str">
        <f t="shared" si="29"/>
        <v>20_43</v>
      </c>
    </row>
    <row r="900" spans="1:8" x14ac:dyDescent="0.2">
      <c r="A900" s="9" t="s">
        <v>51</v>
      </c>
      <c r="C900" t="str">
        <f t="shared" si="28"/>
        <v>"https://www.zeldadungeon.net/maps/totk/tiles/sky/6/20_44.jpg",</v>
      </c>
      <c r="H900" t="str">
        <f t="shared" si="29"/>
        <v>20_44</v>
      </c>
    </row>
    <row r="901" spans="1:8" x14ac:dyDescent="0.2">
      <c r="A901" s="9" t="s">
        <v>51</v>
      </c>
      <c r="C901" t="str">
        <f t="shared" si="28"/>
        <v>"https://www.zeldadungeon.net/maps/totk/tiles/sky/6/20_45.jpg",</v>
      </c>
      <c r="H901" t="str">
        <f t="shared" si="29"/>
        <v>20_45</v>
      </c>
    </row>
    <row r="902" spans="1:8" x14ac:dyDescent="0.2">
      <c r="A902" s="9" t="s">
        <v>51</v>
      </c>
      <c r="C902" t="str">
        <f t="shared" si="28"/>
        <v>"https://www.zeldadungeon.net/maps/totk/tiles/sky/6/20_46.jpg",</v>
      </c>
      <c r="H902" t="str">
        <f t="shared" si="29"/>
        <v>20_46</v>
      </c>
    </row>
    <row r="903" spans="1:8" x14ac:dyDescent="0.2">
      <c r="A903" s="9" t="s">
        <v>51</v>
      </c>
      <c r="C903" t="str">
        <f t="shared" si="28"/>
        <v>"https://www.zeldadungeon.net/maps/totk/tiles/sky/6/20_47.jpg",</v>
      </c>
      <c r="H903" t="str">
        <f t="shared" si="29"/>
        <v>20_47</v>
      </c>
    </row>
    <row r="904" spans="1:8" x14ac:dyDescent="0.2">
      <c r="A904" s="9" t="s">
        <v>51</v>
      </c>
      <c r="C904" t="str">
        <f t="shared" si="28"/>
        <v>"https://www.zeldadungeon.net/maps/totk/tiles/sky/6/20_48.jpg",</v>
      </c>
      <c r="H904" t="str">
        <f t="shared" si="29"/>
        <v>20_48</v>
      </c>
    </row>
    <row r="905" spans="1:8" x14ac:dyDescent="0.2">
      <c r="A905" s="9" t="s">
        <v>51</v>
      </c>
      <c r="C905" t="str">
        <f t="shared" si="28"/>
        <v>"https://www.zeldadungeon.net/maps/totk/tiles/sky/6/20_49.jpg",</v>
      </c>
      <c r="H905" t="str">
        <f t="shared" si="29"/>
        <v>20_49</v>
      </c>
    </row>
    <row r="906" spans="1:8" x14ac:dyDescent="0.2">
      <c r="A906" s="9" t="s">
        <v>51</v>
      </c>
      <c r="C906" t="str">
        <f t="shared" si="28"/>
        <v>"https://www.zeldadungeon.net/maps/totk/tiles/sky/6/20_50.jpg",</v>
      </c>
      <c r="H906" t="str">
        <f t="shared" si="29"/>
        <v>20_50</v>
      </c>
    </row>
    <row r="907" spans="1:8" x14ac:dyDescent="0.2">
      <c r="A907" s="9" t="s">
        <v>51</v>
      </c>
      <c r="C907" t="str">
        <f t="shared" si="28"/>
        <v>"https://www.zeldadungeon.net/maps/totk/tiles/sky/6/20_51.jpg",</v>
      </c>
      <c r="H907" t="str">
        <f t="shared" si="29"/>
        <v>20_51</v>
      </c>
    </row>
    <row r="908" spans="1:8" x14ac:dyDescent="0.2">
      <c r="A908" s="9" t="s">
        <v>51</v>
      </c>
      <c r="C908" t="str">
        <f t="shared" si="28"/>
        <v>"https://www.zeldadungeon.net/maps/totk/tiles/sky/6/20_52.jpg",</v>
      </c>
      <c r="H908" t="str">
        <f t="shared" si="29"/>
        <v>20_52</v>
      </c>
    </row>
    <row r="909" spans="1:8" x14ac:dyDescent="0.2">
      <c r="A909" s="9" t="s">
        <v>51</v>
      </c>
      <c r="C909" t="str">
        <f t="shared" si="28"/>
        <v>"https://www.zeldadungeon.net/maps/totk/tiles/sky/6/20_53.jpg",</v>
      </c>
      <c r="H909" t="str">
        <f t="shared" si="29"/>
        <v>20_53</v>
      </c>
    </row>
    <row r="910" spans="1:8" x14ac:dyDescent="0.2">
      <c r="A910" s="9" t="s">
        <v>51</v>
      </c>
      <c r="C910" t="str">
        <f t="shared" si="28"/>
        <v>"https://www.zeldadungeon.net/maps/totk/tiles/sky/6/20_54.jpg",</v>
      </c>
      <c r="H910" t="str">
        <f t="shared" si="29"/>
        <v>20_54</v>
      </c>
    </row>
    <row r="911" spans="1:8" x14ac:dyDescent="0.2">
      <c r="A911" s="9" t="s">
        <v>51</v>
      </c>
      <c r="C911" t="str">
        <f t="shared" si="28"/>
        <v>"https://www.zeldadungeon.net/maps/totk/tiles/sky/6/20_55.jpg",</v>
      </c>
      <c r="H911" t="str">
        <f t="shared" si="29"/>
        <v>20_55</v>
      </c>
    </row>
    <row r="912" spans="1:8" x14ac:dyDescent="0.2">
      <c r="A912" s="9" t="s">
        <v>51</v>
      </c>
      <c r="C912" t="str">
        <f t="shared" si="28"/>
        <v>"https://www.zeldadungeon.net/maps/totk/tiles/sky/6/21_8.jpg",</v>
      </c>
      <c r="H912" t="str">
        <f t="shared" si="29"/>
        <v>21_8</v>
      </c>
    </row>
    <row r="913" spans="1:8" x14ac:dyDescent="0.2">
      <c r="A913" s="9" t="s">
        <v>51</v>
      </c>
      <c r="C913" t="str">
        <f t="shared" si="28"/>
        <v>"https://www.zeldadungeon.net/maps/totk/tiles/sky/6/21_9.jpg",</v>
      </c>
      <c r="H913" t="str">
        <f t="shared" si="29"/>
        <v>21_9</v>
      </c>
    </row>
    <row r="914" spans="1:8" x14ac:dyDescent="0.2">
      <c r="A914" s="9" t="s">
        <v>51</v>
      </c>
      <c r="C914" t="str">
        <f t="shared" si="28"/>
        <v>"https://www.zeldadungeon.net/maps/totk/tiles/sky/6/21_10.jpg",</v>
      </c>
      <c r="H914" t="str">
        <f t="shared" si="29"/>
        <v>21_10</v>
      </c>
    </row>
    <row r="915" spans="1:8" x14ac:dyDescent="0.2">
      <c r="A915" s="9" t="s">
        <v>51</v>
      </c>
      <c r="C915" t="str">
        <f t="shared" si="28"/>
        <v>"https://www.zeldadungeon.net/maps/totk/tiles/sky/6/21_11.jpg",</v>
      </c>
      <c r="H915" t="str">
        <f t="shared" si="29"/>
        <v>21_11</v>
      </c>
    </row>
    <row r="916" spans="1:8" x14ac:dyDescent="0.2">
      <c r="A916" s="9" t="s">
        <v>51</v>
      </c>
      <c r="C916" t="str">
        <f t="shared" si="28"/>
        <v>"https://www.zeldadungeon.net/maps/totk/tiles/sky/6/21_12.jpg",</v>
      </c>
      <c r="H916" t="str">
        <f t="shared" si="29"/>
        <v>21_12</v>
      </c>
    </row>
    <row r="917" spans="1:8" x14ac:dyDescent="0.2">
      <c r="A917" s="9" t="s">
        <v>51</v>
      </c>
      <c r="C917" t="str">
        <f t="shared" si="28"/>
        <v>"https://www.zeldadungeon.net/maps/totk/tiles/sky/6/21_13.jpg",</v>
      </c>
      <c r="H917" t="str">
        <f t="shared" si="29"/>
        <v>21_13</v>
      </c>
    </row>
    <row r="918" spans="1:8" x14ac:dyDescent="0.2">
      <c r="A918" s="9" t="s">
        <v>51</v>
      </c>
      <c r="C918" t="str">
        <f t="shared" si="28"/>
        <v>"https://www.zeldadungeon.net/maps/totk/tiles/sky/6/21_14.jpg",</v>
      </c>
      <c r="H918" t="str">
        <f t="shared" si="29"/>
        <v>21_14</v>
      </c>
    </row>
    <row r="919" spans="1:8" x14ac:dyDescent="0.2">
      <c r="A919" s="9" t="s">
        <v>51</v>
      </c>
      <c r="C919" t="str">
        <f t="shared" si="28"/>
        <v>"https://www.zeldadungeon.net/maps/totk/tiles/sky/6/21_15.jpg",</v>
      </c>
      <c r="H919" t="str">
        <f t="shared" si="29"/>
        <v>21_15</v>
      </c>
    </row>
    <row r="920" spans="1:8" x14ac:dyDescent="0.2">
      <c r="A920" s="9" t="s">
        <v>51</v>
      </c>
      <c r="C920" t="str">
        <f t="shared" si="28"/>
        <v>"https://www.zeldadungeon.net/maps/totk/tiles/sky/6/21_16.jpg",</v>
      </c>
      <c r="H920" t="str">
        <f t="shared" si="29"/>
        <v>21_16</v>
      </c>
    </row>
    <row r="921" spans="1:8" x14ac:dyDescent="0.2">
      <c r="A921" s="9" t="s">
        <v>51</v>
      </c>
      <c r="C921" t="str">
        <f t="shared" si="28"/>
        <v>"https://www.zeldadungeon.net/maps/totk/tiles/sky/6/21_17.jpg",</v>
      </c>
      <c r="H921" t="str">
        <f t="shared" si="29"/>
        <v>21_17</v>
      </c>
    </row>
    <row r="922" spans="1:8" x14ac:dyDescent="0.2">
      <c r="A922" s="9" t="s">
        <v>51</v>
      </c>
      <c r="C922" t="str">
        <f t="shared" si="28"/>
        <v>"https://www.zeldadungeon.net/maps/totk/tiles/sky/6/21_18.jpg",</v>
      </c>
      <c r="H922" t="str">
        <f t="shared" si="29"/>
        <v>21_18</v>
      </c>
    </row>
    <row r="923" spans="1:8" x14ac:dyDescent="0.2">
      <c r="A923" s="9" t="s">
        <v>51</v>
      </c>
      <c r="C923" t="str">
        <f t="shared" si="28"/>
        <v>"https://www.zeldadungeon.net/maps/totk/tiles/sky/6/21_19.jpg",</v>
      </c>
      <c r="H923" t="str">
        <f t="shared" si="29"/>
        <v>21_19</v>
      </c>
    </row>
    <row r="924" spans="1:8" x14ac:dyDescent="0.2">
      <c r="A924" s="9" t="s">
        <v>51</v>
      </c>
      <c r="C924" t="str">
        <f t="shared" si="28"/>
        <v>"https://www.zeldadungeon.net/maps/totk/tiles/sky/6/21_20.jpg",</v>
      </c>
      <c r="H924" t="str">
        <f t="shared" si="29"/>
        <v>21_20</v>
      </c>
    </row>
    <row r="925" spans="1:8" x14ac:dyDescent="0.2">
      <c r="A925" s="9" t="s">
        <v>51</v>
      </c>
      <c r="C925" t="str">
        <f t="shared" si="28"/>
        <v>"https://www.zeldadungeon.net/maps/totk/tiles/sky/6/21_21.jpg",</v>
      </c>
      <c r="H925" t="str">
        <f t="shared" si="29"/>
        <v>21_21</v>
      </c>
    </row>
    <row r="926" spans="1:8" x14ac:dyDescent="0.2">
      <c r="A926" s="9" t="s">
        <v>51</v>
      </c>
      <c r="C926" t="str">
        <f t="shared" si="28"/>
        <v>"https://www.zeldadungeon.net/maps/totk/tiles/sky/6/21_22.jpg",</v>
      </c>
      <c r="H926" t="str">
        <f t="shared" si="29"/>
        <v>21_22</v>
      </c>
    </row>
    <row r="927" spans="1:8" x14ac:dyDescent="0.2">
      <c r="A927" s="9" t="s">
        <v>51</v>
      </c>
      <c r="C927" t="str">
        <f t="shared" si="28"/>
        <v>"https://www.zeldadungeon.net/maps/totk/tiles/sky/6/21_23.jpg",</v>
      </c>
      <c r="H927" t="str">
        <f t="shared" si="29"/>
        <v>21_23</v>
      </c>
    </row>
    <row r="928" spans="1:8" x14ac:dyDescent="0.2">
      <c r="A928" s="9" t="s">
        <v>51</v>
      </c>
      <c r="C928" t="str">
        <f t="shared" si="28"/>
        <v>"https://www.zeldadungeon.net/maps/totk/tiles/sky/6/21_24.jpg",</v>
      </c>
      <c r="H928" t="str">
        <f t="shared" si="29"/>
        <v>21_24</v>
      </c>
    </row>
    <row r="929" spans="1:8" x14ac:dyDescent="0.2">
      <c r="A929" s="9" t="s">
        <v>51</v>
      </c>
      <c r="C929" t="str">
        <f t="shared" si="28"/>
        <v>"https://www.zeldadungeon.net/maps/totk/tiles/sky/6/21_25.jpg",</v>
      </c>
      <c r="H929" t="str">
        <f t="shared" si="29"/>
        <v>21_25</v>
      </c>
    </row>
    <row r="930" spans="1:8" x14ac:dyDescent="0.2">
      <c r="A930" s="9" t="s">
        <v>51</v>
      </c>
      <c r="C930" t="str">
        <f t="shared" si="28"/>
        <v>"https://www.zeldadungeon.net/maps/totk/tiles/sky/6/21_26.jpg",</v>
      </c>
      <c r="H930" t="str">
        <f t="shared" si="29"/>
        <v>21_26</v>
      </c>
    </row>
    <row r="931" spans="1:8" x14ac:dyDescent="0.2">
      <c r="A931" s="9" t="s">
        <v>51</v>
      </c>
      <c r="C931" t="str">
        <f t="shared" si="28"/>
        <v>"https://www.zeldadungeon.net/maps/totk/tiles/sky/6/21_27.jpg",</v>
      </c>
      <c r="H931" t="str">
        <f t="shared" si="29"/>
        <v>21_27</v>
      </c>
    </row>
    <row r="932" spans="1:8" x14ac:dyDescent="0.2">
      <c r="A932" s="9" t="s">
        <v>51</v>
      </c>
      <c r="C932" t="str">
        <f t="shared" si="28"/>
        <v>"https://www.zeldadungeon.net/maps/totk/tiles/sky/6/21_28.jpg",</v>
      </c>
      <c r="H932" t="str">
        <f t="shared" si="29"/>
        <v>21_28</v>
      </c>
    </row>
    <row r="933" spans="1:8" x14ac:dyDescent="0.2">
      <c r="A933" s="9" t="s">
        <v>51</v>
      </c>
      <c r="C933" t="str">
        <f t="shared" si="28"/>
        <v>"https://www.zeldadungeon.net/maps/totk/tiles/sky/6/21_29.jpg",</v>
      </c>
      <c r="H933" t="str">
        <f t="shared" si="29"/>
        <v>21_29</v>
      </c>
    </row>
    <row r="934" spans="1:8" x14ac:dyDescent="0.2">
      <c r="A934" s="9" t="s">
        <v>51</v>
      </c>
      <c r="C934" t="str">
        <f t="shared" si="28"/>
        <v>"https://www.zeldadungeon.net/maps/totk/tiles/sky/6/21_30.jpg",</v>
      </c>
      <c r="H934" t="str">
        <f t="shared" si="29"/>
        <v>21_30</v>
      </c>
    </row>
    <row r="935" spans="1:8" x14ac:dyDescent="0.2">
      <c r="A935" s="9" t="s">
        <v>51</v>
      </c>
      <c r="C935" t="str">
        <f t="shared" si="28"/>
        <v>"https://www.zeldadungeon.net/maps/totk/tiles/sky/6/21_31.jpg",</v>
      </c>
      <c r="H935" t="str">
        <f t="shared" si="29"/>
        <v>21_31</v>
      </c>
    </row>
    <row r="936" spans="1:8" x14ac:dyDescent="0.2">
      <c r="A936" s="9" t="s">
        <v>51</v>
      </c>
      <c r="C936" t="str">
        <f t="shared" si="28"/>
        <v>"https://www.zeldadungeon.net/maps/totk/tiles/sky/6/21_32.jpg",</v>
      </c>
      <c r="H936" t="str">
        <f t="shared" si="29"/>
        <v>21_32</v>
      </c>
    </row>
    <row r="937" spans="1:8" x14ac:dyDescent="0.2">
      <c r="A937" s="9" t="s">
        <v>51</v>
      </c>
      <c r="C937" t="str">
        <f t="shared" si="28"/>
        <v>"https://www.zeldadungeon.net/maps/totk/tiles/sky/6/21_33.jpg",</v>
      </c>
      <c r="H937" t="str">
        <f t="shared" si="29"/>
        <v>21_33</v>
      </c>
    </row>
    <row r="938" spans="1:8" x14ac:dyDescent="0.2">
      <c r="A938" s="9" t="s">
        <v>51</v>
      </c>
      <c r="C938" t="str">
        <f t="shared" si="28"/>
        <v>"https://www.zeldadungeon.net/maps/totk/tiles/sky/6/21_34.jpg",</v>
      </c>
      <c r="H938" t="str">
        <f t="shared" si="29"/>
        <v>21_34</v>
      </c>
    </row>
    <row r="939" spans="1:8" x14ac:dyDescent="0.2">
      <c r="A939" s="9" t="s">
        <v>51</v>
      </c>
      <c r="C939" t="str">
        <f t="shared" si="28"/>
        <v>"https://www.zeldadungeon.net/maps/totk/tiles/sky/6/21_35.jpg",</v>
      </c>
      <c r="H939" t="str">
        <f t="shared" si="29"/>
        <v>21_35</v>
      </c>
    </row>
    <row r="940" spans="1:8" x14ac:dyDescent="0.2">
      <c r="A940" s="9" t="s">
        <v>51</v>
      </c>
      <c r="C940" t="str">
        <f t="shared" si="28"/>
        <v>"https://www.zeldadungeon.net/maps/totk/tiles/sky/6/21_36.jpg",</v>
      </c>
      <c r="H940" t="str">
        <f t="shared" si="29"/>
        <v>21_36</v>
      </c>
    </row>
    <row r="941" spans="1:8" x14ac:dyDescent="0.2">
      <c r="A941" s="9" t="s">
        <v>51</v>
      </c>
      <c r="C941" t="str">
        <f t="shared" si="28"/>
        <v>"https://www.zeldadungeon.net/maps/totk/tiles/sky/6/21_37.jpg",</v>
      </c>
      <c r="H941" t="str">
        <f t="shared" si="29"/>
        <v>21_37</v>
      </c>
    </row>
    <row r="942" spans="1:8" x14ac:dyDescent="0.2">
      <c r="A942" s="9" t="s">
        <v>51</v>
      </c>
      <c r="C942" t="str">
        <f t="shared" si="28"/>
        <v>"https://www.zeldadungeon.net/maps/totk/tiles/sky/6/21_38.jpg",</v>
      </c>
      <c r="H942" t="str">
        <f t="shared" si="29"/>
        <v>21_38</v>
      </c>
    </row>
    <row r="943" spans="1:8" x14ac:dyDescent="0.2">
      <c r="A943" s="9" t="s">
        <v>51</v>
      </c>
      <c r="C943" t="str">
        <f t="shared" si="28"/>
        <v>"https://www.zeldadungeon.net/maps/totk/tiles/sky/6/21_39.jpg",</v>
      </c>
      <c r="H943" t="str">
        <f t="shared" si="29"/>
        <v>21_39</v>
      </c>
    </row>
    <row r="944" spans="1:8" x14ac:dyDescent="0.2">
      <c r="A944" s="9" t="s">
        <v>51</v>
      </c>
      <c r="C944" t="str">
        <f t="shared" si="28"/>
        <v>"https://www.zeldadungeon.net/maps/totk/tiles/sky/6/21_40.jpg",</v>
      </c>
      <c r="H944" t="str">
        <f t="shared" si="29"/>
        <v>21_40</v>
      </c>
    </row>
    <row r="945" spans="1:8" x14ac:dyDescent="0.2">
      <c r="A945" s="9" t="s">
        <v>51</v>
      </c>
      <c r="C945" t="str">
        <f t="shared" si="28"/>
        <v>"https://www.zeldadungeon.net/maps/totk/tiles/sky/6/21_41.jpg",</v>
      </c>
      <c r="H945" t="str">
        <f t="shared" si="29"/>
        <v>21_41</v>
      </c>
    </row>
    <row r="946" spans="1:8" x14ac:dyDescent="0.2">
      <c r="A946" s="9" t="s">
        <v>51</v>
      </c>
      <c r="C946" t="str">
        <f t="shared" si="28"/>
        <v>"https://www.zeldadungeon.net/maps/totk/tiles/sky/6/21_42.jpg",</v>
      </c>
      <c r="H946" t="str">
        <f t="shared" si="29"/>
        <v>21_42</v>
      </c>
    </row>
    <row r="947" spans="1:8" x14ac:dyDescent="0.2">
      <c r="A947" s="9" t="s">
        <v>51</v>
      </c>
      <c r="C947" t="str">
        <f t="shared" si="28"/>
        <v>"https://www.zeldadungeon.net/maps/totk/tiles/sky/6/21_43.jpg",</v>
      </c>
      <c r="H947" t="str">
        <f t="shared" si="29"/>
        <v>21_43</v>
      </c>
    </row>
    <row r="948" spans="1:8" x14ac:dyDescent="0.2">
      <c r="A948" s="9" t="s">
        <v>51</v>
      </c>
      <c r="C948" t="str">
        <f t="shared" si="28"/>
        <v>"https://www.zeldadungeon.net/maps/totk/tiles/sky/6/21_44.jpg",</v>
      </c>
      <c r="H948" t="str">
        <f t="shared" si="29"/>
        <v>21_44</v>
      </c>
    </row>
    <row r="949" spans="1:8" x14ac:dyDescent="0.2">
      <c r="A949" s="9" t="s">
        <v>51</v>
      </c>
      <c r="C949" t="str">
        <f t="shared" si="28"/>
        <v>"https://www.zeldadungeon.net/maps/totk/tiles/sky/6/21_45.jpg",</v>
      </c>
      <c r="H949" t="str">
        <f t="shared" si="29"/>
        <v>21_45</v>
      </c>
    </row>
    <row r="950" spans="1:8" x14ac:dyDescent="0.2">
      <c r="A950" s="9" t="s">
        <v>51</v>
      </c>
      <c r="C950" t="str">
        <f t="shared" si="28"/>
        <v>"https://www.zeldadungeon.net/maps/totk/tiles/sky/6/21_46.jpg",</v>
      </c>
      <c r="H950" t="str">
        <f t="shared" si="29"/>
        <v>21_46</v>
      </c>
    </row>
    <row r="951" spans="1:8" x14ac:dyDescent="0.2">
      <c r="A951" s="9" t="s">
        <v>51</v>
      </c>
      <c r="C951" t="str">
        <f t="shared" si="28"/>
        <v>"https://www.zeldadungeon.net/maps/totk/tiles/sky/6/21_47.jpg",</v>
      </c>
      <c r="H951" t="str">
        <f t="shared" si="29"/>
        <v>21_47</v>
      </c>
    </row>
    <row r="952" spans="1:8" x14ac:dyDescent="0.2">
      <c r="A952" s="9" t="s">
        <v>51</v>
      </c>
      <c r="C952" t="str">
        <f t="shared" si="28"/>
        <v>"https://www.zeldadungeon.net/maps/totk/tiles/sky/6/21_48.jpg",</v>
      </c>
      <c r="H952" t="str">
        <f t="shared" si="29"/>
        <v>21_48</v>
      </c>
    </row>
    <row r="953" spans="1:8" x14ac:dyDescent="0.2">
      <c r="A953" s="9" t="s">
        <v>51</v>
      </c>
      <c r="C953" t="str">
        <f t="shared" si="28"/>
        <v>"https://www.zeldadungeon.net/maps/totk/tiles/sky/6/21_49.jpg",</v>
      </c>
      <c r="H953" t="str">
        <f t="shared" si="29"/>
        <v>21_49</v>
      </c>
    </row>
    <row r="954" spans="1:8" x14ac:dyDescent="0.2">
      <c r="A954" s="9" t="s">
        <v>51</v>
      </c>
      <c r="C954" t="str">
        <f t="shared" si="28"/>
        <v>"https://www.zeldadungeon.net/maps/totk/tiles/sky/6/21_50.jpg",</v>
      </c>
      <c r="H954" t="str">
        <f t="shared" si="29"/>
        <v>21_50</v>
      </c>
    </row>
    <row r="955" spans="1:8" x14ac:dyDescent="0.2">
      <c r="A955" s="9" t="s">
        <v>51</v>
      </c>
      <c r="C955" t="str">
        <f t="shared" si="28"/>
        <v>"https://www.zeldadungeon.net/maps/totk/tiles/sky/6/21_51.jpg",</v>
      </c>
      <c r="H955" t="str">
        <f t="shared" si="29"/>
        <v>21_51</v>
      </c>
    </row>
    <row r="956" spans="1:8" x14ac:dyDescent="0.2">
      <c r="A956" s="9" t="s">
        <v>51</v>
      </c>
      <c r="C956" t="str">
        <f t="shared" si="28"/>
        <v>"https://www.zeldadungeon.net/maps/totk/tiles/sky/6/21_52.jpg",</v>
      </c>
      <c r="H956" t="str">
        <f t="shared" si="29"/>
        <v>21_52</v>
      </c>
    </row>
    <row r="957" spans="1:8" x14ac:dyDescent="0.2">
      <c r="A957" s="9" t="s">
        <v>51</v>
      </c>
      <c r="C957" t="str">
        <f t="shared" si="28"/>
        <v>"https://www.zeldadungeon.net/maps/totk/tiles/sky/6/21_53.jpg",</v>
      </c>
      <c r="H957" t="str">
        <f t="shared" si="29"/>
        <v>21_53</v>
      </c>
    </row>
    <row r="958" spans="1:8" x14ac:dyDescent="0.2">
      <c r="A958" s="9" t="s">
        <v>51</v>
      </c>
      <c r="C958" t="str">
        <f t="shared" si="28"/>
        <v>"https://www.zeldadungeon.net/maps/totk/tiles/sky/6/21_54.jpg",</v>
      </c>
      <c r="H958" t="str">
        <f t="shared" si="29"/>
        <v>21_54</v>
      </c>
    </row>
    <row r="959" spans="1:8" x14ac:dyDescent="0.2">
      <c r="A959" s="9" t="s">
        <v>51</v>
      </c>
      <c r="C959" t="str">
        <f t="shared" si="28"/>
        <v>"https://www.zeldadungeon.net/maps/totk/tiles/sky/6/21_55.jpg",</v>
      </c>
      <c r="H959" t="str">
        <f t="shared" si="29"/>
        <v>21_55</v>
      </c>
    </row>
    <row r="960" spans="1:8" x14ac:dyDescent="0.2">
      <c r="A960" s="9" t="s">
        <v>51</v>
      </c>
      <c r="C960" t="str">
        <f t="shared" si="28"/>
        <v>"https://www.zeldadungeon.net/maps/totk/tiles/sky/6/22_8.jpg",</v>
      </c>
      <c r="H960" t="str">
        <f t="shared" si="29"/>
        <v>22_8</v>
      </c>
    </row>
    <row r="961" spans="1:8" x14ac:dyDescent="0.2">
      <c r="A961" s="9" t="s">
        <v>51</v>
      </c>
      <c r="C961" t="str">
        <f t="shared" ref="C961:C1024" si="30">""""&amp;SUBSTITUTE(A961,"zzz",H961)&amp;""""&amp;","</f>
        <v>"https://www.zeldadungeon.net/maps/totk/tiles/sky/6/22_9.jpg",</v>
      </c>
      <c r="H961" t="str">
        <f t="shared" ref="H961:H1024" si="31">QUOTIENT(ROW(A961),48)+2&amp;"_"&amp;MOD(ROW(A961),48)+8</f>
        <v>22_9</v>
      </c>
    </row>
    <row r="962" spans="1:8" x14ac:dyDescent="0.2">
      <c r="A962" s="9" t="s">
        <v>51</v>
      </c>
      <c r="C962" t="str">
        <f t="shared" si="30"/>
        <v>"https://www.zeldadungeon.net/maps/totk/tiles/sky/6/22_10.jpg",</v>
      </c>
      <c r="H962" t="str">
        <f t="shared" si="31"/>
        <v>22_10</v>
      </c>
    </row>
    <row r="963" spans="1:8" x14ac:dyDescent="0.2">
      <c r="A963" s="9" t="s">
        <v>51</v>
      </c>
      <c r="C963" t="str">
        <f t="shared" si="30"/>
        <v>"https://www.zeldadungeon.net/maps/totk/tiles/sky/6/22_11.jpg",</v>
      </c>
      <c r="H963" t="str">
        <f t="shared" si="31"/>
        <v>22_11</v>
      </c>
    </row>
    <row r="964" spans="1:8" x14ac:dyDescent="0.2">
      <c r="A964" s="9" t="s">
        <v>51</v>
      </c>
      <c r="C964" t="str">
        <f t="shared" si="30"/>
        <v>"https://www.zeldadungeon.net/maps/totk/tiles/sky/6/22_12.jpg",</v>
      </c>
      <c r="H964" t="str">
        <f t="shared" si="31"/>
        <v>22_12</v>
      </c>
    </row>
    <row r="965" spans="1:8" x14ac:dyDescent="0.2">
      <c r="A965" s="9" t="s">
        <v>51</v>
      </c>
      <c r="C965" t="str">
        <f t="shared" si="30"/>
        <v>"https://www.zeldadungeon.net/maps/totk/tiles/sky/6/22_13.jpg",</v>
      </c>
      <c r="H965" t="str">
        <f t="shared" si="31"/>
        <v>22_13</v>
      </c>
    </row>
    <row r="966" spans="1:8" x14ac:dyDescent="0.2">
      <c r="A966" s="9" t="s">
        <v>51</v>
      </c>
      <c r="C966" t="str">
        <f t="shared" si="30"/>
        <v>"https://www.zeldadungeon.net/maps/totk/tiles/sky/6/22_14.jpg",</v>
      </c>
      <c r="H966" t="str">
        <f t="shared" si="31"/>
        <v>22_14</v>
      </c>
    </row>
    <row r="967" spans="1:8" x14ac:dyDescent="0.2">
      <c r="A967" s="9" t="s">
        <v>51</v>
      </c>
      <c r="C967" t="str">
        <f t="shared" si="30"/>
        <v>"https://www.zeldadungeon.net/maps/totk/tiles/sky/6/22_15.jpg",</v>
      </c>
      <c r="H967" t="str">
        <f t="shared" si="31"/>
        <v>22_15</v>
      </c>
    </row>
    <row r="968" spans="1:8" x14ac:dyDescent="0.2">
      <c r="A968" s="9" t="s">
        <v>51</v>
      </c>
      <c r="C968" t="str">
        <f t="shared" si="30"/>
        <v>"https://www.zeldadungeon.net/maps/totk/tiles/sky/6/22_16.jpg",</v>
      </c>
      <c r="H968" t="str">
        <f t="shared" si="31"/>
        <v>22_16</v>
      </c>
    </row>
    <row r="969" spans="1:8" x14ac:dyDescent="0.2">
      <c r="A969" s="9" t="s">
        <v>51</v>
      </c>
      <c r="C969" t="str">
        <f t="shared" si="30"/>
        <v>"https://www.zeldadungeon.net/maps/totk/tiles/sky/6/22_17.jpg",</v>
      </c>
      <c r="H969" t="str">
        <f t="shared" si="31"/>
        <v>22_17</v>
      </c>
    </row>
    <row r="970" spans="1:8" x14ac:dyDescent="0.2">
      <c r="A970" s="9" t="s">
        <v>51</v>
      </c>
      <c r="C970" t="str">
        <f t="shared" si="30"/>
        <v>"https://www.zeldadungeon.net/maps/totk/tiles/sky/6/22_18.jpg",</v>
      </c>
      <c r="H970" t="str">
        <f t="shared" si="31"/>
        <v>22_18</v>
      </c>
    </row>
    <row r="971" spans="1:8" x14ac:dyDescent="0.2">
      <c r="A971" s="9" t="s">
        <v>51</v>
      </c>
      <c r="C971" t="str">
        <f t="shared" si="30"/>
        <v>"https://www.zeldadungeon.net/maps/totk/tiles/sky/6/22_19.jpg",</v>
      </c>
      <c r="H971" t="str">
        <f t="shared" si="31"/>
        <v>22_19</v>
      </c>
    </row>
    <row r="972" spans="1:8" x14ac:dyDescent="0.2">
      <c r="A972" s="9" t="s">
        <v>51</v>
      </c>
      <c r="C972" t="str">
        <f t="shared" si="30"/>
        <v>"https://www.zeldadungeon.net/maps/totk/tiles/sky/6/22_20.jpg",</v>
      </c>
      <c r="H972" t="str">
        <f t="shared" si="31"/>
        <v>22_20</v>
      </c>
    </row>
    <row r="973" spans="1:8" x14ac:dyDescent="0.2">
      <c r="A973" s="9" t="s">
        <v>51</v>
      </c>
      <c r="C973" t="str">
        <f t="shared" si="30"/>
        <v>"https://www.zeldadungeon.net/maps/totk/tiles/sky/6/22_21.jpg",</v>
      </c>
      <c r="H973" t="str">
        <f t="shared" si="31"/>
        <v>22_21</v>
      </c>
    </row>
    <row r="974" spans="1:8" x14ac:dyDescent="0.2">
      <c r="A974" s="9" t="s">
        <v>51</v>
      </c>
      <c r="C974" t="str">
        <f t="shared" si="30"/>
        <v>"https://www.zeldadungeon.net/maps/totk/tiles/sky/6/22_22.jpg",</v>
      </c>
      <c r="H974" t="str">
        <f t="shared" si="31"/>
        <v>22_22</v>
      </c>
    </row>
    <row r="975" spans="1:8" x14ac:dyDescent="0.2">
      <c r="A975" s="9" t="s">
        <v>51</v>
      </c>
      <c r="C975" t="str">
        <f t="shared" si="30"/>
        <v>"https://www.zeldadungeon.net/maps/totk/tiles/sky/6/22_23.jpg",</v>
      </c>
      <c r="H975" t="str">
        <f t="shared" si="31"/>
        <v>22_23</v>
      </c>
    </row>
    <row r="976" spans="1:8" x14ac:dyDescent="0.2">
      <c r="A976" s="9" t="s">
        <v>51</v>
      </c>
      <c r="C976" t="str">
        <f t="shared" si="30"/>
        <v>"https://www.zeldadungeon.net/maps/totk/tiles/sky/6/22_24.jpg",</v>
      </c>
      <c r="H976" t="str">
        <f t="shared" si="31"/>
        <v>22_24</v>
      </c>
    </row>
    <row r="977" spans="1:8" x14ac:dyDescent="0.2">
      <c r="A977" s="9" t="s">
        <v>51</v>
      </c>
      <c r="C977" t="str">
        <f t="shared" si="30"/>
        <v>"https://www.zeldadungeon.net/maps/totk/tiles/sky/6/22_25.jpg",</v>
      </c>
      <c r="H977" t="str">
        <f t="shared" si="31"/>
        <v>22_25</v>
      </c>
    </row>
    <row r="978" spans="1:8" x14ac:dyDescent="0.2">
      <c r="A978" s="9" t="s">
        <v>51</v>
      </c>
      <c r="C978" t="str">
        <f t="shared" si="30"/>
        <v>"https://www.zeldadungeon.net/maps/totk/tiles/sky/6/22_26.jpg",</v>
      </c>
      <c r="H978" t="str">
        <f t="shared" si="31"/>
        <v>22_26</v>
      </c>
    </row>
    <row r="979" spans="1:8" x14ac:dyDescent="0.2">
      <c r="A979" s="9" t="s">
        <v>51</v>
      </c>
      <c r="C979" t="str">
        <f t="shared" si="30"/>
        <v>"https://www.zeldadungeon.net/maps/totk/tiles/sky/6/22_27.jpg",</v>
      </c>
      <c r="H979" t="str">
        <f t="shared" si="31"/>
        <v>22_27</v>
      </c>
    </row>
    <row r="980" spans="1:8" x14ac:dyDescent="0.2">
      <c r="A980" s="9" t="s">
        <v>51</v>
      </c>
      <c r="C980" t="str">
        <f t="shared" si="30"/>
        <v>"https://www.zeldadungeon.net/maps/totk/tiles/sky/6/22_28.jpg",</v>
      </c>
      <c r="H980" t="str">
        <f t="shared" si="31"/>
        <v>22_28</v>
      </c>
    </row>
    <row r="981" spans="1:8" x14ac:dyDescent="0.2">
      <c r="A981" s="9" t="s">
        <v>51</v>
      </c>
      <c r="C981" t="str">
        <f t="shared" si="30"/>
        <v>"https://www.zeldadungeon.net/maps/totk/tiles/sky/6/22_29.jpg",</v>
      </c>
      <c r="H981" t="str">
        <f t="shared" si="31"/>
        <v>22_29</v>
      </c>
    </row>
    <row r="982" spans="1:8" x14ac:dyDescent="0.2">
      <c r="A982" s="9" t="s">
        <v>51</v>
      </c>
      <c r="C982" t="str">
        <f t="shared" si="30"/>
        <v>"https://www.zeldadungeon.net/maps/totk/tiles/sky/6/22_30.jpg",</v>
      </c>
      <c r="H982" t="str">
        <f t="shared" si="31"/>
        <v>22_30</v>
      </c>
    </row>
    <row r="983" spans="1:8" x14ac:dyDescent="0.2">
      <c r="A983" s="9" t="s">
        <v>51</v>
      </c>
      <c r="C983" t="str">
        <f t="shared" si="30"/>
        <v>"https://www.zeldadungeon.net/maps/totk/tiles/sky/6/22_31.jpg",</v>
      </c>
      <c r="H983" t="str">
        <f t="shared" si="31"/>
        <v>22_31</v>
      </c>
    </row>
    <row r="984" spans="1:8" x14ac:dyDescent="0.2">
      <c r="A984" s="9" t="s">
        <v>51</v>
      </c>
      <c r="C984" t="str">
        <f t="shared" si="30"/>
        <v>"https://www.zeldadungeon.net/maps/totk/tiles/sky/6/22_32.jpg",</v>
      </c>
      <c r="H984" t="str">
        <f t="shared" si="31"/>
        <v>22_32</v>
      </c>
    </row>
    <row r="985" spans="1:8" x14ac:dyDescent="0.2">
      <c r="A985" s="9" t="s">
        <v>51</v>
      </c>
      <c r="C985" t="str">
        <f t="shared" si="30"/>
        <v>"https://www.zeldadungeon.net/maps/totk/tiles/sky/6/22_33.jpg",</v>
      </c>
      <c r="H985" t="str">
        <f t="shared" si="31"/>
        <v>22_33</v>
      </c>
    </row>
    <row r="986" spans="1:8" x14ac:dyDescent="0.2">
      <c r="A986" s="9" t="s">
        <v>51</v>
      </c>
      <c r="C986" t="str">
        <f t="shared" si="30"/>
        <v>"https://www.zeldadungeon.net/maps/totk/tiles/sky/6/22_34.jpg",</v>
      </c>
      <c r="H986" t="str">
        <f t="shared" si="31"/>
        <v>22_34</v>
      </c>
    </row>
    <row r="987" spans="1:8" x14ac:dyDescent="0.2">
      <c r="A987" s="9" t="s">
        <v>51</v>
      </c>
      <c r="C987" t="str">
        <f t="shared" si="30"/>
        <v>"https://www.zeldadungeon.net/maps/totk/tiles/sky/6/22_35.jpg",</v>
      </c>
      <c r="H987" t="str">
        <f t="shared" si="31"/>
        <v>22_35</v>
      </c>
    </row>
    <row r="988" spans="1:8" x14ac:dyDescent="0.2">
      <c r="A988" s="9" t="s">
        <v>51</v>
      </c>
      <c r="C988" t="str">
        <f t="shared" si="30"/>
        <v>"https://www.zeldadungeon.net/maps/totk/tiles/sky/6/22_36.jpg",</v>
      </c>
      <c r="H988" t="str">
        <f t="shared" si="31"/>
        <v>22_36</v>
      </c>
    </row>
    <row r="989" spans="1:8" x14ac:dyDescent="0.2">
      <c r="A989" s="9" t="s">
        <v>51</v>
      </c>
      <c r="C989" t="str">
        <f t="shared" si="30"/>
        <v>"https://www.zeldadungeon.net/maps/totk/tiles/sky/6/22_37.jpg",</v>
      </c>
      <c r="H989" t="str">
        <f t="shared" si="31"/>
        <v>22_37</v>
      </c>
    </row>
    <row r="990" spans="1:8" x14ac:dyDescent="0.2">
      <c r="A990" s="9" t="s">
        <v>51</v>
      </c>
      <c r="C990" t="str">
        <f t="shared" si="30"/>
        <v>"https://www.zeldadungeon.net/maps/totk/tiles/sky/6/22_38.jpg",</v>
      </c>
      <c r="H990" t="str">
        <f t="shared" si="31"/>
        <v>22_38</v>
      </c>
    </row>
    <row r="991" spans="1:8" x14ac:dyDescent="0.2">
      <c r="A991" s="9" t="s">
        <v>51</v>
      </c>
      <c r="C991" t="str">
        <f t="shared" si="30"/>
        <v>"https://www.zeldadungeon.net/maps/totk/tiles/sky/6/22_39.jpg",</v>
      </c>
      <c r="H991" t="str">
        <f t="shared" si="31"/>
        <v>22_39</v>
      </c>
    </row>
    <row r="992" spans="1:8" x14ac:dyDescent="0.2">
      <c r="A992" s="9" t="s">
        <v>51</v>
      </c>
      <c r="C992" t="str">
        <f t="shared" si="30"/>
        <v>"https://www.zeldadungeon.net/maps/totk/tiles/sky/6/22_40.jpg",</v>
      </c>
      <c r="H992" t="str">
        <f t="shared" si="31"/>
        <v>22_40</v>
      </c>
    </row>
    <row r="993" spans="1:8" x14ac:dyDescent="0.2">
      <c r="A993" s="9" t="s">
        <v>51</v>
      </c>
      <c r="C993" t="str">
        <f t="shared" si="30"/>
        <v>"https://www.zeldadungeon.net/maps/totk/tiles/sky/6/22_41.jpg",</v>
      </c>
      <c r="H993" t="str">
        <f t="shared" si="31"/>
        <v>22_41</v>
      </c>
    </row>
    <row r="994" spans="1:8" x14ac:dyDescent="0.2">
      <c r="A994" s="9" t="s">
        <v>51</v>
      </c>
      <c r="C994" t="str">
        <f t="shared" si="30"/>
        <v>"https://www.zeldadungeon.net/maps/totk/tiles/sky/6/22_42.jpg",</v>
      </c>
      <c r="H994" t="str">
        <f t="shared" si="31"/>
        <v>22_42</v>
      </c>
    </row>
    <row r="995" spans="1:8" x14ac:dyDescent="0.2">
      <c r="A995" s="9" t="s">
        <v>51</v>
      </c>
      <c r="C995" t="str">
        <f t="shared" si="30"/>
        <v>"https://www.zeldadungeon.net/maps/totk/tiles/sky/6/22_43.jpg",</v>
      </c>
      <c r="H995" t="str">
        <f t="shared" si="31"/>
        <v>22_43</v>
      </c>
    </row>
    <row r="996" spans="1:8" x14ac:dyDescent="0.2">
      <c r="A996" s="9" t="s">
        <v>51</v>
      </c>
      <c r="C996" t="str">
        <f t="shared" si="30"/>
        <v>"https://www.zeldadungeon.net/maps/totk/tiles/sky/6/22_44.jpg",</v>
      </c>
      <c r="H996" t="str">
        <f t="shared" si="31"/>
        <v>22_44</v>
      </c>
    </row>
    <row r="997" spans="1:8" x14ac:dyDescent="0.2">
      <c r="A997" s="9" t="s">
        <v>51</v>
      </c>
      <c r="C997" t="str">
        <f t="shared" si="30"/>
        <v>"https://www.zeldadungeon.net/maps/totk/tiles/sky/6/22_45.jpg",</v>
      </c>
      <c r="H997" t="str">
        <f t="shared" si="31"/>
        <v>22_45</v>
      </c>
    </row>
    <row r="998" spans="1:8" x14ac:dyDescent="0.2">
      <c r="A998" s="9" t="s">
        <v>51</v>
      </c>
      <c r="C998" t="str">
        <f t="shared" si="30"/>
        <v>"https://www.zeldadungeon.net/maps/totk/tiles/sky/6/22_46.jpg",</v>
      </c>
      <c r="H998" t="str">
        <f t="shared" si="31"/>
        <v>22_46</v>
      </c>
    </row>
    <row r="999" spans="1:8" x14ac:dyDescent="0.2">
      <c r="A999" s="9" t="s">
        <v>51</v>
      </c>
      <c r="C999" t="str">
        <f t="shared" si="30"/>
        <v>"https://www.zeldadungeon.net/maps/totk/tiles/sky/6/22_47.jpg",</v>
      </c>
      <c r="H999" t="str">
        <f t="shared" si="31"/>
        <v>22_47</v>
      </c>
    </row>
    <row r="1000" spans="1:8" x14ac:dyDescent="0.2">
      <c r="A1000" s="9" t="s">
        <v>51</v>
      </c>
      <c r="C1000" t="str">
        <f t="shared" si="30"/>
        <v>"https://www.zeldadungeon.net/maps/totk/tiles/sky/6/22_48.jpg",</v>
      </c>
      <c r="H1000" t="str">
        <f t="shared" si="31"/>
        <v>22_48</v>
      </c>
    </row>
    <row r="1001" spans="1:8" x14ac:dyDescent="0.2">
      <c r="A1001" s="9" t="s">
        <v>51</v>
      </c>
      <c r="C1001" t="str">
        <f t="shared" si="30"/>
        <v>"https://www.zeldadungeon.net/maps/totk/tiles/sky/6/22_49.jpg",</v>
      </c>
      <c r="H1001" t="str">
        <f t="shared" si="31"/>
        <v>22_49</v>
      </c>
    </row>
    <row r="1002" spans="1:8" x14ac:dyDescent="0.2">
      <c r="A1002" s="9" t="s">
        <v>51</v>
      </c>
      <c r="C1002" t="str">
        <f t="shared" si="30"/>
        <v>"https://www.zeldadungeon.net/maps/totk/tiles/sky/6/22_50.jpg",</v>
      </c>
      <c r="H1002" t="str">
        <f t="shared" si="31"/>
        <v>22_50</v>
      </c>
    </row>
    <row r="1003" spans="1:8" x14ac:dyDescent="0.2">
      <c r="A1003" s="9" t="s">
        <v>51</v>
      </c>
      <c r="C1003" t="str">
        <f t="shared" si="30"/>
        <v>"https://www.zeldadungeon.net/maps/totk/tiles/sky/6/22_51.jpg",</v>
      </c>
      <c r="H1003" t="str">
        <f t="shared" si="31"/>
        <v>22_51</v>
      </c>
    </row>
    <row r="1004" spans="1:8" x14ac:dyDescent="0.2">
      <c r="A1004" s="9" t="s">
        <v>51</v>
      </c>
      <c r="C1004" t="str">
        <f t="shared" si="30"/>
        <v>"https://www.zeldadungeon.net/maps/totk/tiles/sky/6/22_52.jpg",</v>
      </c>
      <c r="H1004" t="str">
        <f t="shared" si="31"/>
        <v>22_52</v>
      </c>
    </row>
    <row r="1005" spans="1:8" x14ac:dyDescent="0.2">
      <c r="A1005" s="9" t="s">
        <v>51</v>
      </c>
      <c r="C1005" t="str">
        <f t="shared" si="30"/>
        <v>"https://www.zeldadungeon.net/maps/totk/tiles/sky/6/22_53.jpg",</v>
      </c>
      <c r="H1005" t="str">
        <f t="shared" si="31"/>
        <v>22_53</v>
      </c>
    </row>
    <row r="1006" spans="1:8" x14ac:dyDescent="0.2">
      <c r="A1006" s="9" t="s">
        <v>51</v>
      </c>
      <c r="C1006" t="str">
        <f t="shared" si="30"/>
        <v>"https://www.zeldadungeon.net/maps/totk/tiles/sky/6/22_54.jpg",</v>
      </c>
      <c r="H1006" t="str">
        <f t="shared" si="31"/>
        <v>22_54</v>
      </c>
    </row>
    <row r="1007" spans="1:8" x14ac:dyDescent="0.2">
      <c r="A1007" s="9" t="s">
        <v>51</v>
      </c>
      <c r="C1007" t="str">
        <f t="shared" si="30"/>
        <v>"https://www.zeldadungeon.net/maps/totk/tiles/sky/6/22_55.jpg",</v>
      </c>
      <c r="H1007" t="str">
        <f t="shared" si="31"/>
        <v>22_55</v>
      </c>
    </row>
    <row r="1008" spans="1:8" x14ac:dyDescent="0.2">
      <c r="A1008" s="9" t="s">
        <v>51</v>
      </c>
      <c r="C1008" t="str">
        <f t="shared" si="30"/>
        <v>"https://www.zeldadungeon.net/maps/totk/tiles/sky/6/23_8.jpg",</v>
      </c>
      <c r="H1008" t="str">
        <f t="shared" si="31"/>
        <v>23_8</v>
      </c>
    </row>
    <row r="1009" spans="1:8" x14ac:dyDescent="0.2">
      <c r="A1009" s="9" t="s">
        <v>51</v>
      </c>
      <c r="C1009" t="str">
        <f t="shared" si="30"/>
        <v>"https://www.zeldadungeon.net/maps/totk/tiles/sky/6/23_9.jpg",</v>
      </c>
      <c r="H1009" t="str">
        <f t="shared" si="31"/>
        <v>23_9</v>
      </c>
    </row>
    <row r="1010" spans="1:8" x14ac:dyDescent="0.2">
      <c r="A1010" s="9" t="s">
        <v>51</v>
      </c>
      <c r="C1010" t="str">
        <f t="shared" si="30"/>
        <v>"https://www.zeldadungeon.net/maps/totk/tiles/sky/6/23_10.jpg",</v>
      </c>
      <c r="H1010" t="str">
        <f t="shared" si="31"/>
        <v>23_10</v>
      </c>
    </row>
    <row r="1011" spans="1:8" x14ac:dyDescent="0.2">
      <c r="A1011" s="9" t="s">
        <v>51</v>
      </c>
      <c r="C1011" t="str">
        <f t="shared" si="30"/>
        <v>"https://www.zeldadungeon.net/maps/totk/tiles/sky/6/23_11.jpg",</v>
      </c>
      <c r="H1011" t="str">
        <f t="shared" si="31"/>
        <v>23_11</v>
      </c>
    </row>
    <row r="1012" spans="1:8" x14ac:dyDescent="0.2">
      <c r="A1012" s="9" t="s">
        <v>51</v>
      </c>
      <c r="C1012" t="str">
        <f t="shared" si="30"/>
        <v>"https://www.zeldadungeon.net/maps/totk/tiles/sky/6/23_12.jpg",</v>
      </c>
      <c r="H1012" t="str">
        <f t="shared" si="31"/>
        <v>23_12</v>
      </c>
    </row>
    <row r="1013" spans="1:8" x14ac:dyDescent="0.2">
      <c r="A1013" s="9" t="s">
        <v>51</v>
      </c>
      <c r="C1013" t="str">
        <f t="shared" si="30"/>
        <v>"https://www.zeldadungeon.net/maps/totk/tiles/sky/6/23_13.jpg",</v>
      </c>
      <c r="H1013" t="str">
        <f t="shared" si="31"/>
        <v>23_13</v>
      </c>
    </row>
    <row r="1014" spans="1:8" x14ac:dyDescent="0.2">
      <c r="A1014" s="9" t="s">
        <v>51</v>
      </c>
      <c r="C1014" t="str">
        <f t="shared" si="30"/>
        <v>"https://www.zeldadungeon.net/maps/totk/tiles/sky/6/23_14.jpg",</v>
      </c>
      <c r="H1014" t="str">
        <f t="shared" si="31"/>
        <v>23_14</v>
      </c>
    </row>
    <row r="1015" spans="1:8" x14ac:dyDescent="0.2">
      <c r="A1015" s="9" t="s">
        <v>51</v>
      </c>
      <c r="C1015" t="str">
        <f t="shared" si="30"/>
        <v>"https://www.zeldadungeon.net/maps/totk/tiles/sky/6/23_15.jpg",</v>
      </c>
      <c r="H1015" t="str">
        <f t="shared" si="31"/>
        <v>23_15</v>
      </c>
    </row>
    <row r="1016" spans="1:8" x14ac:dyDescent="0.2">
      <c r="A1016" s="9" t="s">
        <v>51</v>
      </c>
      <c r="C1016" t="str">
        <f t="shared" si="30"/>
        <v>"https://www.zeldadungeon.net/maps/totk/tiles/sky/6/23_16.jpg",</v>
      </c>
      <c r="H1016" t="str">
        <f t="shared" si="31"/>
        <v>23_16</v>
      </c>
    </row>
    <row r="1017" spans="1:8" x14ac:dyDescent="0.2">
      <c r="A1017" s="9" t="s">
        <v>51</v>
      </c>
      <c r="C1017" t="str">
        <f t="shared" si="30"/>
        <v>"https://www.zeldadungeon.net/maps/totk/tiles/sky/6/23_17.jpg",</v>
      </c>
      <c r="H1017" t="str">
        <f t="shared" si="31"/>
        <v>23_17</v>
      </c>
    </row>
    <row r="1018" spans="1:8" x14ac:dyDescent="0.2">
      <c r="A1018" s="9" t="s">
        <v>51</v>
      </c>
      <c r="C1018" t="str">
        <f t="shared" si="30"/>
        <v>"https://www.zeldadungeon.net/maps/totk/tiles/sky/6/23_18.jpg",</v>
      </c>
      <c r="H1018" t="str">
        <f t="shared" si="31"/>
        <v>23_18</v>
      </c>
    </row>
    <row r="1019" spans="1:8" x14ac:dyDescent="0.2">
      <c r="A1019" s="9" t="s">
        <v>51</v>
      </c>
      <c r="C1019" t="str">
        <f t="shared" si="30"/>
        <v>"https://www.zeldadungeon.net/maps/totk/tiles/sky/6/23_19.jpg",</v>
      </c>
      <c r="H1019" t="str">
        <f t="shared" si="31"/>
        <v>23_19</v>
      </c>
    </row>
    <row r="1020" spans="1:8" x14ac:dyDescent="0.2">
      <c r="A1020" s="9" t="s">
        <v>51</v>
      </c>
      <c r="C1020" t="str">
        <f t="shared" si="30"/>
        <v>"https://www.zeldadungeon.net/maps/totk/tiles/sky/6/23_20.jpg",</v>
      </c>
      <c r="H1020" t="str">
        <f t="shared" si="31"/>
        <v>23_20</v>
      </c>
    </row>
    <row r="1021" spans="1:8" x14ac:dyDescent="0.2">
      <c r="A1021" s="9" t="s">
        <v>51</v>
      </c>
      <c r="C1021" t="str">
        <f t="shared" si="30"/>
        <v>"https://www.zeldadungeon.net/maps/totk/tiles/sky/6/23_21.jpg",</v>
      </c>
      <c r="H1021" t="str">
        <f t="shared" si="31"/>
        <v>23_21</v>
      </c>
    </row>
    <row r="1022" spans="1:8" x14ac:dyDescent="0.2">
      <c r="A1022" s="9" t="s">
        <v>51</v>
      </c>
      <c r="C1022" t="str">
        <f t="shared" si="30"/>
        <v>"https://www.zeldadungeon.net/maps/totk/tiles/sky/6/23_22.jpg",</v>
      </c>
      <c r="H1022" t="str">
        <f t="shared" si="31"/>
        <v>23_22</v>
      </c>
    </row>
    <row r="1023" spans="1:8" x14ac:dyDescent="0.2">
      <c r="A1023" s="9" t="s">
        <v>51</v>
      </c>
      <c r="C1023" t="str">
        <f t="shared" si="30"/>
        <v>"https://www.zeldadungeon.net/maps/totk/tiles/sky/6/23_23.jpg",</v>
      </c>
      <c r="H1023" t="str">
        <f t="shared" si="31"/>
        <v>23_23</v>
      </c>
    </row>
    <row r="1024" spans="1:8" x14ac:dyDescent="0.2">
      <c r="A1024" s="9" t="s">
        <v>51</v>
      </c>
      <c r="C1024" t="str">
        <f t="shared" si="30"/>
        <v>"https://www.zeldadungeon.net/maps/totk/tiles/sky/6/23_24.jpg",</v>
      </c>
      <c r="H1024" t="str">
        <f t="shared" si="31"/>
        <v>23_24</v>
      </c>
    </row>
    <row r="1025" spans="1:8" x14ac:dyDescent="0.2">
      <c r="A1025" s="9" t="s">
        <v>51</v>
      </c>
      <c r="C1025" t="str">
        <f t="shared" ref="C1025:C1088" si="32">""""&amp;SUBSTITUTE(A1025,"zzz",H1025)&amp;""""&amp;","</f>
        <v>"https://www.zeldadungeon.net/maps/totk/tiles/sky/6/23_25.jpg",</v>
      </c>
      <c r="H1025" t="str">
        <f t="shared" ref="H1025:H1088" si="33">QUOTIENT(ROW(A1025),48)+2&amp;"_"&amp;MOD(ROW(A1025),48)+8</f>
        <v>23_25</v>
      </c>
    </row>
    <row r="1026" spans="1:8" x14ac:dyDescent="0.2">
      <c r="A1026" s="9" t="s">
        <v>51</v>
      </c>
      <c r="C1026" t="str">
        <f t="shared" si="32"/>
        <v>"https://www.zeldadungeon.net/maps/totk/tiles/sky/6/23_26.jpg",</v>
      </c>
      <c r="H1026" t="str">
        <f t="shared" si="33"/>
        <v>23_26</v>
      </c>
    </row>
    <row r="1027" spans="1:8" x14ac:dyDescent="0.2">
      <c r="A1027" s="9" t="s">
        <v>51</v>
      </c>
      <c r="C1027" t="str">
        <f t="shared" si="32"/>
        <v>"https://www.zeldadungeon.net/maps/totk/tiles/sky/6/23_27.jpg",</v>
      </c>
      <c r="H1027" t="str">
        <f t="shared" si="33"/>
        <v>23_27</v>
      </c>
    </row>
    <row r="1028" spans="1:8" x14ac:dyDescent="0.2">
      <c r="A1028" s="9" t="s">
        <v>51</v>
      </c>
      <c r="C1028" t="str">
        <f t="shared" si="32"/>
        <v>"https://www.zeldadungeon.net/maps/totk/tiles/sky/6/23_28.jpg",</v>
      </c>
      <c r="H1028" t="str">
        <f t="shared" si="33"/>
        <v>23_28</v>
      </c>
    </row>
    <row r="1029" spans="1:8" x14ac:dyDescent="0.2">
      <c r="A1029" s="9" t="s">
        <v>51</v>
      </c>
      <c r="C1029" t="str">
        <f t="shared" si="32"/>
        <v>"https://www.zeldadungeon.net/maps/totk/tiles/sky/6/23_29.jpg",</v>
      </c>
      <c r="H1029" t="str">
        <f t="shared" si="33"/>
        <v>23_29</v>
      </c>
    </row>
    <row r="1030" spans="1:8" x14ac:dyDescent="0.2">
      <c r="A1030" s="9" t="s">
        <v>51</v>
      </c>
      <c r="C1030" t="str">
        <f t="shared" si="32"/>
        <v>"https://www.zeldadungeon.net/maps/totk/tiles/sky/6/23_30.jpg",</v>
      </c>
      <c r="H1030" t="str">
        <f t="shared" si="33"/>
        <v>23_30</v>
      </c>
    </row>
    <row r="1031" spans="1:8" x14ac:dyDescent="0.2">
      <c r="A1031" s="9" t="s">
        <v>51</v>
      </c>
      <c r="C1031" t="str">
        <f t="shared" si="32"/>
        <v>"https://www.zeldadungeon.net/maps/totk/tiles/sky/6/23_31.jpg",</v>
      </c>
      <c r="H1031" t="str">
        <f t="shared" si="33"/>
        <v>23_31</v>
      </c>
    </row>
    <row r="1032" spans="1:8" x14ac:dyDescent="0.2">
      <c r="A1032" s="9" t="s">
        <v>51</v>
      </c>
      <c r="C1032" t="str">
        <f t="shared" si="32"/>
        <v>"https://www.zeldadungeon.net/maps/totk/tiles/sky/6/23_32.jpg",</v>
      </c>
      <c r="H1032" t="str">
        <f t="shared" si="33"/>
        <v>23_32</v>
      </c>
    </row>
    <row r="1033" spans="1:8" x14ac:dyDescent="0.2">
      <c r="A1033" s="9" t="s">
        <v>51</v>
      </c>
      <c r="C1033" t="str">
        <f t="shared" si="32"/>
        <v>"https://www.zeldadungeon.net/maps/totk/tiles/sky/6/23_33.jpg",</v>
      </c>
      <c r="H1033" t="str">
        <f t="shared" si="33"/>
        <v>23_33</v>
      </c>
    </row>
    <row r="1034" spans="1:8" x14ac:dyDescent="0.2">
      <c r="A1034" s="9" t="s">
        <v>51</v>
      </c>
      <c r="C1034" t="str">
        <f t="shared" si="32"/>
        <v>"https://www.zeldadungeon.net/maps/totk/tiles/sky/6/23_34.jpg",</v>
      </c>
      <c r="H1034" t="str">
        <f t="shared" si="33"/>
        <v>23_34</v>
      </c>
    </row>
    <row r="1035" spans="1:8" x14ac:dyDescent="0.2">
      <c r="A1035" s="9" t="s">
        <v>51</v>
      </c>
      <c r="C1035" t="str">
        <f t="shared" si="32"/>
        <v>"https://www.zeldadungeon.net/maps/totk/tiles/sky/6/23_35.jpg",</v>
      </c>
      <c r="H1035" t="str">
        <f t="shared" si="33"/>
        <v>23_35</v>
      </c>
    </row>
    <row r="1036" spans="1:8" x14ac:dyDescent="0.2">
      <c r="A1036" s="9" t="s">
        <v>51</v>
      </c>
      <c r="C1036" t="str">
        <f t="shared" si="32"/>
        <v>"https://www.zeldadungeon.net/maps/totk/tiles/sky/6/23_36.jpg",</v>
      </c>
      <c r="H1036" t="str">
        <f t="shared" si="33"/>
        <v>23_36</v>
      </c>
    </row>
    <row r="1037" spans="1:8" x14ac:dyDescent="0.2">
      <c r="A1037" s="9" t="s">
        <v>51</v>
      </c>
      <c r="C1037" t="str">
        <f t="shared" si="32"/>
        <v>"https://www.zeldadungeon.net/maps/totk/tiles/sky/6/23_37.jpg",</v>
      </c>
      <c r="H1037" t="str">
        <f t="shared" si="33"/>
        <v>23_37</v>
      </c>
    </row>
    <row r="1038" spans="1:8" x14ac:dyDescent="0.2">
      <c r="A1038" s="9" t="s">
        <v>51</v>
      </c>
      <c r="C1038" t="str">
        <f t="shared" si="32"/>
        <v>"https://www.zeldadungeon.net/maps/totk/tiles/sky/6/23_38.jpg",</v>
      </c>
      <c r="H1038" t="str">
        <f t="shared" si="33"/>
        <v>23_38</v>
      </c>
    </row>
    <row r="1039" spans="1:8" x14ac:dyDescent="0.2">
      <c r="A1039" s="9" t="s">
        <v>51</v>
      </c>
      <c r="C1039" t="str">
        <f t="shared" si="32"/>
        <v>"https://www.zeldadungeon.net/maps/totk/tiles/sky/6/23_39.jpg",</v>
      </c>
      <c r="H1039" t="str">
        <f t="shared" si="33"/>
        <v>23_39</v>
      </c>
    </row>
    <row r="1040" spans="1:8" x14ac:dyDescent="0.2">
      <c r="A1040" s="9" t="s">
        <v>51</v>
      </c>
      <c r="C1040" t="str">
        <f t="shared" si="32"/>
        <v>"https://www.zeldadungeon.net/maps/totk/tiles/sky/6/23_40.jpg",</v>
      </c>
      <c r="H1040" t="str">
        <f t="shared" si="33"/>
        <v>23_40</v>
      </c>
    </row>
    <row r="1041" spans="1:8" x14ac:dyDescent="0.2">
      <c r="A1041" s="9" t="s">
        <v>51</v>
      </c>
      <c r="C1041" t="str">
        <f t="shared" si="32"/>
        <v>"https://www.zeldadungeon.net/maps/totk/tiles/sky/6/23_41.jpg",</v>
      </c>
      <c r="H1041" t="str">
        <f t="shared" si="33"/>
        <v>23_41</v>
      </c>
    </row>
    <row r="1042" spans="1:8" x14ac:dyDescent="0.2">
      <c r="A1042" s="9" t="s">
        <v>51</v>
      </c>
      <c r="C1042" t="str">
        <f t="shared" si="32"/>
        <v>"https://www.zeldadungeon.net/maps/totk/tiles/sky/6/23_42.jpg",</v>
      </c>
      <c r="H1042" t="str">
        <f t="shared" si="33"/>
        <v>23_42</v>
      </c>
    </row>
    <row r="1043" spans="1:8" x14ac:dyDescent="0.2">
      <c r="A1043" s="9" t="s">
        <v>51</v>
      </c>
      <c r="C1043" t="str">
        <f t="shared" si="32"/>
        <v>"https://www.zeldadungeon.net/maps/totk/tiles/sky/6/23_43.jpg",</v>
      </c>
      <c r="H1043" t="str">
        <f t="shared" si="33"/>
        <v>23_43</v>
      </c>
    </row>
    <row r="1044" spans="1:8" x14ac:dyDescent="0.2">
      <c r="A1044" s="9" t="s">
        <v>51</v>
      </c>
      <c r="C1044" t="str">
        <f t="shared" si="32"/>
        <v>"https://www.zeldadungeon.net/maps/totk/tiles/sky/6/23_44.jpg",</v>
      </c>
      <c r="H1044" t="str">
        <f t="shared" si="33"/>
        <v>23_44</v>
      </c>
    </row>
    <row r="1045" spans="1:8" x14ac:dyDescent="0.2">
      <c r="A1045" s="9" t="s">
        <v>51</v>
      </c>
      <c r="C1045" t="str">
        <f t="shared" si="32"/>
        <v>"https://www.zeldadungeon.net/maps/totk/tiles/sky/6/23_45.jpg",</v>
      </c>
      <c r="H1045" t="str">
        <f t="shared" si="33"/>
        <v>23_45</v>
      </c>
    </row>
    <row r="1046" spans="1:8" x14ac:dyDescent="0.2">
      <c r="A1046" s="9" t="s">
        <v>51</v>
      </c>
      <c r="C1046" t="str">
        <f t="shared" si="32"/>
        <v>"https://www.zeldadungeon.net/maps/totk/tiles/sky/6/23_46.jpg",</v>
      </c>
      <c r="H1046" t="str">
        <f t="shared" si="33"/>
        <v>23_46</v>
      </c>
    </row>
    <row r="1047" spans="1:8" x14ac:dyDescent="0.2">
      <c r="A1047" s="9" t="s">
        <v>51</v>
      </c>
      <c r="C1047" t="str">
        <f t="shared" si="32"/>
        <v>"https://www.zeldadungeon.net/maps/totk/tiles/sky/6/23_47.jpg",</v>
      </c>
      <c r="H1047" t="str">
        <f t="shared" si="33"/>
        <v>23_47</v>
      </c>
    </row>
    <row r="1048" spans="1:8" x14ac:dyDescent="0.2">
      <c r="A1048" s="9" t="s">
        <v>51</v>
      </c>
      <c r="C1048" t="str">
        <f t="shared" si="32"/>
        <v>"https://www.zeldadungeon.net/maps/totk/tiles/sky/6/23_48.jpg",</v>
      </c>
      <c r="H1048" t="str">
        <f t="shared" si="33"/>
        <v>23_48</v>
      </c>
    </row>
    <row r="1049" spans="1:8" x14ac:dyDescent="0.2">
      <c r="A1049" s="9" t="s">
        <v>51</v>
      </c>
      <c r="C1049" t="str">
        <f t="shared" si="32"/>
        <v>"https://www.zeldadungeon.net/maps/totk/tiles/sky/6/23_49.jpg",</v>
      </c>
      <c r="H1049" t="str">
        <f t="shared" si="33"/>
        <v>23_49</v>
      </c>
    </row>
    <row r="1050" spans="1:8" x14ac:dyDescent="0.2">
      <c r="A1050" s="9" t="s">
        <v>51</v>
      </c>
      <c r="C1050" t="str">
        <f t="shared" si="32"/>
        <v>"https://www.zeldadungeon.net/maps/totk/tiles/sky/6/23_50.jpg",</v>
      </c>
      <c r="H1050" t="str">
        <f t="shared" si="33"/>
        <v>23_50</v>
      </c>
    </row>
    <row r="1051" spans="1:8" x14ac:dyDescent="0.2">
      <c r="A1051" s="9" t="s">
        <v>51</v>
      </c>
      <c r="C1051" t="str">
        <f t="shared" si="32"/>
        <v>"https://www.zeldadungeon.net/maps/totk/tiles/sky/6/23_51.jpg",</v>
      </c>
      <c r="H1051" t="str">
        <f t="shared" si="33"/>
        <v>23_51</v>
      </c>
    </row>
    <row r="1052" spans="1:8" x14ac:dyDescent="0.2">
      <c r="A1052" s="9" t="s">
        <v>51</v>
      </c>
      <c r="C1052" t="str">
        <f t="shared" si="32"/>
        <v>"https://www.zeldadungeon.net/maps/totk/tiles/sky/6/23_52.jpg",</v>
      </c>
      <c r="H1052" t="str">
        <f t="shared" si="33"/>
        <v>23_52</v>
      </c>
    </row>
    <row r="1053" spans="1:8" x14ac:dyDescent="0.2">
      <c r="A1053" s="9" t="s">
        <v>51</v>
      </c>
      <c r="C1053" t="str">
        <f t="shared" si="32"/>
        <v>"https://www.zeldadungeon.net/maps/totk/tiles/sky/6/23_53.jpg",</v>
      </c>
      <c r="H1053" t="str">
        <f t="shared" si="33"/>
        <v>23_53</v>
      </c>
    </row>
    <row r="1054" spans="1:8" x14ac:dyDescent="0.2">
      <c r="A1054" s="9" t="s">
        <v>51</v>
      </c>
      <c r="C1054" t="str">
        <f t="shared" si="32"/>
        <v>"https://www.zeldadungeon.net/maps/totk/tiles/sky/6/23_54.jpg",</v>
      </c>
      <c r="H1054" t="str">
        <f t="shared" si="33"/>
        <v>23_54</v>
      </c>
    </row>
    <row r="1055" spans="1:8" x14ac:dyDescent="0.2">
      <c r="A1055" s="9" t="s">
        <v>51</v>
      </c>
      <c r="C1055" t="str">
        <f t="shared" si="32"/>
        <v>"https://www.zeldadungeon.net/maps/totk/tiles/sky/6/23_55.jpg",</v>
      </c>
      <c r="H1055" t="str">
        <f t="shared" si="33"/>
        <v>23_55</v>
      </c>
    </row>
    <row r="1056" spans="1:8" x14ac:dyDescent="0.2">
      <c r="A1056" s="9" t="s">
        <v>51</v>
      </c>
      <c r="C1056" t="str">
        <f t="shared" si="32"/>
        <v>"https://www.zeldadungeon.net/maps/totk/tiles/sky/6/24_8.jpg",</v>
      </c>
      <c r="H1056" t="str">
        <f t="shared" si="33"/>
        <v>24_8</v>
      </c>
    </row>
    <row r="1057" spans="1:8" x14ac:dyDescent="0.2">
      <c r="A1057" s="9" t="s">
        <v>51</v>
      </c>
      <c r="C1057" t="str">
        <f t="shared" si="32"/>
        <v>"https://www.zeldadungeon.net/maps/totk/tiles/sky/6/24_9.jpg",</v>
      </c>
      <c r="H1057" t="str">
        <f t="shared" si="33"/>
        <v>24_9</v>
      </c>
    </row>
    <row r="1058" spans="1:8" x14ac:dyDescent="0.2">
      <c r="A1058" s="9" t="s">
        <v>51</v>
      </c>
      <c r="C1058" t="str">
        <f t="shared" si="32"/>
        <v>"https://www.zeldadungeon.net/maps/totk/tiles/sky/6/24_10.jpg",</v>
      </c>
      <c r="H1058" t="str">
        <f t="shared" si="33"/>
        <v>24_10</v>
      </c>
    </row>
    <row r="1059" spans="1:8" x14ac:dyDescent="0.2">
      <c r="A1059" s="9" t="s">
        <v>51</v>
      </c>
      <c r="C1059" t="str">
        <f t="shared" si="32"/>
        <v>"https://www.zeldadungeon.net/maps/totk/tiles/sky/6/24_11.jpg",</v>
      </c>
      <c r="H1059" t="str">
        <f t="shared" si="33"/>
        <v>24_11</v>
      </c>
    </row>
    <row r="1060" spans="1:8" x14ac:dyDescent="0.2">
      <c r="A1060" s="9" t="s">
        <v>51</v>
      </c>
      <c r="C1060" t="str">
        <f t="shared" si="32"/>
        <v>"https://www.zeldadungeon.net/maps/totk/tiles/sky/6/24_12.jpg",</v>
      </c>
      <c r="H1060" t="str">
        <f t="shared" si="33"/>
        <v>24_12</v>
      </c>
    </row>
    <row r="1061" spans="1:8" x14ac:dyDescent="0.2">
      <c r="A1061" s="9" t="s">
        <v>51</v>
      </c>
      <c r="C1061" t="str">
        <f t="shared" si="32"/>
        <v>"https://www.zeldadungeon.net/maps/totk/tiles/sky/6/24_13.jpg",</v>
      </c>
      <c r="H1061" t="str">
        <f t="shared" si="33"/>
        <v>24_13</v>
      </c>
    </row>
    <row r="1062" spans="1:8" x14ac:dyDescent="0.2">
      <c r="A1062" s="9" t="s">
        <v>51</v>
      </c>
      <c r="C1062" t="str">
        <f t="shared" si="32"/>
        <v>"https://www.zeldadungeon.net/maps/totk/tiles/sky/6/24_14.jpg",</v>
      </c>
      <c r="H1062" t="str">
        <f t="shared" si="33"/>
        <v>24_14</v>
      </c>
    </row>
    <row r="1063" spans="1:8" x14ac:dyDescent="0.2">
      <c r="A1063" s="9" t="s">
        <v>51</v>
      </c>
      <c r="C1063" t="str">
        <f t="shared" si="32"/>
        <v>"https://www.zeldadungeon.net/maps/totk/tiles/sky/6/24_15.jpg",</v>
      </c>
      <c r="H1063" t="str">
        <f t="shared" si="33"/>
        <v>24_15</v>
      </c>
    </row>
    <row r="1064" spans="1:8" x14ac:dyDescent="0.2">
      <c r="A1064" s="9" t="s">
        <v>51</v>
      </c>
      <c r="C1064" t="str">
        <f t="shared" si="32"/>
        <v>"https://www.zeldadungeon.net/maps/totk/tiles/sky/6/24_16.jpg",</v>
      </c>
      <c r="H1064" t="str">
        <f t="shared" si="33"/>
        <v>24_16</v>
      </c>
    </row>
    <row r="1065" spans="1:8" x14ac:dyDescent="0.2">
      <c r="A1065" s="9" t="s">
        <v>51</v>
      </c>
      <c r="C1065" t="str">
        <f t="shared" si="32"/>
        <v>"https://www.zeldadungeon.net/maps/totk/tiles/sky/6/24_17.jpg",</v>
      </c>
      <c r="H1065" t="str">
        <f t="shared" si="33"/>
        <v>24_17</v>
      </c>
    </row>
    <row r="1066" spans="1:8" x14ac:dyDescent="0.2">
      <c r="A1066" s="9" t="s">
        <v>51</v>
      </c>
      <c r="C1066" t="str">
        <f t="shared" si="32"/>
        <v>"https://www.zeldadungeon.net/maps/totk/tiles/sky/6/24_18.jpg",</v>
      </c>
      <c r="H1066" t="str">
        <f t="shared" si="33"/>
        <v>24_18</v>
      </c>
    </row>
    <row r="1067" spans="1:8" x14ac:dyDescent="0.2">
      <c r="A1067" s="9" t="s">
        <v>51</v>
      </c>
      <c r="C1067" t="str">
        <f t="shared" si="32"/>
        <v>"https://www.zeldadungeon.net/maps/totk/tiles/sky/6/24_19.jpg",</v>
      </c>
      <c r="H1067" t="str">
        <f t="shared" si="33"/>
        <v>24_19</v>
      </c>
    </row>
    <row r="1068" spans="1:8" x14ac:dyDescent="0.2">
      <c r="A1068" s="9" t="s">
        <v>51</v>
      </c>
      <c r="C1068" t="str">
        <f t="shared" si="32"/>
        <v>"https://www.zeldadungeon.net/maps/totk/tiles/sky/6/24_20.jpg",</v>
      </c>
      <c r="H1068" t="str">
        <f t="shared" si="33"/>
        <v>24_20</v>
      </c>
    </row>
    <row r="1069" spans="1:8" x14ac:dyDescent="0.2">
      <c r="A1069" s="9" t="s">
        <v>51</v>
      </c>
      <c r="C1069" t="str">
        <f t="shared" si="32"/>
        <v>"https://www.zeldadungeon.net/maps/totk/tiles/sky/6/24_21.jpg",</v>
      </c>
      <c r="H1069" t="str">
        <f t="shared" si="33"/>
        <v>24_21</v>
      </c>
    </row>
    <row r="1070" spans="1:8" x14ac:dyDescent="0.2">
      <c r="A1070" s="9" t="s">
        <v>51</v>
      </c>
      <c r="C1070" t="str">
        <f t="shared" si="32"/>
        <v>"https://www.zeldadungeon.net/maps/totk/tiles/sky/6/24_22.jpg",</v>
      </c>
      <c r="H1070" t="str">
        <f t="shared" si="33"/>
        <v>24_22</v>
      </c>
    </row>
    <row r="1071" spans="1:8" x14ac:dyDescent="0.2">
      <c r="A1071" s="9" t="s">
        <v>51</v>
      </c>
      <c r="C1071" t="str">
        <f t="shared" si="32"/>
        <v>"https://www.zeldadungeon.net/maps/totk/tiles/sky/6/24_23.jpg",</v>
      </c>
      <c r="H1071" t="str">
        <f t="shared" si="33"/>
        <v>24_23</v>
      </c>
    </row>
    <row r="1072" spans="1:8" x14ac:dyDescent="0.2">
      <c r="A1072" s="9" t="s">
        <v>51</v>
      </c>
      <c r="C1072" t="str">
        <f t="shared" si="32"/>
        <v>"https://www.zeldadungeon.net/maps/totk/tiles/sky/6/24_24.jpg",</v>
      </c>
      <c r="H1072" t="str">
        <f t="shared" si="33"/>
        <v>24_24</v>
      </c>
    </row>
    <row r="1073" spans="1:8" x14ac:dyDescent="0.2">
      <c r="A1073" s="9" t="s">
        <v>51</v>
      </c>
      <c r="C1073" t="str">
        <f t="shared" si="32"/>
        <v>"https://www.zeldadungeon.net/maps/totk/tiles/sky/6/24_25.jpg",</v>
      </c>
      <c r="H1073" t="str">
        <f t="shared" si="33"/>
        <v>24_25</v>
      </c>
    </row>
    <row r="1074" spans="1:8" x14ac:dyDescent="0.2">
      <c r="A1074" s="9" t="s">
        <v>51</v>
      </c>
      <c r="C1074" t="str">
        <f t="shared" si="32"/>
        <v>"https://www.zeldadungeon.net/maps/totk/tiles/sky/6/24_26.jpg",</v>
      </c>
      <c r="H1074" t="str">
        <f t="shared" si="33"/>
        <v>24_26</v>
      </c>
    </row>
    <row r="1075" spans="1:8" x14ac:dyDescent="0.2">
      <c r="A1075" s="9" t="s">
        <v>51</v>
      </c>
      <c r="C1075" t="str">
        <f t="shared" si="32"/>
        <v>"https://www.zeldadungeon.net/maps/totk/tiles/sky/6/24_27.jpg",</v>
      </c>
      <c r="H1075" t="str">
        <f t="shared" si="33"/>
        <v>24_27</v>
      </c>
    </row>
    <row r="1076" spans="1:8" x14ac:dyDescent="0.2">
      <c r="A1076" s="9" t="s">
        <v>51</v>
      </c>
      <c r="C1076" t="str">
        <f t="shared" si="32"/>
        <v>"https://www.zeldadungeon.net/maps/totk/tiles/sky/6/24_28.jpg",</v>
      </c>
      <c r="H1076" t="str">
        <f t="shared" si="33"/>
        <v>24_28</v>
      </c>
    </row>
    <row r="1077" spans="1:8" x14ac:dyDescent="0.2">
      <c r="A1077" s="9" t="s">
        <v>51</v>
      </c>
      <c r="C1077" t="str">
        <f t="shared" si="32"/>
        <v>"https://www.zeldadungeon.net/maps/totk/tiles/sky/6/24_29.jpg",</v>
      </c>
      <c r="H1077" t="str">
        <f t="shared" si="33"/>
        <v>24_29</v>
      </c>
    </row>
    <row r="1078" spans="1:8" x14ac:dyDescent="0.2">
      <c r="A1078" s="9" t="s">
        <v>51</v>
      </c>
      <c r="C1078" t="str">
        <f t="shared" si="32"/>
        <v>"https://www.zeldadungeon.net/maps/totk/tiles/sky/6/24_30.jpg",</v>
      </c>
      <c r="H1078" t="str">
        <f t="shared" si="33"/>
        <v>24_30</v>
      </c>
    </row>
    <row r="1079" spans="1:8" x14ac:dyDescent="0.2">
      <c r="A1079" s="9" t="s">
        <v>51</v>
      </c>
      <c r="C1079" t="str">
        <f t="shared" si="32"/>
        <v>"https://www.zeldadungeon.net/maps/totk/tiles/sky/6/24_31.jpg",</v>
      </c>
      <c r="H1079" t="str">
        <f t="shared" si="33"/>
        <v>24_31</v>
      </c>
    </row>
    <row r="1080" spans="1:8" x14ac:dyDescent="0.2">
      <c r="A1080" s="9" t="s">
        <v>51</v>
      </c>
      <c r="C1080" t="str">
        <f t="shared" si="32"/>
        <v>"https://www.zeldadungeon.net/maps/totk/tiles/sky/6/24_32.jpg",</v>
      </c>
      <c r="H1080" t="str">
        <f t="shared" si="33"/>
        <v>24_32</v>
      </c>
    </row>
    <row r="1081" spans="1:8" x14ac:dyDescent="0.2">
      <c r="A1081" s="9" t="s">
        <v>51</v>
      </c>
      <c r="C1081" t="str">
        <f t="shared" si="32"/>
        <v>"https://www.zeldadungeon.net/maps/totk/tiles/sky/6/24_33.jpg",</v>
      </c>
      <c r="H1081" t="str">
        <f t="shared" si="33"/>
        <v>24_33</v>
      </c>
    </row>
    <row r="1082" spans="1:8" x14ac:dyDescent="0.2">
      <c r="A1082" s="9" t="s">
        <v>51</v>
      </c>
      <c r="C1082" t="str">
        <f t="shared" si="32"/>
        <v>"https://www.zeldadungeon.net/maps/totk/tiles/sky/6/24_34.jpg",</v>
      </c>
      <c r="H1082" t="str">
        <f t="shared" si="33"/>
        <v>24_34</v>
      </c>
    </row>
    <row r="1083" spans="1:8" x14ac:dyDescent="0.2">
      <c r="A1083" s="9" t="s">
        <v>51</v>
      </c>
      <c r="C1083" t="str">
        <f t="shared" si="32"/>
        <v>"https://www.zeldadungeon.net/maps/totk/tiles/sky/6/24_35.jpg",</v>
      </c>
      <c r="H1083" t="str">
        <f t="shared" si="33"/>
        <v>24_35</v>
      </c>
    </row>
    <row r="1084" spans="1:8" x14ac:dyDescent="0.2">
      <c r="A1084" s="9" t="s">
        <v>51</v>
      </c>
      <c r="C1084" t="str">
        <f t="shared" si="32"/>
        <v>"https://www.zeldadungeon.net/maps/totk/tiles/sky/6/24_36.jpg",</v>
      </c>
      <c r="H1084" t="str">
        <f t="shared" si="33"/>
        <v>24_36</v>
      </c>
    </row>
    <row r="1085" spans="1:8" x14ac:dyDescent="0.2">
      <c r="A1085" s="9" t="s">
        <v>51</v>
      </c>
      <c r="C1085" t="str">
        <f t="shared" si="32"/>
        <v>"https://www.zeldadungeon.net/maps/totk/tiles/sky/6/24_37.jpg",</v>
      </c>
      <c r="H1085" t="str">
        <f t="shared" si="33"/>
        <v>24_37</v>
      </c>
    </row>
    <row r="1086" spans="1:8" x14ac:dyDescent="0.2">
      <c r="A1086" s="9" t="s">
        <v>51</v>
      </c>
      <c r="C1086" t="str">
        <f t="shared" si="32"/>
        <v>"https://www.zeldadungeon.net/maps/totk/tiles/sky/6/24_38.jpg",</v>
      </c>
      <c r="H1086" t="str">
        <f t="shared" si="33"/>
        <v>24_38</v>
      </c>
    </row>
    <row r="1087" spans="1:8" x14ac:dyDescent="0.2">
      <c r="A1087" s="9" t="s">
        <v>51</v>
      </c>
      <c r="C1087" t="str">
        <f t="shared" si="32"/>
        <v>"https://www.zeldadungeon.net/maps/totk/tiles/sky/6/24_39.jpg",</v>
      </c>
      <c r="H1087" t="str">
        <f t="shared" si="33"/>
        <v>24_39</v>
      </c>
    </row>
    <row r="1088" spans="1:8" x14ac:dyDescent="0.2">
      <c r="A1088" s="9" t="s">
        <v>51</v>
      </c>
      <c r="C1088" t="str">
        <f t="shared" si="32"/>
        <v>"https://www.zeldadungeon.net/maps/totk/tiles/sky/6/24_40.jpg",</v>
      </c>
      <c r="H1088" t="str">
        <f t="shared" si="33"/>
        <v>24_40</v>
      </c>
    </row>
    <row r="1089" spans="1:8" x14ac:dyDescent="0.2">
      <c r="A1089" s="9" t="s">
        <v>51</v>
      </c>
      <c r="C1089" t="str">
        <f t="shared" ref="C1089:C1152" si="34">""""&amp;SUBSTITUTE(A1089,"zzz",H1089)&amp;""""&amp;","</f>
        <v>"https://www.zeldadungeon.net/maps/totk/tiles/sky/6/24_41.jpg",</v>
      </c>
      <c r="H1089" t="str">
        <f t="shared" ref="H1089:H1152" si="35">QUOTIENT(ROW(A1089),48)+2&amp;"_"&amp;MOD(ROW(A1089),48)+8</f>
        <v>24_41</v>
      </c>
    </row>
    <row r="1090" spans="1:8" x14ac:dyDescent="0.2">
      <c r="A1090" s="9" t="s">
        <v>51</v>
      </c>
      <c r="C1090" t="str">
        <f t="shared" si="34"/>
        <v>"https://www.zeldadungeon.net/maps/totk/tiles/sky/6/24_42.jpg",</v>
      </c>
      <c r="H1090" t="str">
        <f t="shared" si="35"/>
        <v>24_42</v>
      </c>
    </row>
    <row r="1091" spans="1:8" x14ac:dyDescent="0.2">
      <c r="A1091" s="9" t="s">
        <v>51</v>
      </c>
      <c r="C1091" t="str">
        <f t="shared" si="34"/>
        <v>"https://www.zeldadungeon.net/maps/totk/tiles/sky/6/24_43.jpg",</v>
      </c>
      <c r="H1091" t="str">
        <f t="shared" si="35"/>
        <v>24_43</v>
      </c>
    </row>
    <row r="1092" spans="1:8" x14ac:dyDescent="0.2">
      <c r="A1092" s="9" t="s">
        <v>51</v>
      </c>
      <c r="C1092" t="str">
        <f t="shared" si="34"/>
        <v>"https://www.zeldadungeon.net/maps/totk/tiles/sky/6/24_44.jpg",</v>
      </c>
      <c r="H1092" t="str">
        <f t="shared" si="35"/>
        <v>24_44</v>
      </c>
    </row>
    <row r="1093" spans="1:8" x14ac:dyDescent="0.2">
      <c r="A1093" s="9" t="s">
        <v>51</v>
      </c>
      <c r="C1093" t="str">
        <f t="shared" si="34"/>
        <v>"https://www.zeldadungeon.net/maps/totk/tiles/sky/6/24_45.jpg",</v>
      </c>
      <c r="H1093" t="str">
        <f t="shared" si="35"/>
        <v>24_45</v>
      </c>
    </row>
    <row r="1094" spans="1:8" x14ac:dyDescent="0.2">
      <c r="A1094" s="9" t="s">
        <v>51</v>
      </c>
      <c r="C1094" t="str">
        <f t="shared" si="34"/>
        <v>"https://www.zeldadungeon.net/maps/totk/tiles/sky/6/24_46.jpg",</v>
      </c>
      <c r="H1094" t="str">
        <f t="shared" si="35"/>
        <v>24_46</v>
      </c>
    </row>
    <row r="1095" spans="1:8" x14ac:dyDescent="0.2">
      <c r="A1095" s="9" t="s">
        <v>51</v>
      </c>
      <c r="C1095" t="str">
        <f t="shared" si="34"/>
        <v>"https://www.zeldadungeon.net/maps/totk/tiles/sky/6/24_47.jpg",</v>
      </c>
      <c r="H1095" t="str">
        <f t="shared" si="35"/>
        <v>24_47</v>
      </c>
    </row>
    <row r="1096" spans="1:8" x14ac:dyDescent="0.2">
      <c r="A1096" s="9" t="s">
        <v>51</v>
      </c>
      <c r="C1096" t="str">
        <f t="shared" si="34"/>
        <v>"https://www.zeldadungeon.net/maps/totk/tiles/sky/6/24_48.jpg",</v>
      </c>
      <c r="H1096" t="str">
        <f t="shared" si="35"/>
        <v>24_48</v>
      </c>
    </row>
    <row r="1097" spans="1:8" x14ac:dyDescent="0.2">
      <c r="A1097" s="9" t="s">
        <v>51</v>
      </c>
      <c r="C1097" t="str">
        <f t="shared" si="34"/>
        <v>"https://www.zeldadungeon.net/maps/totk/tiles/sky/6/24_49.jpg",</v>
      </c>
      <c r="H1097" t="str">
        <f t="shared" si="35"/>
        <v>24_49</v>
      </c>
    </row>
    <row r="1098" spans="1:8" x14ac:dyDescent="0.2">
      <c r="A1098" s="9" t="s">
        <v>51</v>
      </c>
      <c r="C1098" t="str">
        <f t="shared" si="34"/>
        <v>"https://www.zeldadungeon.net/maps/totk/tiles/sky/6/24_50.jpg",</v>
      </c>
      <c r="H1098" t="str">
        <f t="shared" si="35"/>
        <v>24_50</v>
      </c>
    </row>
    <row r="1099" spans="1:8" x14ac:dyDescent="0.2">
      <c r="A1099" s="9" t="s">
        <v>51</v>
      </c>
      <c r="C1099" t="str">
        <f t="shared" si="34"/>
        <v>"https://www.zeldadungeon.net/maps/totk/tiles/sky/6/24_51.jpg",</v>
      </c>
      <c r="H1099" t="str">
        <f t="shared" si="35"/>
        <v>24_51</v>
      </c>
    </row>
    <row r="1100" spans="1:8" x14ac:dyDescent="0.2">
      <c r="A1100" s="9" t="s">
        <v>51</v>
      </c>
      <c r="C1100" t="str">
        <f t="shared" si="34"/>
        <v>"https://www.zeldadungeon.net/maps/totk/tiles/sky/6/24_52.jpg",</v>
      </c>
      <c r="H1100" t="str">
        <f t="shared" si="35"/>
        <v>24_52</v>
      </c>
    </row>
    <row r="1101" spans="1:8" x14ac:dyDescent="0.2">
      <c r="A1101" s="9" t="s">
        <v>51</v>
      </c>
      <c r="C1101" t="str">
        <f t="shared" si="34"/>
        <v>"https://www.zeldadungeon.net/maps/totk/tiles/sky/6/24_53.jpg",</v>
      </c>
      <c r="H1101" t="str">
        <f t="shared" si="35"/>
        <v>24_53</v>
      </c>
    </row>
    <row r="1102" spans="1:8" x14ac:dyDescent="0.2">
      <c r="A1102" s="9" t="s">
        <v>51</v>
      </c>
      <c r="C1102" t="str">
        <f t="shared" si="34"/>
        <v>"https://www.zeldadungeon.net/maps/totk/tiles/sky/6/24_54.jpg",</v>
      </c>
      <c r="H1102" t="str">
        <f t="shared" si="35"/>
        <v>24_54</v>
      </c>
    </row>
    <row r="1103" spans="1:8" x14ac:dyDescent="0.2">
      <c r="A1103" s="9" t="s">
        <v>51</v>
      </c>
      <c r="C1103" t="str">
        <f t="shared" si="34"/>
        <v>"https://www.zeldadungeon.net/maps/totk/tiles/sky/6/24_55.jpg",</v>
      </c>
      <c r="H1103" t="str">
        <f t="shared" si="35"/>
        <v>24_55</v>
      </c>
    </row>
    <row r="1104" spans="1:8" x14ac:dyDescent="0.2">
      <c r="A1104" s="9" t="s">
        <v>51</v>
      </c>
      <c r="C1104" t="str">
        <f t="shared" si="34"/>
        <v>"https://www.zeldadungeon.net/maps/totk/tiles/sky/6/25_8.jpg",</v>
      </c>
      <c r="H1104" t="str">
        <f t="shared" si="35"/>
        <v>25_8</v>
      </c>
    </row>
    <row r="1105" spans="1:8" x14ac:dyDescent="0.2">
      <c r="A1105" s="9" t="s">
        <v>51</v>
      </c>
      <c r="C1105" t="str">
        <f t="shared" si="34"/>
        <v>"https://www.zeldadungeon.net/maps/totk/tiles/sky/6/25_9.jpg",</v>
      </c>
      <c r="H1105" t="str">
        <f t="shared" si="35"/>
        <v>25_9</v>
      </c>
    </row>
    <row r="1106" spans="1:8" x14ac:dyDescent="0.2">
      <c r="A1106" s="9" t="s">
        <v>51</v>
      </c>
      <c r="C1106" t="str">
        <f t="shared" si="34"/>
        <v>"https://www.zeldadungeon.net/maps/totk/tiles/sky/6/25_10.jpg",</v>
      </c>
      <c r="H1106" t="str">
        <f t="shared" si="35"/>
        <v>25_10</v>
      </c>
    </row>
    <row r="1107" spans="1:8" x14ac:dyDescent="0.2">
      <c r="A1107" s="9" t="s">
        <v>51</v>
      </c>
      <c r="C1107" t="str">
        <f t="shared" si="34"/>
        <v>"https://www.zeldadungeon.net/maps/totk/tiles/sky/6/25_11.jpg",</v>
      </c>
      <c r="H1107" t="str">
        <f t="shared" si="35"/>
        <v>25_11</v>
      </c>
    </row>
    <row r="1108" spans="1:8" x14ac:dyDescent="0.2">
      <c r="A1108" s="9" t="s">
        <v>51</v>
      </c>
      <c r="C1108" t="str">
        <f t="shared" si="34"/>
        <v>"https://www.zeldadungeon.net/maps/totk/tiles/sky/6/25_12.jpg",</v>
      </c>
      <c r="H1108" t="str">
        <f t="shared" si="35"/>
        <v>25_12</v>
      </c>
    </row>
    <row r="1109" spans="1:8" x14ac:dyDescent="0.2">
      <c r="A1109" s="9" t="s">
        <v>51</v>
      </c>
      <c r="C1109" t="str">
        <f t="shared" si="34"/>
        <v>"https://www.zeldadungeon.net/maps/totk/tiles/sky/6/25_13.jpg",</v>
      </c>
      <c r="H1109" t="str">
        <f t="shared" si="35"/>
        <v>25_13</v>
      </c>
    </row>
    <row r="1110" spans="1:8" x14ac:dyDescent="0.2">
      <c r="A1110" s="9" t="s">
        <v>51</v>
      </c>
      <c r="C1110" t="str">
        <f t="shared" si="34"/>
        <v>"https://www.zeldadungeon.net/maps/totk/tiles/sky/6/25_14.jpg",</v>
      </c>
      <c r="H1110" t="str">
        <f t="shared" si="35"/>
        <v>25_14</v>
      </c>
    </row>
    <row r="1111" spans="1:8" x14ac:dyDescent="0.2">
      <c r="A1111" s="9" t="s">
        <v>51</v>
      </c>
      <c r="C1111" t="str">
        <f t="shared" si="34"/>
        <v>"https://www.zeldadungeon.net/maps/totk/tiles/sky/6/25_15.jpg",</v>
      </c>
      <c r="H1111" t="str">
        <f t="shared" si="35"/>
        <v>25_15</v>
      </c>
    </row>
    <row r="1112" spans="1:8" x14ac:dyDescent="0.2">
      <c r="A1112" s="9" t="s">
        <v>51</v>
      </c>
      <c r="C1112" t="str">
        <f t="shared" si="34"/>
        <v>"https://www.zeldadungeon.net/maps/totk/tiles/sky/6/25_16.jpg",</v>
      </c>
      <c r="H1112" t="str">
        <f t="shared" si="35"/>
        <v>25_16</v>
      </c>
    </row>
    <row r="1113" spans="1:8" x14ac:dyDescent="0.2">
      <c r="A1113" s="9" t="s">
        <v>51</v>
      </c>
      <c r="C1113" t="str">
        <f t="shared" si="34"/>
        <v>"https://www.zeldadungeon.net/maps/totk/tiles/sky/6/25_17.jpg",</v>
      </c>
      <c r="H1113" t="str">
        <f t="shared" si="35"/>
        <v>25_17</v>
      </c>
    </row>
    <row r="1114" spans="1:8" x14ac:dyDescent="0.2">
      <c r="A1114" s="9" t="s">
        <v>51</v>
      </c>
      <c r="C1114" t="str">
        <f t="shared" si="34"/>
        <v>"https://www.zeldadungeon.net/maps/totk/tiles/sky/6/25_18.jpg",</v>
      </c>
      <c r="H1114" t="str">
        <f t="shared" si="35"/>
        <v>25_18</v>
      </c>
    </row>
    <row r="1115" spans="1:8" x14ac:dyDescent="0.2">
      <c r="A1115" s="9" t="s">
        <v>51</v>
      </c>
      <c r="C1115" t="str">
        <f t="shared" si="34"/>
        <v>"https://www.zeldadungeon.net/maps/totk/tiles/sky/6/25_19.jpg",</v>
      </c>
      <c r="H1115" t="str">
        <f t="shared" si="35"/>
        <v>25_19</v>
      </c>
    </row>
    <row r="1116" spans="1:8" x14ac:dyDescent="0.2">
      <c r="A1116" s="9" t="s">
        <v>51</v>
      </c>
      <c r="C1116" t="str">
        <f t="shared" si="34"/>
        <v>"https://www.zeldadungeon.net/maps/totk/tiles/sky/6/25_20.jpg",</v>
      </c>
      <c r="H1116" t="str">
        <f t="shared" si="35"/>
        <v>25_20</v>
      </c>
    </row>
    <row r="1117" spans="1:8" x14ac:dyDescent="0.2">
      <c r="A1117" s="9" t="s">
        <v>51</v>
      </c>
      <c r="C1117" t="str">
        <f t="shared" si="34"/>
        <v>"https://www.zeldadungeon.net/maps/totk/tiles/sky/6/25_21.jpg",</v>
      </c>
      <c r="H1117" t="str">
        <f t="shared" si="35"/>
        <v>25_21</v>
      </c>
    </row>
    <row r="1118" spans="1:8" x14ac:dyDescent="0.2">
      <c r="A1118" s="9" t="s">
        <v>51</v>
      </c>
      <c r="C1118" t="str">
        <f t="shared" si="34"/>
        <v>"https://www.zeldadungeon.net/maps/totk/tiles/sky/6/25_22.jpg",</v>
      </c>
      <c r="H1118" t="str">
        <f t="shared" si="35"/>
        <v>25_22</v>
      </c>
    </row>
    <row r="1119" spans="1:8" x14ac:dyDescent="0.2">
      <c r="A1119" s="9" t="s">
        <v>51</v>
      </c>
      <c r="C1119" t="str">
        <f t="shared" si="34"/>
        <v>"https://www.zeldadungeon.net/maps/totk/tiles/sky/6/25_23.jpg",</v>
      </c>
      <c r="H1119" t="str">
        <f t="shared" si="35"/>
        <v>25_23</v>
      </c>
    </row>
    <row r="1120" spans="1:8" x14ac:dyDescent="0.2">
      <c r="A1120" s="9" t="s">
        <v>51</v>
      </c>
      <c r="C1120" t="str">
        <f t="shared" si="34"/>
        <v>"https://www.zeldadungeon.net/maps/totk/tiles/sky/6/25_24.jpg",</v>
      </c>
      <c r="H1120" t="str">
        <f t="shared" si="35"/>
        <v>25_24</v>
      </c>
    </row>
    <row r="1121" spans="1:8" x14ac:dyDescent="0.2">
      <c r="A1121" s="9" t="s">
        <v>51</v>
      </c>
      <c r="C1121" t="str">
        <f t="shared" si="34"/>
        <v>"https://www.zeldadungeon.net/maps/totk/tiles/sky/6/25_25.jpg",</v>
      </c>
      <c r="H1121" t="str">
        <f t="shared" si="35"/>
        <v>25_25</v>
      </c>
    </row>
    <row r="1122" spans="1:8" x14ac:dyDescent="0.2">
      <c r="A1122" s="9" t="s">
        <v>51</v>
      </c>
      <c r="C1122" t="str">
        <f t="shared" si="34"/>
        <v>"https://www.zeldadungeon.net/maps/totk/tiles/sky/6/25_26.jpg",</v>
      </c>
      <c r="H1122" t="str">
        <f t="shared" si="35"/>
        <v>25_26</v>
      </c>
    </row>
    <row r="1123" spans="1:8" x14ac:dyDescent="0.2">
      <c r="A1123" s="9" t="s">
        <v>51</v>
      </c>
      <c r="C1123" t="str">
        <f t="shared" si="34"/>
        <v>"https://www.zeldadungeon.net/maps/totk/tiles/sky/6/25_27.jpg",</v>
      </c>
      <c r="H1123" t="str">
        <f t="shared" si="35"/>
        <v>25_27</v>
      </c>
    </row>
    <row r="1124" spans="1:8" x14ac:dyDescent="0.2">
      <c r="A1124" s="9" t="s">
        <v>51</v>
      </c>
      <c r="C1124" t="str">
        <f t="shared" si="34"/>
        <v>"https://www.zeldadungeon.net/maps/totk/tiles/sky/6/25_28.jpg",</v>
      </c>
      <c r="H1124" t="str">
        <f t="shared" si="35"/>
        <v>25_28</v>
      </c>
    </row>
    <row r="1125" spans="1:8" x14ac:dyDescent="0.2">
      <c r="A1125" s="9" t="s">
        <v>51</v>
      </c>
      <c r="C1125" t="str">
        <f t="shared" si="34"/>
        <v>"https://www.zeldadungeon.net/maps/totk/tiles/sky/6/25_29.jpg",</v>
      </c>
      <c r="H1125" t="str">
        <f t="shared" si="35"/>
        <v>25_29</v>
      </c>
    </row>
    <row r="1126" spans="1:8" x14ac:dyDescent="0.2">
      <c r="A1126" s="9" t="s">
        <v>51</v>
      </c>
      <c r="C1126" t="str">
        <f t="shared" si="34"/>
        <v>"https://www.zeldadungeon.net/maps/totk/tiles/sky/6/25_30.jpg",</v>
      </c>
      <c r="H1126" t="str">
        <f t="shared" si="35"/>
        <v>25_30</v>
      </c>
    </row>
    <row r="1127" spans="1:8" x14ac:dyDescent="0.2">
      <c r="A1127" s="9" t="s">
        <v>51</v>
      </c>
      <c r="C1127" t="str">
        <f t="shared" si="34"/>
        <v>"https://www.zeldadungeon.net/maps/totk/tiles/sky/6/25_31.jpg",</v>
      </c>
      <c r="H1127" t="str">
        <f t="shared" si="35"/>
        <v>25_31</v>
      </c>
    </row>
    <row r="1128" spans="1:8" x14ac:dyDescent="0.2">
      <c r="A1128" s="9" t="s">
        <v>51</v>
      </c>
      <c r="C1128" t="str">
        <f t="shared" si="34"/>
        <v>"https://www.zeldadungeon.net/maps/totk/tiles/sky/6/25_32.jpg",</v>
      </c>
      <c r="H1128" t="str">
        <f t="shared" si="35"/>
        <v>25_32</v>
      </c>
    </row>
    <row r="1129" spans="1:8" x14ac:dyDescent="0.2">
      <c r="A1129" s="9" t="s">
        <v>51</v>
      </c>
      <c r="C1129" t="str">
        <f t="shared" si="34"/>
        <v>"https://www.zeldadungeon.net/maps/totk/tiles/sky/6/25_33.jpg",</v>
      </c>
      <c r="H1129" t="str">
        <f t="shared" si="35"/>
        <v>25_33</v>
      </c>
    </row>
    <row r="1130" spans="1:8" x14ac:dyDescent="0.2">
      <c r="A1130" s="9" t="s">
        <v>51</v>
      </c>
      <c r="C1130" t="str">
        <f t="shared" si="34"/>
        <v>"https://www.zeldadungeon.net/maps/totk/tiles/sky/6/25_34.jpg",</v>
      </c>
      <c r="H1130" t="str">
        <f t="shared" si="35"/>
        <v>25_34</v>
      </c>
    </row>
    <row r="1131" spans="1:8" x14ac:dyDescent="0.2">
      <c r="A1131" s="9" t="s">
        <v>51</v>
      </c>
      <c r="C1131" t="str">
        <f t="shared" si="34"/>
        <v>"https://www.zeldadungeon.net/maps/totk/tiles/sky/6/25_35.jpg",</v>
      </c>
      <c r="H1131" t="str">
        <f t="shared" si="35"/>
        <v>25_35</v>
      </c>
    </row>
    <row r="1132" spans="1:8" x14ac:dyDescent="0.2">
      <c r="A1132" s="9" t="s">
        <v>51</v>
      </c>
      <c r="C1132" t="str">
        <f t="shared" si="34"/>
        <v>"https://www.zeldadungeon.net/maps/totk/tiles/sky/6/25_36.jpg",</v>
      </c>
      <c r="H1132" t="str">
        <f t="shared" si="35"/>
        <v>25_36</v>
      </c>
    </row>
    <row r="1133" spans="1:8" x14ac:dyDescent="0.2">
      <c r="A1133" s="9" t="s">
        <v>51</v>
      </c>
      <c r="C1133" t="str">
        <f t="shared" si="34"/>
        <v>"https://www.zeldadungeon.net/maps/totk/tiles/sky/6/25_37.jpg",</v>
      </c>
      <c r="H1133" t="str">
        <f t="shared" si="35"/>
        <v>25_37</v>
      </c>
    </row>
    <row r="1134" spans="1:8" x14ac:dyDescent="0.2">
      <c r="A1134" s="9" t="s">
        <v>51</v>
      </c>
      <c r="C1134" t="str">
        <f t="shared" si="34"/>
        <v>"https://www.zeldadungeon.net/maps/totk/tiles/sky/6/25_38.jpg",</v>
      </c>
      <c r="H1134" t="str">
        <f t="shared" si="35"/>
        <v>25_38</v>
      </c>
    </row>
    <row r="1135" spans="1:8" x14ac:dyDescent="0.2">
      <c r="A1135" s="9" t="s">
        <v>51</v>
      </c>
      <c r="C1135" t="str">
        <f t="shared" si="34"/>
        <v>"https://www.zeldadungeon.net/maps/totk/tiles/sky/6/25_39.jpg",</v>
      </c>
      <c r="H1135" t="str">
        <f t="shared" si="35"/>
        <v>25_39</v>
      </c>
    </row>
    <row r="1136" spans="1:8" x14ac:dyDescent="0.2">
      <c r="A1136" s="9" t="s">
        <v>51</v>
      </c>
      <c r="C1136" t="str">
        <f t="shared" si="34"/>
        <v>"https://www.zeldadungeon.net/maps/totk/tiles/sky/6/25_40.jpg",</v>
      </c>
      <c r="H1136" t="str">
        <f t="shared" si="35"/>
        <v>25_40</v>
      </c>
    </row>
    <row r="1137" spans="1:8" x14ac:dyDescent="0.2">
      <c r="A1137" s="9" t="s">
        <v>51</v>
      </c>
      <c r="C1137" t="str">
        <f t="shared" si="34"/>
        <v>"https://www.zeldadungeon.net/maps/totk/tiles/sky/6/25_41.jpg",</v>
      </c>
      <c r="H1137" t="str">
        <f t="shared" si="35"/>
        <v>25_41</v>
      </c>
    </row>
    <row r="1138" spans="1:8" x14ac:dyDescent="0.2">
      <c r="A1138" s="9" t="s">
        <v>51</v>
      </c>
      <c r="C1138" t="str">
        <f t="shared" si="34"/>
        <v>"https://www.zeldadungeon.net/maps/totk/tiles/sky/6/25_42.jpg",</v>
      </c>
      <c r="H1138" t="str">
        <f t="shared" si="35"/>
        <v>25_42</v>
      </c>
    </row>
    <row r="1139" spans="1:8" x14ac:dyDescent="0.2">
      <c r="A1139" s="9" t="s">
        <v>51</v>
      </c>
      <c r="C1139" t="str">
        <f t="shared" si="34"/>
        <v>"https://www.zeldadungeon.net/maps/totk/tiles/sky/6/25_43.jpg",</v>
      </c>
      <c r="H1139" t="str">
        <f t="shared" si="35"/>
        <v>25_43</v>
      </c>
    </row>
    <row r="1140" spans="1:8" x14ac:dyDescent="0.2">
      <c r="A1140" s="9" t="s">
        <v>51</v>
      </c>
      <c r="C1140" t="str">
        <f t="shared" si="34"/>
        <v>"https://www.zeldadungeon.net/maps/totk/tiles/sky/6/25_44.jpg",</v>
      </c>
      <c r="H1140" t="str">
        <f t="shared" si="35"/>
        <v>25_44</v>
      </c>
    </row>
    <row r="1141" spans="1:8" x14ac:dyDescent="0.2">
      <c r="A1141" s="9" t="s">
        <v>51</v>
      </c>
      <c r="C1141" t="str">
        <f t="shared" si="34"/>
        <v>"https://www.zeldadungeon.net/maps/totk/tiles/sky/6/25_45.jpg",</v>
      </c>
      <c r="H1141" t="str">
        <f t="shared" si="35"/>
        <v>25_45</v>
      </c>
    </row>
    <row r="1142" spans="1:8" x14ac:dyDescent="0.2">
      <c r="A1142" s="9" t="s">
        <v>51</v>
      </c>
      <c r="C1142" t="str">
        <f t="shared" si="34"/>
        <v>"https://www.zeldadungeon.net/maps/totk/tiles/sky/6/25_46.jpg",</v>
      </c>
      <c r="H1142" t="str">
        <f t="shared" si="35"/>
        <v>25_46</v>
      </c>
    </row>
    <row r="1143" spans="1:8" x14ac:dyDescent="0.2">
      <c r="A1143" s="9" t="s">
        <v>51</v>
      </c>
      <c r="C1143" t="str">
        <f t="shared" si="34"/>
        <v>"https://www.zeldadungeon.net/maps/totk/tiles/sky/6/25_47.jpg",</v>
      </c>
      <c r="H1143" t="str">
        <f t="shared" si="35"/>
        <v>25_47</v>
      </c>
    </row>
    <row r="1144" spans="1:8" x14ac:dyDescent="0.2">
      <c r="A1144" s="9" t="s">
        <v>51</v>
      </c>
      <c r="C1144" t="str">
        <f t="shared" si="34"/>
        <v>"https://www.zeldadungeon.net/maps/totk/tiles/sky/6/25_48.jpg",</v>
      </c>
      <c r="H1144" t="str">
        <f t="shared" si="35"/>
        <v>25_48</v>
      </c>
    </row>
    <row r="1145" spans="1:8" x14ac:dyDescent="0.2">
      <c r="A1145" s="9" t="s">
        <v>51</v>
      </c>
      <c r="C1145" t="str">
        <f t="shared" si="34"/>
        <v>"https://www.zeldadungeon.net/maps/totk/tiles/sky/6/25_49.jpg",</v>
      </c>
      <c r="H1145" t="str">
        <f t="shared" si="35"/>
        <v>25_49</v>
      </c>
    </row>
    <row r="1146" spans="1:8" x14ac:dyDescent="0.2">
      <c r="A1146" s="9" t="s">
        <v>51</v>
      </c>
      <c r="C1146" t="str">
        <f t="shared" si="34"/>
        <v>"https://www.zeldadungeon.net/maps/totk/tiles/sky/6/25_50.jpg",</v>
      </c>
      <c r="H1146" t="str">
        <f t="shared" si="35"/>
        <v>25_50</v>
      </c>
    </row>
    <row r="1147" spans="1:8" x14ac:dyDescent="0.2">
      <c r="A1147" s="9" t="s">
        <v>51</v>
      </c>
      <c r="C1147" t="str">
        <f t="shared" si="34"/>
        <v>"https://www.zeldadungeon.net/maps/totk/tiles/sky/6/25_51.jpg",</v>
      </c>
      <c r="H1147" t="str">
        <f t="shared" si="35"/>
        <v>25_51</v>
      </c>
    </row>
    <row r="1148" spans="1:8" x14ac:dyDescent="0.2">
      <c r="A1148" s="9" t="s">
        <v>51</v>
      </c>
      <c r="C1148" t="str">
        <f t="shared" si="34"/>
        <v>"https://www.zeldadungeon.net/maps/totk/tiles/sky/6/25_52.jpg",</v>
      </c>
      <c r="H1148" t="str">
        <f t="shared" si="35"/>
        <v>25_52</v>
      </c>
    </row>
    <row r="1149" spans="1:8" x14ac:dyDescent="0.2">
      <c r="A1149" s="9" t="s">
        <v>51</v>
      </c>
      <c r="C1149" t="str">
        <f t="shared" si="34"/>
        <v>"https://www.zeldadungeon.net/maps/totk/tiles/sky/6/25_53.jpg",</v>
      </c>
      <c r="H1149" t="str">
        <f t="shared" si="35"/>
        <v>25_53</v>
      </c>
    </row>
    <row r="1150" spans="1:8" x14ac:dyDescent="0.2">
      <c r="A1150" s="9" t="s">
        <v>51</v>
      </c>
      <c r="C1150" t="str">
        <f t="shared" si="34"/>
        <v>"https://www.zeldadungeon.net/maps/totk/tiles/sky/6/25_54.jpg",</v>
      </c>
      <c r="H1150" t="str">
        <f t="shared" si="35"/>
        <v>25_54</v>
      </c>
    </row>
    <row r="1151" spans="1:8" x14ac:dyDescent="0.2">
      <c r="A1151" s="9" t="s">
        <v>51</v>
      </c>
      <c r="C1151" t="str">
        <f t="shared" si="34"/>
        <v>"https://www.zeldadungeon.net/maps/totk/tiles/sky/6/25_55.jpg",</v>
      </c>
      <c r="H1151" t="str">
        <f t="shared" si="35"/>
        <v>25_55</v>
      </c>
    </row>
    <row r="1152" spans="1:8" x14ac:dyDescent="0.2">
      <c r="A1152" s="9" t="s">
        <v>51</v>
      </c>
      <c r="C1152" t="str">
        <f t="shared" si="34"/>
        <v>"https://www.zeldadungeon.net/maps/totk/tiles/sky/6/26_8.jpg",</v>
      </c>
      <c r="H1152" t="str">
        <f t="shared" si="35"/>
        <v>26_8</v>
      </c>
    </row>
    <row r="1153" spans="1:8" x14ac:dyDescent="0.2">
      <c r="A1153" s="9" t="s">
        <v>51</v>
      </c>
      <c r="C1153" t="str">
        <f t="shared" ref="C1153:C1216" si="36">""""&amp;SUBSTITUTE(A1153,"zzz",H1153)&amp;""""&amp;","</f>
        <v>"https://www.zeldadungeon.net/maps/totk/tiles/sky/6/26_9.jpg",</v>
      </c>
      <c r="H1153" t="str">
        <f t="shared" ref="H1153:H1216" si="37">QUOTIENT(ROW(A1153),48)+2&amp;"_"&amp;MOD(ROW(A1153),48)+8</f>
        <v>26_9</v>
      </c>
    </row>
    <row r="1154" spans="1:8" x14ac:dyDescent="0.2">
      <c r="A1154" s="9" t="s">
        <v>51</v>
      </c>
      <c r="C1154" t="str">
        <f t="shared" si="36"/>
        <v>"https://www.zeldadungeon.net/maps/totk/tiles/sky/6/26_10.jpg",</v>
      </c>
      <c r="H1154" t="str">
        <f t="shared" si="37"/>
        <v>26_10</v>
      </c>
    </row>
    <row r="1155" spans="1:8" x14ac:dyDescent="0.2">
      <c r="A1155" s="9" t="s">
        <v>51</v>
      </c>
      <c r="C1155" t="str">
        <f t="shared" si="36"/>
        <v>"https://www.zeldadungeon.net/maps/totk/tiles/sky/6/26_11.jpg",</v>
      </c>
      <c r="H1155" t="str">
        <f t="shared" si="37"/>
        <v>26_11</v>
      </c>
    </row>
    <row r="1156" spans="1:8" x14ac:dyDescent="0.2">
      <c r="A1156" s="9" t="s">
        <v>51</v>
      </c>
      <c r="C1156" t="str">
        <f t="shared" si="36"/>
        <v>"https://www.zeldadungeon.net/maps/totk/tiles/sky/6/26_12.jpg",</v>
      </c>
      <c r="H1156" t="str">
        <f t="shared" si="37"/>
        <v>26_12</v>
      </c>
    </row>
    <row r="1157" spans="1:8" x14ac:dyDescent="0.2">
      <c r="A1157" s="9" t="s">
        <v>51</v>
      </c>
      <c r="C1157" t="str">
        <f t="shared" si="36"/>
        <v>"https://www.zeldadungeon.net/maps/totk/tiles/sky/6/26_13.jpg",</v>
      </c>
      <c r="H1157" t="str">
        <f t="shared" si="37"/>
        <v>26_13</v>
      </c>
    </row>
    <row r="1158" spans="1:8" x14ac:dyDescent="0.2">
      <c r="A1158" s="9" t="s">
        <v>51</v>
      </c>
      <c r="C1158" t="str">
        <f t="shared" si="36"/>
        <v>"https://www.zeldadungeon.net/maps/totk/tiles/sky/6/26_14.jpg",</v>
      </c>
      <c r="H1158" t="str">
        <f t="shared" si="37"/>
        <v>26_14</v>
      </c>
    </row>
    <row r="1159" spans="1:8" x14ac:dyDescent="0.2">
      <c r="A1159" s="9" t="s">
        <v>51</v>
      </c>
      <c r="C1159" t="str">
        <f t="shared" si="36"/>
        <v>"https://www.zeldadungeon.net/maps/totk/tiles/sky/6/26_15.jpg",</v>
      </c>
      <c r="H1159" t="str">
        <f t="shared" si="37"/>
        <v>26_15</v>
      </c>
    </row>
    <row r="1160" spans="1:8" x14ac:dyDescent="0.2">
      <c r="A1160" s="9" t="s">
        <v>51</v>
      </c>
      <c r="C1160" t="str">
        <f t="shared" si="36"/>
        <v>"https://www.zeldadungeon.net/maps/totk/tiles/sky/6/26_16.jpg",</v>
      </c>
      <c r="H1160" t="str">
        <f t="shared" si="37"/>
        <v>26_16</v>
      </c>
    </row>
    <row r="1161" spans="1:8" x14ac:dyDescent="0.2">
      <c r="A1161" s="9" t="s">
        <v>51</v>
      </c>
      <c r="C1161" t="str">
        <f t="shared" si="36"/>
        <v>"https://www.zeldadungeon.net/maps/totk/tiles/sky/6/26_17.jpg",</v>
      </c>
      <c r="H1161" t="str">
        <f t="shared" si="37"/>
        <v>26_17</v>
      </c>
    </row>
    <row r="1162" spans="1:8" x14ac:dyDescent="0.2">
      <c r="A1162" s="9" t="s">
        <v>51</v>
      </c>
      <c r="C1162" t="str">
        <f t="shared" si="36"/>
        <v>"https://www.zeldadungeon.net/maps/totk/tiles/sky/6/26_18.jpg",</v>
      </c>
      <c r="H1162" t="str">
        <f t="shared" si="37"/>
        <v>26_18</v>
      </c>
    </row>
    <row r="1163" spans="1:8" x14ac:dyDescent="0.2">
      <c r="A1163" s="9" t="s">
        <v>51</v>
      </c>
      <c r="C1163" t="str">
        <f t="shared" si="36"/>
        <v>"https://www.zeldadungeon.net/maps/totk/tiles/sky/6/26_19.jpg",</v>
      </c>
      <c r="H1163" t="str">
        <f t="shared" si="37"/>
        <v>26_19</v>
      </c>
    </row>
    <row r="1164" spans="1:8" x14ac:dyDescent="0.2">
      <c r="A1164" s="9" t="s">
        <v>51</v>
      </c>
      <c r="C1164" t="str">
        <f t="shared" si="36"/>
        <v>"https://www.zeldadungeon.net/maps/totk/tiles/sky/6/26_20.jpg",</v>
      </c>
      <c r="H1164" t="str">
        <f t="shared" si="37"/>
        <v>26_20</v>
      </c>
    </row>
    <row r="1165" spans="1:8" x14ac:dyDescent="0.2">
      <c r="A1165" s="9" t="s">
        <v>51</v>
      </c>
      <c r="C1165" t="str">
        <f t="shared" si="36"/>
        <v>"https://www.zeldadungeon.net/maps/totk/tiles/sky/6/26_21.jpg",</v>
      </c>
      <c r="H1165" t="str">
        <f t="shared" si="37"/>
        <v>26_21</v>
      </c>
    </row>
    <row r="1166" spans="1:8" x14ac:dyDescent="0.2">
      <c r="A1166" s="9" t="s">
        <v>51</v>
      </c>
      <c r="C1166" t="str">
        <f t="shared" si="36"/>
        <v>"https://www.zeldadungeon.net/maps/totk/tiles/sky/6/26_22.jpg",</v>
      </c>
      <c r="H1166" t="str">
        <f t="shared" si="37"/>
        <v>26_22</v>
      </c>
    </row>
    <row r="1167" spans="1:8" x14ac:dyDescent="0.2">
      <c r="A1167" s="9" t="s">
        <v>51</v>
      </c>
      <c r="C1167" t="str">
        <f t="shared" si="36"/>
        <v>"https://www.zeldadungeon.net/maps/totk/tiles/sky/6/26_23.jpg",</v>
      </c>
      <c r="H1167" t="str">
        <f t="shared" si="37"/>
        <v>26_23</v>
      </c>
    </row>
    <row r="1168" spans="1:8" x14ac:dyDescent="0.2">
      <c r="A1168" s="9" t="s">
        <v>51</v>
      </c>
      <c r="C1168" t="str">
        <f t="shared" si="36"/>
        <v>"https://www.zeldadungeon.net/maps/totk/tiles/sky/6/26_24.jpg",</v>
      </c>
      <c r="H1168" t="str">
        <f t="shared" si="37"/>
        <v>26_24</v>
      </c>
    </row>
    <row r="1169" spans="1:8" x14ac:dyDescent="0.2">
      <c r="A1169" s="9" t="s">
        <v>51</v>
      </c>
      <c r="C1169" t="str">
        <f t="shared" si="36"/>
        <v>"https://www.zeldadungeon.net/maps/totk/tiles/sky/6/26_25.jpg",</v>
      </c>
      <c r="H1169" t="str">
        <f t="shared" si="37"/>
        <v>26_25</v>
      </c>
    </row>
    <row r="1170" spans="1:8" x14ac:dyDescent="0.2">
      <c r="A1170" s="9" t="s">
        <v>51</v>
      </c>
      <c r="C1170" t="str">
        <f t="shared" si="36"/>
        <v>"https://www.zeldadungeon.net/maps/totk/tiles/sky/6/26_26.jpg",</v>
      </c>
      <c r="H1170" t="str">
        <f t="shared" si="37"/>
        <v>26_26</v>
      </c>
    </row>
    <row r="1171" spans="1:8" x14ac:dyDescent="0.2">
      <c r="A1171" s="9" t="s">
        <v>51</v>
      </c>
      <c r="C1171" t="str">
        <f t="shared" si="36"/>
        <v>"https://www.zeldadungeon.net/maps/totk/tiles/sky/6/26_27.jpg",</v>
      </c>
      <c r="H1171" t="str">
        <f t="shared" si="37"/>
        <v>26_27</v>
      </c>
    </row>
    <row r="1172" spans="1:8" x14ac:dyDescent="0.2">
      <c r="A1172" s="9" t="s">
        <v>51</v>
      </c>
      <c r="C1172" t="str">
        <f t="shared" si="36"/>
        <v>"https://www.zeldadungeon.net/maps/totk/tiles/sky/6/26_28.jpg",</v>
      </c>
      <c r="H1172" t="str">
        <f t="shared" si="37"/>
        <v>26_28</v>
      </c>
    </row>
    <row r="1173" spans="1:8" x14ac:dyDescent="0.2">
      <c r="A1173" s="9" t="s">
        <v>51</v>
      </c>
      <c r="C1173" t="str">
        <f t="shared" si="36"/>
        <v>"https://www.zeldadungeon.net/maps/totk/tiles/sky/6/26_29.jpg",</v>
      </c>
      <c r="H1173" t="str">
        <f t="shared" si="37"/>
        <v>26_29</v>
      </c>
    </row>
    <row r="1174" spans="1:8" x14ac:dyDescent="0.2">
      <c r="A1174" s="9" t="s">
        <v>51</v>
      </c>
      <c r="C1174" t="str">
        <f t="shared" si="36"/>
        <v>"https://www.zeldadungeon.net/maps/totk/tiles/sky/6/26_30.jpg",</v>
      </c>
      <c r="H1174" t="str">
        <f t="shared" si="37"/>
        <v>26_30</v>
      </c>
    </row>
    <row r="1175" spans="1:8" x14ac:dyDescent="0.2">
      <c r="A1175" s="9" t="s">
        <v>51</v>
      </c>
      <c r="C1175" t="str">
        <f t="shared" si="36"/>
        <v>"https://www.zeldadungeon.net/maps/totk/tiles/sky/6/26_31.jpg",</v>
      </c>
      <c r="H1175" t="str">
        <f t="shared" si="37"/>
        <v>26_31</v>
      </c>
    </row>
    <row r="1176" spans="1:8" x14ac:dyDescent="0.2">
      <c r="A1176" s="9" t="s">
        <v>51</v>
      </c>
      <c r="C1176" t="str">
        <f t="shared" si="36"/>
        <v>"https://www.zeldadungeon.net/maps/totk/tiles/sky/6/26_32.jpg",</v>
      </c>
      <c r="H1176" t="str">
        <f t="shared" si="37"/>
        <v>26_32</v>
      </c>
    </row>
    <row r="1177" spans="1:8" x14ac:dyDescent="0.2">
      <c r="A1177" s="9" t="s">
        <v>51</v>
      </c>
      <c r="C1177" t="str">
        <f t="shared" si="36"/>
        <v>"https://www.zeldadungeon.net/maps/totk/tiles/sky/6/26_33.jpg",</v>
      </c>
      <c r="H1177" t="str">
        <f t="shared" si="37"/>
        <v>26_33</v>
      </c>
    </row>
    <row r="1178" spans="1:8" x14ac:dyDescent="0.2">
      <c r="A1178" s="9" t="s">
        <v>51</v>
      </c>
      <c r="C1178" t="str">
        <f t="shared" si="36"/>
        <v>"https://www.zeldadungeon.net/maps/totk/tiles/sky/6/26_34.jpg",</v>
      </c>
      <c r="H1178" t="str">
        <f t="shared" si="37"/>
        <v>26_34</v>
      </c>
    </row>
    <row r="1179" spans="1:8" x14ac:dyDescent="0.2">
      <c r="A1179" s="9" t="s">
        <v>51</v>
      </c>
      <c r="C1179" t="str">
        <f t="shared" si="36"/>
        <v>"https://www.zeldadungeon.net/maps/totk/tiles/sky/6/26_35.jpg",</v>
      </c>
      <c r="H1179" t="str">
        <f t="shared" si="37"/>
        <v>26_35</v>
      </c>
    </row>
    <row r="1180" spans="1:8" x14ac:dyDescent="0.2">
      <c r="A1180" s="9" t="s">
        <v>51</v>
      </c>
      <c r="C1180" t="str">
        <f t="shared" si="36"/>
        <v>"https://www.zeldadungeon.net/maps/totk/tiles/sky/6/26_36.jpg",</v>
      </c>
      <c r="H1180" t="str">
        <f t="shared" si="37"/>
        <v>26_36</v>
      </c>
    </row>
    <row r="1181" spans="1:8" x14ac:dyDescent="0.2">
      <c r="A1181" s="9" t="s">
        <v>51</v>
      </c>
      <c r="C1181" t="str">
        <f t="shared" si="36"/>
        <v>"https://www.zeldadungeon.net/maps/totk/tiles/sky/6/26_37.jpg",</v>
      </c>
      <c r="H1181" t="str">
        <f t="shared" si="37"/>
        <v>26_37</v>
      </c>
    </row>
    <row r="1182" spans="1:8" x14ac:dyDescent="0.2">
      <c r="A1182" s="9" t="s">
        <v>51</v>
      </c>
      <c r="C1182" t="str">
        <f t="shared" si="36"/>
        <v>"https://www.zeldadungeon.net/maps/totk/tiles/sky/6/26_38.jpg",</v>
      </c>
      <c r="H1182" t="str">
        <f t="shared" si="37"/>
        <v>26_38</v>
      </c>
    </row>
    <row r="1183" spans="1:8" x14ac:dyDescent="0.2">
      <c r="A1183" s="9" t="s">
        <v>51</v>
      </c>
      <c r="C1183" t="str">
        <f t="shared" si="36"/>
        <v>"https://www.zeldadungeon.net/maps/totk/tiles/sky/6/26_39.jpg",</v>
      </c>
      <c r="H1183" t="str">
        <f t="shared" si="37"/>
        <v>26_39</v>
      </c>
    </row>
    <row r="1184" spans="1:8" x14ac:dyDescent="0.2">
      <c r="A1184" s="9" t="s">
        <v>51</v>
      </c>
      <c r="C1184" t="str">
        <f t="shared" si="36"/>
        <v>"https://www.zeldadungeon.net/maps/totk/tiles/sky/6/26_40.jpg",</v>
      </c>
      <c r="H1184" t="str">
        <f t="shared" si="37"/>
        <v>26_40</v>
      </c>
    </row>
    <row r="1185" spans="1:8" x14ac:dyDescent="0.2">
      <c r="A1185" s="9" t="s">
        <v>51</v>
      </c>
      <c r="C1185" t="str">
        <f t="shared" si="36"/>
        <v>"https://www.zeldadungeon.net/maps/totk/tiles/sky/6/26_41.jpg",</v>
      </c>
      <c r="H1185" t="str">
        <f t="shared" si="37"/>
        <v>26_41</v>
      </c>
    </row>
    <row r="1186" spans="1:8" x14ac:dyDescent="0.2">
      <c r="A1186" s="9" t="s">
        <v>51</v>
      </c>
      <c r="C1186" t="str">
        <f t="shared" si="36"/>
        <v>"https://www.zeldadungeon.net/maps/totk/tiles/sky/6/26_42.jpg",</v>
      </c>
      <c r="H1186" t="str">
        <f t="shared" si="37"/>
        <v>26_42</v>
      </c>
    </row>
    <row r="1187" spans="1:8" x14ac:dyDescent="0.2">
      <c r="A1187" s="9" t="s">
        <v>51</v>
      </c>
      <c r="C1187" t="str">
        <f t="shared" si="36"/>
        <v>"https://www.zeldadungeon.net/maps/totk/tiles/sky/6/26_43.jpg",</v>
      </c>
      <c r="H1187" t="str">
        <f t="shared" si="37"/>
        <v>26_43</v>
      </c>
    </row>
    <row r="1188" spans="1:8" x14ac:dyDescent="0.2">
      <c r="A1188" s="9" t="s">
        <v>51</v>
      </c>
      <c r="C1188" t="str">
        <f t="shared" si="36"/>
        <v>"https://www.zeldadungeon.net/maps/totk/tiles/sky/6/26_44.jpg",</v>
      </c>
      <c r="H1188" t="str">
        <f t="shared" si="37"/>
        <v>26_44</v>
      </c>
    </row>
    <row r="1189" spans="1:8" x14ac:dyDescent="0.2">
      <c r="A1189" s="9" t="s">
        <v>51</v>
      </c>
      <c r="C1189" t="str">
        <f t="shared" si="36"/>
        <v>"https://www.zeldadungeon.net/maps/totk/tiles/sky/6/26_45.jpg",</v>
      </c>
      <c r="H1189" t="str">
        <f t="shared" si="37"/>
        <v>26_45</v>
      </c>
    </row>
    <row r="1190" spans="1:8" x14ac:dyDescent="0.2">
      <c r="A1190" s="9" t="s">
        <v>51</v>
      </c>
      <c r="C1190" t="str">
        <f t="shared" si="36"/>
        <v>"https://www.zeldadungeon.net/maps/totk/tiles/sky/6/26_46.jpg",</v>
      </c>
      <c r="H1190" t="str">
        <f t="shared" si="37"/>
        <v>26_46</v>
      </c>
    </row>
    <row r="1191" spans="1:8" x14ac:dyDescent="0.2">
      <c r="A1191" s="9" t="s">
        <v>51</v>
      </c>
      <c r="C1191" t="str">
        <f t="shared" si="36"/>
        <v>"https://www.zeldadungeon.net/maps/totk/tiles/sky/6/26_47.jpg",</v>
      </c>
      <c r="H1191" t="str">
        <f t="shared" si="37"/>
        <v>26_47</v>
      </c>
    </row>
    <row r="1192" spans="1:8" x14ac:dyDescent="0.2">
      <c r="A1192" s="9" t="s">
        <v>51</v>
      </c>
      <c r="C1192" t="str">
        <f t="shared" si="36"/>
        <v>"https://www.zeldadungeon.net/maps/totk/tiles/sky/6/26_48.jpg",</v>
      </c>
      <c r="H1192" t="str">
        <f t="shared" si="37"/>
        <v>26_48</v>
      </c>
    </row>
    <row r="1193" spans="1:8" x14ac:dyDescent="0.2">
      <c r="A1193" s="9" t="s">
        <v>51</v>
      </c>
      <c r="C1193" t="str">
        <f t="shared" si="36"/>
        <v>"https://www.zeldadungeon.net/maps/totk/tiles/sky/6/26_49.jpg",</v>
      </c>
      <c r="H1193" t="str">
        <f t="shared" si="37"/>
        <v>26_49</v>
      </c>
    </row>
    <row r="1194" spans="1:8" x14ac:dyDescent="0.2">
      <c r="A1194" s="9" t="s">
        <v>51</v>
      </c>
      <c r="C1194" t="str">
        <f t="shared" si="36"/>
        <v>"https://www.zeldadungeon.net/maps/totk/tiles/sky/6/26_50.jpg",</v>
      </c>
      <c r="H1194" t="str">
        <f t="shared" si="37"/>
        <v>26_50</v>
      </c>
    </row>
    <row r="1195" spans="1:8" x14ac:dyDescent="0.2">
      <c r="A1195" s="9" t="s">
        <v>51</v>
      </c>
      <c r="C1195" t="str">
        <f t="shared" si="36"/>
        <v>"https://www.zeldadungeon.net/maps/totk/tiles/sky/6/26_51.jpg",</v>
      </c>
      <c r="H1195" t="str">
        <f t="shared" si="37"/>
        <v>26_51</v>
      </c>
    </row>
    <row r="1196" spans="1:8" x14ac:dyDescent="0.2">
      <c r="A1196" s="9" t="s">
        <v>51</v>
      </c>
      <c r="C1196" t="str">
        <f t="shared" si="36"/>
        <v>"https://www.zeldadungeon.net/maps/totk/tiles/sky/6/26_52.jpg",</v>
      </c>
      <c r="H1196" t="str">
        <f t="shared" si="37"/>
        <v>26_52</v>
      </c>
    </row>
    <row r="1197" spans="1:8" x14ac:dyDescent="0.2">
      <c r="A1197" s="9" t="s">
        <v>51</v>
      </c>
      <c r="C1197" t="str">
        <f t="shared" si="36"/>
        <v>"https://www.zeldadungeon.net/maps/totk/tiles/sky/6/26_53.jpg",</v>
      </c>
      <c r="H1197" t="str">
        <f t="shared" si="37"/>
        <v>26_53</v>
      </c>
    </row>
    <row r="1198" spans="1:8" x14ac:dyDescent="0.2">
      <c r="A1198" s="9" t="s">
        <v>51</v>
      </c>
      <c r="C1198" t="str">
        <f t="shared" si="36"/>
        <v>"https://www.zeldadungeon.net/maps/totk/tiles/sky/6/26_54.jpg",</v>
      </c>
      <c r="H1198" t="str">
        <f t="shared" si="37"/>
        <v>26_54</v>
      </c>
    </row>
    <row r="1199" spans="1:8" x14ac:dyDescent="0.2">
      <c r="A1199" s="9" t="s">
        <v>51</v>
      </c>
      <c r="C1199" t="str">
        <f t="shared" si="36"/>
        <v>"https://www.zeldadungeon.net/maps/totk/tiles/sky/6/26_55.jpg",</v>
      </c>
      <c r="H1199" t="str">
        <f t="shared" si="37"/>
        <v>26_55</v>
      </c>
    </row>
    <row r="1200" spans="1:8" x14ac:dyDescent="0.2">
      <c r="A1200" s="9" t="s">
        <v>51</v>
      </c>
      <c r="C1200" t="str">
        <f t="shared" si="36"/>
        <v>"https://www.zeldadungeon.net/maps/totk/tiles/sky/6/27_8.jpg",</v>
      </c>
      <c r="H1200" t="str">
        <f t="shared" si="37"/>
        <v>27_8</v>
      </c>
    </row>
    <row r="1201" spans="1:8" x14ac:dyDescent="0.2">
      <c r="A1201" s="9" t="s">
        <v>51</v>
      </c>
      <c r="C1201" t="str">
        <f t="shared" si="36"/>
        <v>"https://www.zeldadungeon.net/maps/totk/tiles/sky/6/27_9.jpg",</v>
      </c>
      <c r="H1201" t="str">
        <f t="shared" si="37"/>
        <v>27_9</v>
      </c>
    </row>
    <row r="1202" spans="1:8" x14ac:dyDescent="0.2">
      <c r="A1202" s="9" t="s">
        <v>51</v>
      </c>
      <c r="C1202" t="str">
        <f t="shared" si="36"/>
        <v>"https://www.zeldadungeon.net/maps/totk/tiles/sky/6/27_10.jpg",</v>
      </c>
      <c r="H1202" t="str">
        <f t="shared" si="37"/>
        <v>27_10</v>
      </c>
    </row>
    <row r="1203" spans="1:8" x14ac:dyDescent="0.2">
      <c r="A1203" s="9" t="s">
        <v>51</v>
      </c>
      <c r="C1203" t="str">
        <f t="shared" si="36"/>
        <v>"https://www.zeldadungeon.net/maps/totk/tiles/sky/6/27_11.jpg",</v>
      </c>
      <c r="H1203" t="str">
        <f t="shared" si="37"/>
        <v>27_11</v>
      </c>
    </row>
    <row r="1204" spans="1:8" x14ac:dyDescent="0.2">
      <c r="A1204" s="9" t="s">
        <v>51</v>
      </c>
      <c r="C1204" t="str">
        <f t="shared" si="36"/>
        <v>"https://www.zeldadungeon.net/maps/totk/tiles/sky/6/27_12.jpg",</v>
      </c>
      <c r="H1204" t="str">
        <f t="shared" si="37"/>
        <v>27_12</v>
      </c>
    </row>
    <row r="1205" spans="1:8" x14ac:dyDescent="0.2">
      <c r="A1205" s="9" t="s">
        <v>51</v>
      </c>
      <c r="C1205" t="str">
        <f t="shared" si="36"/>
        <v>"https://www.zeldadungeon.net/maps/totk/tiles/sky/6/27_13.jpg",</v>
      </c>
      <c r="H1205" t="str">
        <f t="shared" si="37"/>
        <v>27_13</v>
      </c>
    </row>
    <row r="1206" spans="1:8" x14ac:dyDescent="0.2">
      <c r="A1206" s="9" t="s">
        <v>51</v>
      </c>
      <c r="C1206" t="str">
        <f t="shared" si="36"/>
        <v>"https://www.zeldadungeon.net/maps/totk/tiles/sky/6/27_14.jpg",</v>
      </c>
      <c r="H1206" t="str">
        <f t="shared" si="37"/>
        <v>27_14</v>
      </c>
    </row>
    <row r="1207" spans="1:8" x14ac:dyDescent="0.2">
      <c r="A1207" s="9" t="s">
        <v>51</v>
      </c>
      <c r="C1207" t="str">
        <f t="shared" si="36"/>
        <v>"https://www.zeldadungeon.net/maps/totk/tiles/sky/6/27_15.jpg",</v>
      </c>
      <c r="H1207" t="str">
        <f t="shared" si="37"/>
        <v>27_15</v>
      </c>
    </row>
    <row r="1208" spans="1:8" x14ac:dyDescent="0.2">
      <c r="A1208" s="9" t="s">
        <v>51</v>
      </c>
      <c r="C1208" t="str">
        <f t="shared" si="36"/>
        <v>"https://www.zeldadungeon.net/maps/totk/tiles/sky/6/27_16.jpg",</v>
      </c>
      <c r="H1208" t="str">
        <f t="shared" si="37"/>
        <v>27_16</v>
      </c>
    </row>
    <row r="1209" spans="1:8" x14ac:dyDescent="0.2">
      <c r="A1209" s="9" t="s">
        <v>51</v>
      </c>
      <c r="C1209" t="str">
        <f t="shared" si="36"/>
        <v>"https://www.zeldadungeon.net/maps/totk/tiles/sky/6/27_17.jpg",</v>
      </c>
      <c r="H1209" t="str">
        <f t="shared" si="37"/>
        <v>27_17</v>
      </c>
    </row>
    <row r="1210" spans="1:8" x14ac:dyDescent="0.2">
      <c r="A1210" s="9" t="s">
        <v>51</v>
      </c>
      <c r="C1210" t="str">
        <f t="shared" si="36"/>
        <v>"https://www.zeldadungeon.net/maps/totk/tiles/sky/6/27_18.jpg",</v>
      </c>
      <c r="H1210" t="str">
        <f t="shared" si="37"/>
        <v>27_18</v>
      </c>
    </row>
    <row r="1211" spans="1:8" x14ac:dyDescent="0.2">
      <c r="A1211" s="9" t="s">
        <v>51</v>
      </c>
      <c r="C1211" t="str">
        <f t="shared" si="36"/>
        <v>"https://www.zeldadungeon.net/maps/totk/tiles/sky/6/27_19.jpg",</v>
      </c>
      <c r="H1211" t="str">
        <f t="shared" si="37"/>
        <v>27_19</v>
      </c>
    </row>
    <row r="1212" spans="1:8" x14ac:dyDescent="0.2">
      <c r="A1212" s="9" t="s">
        <v>51</v>
      </c>
      <c r="C1212" t="str">
        <f t="shared" si="36"/>
        <v>"https://www.zeldadungeon.net/maps/totk/tiles/sky/6/27_20.jpg",</v>
      </c>
      <c r="H1212" t="str">
        <f t="shared" si="37"/>
        <v>27_20</v>
      </c>
    </row>
    <row r="1213" spans="1:8" x14ac:dyDescent="0.2">
      <c r="A1213" s="9" t="s">
        <v>51</v>
      </c>
      <c r="C1213" t="str">
        <f t="shared" si="36"/>
        <v>"https://www.zeldadungeon.net/maps/totk/tiles/sky/6/27_21.jpg",</v>
      </c>
      <c r="H1213" t="str">
        <f t="shared" si="37"/>
        <v>27_21</v>
      </c>
    </row>
    <row r="1214" spans="1:8" x14ac:dyDescent="0.2">
      <c r="A1214" s="9" t="s">
        <v>51</v>
      </c>
      <c r="C1214" t="str">
        <f t="shared" si="36"/>
        <v>"https://www.zeldadungeon.net/maps/totk/tiles/sky/6/27_22.jpg",</v>
      </c>
      <c r="H1214" t="str">
        <f t="shared" si="37"/>
        <v>27_22</v>
      </c>
    </row>
    <row r="1215" spans="1:8" x14ac:dyDescent="0.2">
      <c r="A1215" s="9" t="s">
        <v>51</v>
      </c>
      <c r="C1215" t="str">
        <f t="shared" si="36"/>
        <v>"https://www.zeldadungeon.net/maps/totk/tiles/sky/6/27_23.jpg",</v>
      </c>
      <c r="H1215" t="str">
        <f t="shared" si="37"/>
        <v>27_23</v>
      </c>
    </row>
    <row r="1216" spans="1:8" x14ac:dyDescent="0.2">
      <c r="A1216" s="9" t="s">
        <v>51</v>
      </c>
      <c r="C1216" t="str">
        <f t="shared" si="36"/>
        <v>"https://www.zeldadungeon.net/maps/totk/tiles/sky/6/27_24.jpg",</v>
      </c>
      <c r="H1216" t="str">
        <f t="shared" si="37"/>
        <v>27_24</v>
      </c>
    </row>
    <row r="1217" spans="1:8" x14ac:dyDescent="0.2">
      <c r="A1217" s="9" t="s">
        <v>51</v>
      </c>
      <c r="C1217" t="str">
        <f t="shared" ref="C1217:C1280" si="38">""""&amp;SUBSTITUTE(A1217,"zzz",H1217)&amp;""""&amp;","</f>
        <v>"https://www.zeldadungeon.net/maps/totk/tiles/sky/6/27_25.jpg",</v>
      </c>
      <c r="H1217" t="str">
        <f t="shared" ref="H1217:H1280" si="39">QUOTIENT(ROW(A1217),48)+2&amp;"_"&amp;MOD(ROW(A1217),48)+8</f>
        <v>27_25</v>
      </c>
    </row>
    <row r="1218" spans="1:8" x14ac:dyDescent="0.2">
      <c r="A1218" s="9" t="s">
        <v>51</v>
      </c>
      <c r="C1218" t="str">
        <f t="shared" si="38"/>
        <v>"https://www.zeldadungeon.net/maps/totk/tiles/sky/6/27_26.jpg",</v>
      </c>
      <c r="H1218" t="str">
        <f t="shared" si="39"/>
        <v>27_26</v>
      </c>
    </row>
    <row r="1219" spans="1:8" x14ac:dyDescent="0.2">
      <c r="A1219" s="9" t="s">
        <v>51</v>
      </c>
      <c r="C1219" t="str">
        <f t="shared" si="38"/>
        <v>"https://www.zeldadungeon.net/maps/totk/tiles/sky/6/27_27.jpg",</v>
      </c>
      <c r="H1219" t="str">
        <f t="shared" si="39"/>
        <v>27_27</v>
      </c>
    </row>
    <row r="1220" spans="1:8" x14ac:dyDescent="0.2">
      <c r="A1220" s="9" t="s">
        <v>51</v>
      </c>
      <c r="C1220" t="str">
        <f t="shared" si="38"/>
        <v>"https://www.zeldadungeon.net/maps/totk/tiles/sky/6/27_28.jpg",</v>
      </c>
      <c r="H1220" t="str">
        <f t="shared" si="39"/>
        <v>27_28</v>
      </c>
    </row>
    <row r="1221" spans="1:8" x14ac:dyDescent="0.2">
      <c r="A1221" s="9" t="s">
        <v>51</v>
      </c>
      <c r="C1221" t="str">
        <f t="shared" si="38"/>
        <v>"https://www.zeldadungeon.net/maps/totk/tiles/sky/6/27_29.jpg",</v>
      </c>
      <c r="H1221" t="str">
        <f t="shared" si="39"/>
        <v>27_29</v>
      </c>
    </row>
    <row r="1222" spans="1:8" x14ac:dyDescent="0.2">
      <c r="A1222" s="9" t="s">
        <v>51</v>
      </c>
      <c r="C1222" t="str">
        <f t="shared" si="38"/>
        <v>"https://www.zeldadungeon.net/maps/totk/tiles/sky/6/27_30.jpg",</v>
      </c>
      <c r="H1222" t="str">
        <f t="shared" si="39"/>
        <v>27_30</v>
      </c>
    </row>
    <row r="1223" spans="1:8" x14ac:dyDescent="0.2">
      <c r="A1223" s="9" t="s">
        <v>51</v>
      </c>
      <c r="C1223" t="str">
        <f t="shared" si="38"/>
        <v>"https://www.zeldadungeon.net/maps/totk/tiles/sky/6/27_31.jpg",</v>
      </c>
      <c r="H1223" t="str">
        <f t="shared" si="39"/>
        <v>27_31</v>
      </c>
    </row>
    <row r="1224" spans="1:8" x14ac:dyDescent="0.2">
      <c r="A1224" s="9" t="s">
        <v>51</v>
      </c>
      <c r="C1224" t="str">
        <f t="shared" si="38"/>
        <v>"https://www.zeldadungeon.net/maps/totk/tiles/sky/6/27_32.jpg",</v>
      </c>
      <c r="H1224" t="str">
        <f t="shared" si="39"/>
        <v>27_32</v>
      </c>
    </row>
    <row r="1225" spans="1:8" x14ac:dyDescent="0.2">
      <c r="A1225" s="9" t="s">
        <v>51</v>
      </c>
      <c r="C1225" t="str">
        <f t="shared" si="38"/>
        <v>"https://www.zeldadungeon.net/maps/totk/tiles/sky/6/27_33.jpg",</v>
      </c>
      <c r="H1225" t="str">
        <f t="shared" si="39"/>
        <v>27_33</v>
      </c>
    </row>
    <row r="1226" spans="1:8" x14ac:dyDescent="0.2">
      <c r="A1226" s="9" t="s">
        <v>51</v>
      </c>
      <c r="C1226" t="str">
        <f t="shared" si="38"/>
        <v>"https://www.zeldadungeon.net/maps/totk/tiles/sky/6/27_34.jpg",</v>
      </c>
      <c r="H1226" t="str">
        <f t="shared" si="39"/>
        <v>27_34</v>
      </c>
    </row>
    <row r="1227" spans="1:8" x14ac:dyDescent="0.2">
      <c r="A1227" s="9" t="s">
        <v>51</v>
      </c>
      <c r="C1227" t="str">
        <f t="shared" si="38"/>
        <v>"https://www.zeldadungeon.net/maps/totk/tiles/sky/6/27_35.jpg",</v>
      </c>
      <c r="H1227" t="str">
        <f t="shared" si="39"/>
        <v>27_35</v>
      </c>
    </row>
    <row r="1228" spans="1:8" x14ac:dyDescent="0.2">
      <c r="A1228" s="9" t="s">
        <v>51</v>
      </c>
      <c r="C1228" t="str">
        <f t="shared" si="38"/>
        <v>"https://www.zeldadungeon.net/maps/totk/tiles/sky/6/27_36.jpg",</v>
      </c>
      <c r="H1228" t="str">
        <f t="shared" si="39"/>
        <v>27_36</v>
      </c>
    </row>
    <row r="1229" spans="1:8" x14ac:dyDescent="0.2">
      <c r="A1229" s="9" t="s">
        <v>51</v>
      </c>
      <c r="C1229" t="str">
        <f t="shared" si="38"/>
        <v>"https://www.zeldadungeon.net/maps/totk/tiles/sky/6/27_37.jpg",</v>
      </c>
      <c r="H1229" t="str">
        <f t="shared" si="39"/>
        <v>27_37</v>
      </c>
    </row>
    <row r="1230" spans="1:8" x14ac:dyDescent="0.2">
      <c r="A1230" s="9" t="s">
        <v>51</v>
      </c>
      <c r="C1230" t="str">
        <f t="shared" si="38"/>
        <v>"https://www.zeldadungeon.net/maps/totk/tiles/sky/6/27_38.jpg",</v>
      </c>
      <c r="H1230" t="str">
        <f t="shared" si="39"/>
        <v>27_38</v>
      </c>
    </row>
    <row r="1231" spans="1:8" x14ac:dyDescent="0.2">
      <c r="A1231" s="9" t="s">
        <v>51</v>
      </c>
      <c r="C1231" t="str">
        <f t="shared" si="38"/>
        <v>"https://www.zeldadungeon.net/maps/totk/tiles/sky/6/27_39.jpg",</v>
      </c>
      <c r="H1231" t="str">
        <f t="shared" si="39"/>
        <v>27_39</v>
      </c>
    </row>
    <row r="1232" spans="1:8" x14ac:dyDescent="0.2">
      <c r="A1232" s="9" t="s">
        <v>51</v>
      </c>
      <c r="C1232" t="str">
        <f t="shared" si="38"/>
        <v>"https://www.zeldadungeon.net/maps/totk/tiles/sky/6/27_40.jpg",</v>
      </c>
      <c r="H1232" t="str">
        <f t="shared" si="39"/>
        <v>27_40</v>
      </c>
    </row>
    <row r="1233" spans="1:8" x14ac:dyDescent="0.2">
      <c r="A1233" s="9" t="s">
        <v>51</v>
      </c>
      <c r="C1233" t="str">
        <f t="shared" si="38"/>
        <v>"https://www.zeldadungeon.net/maps/totk/tiles/sky/6/27_41.jpg",</v>
      </c>
      <c r="H1233" t="str">
        <f t="shared" si="39"/>
        <v>27_41</v>
      </c>
    </row>
    <row r="1234" spans="1:8" x14ac:dyDescent="0.2">
      <c r="A1234" s="9" t="s">
        <v>51</v>
      </c>
      <c r="C1234" t="str">
        <f t="shared" si="38"/>
        <v>"https://www.zeldadungeon.net/maps/totk/tiles/sky/6/27_42.jpg",</v>
      </c>
      <c r="H1234" t="str">
        <f t="shared" si="39"/>
        <v>27_42</v>
      </c>
    </row>
    <row r="1235" spans="1:8" x14ac:dyDescent="0.2">
      <c r="A1235" s="9" t="s">
        <v>51</v>
      </c>
      <c r="C1235" t="str">
        <f t="shared" si="38"/>
        <v>"https://www.zeldadungeon.net/maps/totk/tiles/sky/6/27_43.jpg",</v>
      </c>
      <c r="H1235" t="str">
        <f t="shared" si="39"/>
        <v>27_43</v>
      </c>
    </row>
    <row r="1236" spans="1:8" x14ac:dyDescent="0.2">
      <c r="A1236" s="9" t="s">
        <v>51</v>
      </c>
      <c r="C1236" t="str">
        <f t="shared" si="38"/>
        <v>"https://www.zeldadungeon.net/maps/totk/tiles/sky/6/27_44.jpg",</v>
      </c>
      <c r="H1236" t="str">
        <f t="shared" si="39"/>
        <v>27_44</v>
      </c>
    </row>
    <row r="1237" spans="1:8" x14ac:dyDescent="0.2">
      <c r="A1237" s="9" t="s">
        <v>51</v>
      </c>
      <c r="C1237" t="str">
        <f t="shared" si="38"/>
        <v>"https://www.zeldadungeon.net/maps/totk/tiles/sky/6/27_45.jpg",</v>
      </c>
      <c r="H1237" t="str">
        <f t="shared" si="39"/>
        <v>27_45</v>
      </c>
    </row>
    <row r="1238" spans="1:8" x14ac:dyDescent="0.2">
      <c r="A1238" s="9" t="s">
        <v>51</v>
      </c>
      <c r="C1238" t="str">
        <f t="shared" si="38"/>
        <v>"https://www.zeldadungeon.net/maps/totk/tiles/sky/6/27_46.jpg",</v>
      </c>
      <c r="H1238" t="str">
        <f t="shared" si="39"/>
        <v>27_46</v>
      </c>
    </row>
    <row r="1239" spans="1:8" x14ac:dyDescent="0.2">
      <c r="A1239" s="9" t="s">
        <v>51</v>
      </c>
      <c r="C1239" t="str">
        <f t="shared" si="38"/>
        <v>"https://www.zeldadungeon.net/maps/totk/tiles/sky/6/27_47.jpg",</v>
      </c>
      <c r="H1239" t="str">
        <f t="shared" si="39"/>
        <v>27_47</v>
      </c>
    </row>
    <row r="1240" spans="1:8" x14ac:dyDescent="0.2">
      <c r="A1240" s="9" t="s">
        <v>51</v>
      </c>
      <c r="C1240" t="str">
        <f t="shared" si="38"/>
        <v>"https://www.zeldadungeon.net/maps/totk/tiles/sky/6/27_48.jpg",</v>
      </c>
      <c r="H1240" t="str">
        <f t="shared" si="39"/>
        <v>27_48</v>
      </c>
    </row>
    <row r="1241" spans="1:8" x14ac:dyDescent="0.2">
      <c r="A1241" s="9" t="s">
        <v>51</v>
      </c>
      <c r="C1241" t="str">
        <f t="shared" si="38"/>
        <v>"https://www.zeldadungeon.net/maps/totk/tiles/sky/6/27_49.jpg",</v>
      </c>
      <c r="H1241" t="str">
        <f t="shared" si="39"/>
        <v>27_49</v>
      </c>
    </row>
    <row r="1242" spans="1:8" x14ac:dyDescent="0.2">
      <c r="A1242" s="9" t="s">
        <v>51</v>
      </c>
      <c r="C1242" t="str">
        <f t="shared" si="38"/>
        <v>"https://www.zeldadungeon.net/maps/totk/tiles/sky/6/27_50.jpg",</v>
      </c>
      <c r="H1242" t="str">
        <f t="shared" si="39"/>
        <v>27_50</v>
      </c>
    </row>
    <row r="1243" spans="1:8" x14ac:dyDescent="0.2">
      <c r="A1243" s="9" t="s">
        <v>51</v>
      </c>
      <c r="C1243" t="str">
        <f t="shared" si="38"/>
        <v>"https://www.zeldadungeon.net/maps/totk/tiles/sky/6/27_51.jpg",</v>
      </c>
      <c r="H1243" t="str">
        <f t="shared" si="39"/>
        <v>27_51</v>
      </c>
    </row>
    <row r="1244" spans="1:8" x14ac:dyDescent="0.2">
      <c r="A1244" s="9" t="s">
        <v>51</v>
      </c>
      <c r="C1244" t="str">
        <f t="shared" si="38"/>
        <v>"https://www.zeldadungeon.net/maps/totk/tiles/sky/6/27_52.jpg",</v>
      </c>
      <c r="H1244" t="str">
        <f t="shared" si="39"/>
        <v>27_52</v>
      </c>
    </row>
    <row r="1245" spans="1:8" x14ac:dyDescent="0.2">
      <c r="A1245" s="9" t="s">
        <v>51</v>
      </c>
      <c r="C1245" t="str">
        <f t="shared" si="38"/>
        <v>"https://www.zeldadungeon.net/maps/totk/tiles/sky/6/27_53.jpg",</v>
      </c>
      <c r="H1245" t="str">
        <f t="shared" si="39"/>
        <v>27_53</v>
      </c>
    </row>
    <row r="1246" spans="1:8" x14ac:dyDescent="0.2">
      <c r="A1246" s="9" t="s">
        <v>51</v>
      </c>
      <c r="C1246" t="str">
        <f t="shared" si="38"/>
        <v>"https://www.zeldadungeon.net/maps/totk/tiles/sky/6/27_54.jpg",</v>
      </c>
      <c r="H1246" t="str">
        <f t="shared" si="39"/>
        <v>27_54</v>
      </c>
    </row>
    <row r="1247" spans="1:8" x14ac:dyDescent="0.2">
      <c r="A1247" s="9" t="s">
        <v>51</v>
      </c>
      <c r="C1247" t="str">
        <f t="shared" si="38"/>
        <v>"https://www.zeldadungeon.net/maps/totk/tiles/sky/6/27_55.jpg",</v>
      </c>
      <c r="H1247" t="str">
        <f t="shared" si="39"/>
        <v>27_55</v>
      </c>
    </row>
    <row r="1248" spans="1:8" x14ac:dyDescent="0.2">
      <c r="A1248" s="9" t="s">
        <v>51</v>
      </c>
      <c r="C1248" t="str">
        <f t="shared" si="38"/>
        <v>"https://www.zeldadungeon.net/maps/totk/tiles/sky/6/28_8.jpg",</v>
      </c>
      <c r="H1248" t="str">
        <f t="shared" si="39"/>
        <v>28_8</v>
      </c>
    </row>
    <row r="1249" spans="1:8" x14ac:dyDescent="0.2">
      <c r="A1249" s="9" t="s">
        <v>51</v>
      </c>
      <c r="C1249" t="str">
        <f t="shared" si="38"/>
        <v>"https://www.zeldadungeon.net/maps/totk/tiles/sky/6/28_9.jpg",</v>
      </c>
      <c r="H1249" t="str">
        <f t="shared" si="39"/>
        <v>28_9</v>
      </c>
    </row>
    <row r="1250" spans="1:8" x14ac:dyDescent="0.2">
      <c r="A1250" s="9" t="s">
        <v>51</v>
      </c>
      <c r="C1250" t="str">
        <f t="shared" si="38"/>
        <v>"https://www.zeldadungeon.net/maps/totk/tiles/sky/6/28_10.jpg",</v>
      </c>
      <c r="H1250" t="str">
        <f t="shared" si="39"/>
        <v>28_10</v>
      </c>
    </row>
    <row r="1251" spans="1:8" x14ac:dyDescent="0.2">
      <c r="A1251" s="9" t="s">
        <v>51</v>
      </c>
      <c r="C1251" t="str">
        <f t="shared" si="38"/>
        <v>"https://www.zeldadungeon.net/maps/totk/tiles/sky/6/28_11.jpg",</v>
      </c>
      <c r="H1251" t="str">
        <f t="shared" si="39"/>
        <v>28_11</v>
      </c>
    </row>
    <row r="1252" spans="1:8" x14ac:dyDescent="0.2">
      <c r="A1252" s="9" t="s">
        <v>51</v>
      </c>
      <c r="C1252" t="str">
        <f t="shared" si="38"/>
        <v>"https://www.zeldadungeon.net/maps/totk/tiles/sky/6/28_12.jpg",</v>
      </c>
      <c r="H1252" t="str">
        <f t="shared" si="39"/>
        <v>28_12</v>
      </c>
    </row>
    <row r="1253" spans="1:8" x14ac:dyDescent="0.2">
      <c r="A1253" s="9" t="s">
        <v>51</v>
      </c>
      <c r="C1253" t="str">
        <f t="shared" si="38"/>
        <v>"https://www.zeldadungeon.net/maps/totk/tiles/sky/6/28_13.jpg",</v>
      </c>
      <c r="H1253" t="str">
        <f t="shared" si="39"/>
        <v>28_13</v>
      </c>
    </row>
    <row r="1254" spans="1:8" x14ac:dyDescent="0.2">
      <c r="A1254" s="9" t="s">
        <v>51</v>
      </c>
      <c r="C1254" t="str">
        <f t="shared" si="38"/>
        <v>"https://www.zeldadungeon.net/maps/totk/tiles/sky/6/28_14.jpg",</v>
      </c>
      <c r="H1254" t="str">
        <f t="shared" si="39"/>
        <v>28_14</v>
      </c>
    </row>
    <row r="1255" spans="1:8" x14ac:dyDescent="0.2">
      <c r="A1255" s="9" t="s">
        <v>51</v>
      </c>
      <c r="C1255" t="str">
        <f t="shared" si="38"/>
        <v>"https://www.zeldadungeon.net/maps/totk/tiles/sky/6/28_15.jpg",</v>
      </c>
      <c r="H1255" t="str">
        <f t="shared" si="39"/>
        <v>28_15</v>
      </c>
    </row>
    <row r="1256" spans="1:8" x14ac:dyDescent="0.2">
      <c r="A1256" s="9" t="s">
        <v>51</v>
      </c>
      <c r="C1256" t="str">
        <f t="shared" si="38"/>
        <v>"https://www.zeldadungeon.net/maps/totk/tiles/sky/6/28_16.jpg",</v>
      </c>
      <c r="H1256" t="str">
        <f t="shared" si="39"/>
        <v>28_16</v>
      </c>
    </row>
    <row r="1257" spans="1:8" x14ac:dyDescent="0.2">
      <c r="A1257" s="9" t="s">
        <v>51</v>
      </c>
      <c r="C1257" t="str">
        <f t="shared" si="38"/>
        <v>"https://www.zeldadungeon.net/maps/totk/tiles/sky/6/28_17.jpg",</v>
      </c>
      <c r="H1257" t="str">
        <f t="shared" si="39"/>
        <v>28_17</v>
      </c>
    </row>
    <row r="1258" spans="1:8" x14ac:dyDescent="0.2">
      <c r="A1258" s="9" t="s">
        <v>51</v>
      </c>
      <c r="C1258" t="str">
        <f t="shared" si="38"/>
        <v>"https://www.zeldadungeon.net/maps/totk/tiles/sky/6/28_18.jpg",</v>
      </c>
      <c r="H1258" t="str">
        <f t="shared" si="39"/>
        <v>28_18</v>
      </c>
    </row>
    <row r="1259" spans="1:8" x14ac:dyDescent="0.2">
      <c r="A1259" s="9" t="s">
        <v>51</v>
      </c>
      <c r="C1259" t="str">
        <f t="shared" si="38"/>
        <v>"https://www.zeldadungeon.net/maps/totk/tiles/sky/6/28_19.jpg",</v>
      </c>
      <c r="H1259" t="str">
        <f t="shared" si="39"/>
        <v>28_19</v>
      </c>
    </row>
    <row r="1260" spans="1:8" x14ac:dyDescent="0.2">
      <c r="A1260" s="9" t="s">
        <v>51</v>
      </c>
      <c r="C1260" t="str">
        <f t="shared" si="38"/>
        <v>"https://www.zeldadungeon.net/maps/totk/tiles/sky/6/28_20.jpg",</v>
      </c>
      <c r="H1260" t="str">
        <f t="shared" si="39"/>
        <v>28_20</v>
      </c>
    </row>
    <row r="1261" spans="1:8" x14ac:dyDescent="0.2">
      <c r="A1261" s="9" t="s">
        <v>51</v>
      </c>
      <c r="C1261" t="str">
        <f t="shared" si="38"/>
        <v>"https://www.zeldadungeon.net/maps/totk/tiles/sky/6/28_21.jpg",</v>
      </c>
      <c r="H1261" t="str">
        <f t="shared" si="39"/>
        <v>28_21</v>
      </c>
    </row>
    <row r="1262" spans="1:8" x14ac:dyDescent="0.2">
      <c r="A1262" s="9" t="s">
        <v>51</v>
      </c>
      <c r="C1262" t="str">
        <f t="shared" si="38"/>
        <v>"https://www.zeldadungeon.net/maps/totk/tiles/sky/6/28_22.jpg",</v>
      </c>
      <c r="H1262" t="str">
        <f t="shared" si="39"/>
        <v>28_22</v>
      </c>
    </row>
    <row r="1263" spans="1:8" x14ac:dyDescent="0.2">
      <c r="A1263" s="9" t="s">
        <v>51</v>
      </c>
      <c r="C1263" t="str">
        <f t="shared" si="38"/>
        <v>"https://www.zeldadungeon.net/maps/totk/tiles/sky/6/28_23.jpg",</v>
      </c>
      <c r="H1263" t="str">
        <f t="shared" si="39"/>
        <v>28_23</v>
      </c>
    </row>
    <row r="1264" spans="1:8" x14ac:dyDescent="0.2">
      <c r="A1264" s="9" t="s">
        <v>51</v>
      </c>
      <c r="C1264" t="str">
        <f t="shared" si="38"/>
        <v>"https://www.zeldadungeon.net/maps/totk/tiles/sky/6/28_24.jpg",</v>
      </c>
      <c r="H1264" t="str">
        <f t="shared" si="39"/>
        <v>28_24</v>
      </c>
    </row>
    <row r="1265" spans="1:8" x14ac:dyDescent="0.2">
      <c r="A1265" s="9" t="s">
        <v>51</v>
      </c>
      <c r="C1265" t="str">
        <f t="shared" si="38"/>
        <v>"https://www.zeldadungeon.net/maps/totk/tiles/sky/6/28_25.jpg",</v>
      </c>
      <c r="H1265" t="str">
        <f t="shared" si="39"/>
        <v>28_25</v>
      </c>
    </row>
    <row r="1266" spans="1:8" x14ac:dyDescent="0.2">
      <c r="A1266" s="9" t="s">
        <v>51</v>
      </c>
      <c r="C1266" t="str">
        <f t="shared" si="38"/>
        <v>"https://www.zeldadungeon.net/maps/totk/tiles/sky/6/28_26.jpg",</v>
      </c>
      <c r="H1266" t="str">
        <f t="shared" si="39"/>
        <v>28_26</v>
      </c>
    </row>
    <row r="1267" spans="1:8" x14ac:dyDescent="0.2">
      <c r="A1267" s="9" t="s">
        <v>51</v>
      </c>
      <c r="C1267" t="str">
        <f t="shared" si="38"/>
        <v>"https://www.zeldadungeon.net/maps/totk/tiles/sky/6/28_27.jpg",</v>
      </c>
      <c r="H1267" t="str">
        <f t="shared" si="39"/>
        <v>28_27</v>
      </c>
    </row>
    <row r="1268" spans="1:8" x14ac:dyDescent="0.2">
      <c r="A1268" s="9" t="s">
        <v>51</v>
      </c>
      <c r="C1268" t="str">
        <f t="shared" si="38"/>
        <v>"https://www.zeldadungeon.net/maps/totk/tiles/sky/6/28_28.jpg",</v>
      </c>
      <c r="H1268" t="str">
        <f t="shared" si="39"/>
        <v>28_28</v>
      </c>
    </row>
    <row r="1269" spans="1:8" x14ac:dyDescent="0.2">
      <c r="A1269" s="9" t="s">
        <v>51</v>
      </c>
      <c r="C1269" t="str">
        <f t="shared" si="38"/>
        <v>"https://www.zeldadungeon.net/maps/totk/tiles/sky/6/28_29.jpg",</v>
      </c>
      <c r="H1269" t="str">
        <f t="shared" si="39"/>
        <v>28_29</v>
      </c>
    </row>
    <row r="1270" spans="1:8" x14ac:dyDescent="0.2">
      <c r="A1270" s="9" t="s">
        <v>51</v>
      </c>
      <c r="C1270" t="str">
        <f t="shared" si="38"/>
        <v>"https://www.zeldadungeon.net/maps/totk/tiles/sky/6/28_30.jpg",</v>
      </c>
      <c r="H1270" t="str">
        <f t="shared" si="39"/>
        <v>28_30</v>
      </c>
    </row>
    <row r="1271" spans="1:8" x14ac:dyDescent="0.2">
      <c r="A1271" s="9" t="s">
        <v>51</v>
      </c>
      <c r="C1271" t="str">
        <f t="shared" si="38"/>
        <v>"https://www.zeldadungeon.net/maps/totk/tiles/sky/6/28_31.jpg",</v>
      </c>
      <c r="H1271" t="str">
        <f t="shared" si="39"/>
        <v>28_31</v>
      </c>
    </row>
    <row r="1272" spans="1:8" x14ac:dyDescent="0.2">
      <c r="A1272" s="9" t="s">
        <v>51</v>
      </c>
      <c r="C1272" t="str">
        <f t="shared" si="38"/>
        <v>"https://www.zeldadungeon.net/maps/totk/tiles/sky/6/28_32.jpg",</v>
      </c>
      <c r="H1272" t="str">
        <f t="shared" si="39"/>
        <v>28_32</v>
      </c>
    </row>
    <row r="1273" spans="1:8" x14ac:dyDescent="0.2">
      <c r="A1273" s="9" t="s">
        <v>51</v>
      </c>
      <c r="C1273" t="str">
        <f t="shared" si="38"/>
        <v>"https://www.zeldadungeon.net/maps/totk/tiles/sky/6/28_33.jpg",</v>
      </c>
      <c r="H1273" t="str">
        <f t="shared" si="39"/>
        <v>28_33</v>
      </c>
    </row>
    <row r="1274" spans="1:8" x14ac:dyDescent="0.2">
      <c r="A1274" s="9" t="s">
        <v>51</v>
      </c>
      <c r="C1274" t="str">
        <f t="shared" si="38"/>
        <v>"https://www.zeldadungeon.net/maps/totk/tiles/sky/6/28_34.jpg",</v>
      </c>
      <c r="H1274" t="str">
        <f t="shared" si="39"/>
        <v>28_34</v>
      </c>
    </row>
    <row r="1275" spans="1:8" x14ac:dyDescent="0.2">
      <c r="A1275" s="9" t="s">
        <v>51</v>
      </c>
      <c r="C1275" t="str">
        <f t="shared" si="38"/>
        <v>"https://www.zeldadungeon.net/maps/totk/tiles/sky/6/28_35.jpg",</v>
      </c>
      <c r="H1275" t="str">
        <f t="shared" si="39"/>
        <v>28_35</v>
      </c>
    </row>
    <row r="1276" spans="1:8" x14ac:dyDescent="0.2">
      <c r="A1276" s="9" t="s">
        <v>51</v>
      </c>
      <c r="C1276" t="str">
        <f t="shared" si="38"/>
        <v>"https://www.zeldadungeon.net/maps/totk/tiles/sky/6/28_36.jpg",</v>
      </c>
      <c r="H1276" t="str">
        <f t="shared" si="39"/>
        <v>28_36</v>
      </c>
    </row>
    <row r="1277" spans="1:8" x14ac:dyDescent="0.2">
      <c r="A1277" s="9" t="s">
        <v>51</v>
      </c>
      <c r="C1277" t="str">
        <f t="shared" si="38"/>
        <v>"https://www.zeldadungeon.net/maps/totk/tiles/sky/6/28_37.jpg",</v>
      </c>
      <c r="H1277" t="str">
        <f t="shared" si="39"/>
        <v>28_37</v>
      </c>
    </row>
    <row r="1278" spans="1:8" x14ac:dyDescent="0.2">
      <c r="A1278" s="9" t="s">
        <v>51</v>
      </c>
      <c r="C1278" t="str">
        <f t="shared" si="38"/>
        <v>"https://www.zeldadungeon.net/maps/totk/tiles/sky/6/28_38.jpg",</v>
      </c>
      <c r="H1278" t="str">
        <f t="shared" si="39"/>
        <v>28_38</v>
      </c>
    </row>
    <row r="1279" spans="1:8" x14ac:dyDescent="0.2">
      <c r="A1279" s="9" t="s">
        <v>51</v>
      </c>
      <c r="C1279" t="str">
        <f t="shared" si="38"/>
        <v>"https://www.zeldadungeon.net/maps/totk/tiles/sky/6/28_39.jpg",</v>
      </c>
      <c r="H1279" t="str">
        <f t="shared" si="39"/>
        <v>28_39</v>
      </c>
    </row>
    <row r="1280" spans="1:8" x14ac:dyDescent="0.2">
      <c r="A1280" s="9" t="s">
        <v>51</v>
      </c>
      <c r="C1280" t="str">
        <f t="shared" si="38"/>
        <v>"https://www.zeldadungeon.net/maps/totk/tiles/sky/6/28_40.jpg",</v>
      </c>
      <c r="H1280" t="str">
        <f t="shared" si="39"/>
        <v>28_40</v>
      </c>
    </row>
    <row r="1281" spans="1:8" x14ac:dyDescent="0.2">
      <c r="A1281" s="9" t="s">
        <v>51</v>
      </c>
      <c r="C1281" t="str">
        <f t="shared" ref="C1281:C1344" si="40">""""&amp;SUBSTITUTE(A1281,"zzz",H1281)&amp;""""&amp;","</f>
        <v>"https://www.zeldadungeon.net/maps/totk/tiles/sky/6/28_41.jpg",</v>
      </c>
      <c r="H1281" t="str">
        <f t="shared" ref="H1281:H1344" si="41">QUOTIENT(ROW(A1281),48)+2&amp;"_"&amp;MOD(ROW(A1281),48)+8</f>
        <v>28_41</v>
      </c>
    </row>
    <row r="1282" spans="1:8" x14ac:dyDescent="0.2">
      <c r="A1282" s="9" t="s">
        <v>51</v>
      </c>
      <c r="C1282" t="str">
        <f t="shared" si="40"/>
        <v>"https://www.zeldadungeon.net/maps/totk/tiles/sky/6/28_42.jpg",</v>
      </c>
      <c r="H1282" t="str">
        <f t="shared" si="41"/>
        <v>28_42</v>
      </c>
    </row>
    <row r="1283" spans="1:8" x14ac:dyDescent="0.2">
      <c r="A1283" s="9" t="s">
        <v>51</v>
      </c>
      <c r="C1283" t="str">
        <f t="shared" si="40"/>
        <v>"https://www.zeldadungeon.net/maps/totk/tiles/sky/6/28_43.jpg",</v>
      </c>
      <c r="H1283" t="str">
        <f t="shared" si="41"/>
        <v>28_43</v>
      </c>
    </row>
    <row r="1284" spans="1:8" x14ac:dyDescent="0.2">
      <c r="A1284" s="9" t="s">
        <v>51</v>
      </c>
      <c r="C1284" t="str">
        <f t="shared" si="40"/>
        <v>"https://www.zeldadungeon.net/maps/totk/tiles/sky/6/28_44.jpg",</v>
      </c>
      <c r="H1284" t="str">
        <f t="shared" si="41"/>
        <v>28_44</v>
      </c>
    </row>
    <row r="1285" spans="1:8" x14ac:dyDescent="0.2">
      <c r="A1285" s="9" t="s">
        <v>51</v>
      </c>
      <c r="C1285" t="str">
        <f t="shared" si="40"/>
        <v>"https://www.zeldadungeon.net/maps/totk/tiles/sky/6/28_45.jpg",</v>
      </c>
      <c r="H1285" t="str">
        <f t="shared" si="41"/>
        <v>28_45</v>
      </c>
    </row>
    <row r="1286" spans="1:8" x14ac:dyDescent="0.2">
      <c r="A1286" s="9" t="s">
        <v>51</v>
      </c>
      <c r="C1286" t="str">
        <f t="shared" si="40"/>
        <v>"https://www.zeldadungeon.net/maps/totk/tiles/sky/6/28_46.jpg",</v>
      </c>
      <c r="H1286" t="str">
        <f t="shared" si="41"/>
        <v>28_46</v>
      </c>
    </row>
    <row r="1287" spans="1:8" x14ac:dyDescent="0.2">
      <c r="A1287" s="9" t="s">
        <v>51</v>
      </c>
      <c r="C1287" t="str">
        <f t="shared" si="40"/>
        <v>"https://www.zeldadungeon.net/maps/totk/tiles/sky/6/28_47.jpg",</v>
      </c>
      <c r="H1287" t="str">
        <f t="shared" si="41"/>
        <v>28_47</v>
      </c>
    </row>
    <row r="1288" spans="1:8" x14ac:dyDescent="0.2">
      <c r="A1288" s="9" t="s">
        <v>51</v>
      </c>
      <c r="C1288" t="str">
        <f t="shared" si="40"/>
        <v>"https://www.zeldadungeon.net/maps/totk/tiles/sky/6/28_48.jpg",</v>
      </c>
      <c r="H1288" t="str">
        <f t="shared" si="41"/>
        <v>28_48</v>
      </c>
    </row>
    <row r="1289" spans="1:8" x14ac:dyDescent="0.2">
      <c r="A1289" s="9" t="s">
        <v>51</v>
      </c>
      <c r="C1289" t="str">
        <f t="shared" si="40"/>
        <v>"https://www.zeldadungeon.net/maps/totk/tiles/sky/6/28_49.jpg",</v>
      </c>
      <c r="H1289" t="str">
        <f t="shared" si="41"/>
        <v>28_49</v>
      </c>
    </row>
    <row r="1290" spans="1:8" x14ac:dyDescent="0.2">
      <c r="A1290" s="9" t="s">
        <v>51</v>
      </c>
      <c r="C1290" t="str">
        <f t="shared" si="40"/>
        <v>"https://www.zeldadungeon.net/maps/totk/tiles/sky/6/28_50.jpg",</v>
      </c>
      <c r="H1290" t="str">
        <f t="shared" si="41"/>
        <v>28_50</v>
      </c>
    </row>
    <row r="1291" spans="1:8" x14ac:dyDescent="0.2">
      <c r="A1291" s="9" t="s">
        <v>51</v>
      </c>
      <c r="C1291" t="str">
        <f t="shared" si="40"/>
        <v>"https://www.zeldadungeon.net/maps/totk/tiles/sky/6/28_51.jpg",</v>
      </c>
      <c r="H1291" t="str">
        <f t="shared" si="41"/>
        <v>28_51</v>
      </c>
    </row>
    <row r="1292" spans="1:8" x14ac:dyDescent="0.2">
      <c r="A1292" s="9" t="s">
        <v>51</v>
      </c>
      <c r="C1292" t="str">
        <f t="shared" si="40"/>
        <v>"https://www.zeldadungeon.net/maps/totk/tiles/sky/6/28_52.jpg",</v>
      </c>
      <c r="H1292" t="str">
        <f t="shared" si="41"/>
        <v>28_52</v>
      </c>
    </row>
    <row r="1293" spans="1:8" x14ac:dyDescent="0.2">
      <c r="A1293" s="9" t="s">
        <v>51</v>
      </c>
      <c r="C1293" t="str">
        <f t="shared" si="40"/>
        <v>"https://www.zeldadungeon.net/maps/totk/tiles/sky/6/28_53.jpg",</v>
      </c>
      <c r="H1293" t="str">
        <f t="shared" si="41"/>
        <v>28_53</v>
      </c>
    </row>
    <row r="1294" spans="1:8" x14ac:dyDescent="0.2">
      <c r="A1294" s="9" t="s">
        <v>51</v>
      </c>
      <c r="C1294" t="str">
        <f t="shared" si="40"/>
        <v>"https://www.zeldadungeon.net/maps/totk/tiles/sky/6/28_54.jpg",</v>
      </c>
      <c r="H1294" t="str">
        <f t="shared" si="41"/>
        <v>28_54</v>
      </c>
    </row>
    <row r="1295" spans="1:8" x14ac:dyDescent="0.2">
      <c r="A1295" s="9" t="s">
        <v>51</v>
      </c>
      <c r="C1295" t="str">
        <f t="shared" si="40"/>
        <v>"https://www.zeldadungeon.net/maps/totk/tiles/sky/6/28_55.jpg",</v>
      </c>
      <c r="H1295" t="str">
        <f t="shared" si="41"/>
        <v>28_55</v>
      </c>
    </row>
    <row r="1296" spans="1:8" x14ac:dyDescent="0.2">
      <c r="A1296" s="9" t="s">
        <v>51</v>
      </c>
      <c r="C1296" t="str">
        <f t="shared" si="40"/>
        <v>"https://www.zeldadungeon.net/maps/totk/tiles/sky/6/29_8.jpg",</v>
      </c>
      <c r="H1296" t="str">
        <f t="shared" si="41"/>
        <v>29_8</v>
      </c>
    </row>
    <row r="1297" spans="1:8" x14ac:dyDescent="0.2">
      <c r="A1297" s="9" t="s">
        <v>51</v>
      </c>
      <c r="C1297" t="str">
        <f t="shared" si="40"/>
        <v>"https://www.zeldadungeon.net/maps/totk/tiles/sky/6/29_9.jpg",</v>
      </c>
      <c r="H1297" t="str">
        <f t="shared" si="41"/>
        <v>29_9</v>
      </c>
    </row>
    <row r="1298" spans="1:8" x14ac:dyDescent="0.2">
      <c r="A1298" s="9" t="s">
        <v>51</v>
      </c>
      <c r="C1298" t="str">
        <f t="shared" si="40"/>
        <v>"https://www.zeldadungeon.net/maps/totk/tiles/sky/6/29_10.jpg",</v>
      </c>
      <c r="H1298" t="str">
        <f t="shared" si="41"/>
        <v>29_10</v>
      </c>
    </row>
    <row r="1299" spans="1:8" x14ac:dyDescent="0.2">
      <c r="A1299" s="9" t="s">
        <v>51</v>
      </c>
      <c r="C1299" t="str">
        <f t="shared" si="40"/>
        <v>"https://www.zeldadungeon.net/maps/totk/tiles/sky/6/29_11.jpg",</v>
      </c>
      <c r="H1299" t="str">
        <f t="shared" si="41"/>
        <v>29_11</v>
      </c>
    </row>
    <row r="1300" spans="1:8" x14ac:dyDescent="0.2">
      <c r="A1300" s="9" t="s">
        <v>51</v>
      </c>
      <c r="C1300" t="str">
        <f t="shared" si="40"/>
        <v>"https://www.zeldadungeon.net/maps/totk/tiles/sky/6/29_12.jpg",</v>
      </c>
      <c r="H1300" t="str">
        <f t="shared" si="41"/>
        <v>29_12</v>
      </c>
    </row>
    <row r="1301" spans="1:8" x14ac:dyDescent="0.2">
      <c r="A1301" s="9" t="s">
        <v>51</v>
      </c>
      <c r="C1301" t="str">
        <f t="shared" si="40"/>
        <v>"https://www.zeldadungeon.net/maps/totk/tiles/sky/6/29_13.jpg",</v>
      </c>
      <c r="H1301" t="str">
        <f t="shared" si="41"/>
        <v>29_13</v>
      </c>
    </row>
    <row r="1302" spans="1:8" x14ac:dyDescent="0.2">
      <c r="A1302" s="9" t="s">
        <v>51</v>
      </c>
      <c r="C1302" t="str">
        <f t="shared" si="40"/>
        <v>"https://www.zeldadungeon.net/maps/totk/tiles/sky/6/29_14.jpg",</v>
      </c>
      <c r="H1302" t="str">
        <f t="shared" si="41"/>
        <v>29_14</v>
      </c>
    </row>
    <row r="1303" spans="1:8" x14ac:dyDescent="0.2">
      <c r="A1303" s="9" t="s">
        <v>51</v>
      </c>
      <c r="C1303" t="str">
        <f t="shared" si="40"/>
        <v>"https://www.zeldadungeon.net/maps/totk/tiles/sky/6/29_15.jpg",</v>
      </c>
      <c r="H1303" t="str">
        <f t="shared" si="41"/>
        <v>29_15</v>
      </c>
    </row>
    <row r="1304" spans="1:8" x14ac:dyDescent="0.2">
      <c r="A1304" s="9" t="s">
        <v>51</v>
      </c>
      <c r="C1304" t="str">
        <f t="shared" si="40"/>
        <v>"https://www.zeldadungeon.net/maps/totk/tiles/sky/6/29_16.jpg",</v>
      </c>
      <c r="H1304" t="str">
        <f t="shared" si="41"/>
        <v>29_16</v>
      </c>
    </row>
    <row r="1305" spans="1:8" x14ac:dyDescent="0.2">
      <c r="A1305" s="9" t="s">
        <v>51</v>
      </c>
      <c r="C1305" t="str">
        <f t="shared" si="40"/>
        <v>"https://www.zeldadungeon.net/maps/totk/tiles/sky/6/29_17.jpg",</v>
      </c>
      <c r="H1305" t="str">
        <f t="shared" si="41"/>
        <v>29_17</v>
      </c>
    </row>
    <row r="1306" spans="1:8" x14ac:dyDescent="0.2">
      <c r="A1306" s="9" t="s">
        <v>51</v>
      </c>
      <c r="C1306" t="str">
        <f t="shared" si="40"/>
        <v>"https://www.zeldadungeon.net/maps/totk/tiles/sky/6/29_18.jpg",</v>
      </c>
      <c r="H1306" t="str">
        <f t="shared" si="41"/>
        <v>29_18</v>
      </c>
    </row>
    <row r="1307" spans="1:8" x14ac:dyDescent="0.2">
      <c r="A1307" s="9" t="s">
        <v>51</v>
      </c>
      <c r="C1307" t="str">
        <f t="shared" si="40"/>
        <v>"https://www.zeldadungeon.net/maps/totk/tiles/sky/6/29_19.jpg",</v>
      </c>
      <c r="H1307" t="str">
        <f t="shared" si="41"/>
        <v>29_19</v>
      </c>
    </row>
    <row r="1308" spans="1:8" x14ac:dyDescent="0.2">
      <c r="A1308" s="9" t="s">
        <v>51</v>
      </c>
      <c r="C1308" t="str">
        <f t="shared" si="40"/>
        <v>"https://www.zeldadungeon.net/maps/totk/tiles/sky/6/29_20.jpg",</v>
      </c>
      <c r="H1308" t="str">
        <f t="shared" si="41"/>
        <v>29_20</v>
      </c>
    </row>
    <row r="1309" spans="1:8" x14ac:dyDescent="0.2">
      <c r="A1309" s="9" t="s">
        <v>51</v>
      </c>
      <c r="C1309" t="str">
        <f t="shared" si="40"/>
        <v>"https://www.zeldadungeon.net/maps/totk/tiles/sky/6/29_21.jpg",</v>
      </c>
      <c r="H1309" t="str">
        <f t="shared" si="41"/>
        <v>29_21</v>
      </c>
    </row>
    <row r="1310" spans="1:8" x14ac:dyDescent="0.2">
      <c r="A1310" s="9" t="s">
        <v>51</v>
      </c>
      <c r="C1310" t="str">
        <f t="shared" si="40"/>
        <v>"https://www.zeldadungeon.net/maps/totk/tiles/sky/6/29_22.jpg",</v>
      </c>
      <c r="H1310" t="str">
        <f t="shared" si="41"/>
        <v>29_22</v>
      </c>
    </row>
    <row r="1311" spans="1:8" x14ac:dyDescent="0.2">
      <c r="A1311" s="9" t="s">
        <v>51</v>
      </c>
      <c r="C1311" t="str">
        <f t="shared" si="40"/>
        <v>"https://www.zeldadungeon.net/maps/totk/tiles/sky/6/29_23.jpg",</v>
      </c>
      <c r="H1311" t="str">
        <f t="shared" si="41"/>
        <v>29_23</v>
      </c>
    </row>
    <row r="1312" spans="1:8" x14ac:dyDescent="0.2">
      <c r="A1312" s="9" t="s">
        <v>51</v>
      </c>
      <c r="C1312" t="str">
        <f t="shared" si="40"/>
        <v>"https://www.zeldadungeon.net/maps/totk/tiles/sky/6/29_24.jpg",</v>
      </c>
      <c r="H1312" t="str">
        <f t="shared" si="41"/>
        <v>29_24</v>
      </c>
    </row>
    <row r="1313" spans="1:8" x14ac:dyDescent="0.2">
      <c r="A1313" s="9" t="s">
        <v>51</v>
      </c>
      <c r="C1313" t="str">
        <f t="shared" si="40"/>
        <v>"https://www.zeldadungeon.net/maps/totk/tiles/sky/6/29_25.jpg",</v>
      </c>
      <c r="H1313" t="str">
        <f t="shared" si="41"/>
        <v>29_25</v>
      </c>
    </row>
    <row r="1314" spans="1:8" x14ac:dyDescent="0.2">
      <c r="A1314" s="9" t="s">
        <v>51</v>
      </c>
      <c r="C1314" t="str">
        <f t="shared" si="40"/>
        <v>"https://www.zeldadungeon.net/maps/totk/tiles/sky/6/29_26.jpg",</v>
      </c>
      <c r="H1314" t="str">
        <f t="shared" si="41"/>
        <v>29_26</v>
      </c>
    </row>
    <row r="1315" spans="1:8" x14ac:dyDescent="0.2">
      <c r="A1315" s="9" t="s">
        <v>51</v>
      </c>
      <c r="C1315" t="str">
        <f t="shared" si="40"/>
        <v>"https://www.zeldadungeon.net/maps/totk/tiles/sky/6/29_27.jpg",</v>
      </c>
      <c r="H1315" t="str">
        <f t="shared" si="41"/>
        <v>29_27</v>
      </c>
    </row>
    <row r="1316" spans="1:8" x14ac:dyDescent="0.2">
      <c r="A1316" s="9" t="s">
        <v>51</v>
      </c>
      <c r="C1316" t="str">
        <f t="shared" si="40"/>
        <v>"https://www.zeldadungeon.net/maps/totk/tiles/sky/6/29_28.jpg",</v>
      </c>
      <c r="H1316" t="str">
        <f t="shared" si="41"/>
        <v>29_28</v>
      </c>
    </row>
    <row r="1317" spans="1:8" x14ac:dyDescent="0.2">
      <c r="A1317" s="9" t="s">
        <v>51</v>
      </c>
      <c r="C1317" t="str">
        <f t="shared" si="40"/>
        <v>"https://www.zeldadungeon.net/maps/totk/tiles/sky/6/29_29.jpg",</v>
      </c>
      <c r="H1317" t="str">
        <f t="shared" si="41"/>
        <v>29_29</v>
      </c>
    </row>
    <row r="1318" spans="1:8" x14ac:dyDescent="0.2">
      <c r="A1318" s="9" t="s">
        <v>51</v>
      </c>
      <c r="C1318" t="str">
        <f t="shared" si="40"/>
        <v>"https://www.zeldadungeon.net/maps/totk/tiles/sky/6/29_30.jpg",</v>
      </c>
      <c r="H1318" t="str">
        <f t="shared" si="41"/>
        <v>29_30</v>
      </c>
    </row>
    <row r="1319" spans="1:8" x14ac:dyDescent="0.2">
      <c r="A1319" s="9" t="s">
        <v>51</v>
      </c>
      <c r="C1319" t="str">
        <f t="shared" si="40"/>
        <v>"https://www.zeldadungeon.net/maps/totk/tiles/sky/6/29_31.jpg",</v>
      </c>
      <c r="H1319" t="str">
        <f t="shared" si="41"/>
        <v>29_31</v>
      </c>
    </row>
    <row r="1320" spans="1:8" x14ac:dyDescent="0.2">
      <c r="A1320" s="9" t="s">
        <v>51</v>
      </c>
      <c r="C1320" t="str">
        <f t="shared" si="40"/>
        <v>"https://www.zeldadungeon.net/maps/totk/tiles/sky/6/29_32.jpg",</v>
      </c>
      <c r="H1320" t="str">
        <f t="shared" si="41"/>
        <v>29_32</v>
      </c>
    </row>
    <row r="1321" spans="1:8" x14ac:dyDescent="0.2">
      <c r="A1321" s="9" t="s">
        <v>51</v>
      </c>
      <c r="C1321" t="str">
        <f t="shared" si="40"/>
        <v>"https://www.zeldadungeon.net/maps/totk/tiles/sky/6/29_33.jpg",</v>
      </c>
      <c r="H1321" t="str">
        <f t="shared" si="41"/>
        <v>29_33</v>
      </c>
    </row>
    <row r="1322" spans="1:8" x14ac:dyDescent="0.2">
      <c r="A1322" s="9" t="s">
        <v>51</v>
      </c>
      <c r="C1322" t="str">
        <f t="shared" si="40"/>
        <v>"https://www.zeldadungeon.net/maps/totk/tiles/sky/6/29_34.jpg",</v>
      </c>
      <c r="H1322" t="str">
        <f t="shared" si="41"/>
        <v>29_34</v>
      </c>
    </row>
    <row r="1323" spans="1:8" x14ac:dyDescent="0.2">
      <c r="A1323" s="9" t="s">
        <v>51</v>
      </c>
      <c r="C1323" t="str">
        <f t="shared" si="40"/>
        <v>"https://www.zeldadungeon.net/maps/totk/tiles/sky/6/29_35.jpg",</v>
      </c>
      <c r="H1323" t="str">
        <f t="shared" si="41"/>
        <v>29_35</v>
      </c>
    </row>
    <row r="1324" spans="1:8" x14ac:dyDescent="0.2">
      <c r="A1324" s="9" t="s">
        <v>51</v>
      </c>
      <c r="C1324" t="str">
        <f t="shared" si="40"/>
        <v>"https://www.zeldadungeon.net/maps/totk/tiles/sky/6/29_36.jpg",</v>
      </c>
      <c r="H1324" t="str">
        <f t="shared" si="41"/>
        <v>29_36</v>
      </c>
    </row>
    <row r="1325" spans="1:8" x14ac:dyDescent="0.2">
      <c r="A1325" s="9" t="s">
        <v>51</v>
      </c>
      <c r="C1325" t="str">
        <f t="shared" si="40"/>
        <v>"https://www.zeldadungeon.net/maps/totk/tiles/sky/6/29_37.jpg",</v>
      </c>
      <c r="H1325" t="str">
        <f t="shared" si="41"/>
        <v>29_37</v>
      </c>
    </row>
    <row r="1326" spans="1:8" x14ac:dyDescent="0.2">
      <c r="A1326" s="9" t="s">
        <v>51</v>
      </c>
      <c r="C1326" t="str">
        <f t="shared" si="40"/>
        <v>"https://www.zeldadungeon.net/maps/totk/tiles/sky/6/29_38.jpg",</v>
      </c>
      <c r="H1326" t="str">
        <f t="shared" si="41"/>
        <v>29_38</v>
      </c>
    </row>
    <row r="1327" spans="1:8" x14ac:dyDescent="0.2">
      <c r="A1327" s="9" t="s">
        <v>51</v>
      </c>
      <c r="C1327" t="str">
        <f t="shared" si="40"/>
        <v>"https://www.zeldadungeon.net/maps/totk/tiles/sky/6/29_39.jpg",</v>
      </c>
      <c r="H1327" t="str">
        <f t="shared" si="41"/>
        <v>29_39</v>
      </c>
    </row>
    <row r="1328" spans="1:8" x14ac:dyDescent="0.2">
      <c r="A1328" s="9" t="s">
        <v>51</v>
      </c>
      <c r="C1328" t="str">
        <f t="shared" si="40"/>
        <v>"https://www.zeldadungeon.net/maps/totk/tiles/sky/6/29_40.jpg",</v>
      </c>
      <c r="H1328" t="str">
        <f t="shared" si="41"/>
        <v>29_40</v>
      </c>
    </row>
    <row r="1329" spans="1:8" x14ac:dyDescent="0.2">
      <c r="A1329" s="9" t="s">
        <v>51</v>
      </c>
      <c r="C1329" t="str">
        <f t="shared" si="40"/>
        <v>"https://www.zeldadungeon.net/maps/totk/tiles/sky/6/29_41.jpg",</v>
      </c>
      <c r="H1329" t="str">
        <f t="shared" si="41"/>
        <v>29_41</v>
      </c>
    </row>
    <row r="1330" spans="1:8" x14ac:dyDescent="0.2">
      <c r="A1330" s="9" t="s">
        <v>51</v>
      </c>
      <c r="C1330" t="str">
        <f t="shared" si="40"/>
        <v>"https://www.zeldadungeon.net/maps/totk/tiles/sky/6/29_42.jpg",</v>
      </c>
      <c r="H1330" t="str">
        <f t="shared" si="41"/>
        <v>29_42</v>
      </c>
    </row>
    <row r="1331" spans="1:8" x14ac:dyDescent="0.2">
      <c r="A1331" s="9" t="s">
        <v>51</v>
      </c>
      <c r="C1331" t="str">
        <f t="shared" si="40"/>
        <v>"https://www.zeldadungeon.net/maps/totk/tiles/sky/6/29_43.jpg",</v>
      </c>
      <c r="H1331" t="str">
        <f t="shared" si="41"/>
        <v>29_43</v>
      </c>
    </row>
    <row r="1332" spans="1:8" x14ac:dyDescent="0.2">
      <c r="A1332" s="9" t="s">
        <v>51</v>
      </c>
      <c r="C1332" t="str">
        <f t="shared" si="40"/>
        <v>"https://www.zeldadungeon.net/maps/totk/tiles/sky/6/29_44.jpg",</v>
      </c>
      <c r="H1332" t="str">
        <f t="shared" si="41"/>
        <v>29_44</v>
      </c>
    </row>
    <row r="1333" spans="1:8" x14ac:dyDescent="0.2">
      <c r="A1333" s="9" t="s">
        <v>51</v>
      </c>
      <c r="C1333" t="str">
        <f t="shared" si="40"/>
        <v>"https://www.zeldadungeon.net/maps/totk/tiles/sky/6/29_45.jpg",</v>
      </c>
      <c r="H1333" t="str">
        <f t="shared" si="41"/>
        <v>29_45</v>
      </c>
    </row>
    <row r="1334" spans="1:8" x14ac:dyDescent="0.2">
      <c r="A1334" s="9" t="s">
        <v>51</v>
      </c>
      <c r="C1334" t="str">
        <f t="shared" si="40"/>
        <v>"https://www.zeldadungeon.net/maps/totk/tiles/sky/6/29_46.jpg",</v>
      </c>
      <c r="H1334" t="str">
        <f t="shared" si="41"/>
        <v>29_46</v>
      </c>
    </row>
    <row r="1335" spans="1:8" x14ac:dyDescent="0.2">
      <c r="A1335" s="9" t="s">
        <v>51</v>
      </c>
      <c r="C1335" t="str">
        <f t="shared" si="40"/>
        <v>"https://www.zeldadungeon.net/maps/totk/tiles/sky/6/29_47.jpg",</v>
      </c>
      <c r="H1335" t="str">
        <f t="shared" si="41"/>
        <v>29_47</v>
      </c>
    </row>
    <row r="1336" spans="1:8" x14ac:dyDescent="0.2">
      <c r="A1336" s="9" t="s">
        <v>51</v>
      </c>
      <c r="C1336" t="str">
        <f t="shared" si="40"/>
        <v>"https://www.zeldadungeon.net/maps/totk/tiles/sky/6/29_48.jpg",</v>
      </c>
      <c r="H1336" t="str">
        <f t="shared" si="41"/>
        <v>29_48</v>
      </c>
    </row>
    <row r="1337" spans="1:8" x14ac:dyDescent="0.2">
      <c r="A1337" s="9" t="s">
        <v>51</v>
      </c>
      <c r="C1337" t="str">
        <f t="shared" si="40"/>
        <v>"https://www.zeldadungeon.net/maps/totk/tiles/sky/6/29_49.jpg",</v>
      </c>
      <c r="H1337" t="str">
        <f t="shared" si="41"/>
        <v>29_49</v>
      </c>
    </row>
    <row r="1338" spans="1:8" x14ac:dyDescent="0.2">
      <c r="A1338" s="9" t="s">
        <v>51</v>
      </c>
      <c r="C1338" t="str">
        <f t="shared" si="40"/>
        <v>"https://www.zeldadungeon.net/maps/totk/tiles/sky/6/29_50.jpg",</v>
      </c>
      <c r="H1338" t="str">
        <f t="shared" si="41"/>
        <v>29_50</v>
      </c>
    </row>
    <row r="1339" spans="1:8" x14ac:dyDescent="0.2">
      <c r="A1339" s="9" t="s">
        <v>51</v>
      </c>
      <c r="C1339" t="str">
        <f t="shared" si="40"/>
        <v>"https://www.zeldadungeon.net/maps/totk/tiles/sky/6/29_51.jpg",</v>
      </c>
      <c r="H1339" t="str">
        <f t="shared" si="41"/>
        <v>29_51</v>
      </c>
    </row>
    <row r="1340" spans="1:8" x14ac:dyDescent="0.2">
      <c r="A1340" s="9" t="s">
        <v>51</v>
      </c>
      <c r="C1340" t="str">
        <f t="shared" si="40"/>
        <v>"https://www.zeldadungeon.net/maps/totk/tiles/sky/6/29_52.jpg",</v>
      </c>
      <c r="H1340" t="str">
        <f t="shared" si="41"/>
        <v>29_52</v>
      </c>
    </row>
    <row r="1341" spans="1:8" x14ac:dyDescent="0.2">
      <c r="A1341" s="9" t="s">
        <v>51</v>
      </c>
      <c r="C1341" t="str">
        <f t="shared" si="40"/>
        <v>"https://www.zeldadungeon.net/maps/totk/tiles/sky/6/29_53.jpg",</v>
      </c>
      <c r="H1341" t="str">
        <f t="shared" si="41"/>
        <v>29_53</v>
      </c>
    </row>
    <row r="1342" spans="1:8" x14ac:dyDescent="0.2">
      <c r="A1342" s="9" t="s">
        <v>51</v>
      </c>
      <c r="C1342" t="str">
        <f t="shared" si="40"/>
        <v>"https://www.zeldadungeon.net/maps/totk/tiles/sky/6/29_54.jpg",</v>
      </c>
      <c r="H1342" t="str">
        <f t="shared" si="41"/>
        <v>29_54</v>
      </c>
    </row>
    <row r="1343" spans="1:8" x14ac:dyDescent="0.2">
      <c r="A1343" s="9" t="s">
        <v>51</v>
      </c>
      <c r="C1343" t="str">
        <f t="shared" si="40"/>
        <v>"https://www.zeldadungeon.net/maps/totk/tiles/sky/6/29_55.jpg",</v>
      </c>
      <c r="H1343" t="str">
        <f t="shared" si="41"/>
        <v>29_55</v>
      </c>
    </row>
    <row r="1344" spans="1:8" x14ac:dyDescent="0.2">
      <c r="A1344" s="9" t="s">
        <v>51</v>
      </c>
      <c r="C1344" t="str">
        <f t="shared" si="40"/>
        <v>"https://www.zeldadungeon.net/maps/totk/tiles/sky/6/30_8.jpg",</v>
      </c>
      <c r="H1344" t="str">
        <f t="shared" si="41"/>
        <v>30_8</v>
      </c>
    </row>
    <row r="1345" spans="1:8" x14ac:dyDescent="0.2">
      <c r="A1345" s="9" t="s">
        <v>51</v>
      </c>
      <c r="C1345" t="str">
        <f t="shared" ref="C1345:C1408" si="42">""""&amp;SUBSTITUTE(A1345,"zzz",H1345)&amp;""""&amp;","</f>
        <v>"https://www.zeldadungeon.net/maps/totk/tiles/sky/6/30_9.jpg",</v>
      </c>
      <c r="H1345" t="str">
        <f t="shared" ref="H1345:H1408" si="43">QUOTIENT(ROW(A1345),48)+2&amp;"_"&amp;MOD(ROW(A1345),48)+8</f>
        <v>30_9</v>
      </c>
    </row>
    <row r="1346" spans="1:8" x14ac:dyDescent="0.2">
      <c r="A1346" s="9" t="s">
        <v>51</v>
      </c>
      <c r="C1346" t="str">
        <f t="shared" si="42"/>
        <v>"https://www.zeldadungeon.net/maps/totk/tiles/sky/6/30_10.jpg",</v>
      </c>
      <c r="H1346" t="str">
        <f t="shared" si="43"/>
        <v>30_10</v>
      </c>
    </row>
    <row r="1347" spans="1:8" x14ac:dyDescent="0.2">
      <c r="A1347" s="9" t="s">
        <v>51</v>
      </c>
      <c r="C1347" t="str">
        <f t="shared" si="42"/>
        <v>"https://www.zeldadungeon.net/maps/totk/tiles/sky/6/30_11.jpg",</v>
      </c>
      <c r="H1347" t="str">
        <f t="shared" si="43"/>
        <v>30_11</v>
      </c>
    </row>
    <row r="1348" spans="1:8" x14ac:dyDescent="0.2">
      <c r="A1348" s="9" t="s">
        <v>51</v>
      </c>
      <c r="C1348" t="str">
        <f t="shared" si="42"/>
        <v>"https://www.zeldadungeon.net/maps/totk/tiles/sky/6/30_12.jpg",</v>
      </c>
      <c r="H1348" t="str">
        <f t="shared" si="43"/>
        <v>30_12</v>
      </c>
    </row>
    <row r="1349" spans="1:8" x14ac:dyDescent="0.2">
      <c r="A1349" s="9" t="s">
        <v>51</v>
      </c>
      <c r="C1349" t="str">
        <f t="shared" si="42"/>
        <v>"https://www.zeldadungeon.net/maps/totk/tiles/sky/6/30_13.jpg",</v>
      </c>
      <c r="H1349" t="str">
        <f t="shared" si="43"/>
        <v>30_13</v>
      </c>
    </row>
    <row r="1350" spans="1:8" x14ac:dyDescent="0.2">
      <c r="A1350" s="9" t="s">
        <v>51</v>
      </c>
      <c r="C1350" t="str">
        <f t="shared" si="42"/>
        <v>"https://www.zeldadungeon.net/maps/totk/tiles/sky/6/30_14.jpg",</v>
      </c>
      <c r="H1350" t="str">
        <f t="shared" si="43"/>
        <v>30_14</v>
      </c>
    </row>
    <row r="1351" spans="1:8" x14ac:dyDescent="0.2">
      <c r="A1351" s="9" t="s">
        <v>51</v>
      </c>
      <c r="C1351" t="str">
        <f t="shared" si="42"/>
        <v>"https://www.zeldadungeon.net/maps/totk/tiles/sky/6/30_15.jpg",</v>
      </c>
      <c r="H1351" t="str">
        <f t="shared" si="43"/>
        <v>30_15</v>
      </c>
    </row>
    <row r="1352" spans="1:8" x14ac:dyDescent="0.2">
      <c r="A1352" s="9" t="s">
        <v>51</v>
      </c>
      <c r="C1352" t="str">
        <f t="shared" si="42"/>
        <v>"https://www.zeldadungeon.net/maps/totk/tiles/sky/6/30_16.jpg",</v>
      </c>
      <c r="H1352" t="str">
        <f t="shared" si="43"/>
        <v>30_16</v>
      </c>
    </row>
    <row r="1353" spans="1:8" x14ac:dyDescent="0.2">
      <c r="A1353" s="9" t="s">
        <v>51</v>
      </c>
      <c r="C1353" t="str">
        <f t="shared" si="42"/>
        <v>"https://www.zeldadungeon.net/maps/totk/tiles/sky/6/30_17.jpg",</v>
      </c>
      <c r="H1353" t="str">
        <f t="shared" si="43"/>
        <v>30_17</v>
      </c>
    </row>
    <row r="1354" spans="1:8" x14ac:dyDescent="0.2">
      <c r="A1354" s="9" t="s">
        <v>51</v>
      </c>
      <c r="C1354" t="str">
        <f t="shared" si="42"/>
        <v>"https://www.zeldadungeon.net/maps/totk/tiles/sky/6/30_18.jpg",</v>
      </c>
      <c r="H1354" t="str">
        <f t="shared" si="43"/>
        <v>30_18</v>
      </c>
    </row>
    <row r="1355" spans="1:8" x14ac:dyDescent="0.2">
      <c r="A1355" s="9" t="s">
        <v>51</v>
      </c>
      <c r="C1355" t="str">
        <f t="shared" si="42"/>
        <v>"https://www.zeldadungeon.net/maps/totk/tiles/sky/6/30_19.jpg",</v>
      </c>
      <c r="H1355" t="str">
        <f t="shared" si="43"/>
        <v>30_19</v>
      </c>
    </row>
    <row r="1356" spans="1:8" x14ac:dyDescent="0.2">
      <c r="A1356" s="9" t="s">
        <v>51</v>
      </c>
      <c r="C1356" t="str">
        <f t="shared" si="42"/>
        <v>"https://www.zeldadungeon.net/maps/totk/tiles/sky/6/30_20.jpg",</v>
      </c>
      <c r="H1356" t="str">
        <f t="shared" si="43"/>
        <v>30_20</v>
      </c>
    </row>
    <row r="1357" spans="1:8" x14ac:dyDescent="0.2">
      <c r="A1357" s="9" t="s">
        <v>51</v>
      </c>
      <c r="C1357" t="str">
        <f t="shared" si="42"/>
        <v>"https://www.zeldadungeon.net/maps/totk/tiles/sky/6/30_21.jpg",</v>
      </c>
      <c r="H1357" t="str">
        <f t="shared" si="43"/>
        <v>30_21</v>
      </c>
    </row>
    <row r="1358" spans="1:8" x14ac:dyDescent="0.2">
      <c r="A1358" s="9" t="s">
        <v>51</v>
      </c>
      <c r="C1358" t="str">
        <f t="shared" si="42"/>
        <v>"https://www.zeldadungeon.net/maps/totk/tiles/sky/6/30_22.jpg",</v>
      </c>
      <c r="H1358" t="str">
        <f t="shared" si="43"/>
        <v>30_22</v>
      </c>
    </row>
    <row r="1359" spans="1:8" x14ac:dyDescent="0.2">
      <c r="A1359" s="9" t="s">
        <v>51</v>
      </c>
      <c r="C1359" t="str">
        <f t="shared" si="42"/>
        <v>"https://www.zeldadungeon.net/maps/totk/tiles/sky/6/30_23.jpg",</v>
      </c>
      <c r="H1359" t="str">
        <f t="shared" si="43"/>
        <v>30_23</v>
      </c>
    </row>
    <row r="1360" spans="1:8" x14ac:dyDescent="0.2">
      <c r="A1360" s="9" t="s">
        <v>51</v>
      </c>
      <c r="C1360" t="str">
        <f t="shared" si="42"/>
        <v>"https://www.zeldadungeon.net/maps/totk/tiles/sky/6/30_24.jpg",</v>
      </c>
      <c r="H1360" t="str">
        <f t="shared" si="43"/>
        <v>30_24</v>
      </c>
    </row>
    <row r="1361" spans="1:8" x14ac:dyDescent="0.2">
      <c r="A1361" s="9" t="s">
        <v>51</v>
      </c>
      <c r="C1361" t="str">
        <f t="shared" si="42"/>
        <v>"https://www.zeldadungeon.net/maps/totk/tiles/sky/6/30_25.jpg",</v>
      </c>
      <c r="H1361" t="str">
        <f t="shared" si="43"/>
        <v>30_25</v>
      </c>
    </row>
    <row r="1362" spans="1:8" x14ac:dyDescent="0.2">
      <c r="A1362" s="9" t="s">
        <v>51</v>
      </c>
      <c r="C1362" t="str">
        <f t="shared" si="42"/>
        <v>"https://www.zeldadungeon.net/maps/totk/tiles/sky/6/30_26.jpg",</v>
      </c>
      <c r="H1362" t="str">
        <f t="shared" si="43"/>
        <v>30_26</v>
      </c>
    </row>
    <row r="1363" spans="1:8" x14ac:dyDescent="0.2">
      <c r="A1363" s="9" t="s">
        <v>51</v>
      </c>
      <c r="C1363" t="str">
        <f t="shared" si="42"/>
        <v>"https://www.zeldadungeon.net/maps/totk/tiles/sky/6/30_27.jpg",</v>
      </c>
      <c r="H1363" t="str">
        <f t="shared" si="43"/>
        <v>30_27</v>
      </c>
    </row>
    <row r="1364" spans="1:8" x14ac:dyDescent="0.2">
      <c r="A1364" s="9" t="s">
        <v>51</v>
      </c>
      <c r="C1364" t="str">
        <f t="shared" si="42"/>
        <v>"https://www.zeldadungeon.net/maps/totk/tiles/sky/6/30_28.jpg",</v>
      </c>
      <c r="H1364" t="str">
        <f t="shared" si="43"/>
        <v>30_28</v>
      </c>
    </row>
    <row r="1365" spans="1:8" x14ac:dyDescent="0.2">
      <c r="A1365" s="9" t="s">
        <v>51</v>
      </c>
      <c r="C1365" t="str">
        <f t="shared" si="42"/>
        <v>"https://www.zeldadungeon.net/maps/totk/tiles/sky/6/30_29.jpg",</v>
      </c>
      <c r="H1365" t="str">
        <f t="shared" si="43"/>
        <v>30_29</v>
      </c>
    </row>
    <row r="1366" spans="1:8" x14ac:dyDescent="0.2">
      <c r="A1366" s="9" t="s">
        <v>51</v>
      </c>
      <c r="C1366" t="str">
        <f t="shared" si="42"/>
        <v>"https://www.zeldadungeon.net/maps/totk/tiles/sky/6/30_30.jpg",</v>
      </c>
      <c r="H1366" t="str">
        <f t="shared" si="43"/>
        <v>30_30</v>
      </c>
    </row>
    <row r="1367" spans="1:8" x14ac:dyDescent="0.2">
      <c r="A1367" s="9" t="s">
        <v>51</v>
      </c>
      <c r="C1367" t="str">
        <f t="shared" si="42"/>
        <v>"https://www.zeldadungeon.net/maps/totk/tiles/sky/6/30_31.jpg",</v>
      </c>
      <c r="H1367" t="str">
        <f t="shared" si="43"/>
        <v>30_31</v>
      </c>
    </row>
    <row r="1368" spans="1:8" x14ac:dyDescent="0.2">
      <c r="A1368" s="9" t="s">
        <v>51</v>
      </c>
      <c r="C1368" t="str">
        <f t="shared" si="42"/>
        <v>"https://www.zeldadungeon.net/maps/totk/tiles/sky/6/30_32.jpg",</v>
      </c>
      <c r="H1368" t="str">
        <f t="shared" si="43"/>
        <v>30_32</v>
      </c>
    </row>
    <row r="1369" spans="1:8" x14ac:dyDescent="0.2">
      <c r="A1369" s="9" t="s">
        <v>51</v>
      </c>
      <c r="C1369" t="str">
        <f t="shared" si="42"/>
        <v>"https://www.zeldadungeon.net/maps/totk/tiles/sky/6/30_33.jpg",</v>
      </c>
      <c r="H1369" t="str">
        <f t="shared" si="43"/>
        <v>30_33</v>
      </c>
    </row>
    <row r="1370" spans="1:8" x14ac:dyDescent="0.2">
      <c r="A1370" s="9" t="s">
        <v>51</v>
      </c>
      <c r="C1370" t="str">
        <f t="shared" si="42"/>
        <v>"https://www.zeldadungeon.net/maps/totk/tiles/sky/6/30_34.jpg",</v>
      </c>
      <c r="H1370" t="str">
        <f t="shared" si="43"/>
        <v>30_34</v>
      </c>
    </row>
    <row r="1371" spans="1:8" x14ac:dyDescent="0.2">
      <c r="A1371" s="9" t="s">
        <v>51</v>
      </c>
      <c r="C1371" t="str">
        <f t="shared" si="42"/>
        <v>"https://www.zeldadungeon.net/maps/totk/tiles/sky/6/30_35.jpg",</v>
      </c>
      <c r="H1371" t="str">
        <f t="shared" si="43"/>
        <v>30_35</v>
      </c>
    </row>
    <row r="1372" spans="1:8" x14ac:dyDescent="0.2">
      <c r="A1372" s="9" t="s">
        <v>51</v>
      </c>
      <c r="C1372" t="str">
        <f t="shared" si="42"/>
        <v>"https://www.zeldadungeon.net/maps/totk/tiles/sky/6/30_36.jpg",</v>
      </c>
      <c r="H1372" t="str">
        <f t="shared" si="43"/>
        <v>30_36</v>
      </c>
    </row>
    <row r="1373" spans="1:8" x14ac:dyDescent="0.2">
      <c r="A1373" s="9" t="s">
        <v>51</v>
      </c>
      <c r="C1373" t="str">
        <f t="shared" si="42"/>
        <v>"https://www.zeldadungeon.net/maps/totk/tiles/sky/6/30_37.jpg",</v>
      </c>
      <c r="H1373" t="str">
        <f t="shared" si="43"/>
        <v>30_37</v>
      </c>
    </row>
    <row r="1374" spans="1:8" x14ac:dyDescent="0.2">
      <c r="A1374" s="9" t="s">
        <v>51</v>
      </c>
      <c r="C1374" t="str">
        <f t="shared" si="42"/>
        <v>"https://www.zeldadungeon.net/maps/totk/tiles/sky/6/30_38.jpg",</v>
      </c>
      <c r="H1374" t="str">
        <f t="shared" si="43"/>
        <v>30_38</v>
      </c>
    </row>
    <row r="1375" spans="1:8" x14ac:dyDescent="0.2">
      <c r="A1375" s="9" t="s">
        <v>51</v>
      </c>
      <c r="C1375" t="str">
        <f t="shared" si="42"/>
        <v>"https://www.zeldadungeon.net/maps/totk/tiles/sky/6/30_39.jpg",</v>
      </c>
      <c r="H1375" t="str">
        <f t="shared" si="43"/>
        <v>30_39</v>
      </c>
    </row>
    <row r="1376" spans="1:8" x14ac:dyDescent="0.2">
      <c r="A1376" s="9" t="s">
        <v>51</v>
      </c>
      <c r="C1376" t="str">
        <f t="shared" si="42"/>
        <v>"https://www.zeldadungeon.net/maps/totk/tiles/sky/6/30_40.jpg",</v>
      </c>
      <c r="H1376" t="str">
        <f t="shared" si="43"/>
        <v>30_40</v>
      </c>
    </row>
    <row r="1377" spans="1:8" x14ac:dyDescent="0.2">
      <c r="A1377" s="9" t="s">
        <v>51</v>
      </c>
      <c r="C1377" t="str">
        <f t="shared" si="42"/>
        <v>"https://www.zeldadungeon.net/maps/totk/tiles/sky/6/30_41.jpg",</v>
      </c>
      <c r="H1377" t="str">
        <f t="shared" si="43"/>
        <v>30_41</v>
      </c>
    </row>
    <row r="1378" spans="1:8" x14ac:dyDescent="0.2">
      <c r="A1378" s="9" t="s">
        <v>51</v>
      </c>
      <c r="C1378" t="str">
        <f t="shared" si="42"/>
        <v>"https://www.zeldadungeon.net/maps/totk/tiles/sky/6/30_42.jpg",</v>
      </c>
      <c r="H1378" t="str">
        <f t="shared" si="43"/>
        <v>30_42</v>
      </c>
    </row>
    <row r="1379" spans="1:8" x14ac:dyDescent="0.2">
      <c r="A1379" s="9" t="s">
        <v>51</v>
      </c>
      <c r="C1379" t="str">
        <f t="shared" si="42"/>
        <v>"https://www.zeldadungeon.net/maps/totk/tiles/sky/6/30_43.jpg",</v>
      </c>
      <c r="H1379" t="str">
        <f t="shared" si="43"/>
        <v>30_43</v>
      </c>
    </row>
    <row r="1380" spans="1:8" x14ac:dyDescent="0.2">
      <c r="A1380" s="9" t="s">
        <v>51</v>
      </c>
      <c r="C1380" t="str">
        <f t="shared" si="42"/>
        <v>"https://www.zeldadungeon.net/maps/totk/tiles/sky/6/30_44.jpg",</v>
      </c>
      <c r="H1380" t="str">
        <f t="shared" si="43"/>
        <v>30_44</v>
      </c>
    </row>
    <row r="1381" spans="1:8" x14ac:dyDescent="0.2">
      <c r="A1381" s="9" t="s">
        <v>51</v>
      </c>
      <c r="C1381" t="str">
        <f t="shared" si="42"/>
        <v>"https://www.zeldadungeon.net/maps/totk/tiles/sky/6/30_45.jpg",</v>
      </c>
      <c r="H1381" t="str">
        <f t="shared" si="43"/>
        <v>30_45</v>
      </c>
    </row>
    <row r="1382" spans="1:8" x14ac:dyDescent="0.2">
      <c r="A1382" s="9" t="s">
        <v>51</v>
      </c>
      <c r="C1382" t="str">
        <f t="shared" si="42"/>
        <v>"https://www.zeldadungeon.net/maps/totk/tiles/sky/6/30_46.jpg",</v>
      </c>
      <c r="H1382" t="str">
        <f t="shared" si="43"/>
        <v>30_46</v>
      </c>
    </row>
    <row r="1383" spans="1:8" x14ac:dyDescent="0.2">
      <c r="A1383" s="9" t="s">
        <v>51</v>
      </c>
      <c r="C1383" t="str">
        <f t="shared" si="42"/>
        <v>"https://www.zeldadungeon.net/maps/totk/tiles/sky/6/30_47.jpg",</v>
      </c>
      <c r="H1383" t="str">
        <f t="shared" si="43"/>
        <v>30_47</v>
      </c>
    </row>
    <row r="1384" spans="1:8" x14ac:dyDescent="0.2">
      <c r="A1384" s="9" t="s">
        <v>51</v>
      </c>
      <c r="C1384" t="str">
        <f t="shared" si="42"/>
        <v>"https://www.zeldadungeon.net/maps/totk/tiles/sky/6/30_48.jpg",</v>
      </c>
      <c r="H1384" t="str">
        <f t="shared" si="43"/>
        <v>30_48</v>
      </c>
    </row>
    <row r="1385" spans="1:8" x14ac:dyDescent="0.2">
      <c r="A1385" s="9" t="s">
        <v>51</v>
      </c>
      <c r="C1385" t="str">
        <f t="shared" si="42"/>
        <v>"https://www.zeldadungeon.net/maps/totk/tiles/sky/6/30_49.jpg",</v>
      </c>
      <c r="H1385" t="str">
        <f t="shared" si="43"/>
        <v>30_49</v>
      </c>
    </row>
    <row r="1386" spans="1:8" x14ac:dyDescent="0.2">
      <c r="A1386" s="9" t="s">
        <v>51</v>
      </c>
      <c r="C1386" t="str">
        <f t="shared" si="42"/>
        <v>"https://www.zeldadungeon.net/maps/totk/tiles/sky/6/30_50.jpg",</v>
      </c>
      <c r="H1386" t="str">
        <f t="shared" si="43"/>
        <v>30_50</v>
      </c>
    </row>
    <row r="1387" spans="1:8" x14ac:dyDescent="0.2">
      <c r="A1387" s="9" t="s">
        <v>51</v>
      </c>
      <c r="C1387" t="str">
        <f t="shared" si="42"/>
        <v>"https://www.zeldadungeon.net/maps/totk/tiles/sky/6/30_51.jpg",</v>
      </c>
      <c r="H1387" t="str">
        <f t="shared" si="43"/>
        <v>30_51</v>
      </c>
    </row>
    <row r="1388" spans="1:8" x14ac:dyDescent="0.2">
      <c r="A1388" s="9" t="s">
        <v>51</v>
      </c>
      <c r="C1388" t="str">
        <f t="shared" si="42"/>
        <v>"https://www.zeldadungeon.net/maps/totk/tiles/sky/6/30_52.jpg",</v>
      </c>
      <c r="H1388" t="str">
        <f t="shared" si="43"/>
        <v>30_52</v>
      </c>
    </row>
    <row r="1389" spans="1:8" x14ac:dyDescent="0.2">
      <c r="A1389" s="9" t="s">
        <v>51</v>
      </c>
      <c r="C1389" t="str">
        <f t="shared" si="42"/>
        <v>"https://www.zeldadungeon.net/maps/totk/tiles/sky/6/30_53.jpg",</v>
      </c>
      <c r="H1389" t="str">
        <f t="shared" si="43"/>
        <v>30_53</v>
      </c>
    </row>
    <row r="1390" spans="1:8" x14ac:dyDescent="0.2">
      <c r="A1390" s="9" t="s">
        <v>51</v>
      </c>
      <c r="C1390" t="str">
        <f t="shared" si="42"/>
        <v>"https://www.zeldadungeon.net/maps/totk/tiles/sky/6/30_54.jpg",</v>
      </c>
      <c r="H1390" t="str">
        <f t="shared" si="43"/>
        <v>30_54</v>
      </c>
    </row>
    <row r="1391" spans="1:8" x14ac:dyDescent="0.2">
      <c r="A1391" s="9" t="s">
        <v>51</v>
      </c>
      <c r="C1391" t="str">
        <f t="shared" si="42"/>
        <v>"https://www.zeldadungeon.net/maps/totk/tiles/sky/6/30_55.jpg",</v>
      </c>
      <c r="H1391" t="str">
        <f t="shared" si="43"/>
        <v>30_55</v>
      </c>
    </row>
    <row r="1392" spans="1:8" x14ac:dyDescent="0.2">
      <c r="A1392" s="9" t="s">
        <v>51</v>
      </c>
      <c r="C1392" t="str">
        <f t="shared" si="42"/>
        <v>"https://www.zeldadungeon.net/maps/totk/tiles/sky/6/31_8.jpg",</v>
      </c>
      <c r="H1392" t="str">
        <f t="shared" si="43"/>
        <v>31_8</v>
      </c>
    </row>
    <row r="1393" spans="1:8" x14ac:dyDescent="0.2">
      <c r="A1393" s="9" t="s">
        <v>51</v>
      </c>
      <c r="C1393" t="str">
        <f t="shared" si="42"/>
        <v>"https://www.zeldadungeon.net/maps/totk/tiles/sky/6/31_9.jpg",</v>
      </c>
      <c r="H1393" t="str">
        <f t="shared" si="43"/>
        <v>31_9</v>
      </c>
    </row>
    <row r="1394" spans="1:8" x14ac:dyDescent="0.2">
      <c r="A1394" s="9" t="s">
        <v>51</v>
      </c>
      <c r="C1394" t="str">
        <f t="shared" si="42"/>
        <v>"https://www.zeldadungeon.net/maps/totk/tiles/sky/6/31_10.jpg",</v>
      </c>
      <c r="H1394" t="str">
        <f t="shared" si="43"/>
        <v>31_10</v>
      </c>
    </row>
    <row r="1395" spans="1:8" x14ac:dyDescent="0.2">
      <c r="A1395" s="9" t="s">
        <v>51</v>
      </c>
      <c r="C1395" t="str">
        <f t="shared" si="42"/>
        <v>"https://www.zeldadungeon.net/maps/totk/tiles/sky/6/31_11.jpg",</v>
      </c>
      <c r="H1395" t="str">
        <f t="shared" si="43"/>
        <v>31_11</v>
      </c>
    </row>
    <row r="1396" spans="1:8" x14ac:dyDescent="0.2">
      <c r="A1396" s="9" t="s">
        <v>51</v>
      </c>
      <c r="C1396" t="str">
        <f t="shared" si="42"/>
        <v>"https://www.zeldadungeon.net/maps/totk/tiles/sky/6/31_12.jpg",</v>
      </c>
      <c r="H1396" t="str">
        <f t="shared" si="43"/>
        <v>31_12</v>
      </c>
    </row>
    <row r="1397" spans="1:8" x14ac:dyDescent="0.2">
      <c r="A1397" s="9" t="s">
        <v>51</v>
      </c>
      <c r="C1397" t="str">
        <f t="shared" si="42"/>
        <v>"https://www.zeldadungeon.net/maps/totk/tiles/sky/6/31_13.jpg",</v>
      </c>
      <c r="H1397" t="str">
        <f t="shared" si="43"/>
        <v>31_13</v>
      </c>
    </row>
    <row r="1398" spans="1:8" x14ac:dyDescent="0.2">
      <c r="A1398" s="9" t="s">
        <v>51</v>
      </c>
      <c r="C1398" t="str">
        <f t="shared" si="42"/>
        <v>"https://www.zeldadungeon.net/maps/totk/tiles/sky/6/31_14.jpg",</v>
      </c>
      <c r="H1398" t="str">
        <f t="shared" si="43"/>
        <v>31_14</v>
      </c>
    </row>
    <row r="1399" spans="1:8" x14ac:dyDescent="0.2">
      <c r="A1399" s="9" t="s">
        <v>51</v>
      </c>
      <c r="C1399" t="str">
        <f t="shared" si="42"/>
        <v>"https://www.zeldadungeon.net/maps/totk/tiles/sky/6/31_15.jpg",</v>
      </c>
      <c r="H1399" t="str">
        <f t="shared" si="43"/>
        <v>31_15</v>
      </c>
    </row>
    <row r="1400" spans="1:8" x14ac:dyDescent="0.2">
      <c r="A1400" s="9" t="s">
        <v>51</v>
      </c>
      <c r="C1400" t="str">
        <f t="shared" si="42"/>
        <v>"https://www.zeldadungeon.net/maps/totk/tiles/sky/6/31_16.jpg",</v>
      </c>
      <c r="H1400" t="str">
        <f t="shared" si="43"/>
        <v>31_16</v>
      </c>
    </row>
    <row r="1401" spans="1:8" x14ac:dyDescent="0.2">
      <c r="A1401" s="9" t="s">
        <v>51</v>
      </c>
      <c r="C1401" t="str">
        <f t="shared" si="42"/>
        <v>"https://www.zeldadungeon.net/maps/totk/tiles/sky/6/31_17.jpg",</v>
      </c>
      <c r="H1401" t="str">
        <f t="shared" si="43"/>
        <v>31_17</v>
      </c>
    </row>
    <row r="1402" spans="1:8" x14ac:dyDescent="0.2">
      <c r="A1402" s="9" t="s">
        <v>51</v>
      </c>
      <c r="C1402" t="str">
        <f t="shared" si="42"/>
        <v>"https://www.zeldadungeon.net/maps/totk/tiles/sky/6/31_18.jpg",</v>
      </c>
      <c r="H1402" t="str">
        <f t="shared" si="43"/>
        <v>31_18</v>
      </c>
    </row>
    <row r="1403" spans="1:8" x14ac:dyDescent="0.2">
      <c r="A1403" s="9" t="s">
        <v>51</v>
      </c>
      <c r="C1403" t="str">
        <f t="shared" si="42"/>
        <v>"https://www.zeldadungeon.net/maps/totk/tiles/sky/6/31_19.jpg",</v>
      </c>
      <c r="H1403" t="str">
        <f t="shared" si="43"/>
        <v>31_19</v>
      </c>
    </row>
    <row r="1404" spans="1:8" x14ac:dyDescent="0.2">
      <c r="A1404" s="9" t="s">
        <v>51</v>
      </c>
      <c r="C1404" t="str">
        <f t="shared" si="42"/>
        <v>"https://www.zeldadungeon.net/maps/totk/tiles/sky/6/31_20.jpg",</v>
      </c>
      <c r="H1404" t="str">
        <f t="shared" si="43"/>
        <v>31_20</v>
      </c>
    </row>
    <row r="1405" spans="1:8" x14ac:dyDescent="0.2">
      <c r="A1405" s="9" t="s">
        <v>51</v>
      </c>
      <c r="C1405" t="str">
        <f t="shared" si="42"/>
        <v>"https://www.zeldadungeon.net/maps/totk/tiles/sky/6/31_21.jpg",</v>
      </c>
      <c r="H1405" t="str">
        <f t="shared" si="43"/>
        <v>31_21</v>
      </c>
    </row>
    <row r="1406" spans="1:8" x14ac:dyDescent="0.2">
      <c r="A1406" s="9" t="s">
        <v>51</v>
      </c>
      <c r="C1406" t="str">
        <f t="shared" si="42"/>
        <v>"https://www.zeldadungeon.net/maps/totk/tiles/sky/6/31_22.jpg",</v>
      </c>
      <c r="H1406" t="str">
        <f t="shared" si="43"/>
        <v>31_22</v>
      </c>
    </row>
    <row r="1407" spans="1:8" x14ac:dyDescent="0.2">
      <c r="A1407" s="9" t="s">
        <v>51</v>
      </c>
      <c r="C1407" t="str">
        <f t="shared" si="42"/>
        <v>"https://www.zeldadungeon.net/maps/totk/tiles/sky/6/31_23.jpg",</v>
      </c>
      <c r="H1407" t="str">
        <f t="shared" si="43"/>
        <v>31_23</v>
      </c>
    </row>
    <row r="1408" spans="1:8" x14ac:dyDescent="0.2">
      <c r="A1408" s="9" t="s">
        <v>51</v>
      </c>
      <c r="C1408" t="str">
        <f t="shared" si="42"/>
        <v>"https://www.zeldadungeon.net/maps/totk/tiles/sky/6/31_24.jpg",</v>
      </c>
      <c r="H1408" t="str">
        <f t="shared" si="43"/>
        <v>31_24</v>
      </c>
    </row>
    <row r="1409" spans="1:8" x14ac:dyDescent="0.2">
      <c r="A1409" s="9" t="s">
        <v>51</v>
      </c>
      <c r="C1409" t="str">
        <f t="shared" ref="C1409:C1472" si="44">""""&amp;SUBSTITUTE(A1409,"zzz",H1409)&amp;""""&amp;","</f>
        <v>"https://www.zeldadungeon.net/maps/totk/tiles/sky/6/31_25.jpg",</v>
      </c>
      <c r="H1409" t="str">
        <f t="shared" ref="H1409:H1472" si="45">QUOTIENT(ROW(A1409),48)+2&amp;"_"&amp;MOD(ROW(A1409),48)+8</f>
        <v>31_25</v>
      </c>
    </row>
    <row r="1410" spans="1:8" x14ac:dyDescent="0.2">
      <c r="A1410" s="9" t="s">
        <v>51</v>
      </c>
      <c r="C1410" t="str">
        <f t="shared" si="44"/>
        <v>"https://www.zeldadungeon.net/maps/totk/tiles/sky/6/31_26.jpg",</v>
      </c>
      <c r="H1410" t="str">
        <f t="shared" si="45"/>
        <v>31_26</v>
      </c>
    </row>
    <row r="1411" spans="1:8" x14ac:dyDescent="0.2">
      <c r="A1411" s="9" t="s">
        <v>51</v>
      </c>
      <c r="C1411" t="str">
        <f t="shared" si="44"/>
        <v>"https://www.zeldadungeon.net/maps/totk/tiles/sky/6/31_27.jpg",</v>
      </c>
      <c r="H1411" t="str">
        <f t="shared" si="45"/>
        <v>31_27</v>
      </c>
    </row>
    <row r="1412" spans="1:8" x14ac:dyDescent="0.2">
      <c r="A1412" s="9" t="s">
        <v>51</v>
      </c>
      <c r="C1412" t="str">
        <f t="shared" si="44"/>
        <v>"https://www.zeldadungeon.net/maps/totk/tiles/sky/6/31_28.jpg",</v>
      </c>
      <c r="H1412" t="str">
        <f t="shared" si="45"/>
        <v>31_28</v>
      </c>
    </row>
    <row r="1413" spans="1:8" x14ac:dyDescent="0.2">
      <c r="A1413" s="9" t="s">
        <v>51</v>
      </c>
      <c r="C1413" t="str">
        <f t="shared" si="44"/>
        <v>"https://www.zeldadungeon.net/maps/totk/tiles/sky/6/31_29.jpg",</v>
      </c>
      <c r="H1413" t="str">
        <f t="shared" si="45"/>
        <v>31_29</v>
      </c>
    </row>
    <row r="1414" spans="1:8" x14ac:dyDescent="0.2">
      <c r="A1414" s="9" t="s">
        <v>51</v>
      </c>
      <c r="C1414" t="str">
        <f t="shared" si="44"/>
        <v>"https://www.zeldadungeon.net/maps/totk/tiles/sky/6/31_30.jpg",</v>
      </c>
      <c r="H1414" t="str">
        <f t="shared" si="45"/>
        <v>31_30</v>
      </c>
    </row>
    <row r="1415" spans="1:8" x14ac:dyDescent="0.2">
      <c r="A1415" s="9" t="s">
        <v>51</v>
      </c>
      <c r="C1415" t="str">
        <f t="shared" si="44"/>
        <v>"https://www.zeldadungeon.net/maps/totk/tiles/sky/6/31_31.jpg",</v>
      </c>
      <c r="H1415" t="str">
        <f t="shared" si="45"/>
        <v>31_31</v>
      </c>
    </row>
    <row r="1416" spans="1:8" x14ac:dyDescent="0.2">
      <c r="A1416" s="9" t="s">
        <v>51</v>
      </c>
      <c r="C1416" t="str">
        <f t="shared" si="44"/>
        <v>"https://www.zeldadungeon.net/maps/totk/tiles/sky/6/31_32.jpg",</v>
      </c>
      <c r="H1416" t="str">
        <f t="shared" si="45"/>
        <v>31_32</v>
      </c>
    </row>
    <row r="1417" spans="1:8" x14ac:dyDescent="0.2">
      <c r="A1417" s="9" t="s">
        <v>51</v>
      </c>
      <c r="C1417" t="str">
        <f t="shared" si="44"/>
        <v>"https://www.zeldadungeon.net/maps/totk/tiles/sky/6/31_33.jpg",</v>
      </c>
      <c r="H1417" t="str">
        <f t="shared" si="45"/>
        <v>31_33</v>
      </c>
    </row>
    <row r="1418" spans="1:8" x14ac:dyDescent="0.2">
      <c r="A1418" s="9" t="s">
        <v>51</v>
      </c>
      <c r="C1418" t="str">
        <f t="shared" si="44"/>
        <v>"https://www.zeldadungeon.net/maps/totk/tiles/sky/6/31_34.jpg",</v>
      </c>
      <c r="H1418" t="str">
        <f t="shared" si="45"/>
        <v>31_34</v>
      </c>
    </row>
    <row r="1419" spans="1:8" x14ac:dyDescent="0.2">
      <c r="A1419" s="9" t="s">
        <v>51</v>
      </c>
      <c r="C1419" t="str">
        <f t="shared" si="44"/>
        <v>"https://www.zeldadungeon.net/maps/totk/tiles/sky/6/31_35.jpg",</v>
      </c>
      <c r="H1419" t="str">
        <f t="shared" si="45"/>
        <v>31_35</v>
      </c>
    </row>
    <row r="1420" spans="1:8" x14ac:dyDescent="0.2">
      <c r="A1420" s="9" t="s">
        <v>51</v>
      </c>
      <c r="C1420" t="str">
        <f t="shared" si="44"/>
        <v>"https://www.zeldadungeon.net/maps/totk/tiles/sky/6/31_36.jpg",</v>
      </c>
      <c r="H1420" t="str">
        <f t="shared" si="45"/>
        <v>31_36</v>
      </c>
    </row>
    <row r="1421" spans="1:8" x14ac:dyDescent="0.2">
      <c r="A1421" s="9" t="s">
        <v>51</v>
      </c>
      <c r="C1421" t="str">
        <f t="shared" si="44"/>
        <v>"https://www.zeldadungeon.net/maps/totk/tiles/sky/6/31_37.jpg",</v>
      </c>
      <c r="H1421" t="str">
        <f t="shared" si="45"/>
        <v>31_37</v>
      </c>
    </row>
    <row r="1422" spans="1:8" x14ac:dyDescent="0.2">
      <c r="A1422" s="9" t="s">
        <v>51</v>
      </c>
      <c r="C1422" t="str">
        <f t="shared" si="44"/>
        <v>"https://www.zeldadungeon.net/maps/totk/tiles/sky/6/31_38.jpg",</v>
      </c>
      <c r="H1422" t="str">
        <f t="shared" si="45"/>
        <v>31_38</v>
      </c>
    </row>
    <row r="1423" spans="1:8" x14ac:dyDescent="0.2">
      <c r="A1423" s="9" t="s">
        <v>51</v>
      </c>
      <c r="C1423" t="str">
        <f t="shared" si="44"/>
        <v>"https://www.zeldadungeon.net/maps/totk/tiles/sky/6/31_39.jpg",</v>
      </c>
      <c r="H1423" t="str">
        <f t="shared" si="45"/>
        <v>31_39</v>
      </c>
    </row>
    <row r="1424" spans="1:8" x14ac:dyDescent="0.2">
      <c r="A1424" s="9" t="s">
        <v>51</v>
      </c>
      <c r="C1424" t="str">
        <f t="shared" si="44"/>
        <v>"https://www.zeldadungeon.net/maps/totk/tiles/sky/6/31_40.jpg",</v>
      </c>
      <c r="H1424" t="str">
        <f t="shared" si="45"/>
        <v>31_40</v>
      </c>
    </row>
    <row r="1425" spans="1:8" x14ac:dyDescent="0.2">
      <c r="A1425" s="9" t="s">
        <v>51</v>
      </c>
      <c r="C1425" t="str">
        <f t="shared" si="44"/>
        <v>"https://www.zeldadungeon.net/maps/totk/tiles/sky/6/31_41.jpg",</v>
      </c>
      <c r="H1425" t="str">
        <f t="shared" si="45"/>
        <v>31_41</v>
      </c>
    </row>
    <row r="1426" spans="1:8" x14ac:dyDescent="0.2">
      <c r="A1426" s="9" t="s">
        <v>51</v>
      </c>
      <c r="C1426" t="str">
        <f t="shared" si="44"/>
        <v>"https://www.zeldadungeon.net/maps/totk/tiles/sky/6/31_42.jpg",</v>
      </c>
      <c r="H1426" t="str">
        <f t="shared" si="45"/>
        <v>31_42</v>
      </c>
    </row>
    <row r="1427" spans="1:8" x14ac:dyDescent="0.2">
      <c r="A1427" s="9" t="s">
        <v>51</v>
      </c>
      <c r="C1427" t="str">
        <f t="shared" si="44"/>
        <v>"https://www.zeldadungeon.net/maps/totk/tiles/sky/6/31_43.jpg",</v>
      </c>
      <c r="H1427" t="str">
        <f t="shared" si="45"/>
        <v>31_43</v>
      </c>
    </row>
    <row r="1428" spans="1:8" x14ac:dyDescent="0.2">
      <c r="A1428" s="9" t="s">
        <v>51</v>
      </c>
      <c r="C1428" t="str">
        <f t="shared" si="44"/>
        <v>"https://www.zeldadungeon.net/maps/totk/tiles/sky/6/31_44.jpg",</v>
      </c>
      <c r="H1428" t="str">
        <f t="shared" si="45"/>
        <v>31_44</v>
      </c>
    </row>
    <row r="1429" spans="1:8" x14ac:dyDescent="0.2">
      <c r="A1429" s="9" t="s">
        <v>51</v>
      </c>
      <c r="C1429" t="str">
        <f t="shared" si="44"/>
        <v>"https://www.zeldadungeon.net/maps/totk/tiles/sky/6/31_45.jpg",</v>
      </c>
      <c r="H1429" t="str">
        <f t="shared" si="45"/>
        <v>31_45</v>
      </c>
    </row>
    <row r="1430" spans="1:8" x14ac:dyDescent="0.2">
      <c r="A1430" s="9" t="s">
        <v>51</v>
      </c>
      <c r="C1430" t="str">
        <f t="shared" si="44"/>
        <v>"https://www.zeldadungeon.net/maps/totk/tiles/sky/6/31_46.jpg",</v>
      </c>
      <c r="H1430" t="str">
        <f t="shared" si="45"/>
        <v>31_46</v>
      </c>
    </row>
    <row r="1431" spans="1:8" x14ac:dyDescent="0.2">
      <c r="A1431" s="9" t="s">
        <v>51</v>
      </c>
      <c r="C1431" t="str">
        <f t="shared" si="44"/>
        <v>"https://www.zeldadungeon.net/maps/totk/tiles/sky/6/31_47.jpg",</v>
      </c>
      <c r="H1431" t="str">
        <f t="shared" si="45"/>
        <v>31_47</v>
      </c>
    </row>
    <row r="1432" spans="1:8" x14ac:dyDescent="0.2">
      <c r="A1432" s="9" t="s">
        <v>51</v>
      </c>
      <c r="C1432" t="str">
        <f t="shared" si="44"/>
        <v>"https://www.zeldadungeon.net/maps/totk/tiles/sky/6/31_48.jpg",</v>
      </c>
      <c r="H1432" t="str">
        <f t="shared" si="45"/>
        <v>31_48</v>
      </c>
    </row>
    <row r="1433" spans="1:8" x14ac:dyDescent="0.2">
      <c r="A1433" s="9" t="s">
        <v>51</v>
      </c>
      <c r="C1433" t="str">
        <f t="shared" si="44"/>
        <v>"https://www.zeldadungeon.net/maps/totk/tiles/sky/6/31_49.jpg",</v>
      </c>
      <c r="H1433" t="str">
        <f t="shared" si="45"/>
        <v>31_49</v>
      </c>
    </row>
    <row r="1434" spans="1:8" x14ac:dyDescent="0.2">
      <c r="A1434" s="9" t="s">
        <v>51</v>
      </c>
      <c r="C1434" t="str">
        <f t="shared" si="44"/>
        <v>"https://www.zeldadungeon.net/maps/totk/tiles/sky/6/31_50.jpg",</v>
      </c>
      <c r="H1434" t="str">
        <f t="shared" si="45"/>
        <v>31_50</v>
      </c>
    </row>
    <row r="1435" spans="1:8" x14ac:dyDescent="0.2">
      <c r="A1435" s="9" t="s">
        <v>51</v>
      </c>
      <c r="C1435" t="str">
        <f t="shared" si="44"/>
        <v>"https://www.zeldadungeon.net/maps/totk/tiles/sky/6/31_51.jpg",</v>
      </c>
      <c r="H1435" t="str">
        <f t="shared" si="45"/>
        <v>31_51</v>
      </c>
    </row>
    <row r="1436" spans="1:8" x14ac:dyDescent="0.2">
      <c r="A1436" s="9" t="s">
        <v>51</v>
      </c>
      <c r="C1436" t="str">
        <f t="shared" si="44"/>
        <v>"https://www.zeldadungeon.net/maps/totk/tiles/sky/6/31_52.jpg",</v>
      </c>
      <c r="H1436" t="str">
        <f t="shared" si="45"/>
        <v>31_52</v>
      </c>
    </row>
    <row r="1437" spans="1:8" x14ac:dyDescent="0.2">
      <c r="A1437" s="9" t="s">
        <v>51</v>
      </c>
      <c r="C1437" t="str">
        <f t="shared" si="44"/>
        <v>"https://www.zeldadungeon.net/maps/totk/tiles/sky/6/31_53.jpg",</v>
      </c>
      <c r="H1437" t="str">
        <f t="shared" si="45"/>
        <v>31_53</v>
      </c>
    </row>
    <row r="1438" spans="1:8" x14ac:dyDescent="0.2">
      <c r="A1438" s="9" t="s">
        <v>51</v>
      </c>
      <c r="C1438" t="str">
        <f t="shared" si="44"/>
        <v>"https://www.zeldadungeon.net/maps/totk/tiles/sky/6/31_54.jpg",</v>
      </c>
      <c r="H1438" t="str">
        <f t="shared" si="45"/>
        <v>31_54</v>
      </c>
    </row>
    <row r="1439" spans="1:8" x14ac:dyDescent="0.2">
      <c r="A1439" s="9" t="s">
        <v>51</v>
      </c>
      <c r="C1439" t="str">
        <f t="shared" si="44"/>
        <v>"https://www.zeldadungeon.net/maps/totk/tiles/sky/6/31_55.jpg",</v>
      </c>
      <c r="H1439" t="str">
        <f t="shared" si="45"/>
        <v>31_55</v>
      </c>
    </row>
    <row r="1440" spans="1:8" x14ac:dyDescent="0.2">
      <c r="A1440" s="9" t="s">
        <v>51</v>
      </c>
      <c r="C1440" t="str">
        <f t="shared" si="44"/>
        <v>"https://www.zeldadungeon.net/maps/totk/tiles/sky/6/32_8.jpg",</v>
      </c>
      <c r="H1440" t="str">
        <f t="shared" si="45"/>
        <v>32_8</v>
      </c>
    </row>
    <row r="1441" spans="1:8" x14ac:dyDescent="0.2">
      <c r="A1441" s="9" t="s">
        <v>51</v>
      </c>
      <c r="C1441" t="str">
        <f t="shared" si="44"/>
        <v>"https://www.zeldadungeon.net/maps/totk/tiles/sky/6/32_9.jpg",</v>
      </c>
      <c r="H1441" t="str">
        <f t="shared" si="45"/>
        <v>32_9</v>
      </c>
    </row>
    <row r="1442" spans="1:8" x14ac:dyDescent="0.2">
      <c r="A1442" s="9" t="s">
        <v>51</v>
      </c>
      <c r="C1442" t="str">
        <f t="shared" si="44"/>
        <v>"https://www.zeldadungeon.net/maps/totk/tiles/sky/6/32_10.jpg",</v>
      </c>
      <c r="H1442" t="str">
        <f t="shared" si="45"/>
        <v>32_10</v>
      </c>
    </row>
    <row r="1443" spans="1:8" x14ac:dyDescent="0.2">
      <c r="A1443" s="9" t="s">
        <v>51</v>
      </c>
      <c r="C1443" t="str">
        <f t="shared" si="44"/>
        <v>"https://www.zeldadungeon.net/maps/totk/tiles/sky/6/32_11.jpg",</v>
      </c>
      <c r="H1443" t="str">
        <f t="shared" si="45"/>
        <v>32_11</v>
      </c>
    </row>
    <row r="1444" spans="1:8" x14ac:dyDescent="0.2">
      <c r="A1444" s="9" t="s">
        <v>51</v>
      </c>
      <c r="C1444" t="str">
        <f t="shared" si="44"/>
        <v>"https://www.zeldadungeon.net/maps/totk/tiles/sky/6/32_12.jpg",</v>
      </c>
      <c r="H1444" t="str">
        <f t="shared" si="45"/>
        <v>32_12</v>
      </c>
    </row>
    <row r="1445" spans="1:8" x14ac:dyDescent="0.2">
      <c r="A1445" s="9" t="s">
        <v>51</v>
      </c>
      <c r="C1445" t="str">
        <f t="shared" si="44"/>
        <v>"https://www.zeldadungeon.net/maps/totk/tiles/sky/6/32_13.jpg",</v>
      </c>
      <c r="H1445" t="str">
        <f t="shared" si="45"/>
        <v>32_13</v>
      </c>
    </row>
    <row r="1446" spans="1:8" x14ac:dyDescent="0.2">
      <c r="A1446" s="9" t="s">
        <v>51</v>
      </c>
      <c r="C1446" t="str">
        <f t="shared" si="44"/>
        <v>"https://www.zeldadungeon.net/maps/totk/tiles/sky/6/32_14.jpg",</v>
      </c>
      <c r="H1446" t="str">
        <f t="shared" si="45"/>
        <v>32_14</v>
      </c>
    </row>
    <row r="1447" spans="1:8" x14ac:dyDescent="0.2">
      <c r="A1447" s="9" t="s">
        <v>51</v>
      </c>
      <c r="C1447" t="str">
        <f t="shared" si="44"/>
        <v>"https://www.zeldadungeon.net/maps/totk/tiles/sky/6/32_15.jpg",</v>
      </c>
      <c r="H1447" t="str">
        <f t="shared" si="45"/>
        <v>32_15</v>
      </c>
    </row>
    <row r="1448" spans="1:8" x14ac:dyDescent="0.2">
      <c r="A1448" s="9" t="s">
        <v>51</v>
      </c>
      <c r="C1448" t="str">
        <f t="shared" si="44"/>
        <v>"https://www.zeldadungeon.net/maps/totk/tiles/sky/6/32_16.jpg",</v>
      </c>
      <c r="H1448" t="str">
        <f t="shared" si="45"/>
        <v>32_16</v>
      </c>
    </row>
    <row r="1449" spans="1:8" x14ac:dyDescent="0.2">
      <c r="A1449" s="9" t="s">
        <v>51</v>
      </c>
      <c r="C1449" t="str">
        <f t="shared" si="44"/>
        <v>"https://www.zeldadungeon.net/maps/totk/tiles/sky/6/32_17.jpg",</v>
      </c>
      <c r="H1449" t="str">
        <f t="shared" si="45"/>
        <v>32_17</v>
      </c>
    </row>
    <row r="1450" spans="1:8" x14ac:dyDescent="0.2">
      <c r="A1450" s="9" t="s">
        <v>51</v>
      </c>
      <c r="C1450" t="str">
        <f t="shared" si="44"/>
        <v>"https://www.zeldadungeon.net/maps/totk/tiles/sky/6/32_18.jpg",</v>
      </c>
      <c r="H1450" t="str">
        <f t="shared" si="45"/>
        <v>32_18</v>
      </c>
    </row>
    <row r="1451" spans="1:8" x14ac:dyDescent="0.2">
      <c r="A1451" s="9" t="s">
        <v>51</v>
      </c>
      <c r="C1451" t="str">
        <f t="shared" si="44"/>
        <v>"https://www.zeldadungeon.net/maps/totk/tiles/sky/6/32_19.jpg",</v>
      </c>
      <c r="H1451" t="str">
        <f t="shared" si="45"/>
        <v>32_19</v>
      </c>
    </row>
    <row r="1452" spans="1:8" x14ac:dyDescent="0.2">
      <c r="A1452" s="9" t="s">
        <v>51</v>
      </c>
      <c r="C1452" t="str">
        <f t="shared" si="44"/>
        <v>"https://www.zeldadungeon.net/maps/totk/tiles/sky/6/32_20.jpg",</v>
      </c>
      <c r="H1452" t="str">
        <f t="shared" si="45"/>
        <v>32_20</v>
      </c>
    </row>
    <row r="1453" spans="1:8" x14ac:dyDescent="0.2">
      <c r="A1453" s="9" t="s">
        <v>51</v>
      </c>
      <c r="C1453" t="str">
        <f t="shared" si="44"/>
        <v>"https://www.zeldadungeon.net/maps/totk/tiles/sky/6/32_21.jpg",</v>
      </c>
      <c r="H1453" t="str">
        <f t="shared" si="45"/>
        <v>32_21</v>
      </c>
    </row>
    <row r="1454" spans="1:8" x14ac:dyDescent="0.2">
      <c r="A1454" s="9" t="s">
        <v>51</v>
      </c>
      <c r="C1454" t="str">
        <f t="shared" si="44"/>
        <v>"https://www.zeldadungeon.net/maps/totk/tiles/sky/6/32_22.jpg",</v>
      </c>
      <c r="H1454" t="str">
        <f t="shared" si="45"/>
        <v>32_22</v>
      </c>
    </row>
    <row r="1455" spans="1:8" x14ac:dyDescent="0.2">
      <c r="A1455" s="9" t="s">
        <v>51</v>
      </c>
      <c r="C1455" t="str">
        <f t="shared" si="44"/>
        <v>"https://www.zeldadungeon.net/maps/totk/tiles/sky/6/32_23.jpg",</v>
      </c>
      <c r="H1455" t="str">
        <f t="shared" si="45"/>
        <v>32_23</v>
      </c>
    </row>
    <row r="1456" spans="1:8" x14ac:dyDescent="0.2">
      <c r="A1456" s="9" t="s">
        <v>51</v>
      </c>
      <c r="C1456" t="str">
        <f t="shared" si="44"/>
        <v>"https://www.zeldadungeon.net/maps/totk/tiles/sky/6/32_24.jpg",</v>
      </c>
      <c r="H1456" t="str">
        <f t="shared" si="45"/>
        <v>32_24</v>
      </c>
    </row>
    <row r="1457" spans="1:8" x14ac:dyDescent="0.2">
      <c r="A1457" s="9" t="s">
        <v>51</v>
      </c>
      <c r="C1457" t="str">
        <f t="shared" si="44"/>
        <v>"https://www.zeldadungeon.net/maps/totk/tiles/sky/6/32_25.jpg",</v>
      </c>
      <c r="H1457" t="str">
        <f t="shared" si="45"/>
        <v>32_25</v>
      </c>
    </row>
    <row r="1458" spans="1:8" x14ac:dyDescent="0.2">
      <c r="A1458" s="9" t="s">
        <v>51</v>
      </c>
      <c r="C1458" t="str">
        <f t="shared" si="44"/>
        <v>"https://www.zeldadungeon.net/maps/totk/tiles/sky/6/32_26.jpg",</v>
      </c>
      <c r="H1458" t="str">
        <f t="shared" si="45"/>
        <v>32_26</v>
      </c>
    </row>
    <row r="1459" spans="1:8" x14ac:dyDescent="0.2">
      <c r="A1459" s="9" t="s">
        <v>51</v>
      </c>
      <c r="C1459" t="str">
        <f t="shared" si="44"/>
        <v>"https://www.zeldadungeon.net/maps/totk/tiles/sky/6/32_27.jpg",</v>
      </c>
      <c r="H1459" t="str">
        <f t="shared" si="45"/>
        <v>32_27</v>
      </c>
    </row>
    <row r="1460" spans="1:8" x14ac:dyDescent="0.2">
      <c r="A1460" s="9" t="s">
        <v>51</v>
      </c>
      <c r="C1460" t="str">
        <f t="shared" si="44"/>
        <v>"https://www.zeldadungeon.net/maps/totk/tiles/sky/6/32_28.jpg",</v>
      </c>
      <c r="H1460" t="str">
        <f t="shared" si="45"/>
        <v>32_28</v>
      </c>
    </row>
    <row r="1461" spans="1:8" x14ac:dyDescent="0.2">
      <c r="A1461" s="9" t="s">
        <v>51</v>
      </c>
      <c r="C1461" t="str">
        <f t="shared" si="44"/>
        <v>"https://www.zeldadungeon.net/maps/totk/tiles/sky/6/32_29.jpg",</v>
      </c>
      <c r="H1461" t="str">
        <f t="shared" si="45"/>
        <v>32_29</v>
      </c>
    </row>
    <row r="1462" spans="1:8" x14ac:dyDescent="0.2">
      <c r="A1462" s="9" t="s">
        <v>51</v>
      </c>
      <c r="C1462" t="str">
        <f t="shared" si="44"/>
        <v>"https://www.zeldadungeon.net/maps/totk/tiles/sky/6/32_30.jpg",</v>
      </c>
      <c r="H1462" t="str">
        <f t="shared" si="45"/>
        <v>32_30</v>
      </c>
    </row>
    <row r="1463" spans="1:8" x14ac:dyDescent="0.2">
      <c r="A1463" s="9" t="s">
        <v>51</v>
      </c>
      <c r="C1463" t="str">
        <f t="shared" si="44"/>
        <v>"https://www.zeldadungeon.net/maps/totk/tiles/sky/6/32_31.jpg",</v>
      </c>
      <c r="H1463" t="str">
        <f t="shared" si="45"/>
        <v>32_31</v>
      </c>
    </row>
    <row r="1464" spans="1:8" x14ac:dyDescent="0.2">
      <c r="A1464" s="9" t="s">
        <v>51</v>
      </c>
      <c r="C1464" t="str">
        <f t="shared" si="44"/>
        <v>"https://www.zeldadungeon.net/maps/totk/tiles/sky/6/32_32.jpg",</v>
      </c>
      <c r="H1464" t="str">
        <f t="shared" si="45"/>
        <v>32_32</v>
      </c>
    </row>
    <row r="1465" spans="1:8" x14ac:dyDescent="0.2">
      <c r="A1465" s="9" t="s">
        <v>51</v>
      </c>
      <c r="C1465" t="str">
        <f t="shared" si="44"/>
        <v>"https://www.zeldadungeon.net/maps/totk/tiles/sky/6/32_33.jpg",</v>
      </c>
      <c r="H1465" t="str">
        <f t="shared" si="45"/>
        <v>32_33</v>
      </c>
    </row>
    <row r="1466" spans="1:8" x14ac:dyDescent="0.2">
      <c r="A1466" s="9" t="s">
        <v>51</v>
      </c>
      <c r="C1466" t="str">
        <f t="shared" si="44"/>
        <v>"https://www.zeldadungeon.net/maps/totk/tiles/sky/6/32_34.jpg",</v>
      </c>
      <c r="H1466" t="str">
        <f t="shared" si="45"/>
        <v>32_34</v>
      </c>
    </row>
    <row r="1467" spans="1:8" x14ac:dyDescent="0.2">
      <c r="A1467" s="9" t="s">
        <v>51</v>
      </c>
      <c r="C1467" t="str">
        <f t="shared" si="44"/>
        <v>"https://www.zeldadungeon.net/maps/totk/tiles/sky/6/32_35.jpg",</v>
      </c>
      <c r="H1467" t="str">
        <f t="shared" si="45"/>
        <v>32_35</v>
      </c>
    </row>
    <row r="1468" spans="1:8" x14ac:dyDescent="0.2">
      <c r="A1468" s="9" t="s">
        <v>51</v>
      </c>
      <c r="C1468" t="str">
        <f t="shared" si="44"/>
        <v>"https://www.zeldadungeon.net/maps/totk/tiles/sky/6/32_36.jpg",</v>
      </c>
      <c r="H1468" t="str">
        <f t="shared" si="45"/>
        <v>32_36</v>
      </c>
    </row>
    <row r="1469" spans="1:8" x14ac:dyDescent="0.2">
      <c r="A1469" s="9" t="s">
        <v>51</v>
      </c>
      <c r="C1469" t="str">
        <f t="shared" si="44"/>
        <v>"https://www.zeldadungeon.net/maps/totk/tiles/sky/6/32_37.jpg",</v>
      </c>
      <c r="H1469" t="str">
        <f t="shared" si="45"/>
        <v>32_37</v>
      </c>
    </row>
    <row r="1470" spans="1:8" x14ac:dyDescent="0.2">
      <c r="A1470" s="9" t="s">
        <v>51</v>
      </c>
      <c r="C1470" t="str">
        <f t="shared" si="44"/>
        <v>"https://www.zeldadungeon.net/maps/totk/tiles/sky/6/32_38.jpg",</v>
      </c>
      <c r="H1470" t="str">
        <f t="shared" si="45"/>
        <v>32_38</v>
      </c>
    </row>
    <row r="1471" spans="1:8" x14ac:dyDescent="0.2">
      <c r="A1471" s="9" t="s">
        <v>51</v>
      </c>
      <c r="C1471" t="str">
        <f t="shared" si="44"/>
        <v>"https://www.zeldadungeon.net/maps/totk/tiles/sky/6/32_39.jpg",</v>
      </c>
      <c r="H1471" t="str">
        <f t="shared" si="45"/>
        <v>32_39</v>
      </c>
    </row>
    <row r="1472" spans="1:8" x14ac:dyDescent="0.2">
      <c r="A1472" s="9" t="s">
        <v>51</v>
      </c>
      <c r="C1472" t="str">
        <f t="shared" si="44"/>
        <v>"https://www.zeldadungeon.net/maps/totk/tiles/sky/6/32_40.jpg",</v>
      </c>
      <c r="H1472" t="str">
        <f t="shared" si="45"/>
        <v>32_40</v>
      </c>
    </row>
    <row r="1473" spans="1:8" x14ac:dyDescent="0.2">
      <c r="A1473" s="9" t="s">
        <v>51</v>
      </c>
      <c r="C1473" t="str">
        <f t="shared" ref="C1473:C1536" si="46">""""&amp;SUBSTITUTE(A1473,"zzz",H1473)&amp;""""&amp;","</f>
        <v>"https://www.zeldadungeon.net/maps/totk/tiles/sky/6/32_41.jpg",</v>
      </c>
      <c r="H1473" t="str">
        <f t="shared" ref="H1473:H1536" si="47">QUOTIENT(ROW(A1473),48)+2&amp;"_"&amp;MOD(ROW(A1473),48)+8</f>
        <v>32_41</v>
      </c>
    </row>
    <row r="1474" spans="1:8" x14ac:dyDescent="0.2">
      <c r="A1474" s="9" t="s">
        <v>51</v>
      </c>
      <c r="C1474" t="str">
        <f t="shared" si="46"/>
        <v>"https://www.zeldadungeon.net/maps/totk/tiles/sky/6/32_42.jpg",</v>
      </c>
      <c r="H1474" t="str">
        <f t="shared" si="47"/>
        <v>32_42</v>
      </c>
    </row>
    <row r="1475" spans="1:8" x14ac:dyDescent="0.2">
      <c r="A1475" s="9" t="s">
        <v>51</v>
      </c>
      <c r="C1475" t="str">
        <f t="shared" si="46"/>
        <v>"https://www.zeldadungeon.net/maps/totk/tiles/sky/6/32_43.jpg",</v>
      </c>
      <c r="H1475" t="str">
        <f t="shared" si="47"/>
        <v>32_43</v>
      </c>
    </row>
    <row r="1476" spans="1:8" x14ac:dyDescent="0.2">
      <c r="A1476" s="9" t="s">
        <v>51</v>
      </c>
      <c r="C1476" t="str">
        <f t="shared" si="46"/>
        <v>"https://www.zeldadungeon.net/maps/totk/tiles/sky/6/32_44.jpg",</v>
      </c>
      <c r="H1476" t="str">
        <f t="shared" si="47"/>
        <v>32_44</v>
      </c>
    </row>
    <row r="1477" spans="1:8" x14ac:dyDescent="0.2">
      <c r="A1477" s="9" t="s">
        <v>51</v>
      </c>
      <c r="C1477" t="str">
        <f t="shared" si="46"/>
        <v>"https://www.zeldadungeon.net/maps/totk/tiles/sky/6/32_45.jpg",</v>
      </c>
      <c r="H1477" t="str">
        <f t="shared" si="47"/>
        <v>32_45</v>
      </c>
    </row>
    <row r="1478" spans="1:8" x14ac:dyDescent="0.2">
      <c r="A1478" s="9" t="s">
        <v>51</v>
      </c>
      <c r="C1478" t="str">
        <f t="shared" si="46"/>
        <v>"https://www.zeldadungeon.net/maps/totk/tiles/sky/6/32_46.jpg",</v>
      </c>
      <c r="H1478" t="str">
        <f t="shared" si="47"/>
        <v>32_46</v>
      </c>
    </row>
    <row r="1479" spans="1:8" x14ac:dyDescent="0.2">
      <c r="A1479" s="9" t="s">
        <v>51</v>
      </c>
      <c r="C1479" t="str">
        <f t="shared" si="46"/>
        <v>"https://www.zeldadungeon.net/maps/totk/tiles/sky/6/32_47.jpg",</v>
      </c>
      <c r="H1479" t="str">
        <f t="shared" si="47"/>
        <v>32_47</v>
      </c>
    </row>
    <row r="1480" spans="1:8" x14ac:dyDescent="0.2">
      <c r="A1480" s="9" t="s">
        <v>51</v>
      </c>
      <c r="C1480" t="str">
        <f t="shared" si="46"/>
        <v>"https://www.zeldadungeon.net/maps/totk/tiles/sky/6/32_48.jpg",</v>
      </c>
      <c r="H1480" t="str">
        <f t="shared" si="47"/>
        <v>32_48</v>
      </c>
    </row>
    <row r="1481" spans="1:8" x14ac:dyDescent="0.2">
      <c r="A1481" s="9" t="s">
        <v>51</v>
      </c>
      <c r="C1481" t="str">
        <f t="shared" si="46"/>
        <v>"https://www.zeldadungeon.net/maps/totk/tiles/sky/6/32_49.jpg",</v>
      </c>
      <c r="H1481" t="str">
        <f t="shared" si="47"/>
        <v>32_49</v>
      </c>
    </row>
    <row r="1482" spans="1:8" x14ac:dyDescent="0.2">
      <c r="A1482" s="9" t="s">
        <v>51</v>
      </c>
      <c r="C1482" t="str">
        <f t="shared" si="46"/>
        <v>"https://www.zeldadungeon.net/maps/totk/tiles/sky/6/32_50.jpg",</v>
      </c>
      <c r="H1482" t="str">
        <f t="shared" si="47"/>
        <v>32_50</v>
      </c>
    </row>
    <row r="1483" spans="1:8" x14ac:dyDescent="0.2">
      <c r="A1483" s="9" t="s">
        <v>51</v>
      </c>
      <c r="C1483" t="str">
        <f t="shared" si="46"/>
        <v>"https://www.zeldadungeon.net/maps/totk/tiles/sky/6/32_51.jpg",</v>
      </c>
      <c r="H1483" t="str">
        <f t="shared" si="47"/>
        <v>32_51</v>
      </c>
    </row>
    <row r="1484" spans="1:8" x14ac:dyDescent="0.2">
      <c r="A1484" s="9" t="s">
        <v>51</v>
      </c>
      <c r="C1484" t="str">
        <f t="shared" si="46"/>
        <v>"https://www.zeldadungeon.net/maps/totk/tiles/sky/6/32_52.jpg",</v>
      </c>
      <c r="H1484" t="str">
        <f t="shared" si="47"/>
        <v>32_52</v>
      </c>
    </row>
    <row r="1485" spans="1:8" x14ac:dyDescent="0.2">
      <c r="A1485" s="9" t="s">
        <v>51</v>
      </c>
      <c r="C1485" t="str">
        <f t="shared" si="46"/>
        <v>"https://www.zeldadungeon.net/maps/totk/tiles/sky/6/32_53.jpg",</v>
      </c>
      <c r="H1485" t="str">
        <f t="shared" si="47"/>
        <v>32_53</v>
      </c>
    </row>
    <row r="1486" spans="1:8" x14ac:dyDescent="0.2">
      <c r="A1486" s="9" t="s">
        <v>51</v>
      </c>
      <c r="C1486" t="str">
        <f t="shared" si="46"/>
        <v>"https://www.zeldadungeon.net/maps/totk/tiles/sky/6/32_54.jpg",</v>
      </c>
      <c r="H1486" t="str">
        <f t="shared" si="47"/>
        <v>32_54</v>
      </c>
    </row>
    <row r="1487" spans="1:8" x14ac:dyDescent="0.2">
      <c r="A1487" s="9" t="s">
        <v>51</v>
      </c>
      <c r="C1487" t="str">
        <f t="shared" si="46"/>
        <v>"https://www.zeldadungeon.net/maps/totk/tiles/sky/6/32_55.jpg",</v>
      </c>
      <c r="H1487" t="str">
        <f t="shared" si="47"/>
        <v>32_55</v>
      </c>
    </row>
    <row r="1488" spans="1:8" x14ac:dyDescent="0.2">
      <c r="A1488" s="9" t="s">
        <v>51</v>
      </c>
      <c r="C1488" t="str">
        <f t="shared" si="46"/>
        <v>"https://www.zeldadungeon.net/maps/totk/tiles/sky/6/33_8.jpg",</v>
      </c>
      <c r="H1488" t="str">
        <f t="shared" si="47"/>
        <v>33_8</v>
      </c>
    </row>
    <row r="1489" spans="1:8" x14ac:dyDescent="0.2">
      <c r="A1489" s="9" t="s">
        <v>51</v>
      </c>
      <c r="C1489" t="str">
        <f t="shared" si="46"/>
        <v>"https://www.zeldadungeon.net/maps/totk/tiles/sky/6/33_9.jpg",</v>
      </c>
      <c r="H1489" t="str">
        <f t="shared" si="47"/>
        <v>33_9</v>
      </c>
    </row>
    <row r="1490" spans="1:8" x14ac:dyDescent="0.2">
      <c r="A1490" s="9" t="s">
        <v>51</v>
      </c>
      <c r="C1490" t="str">
        <f t="shared" si="46"/>
        <v>"https://www.zeldadungeon.net/maps/totk/tiles/sky/6/33_10.jpg",</v>
      </c>
      <c r="H1490" t="str">
        <f t="shared" si="47"/>
        <v>33_10</v>
      </c>
    </row>
    <row r="1491" spans="1:8" x14ac:dyDescent="0.2">
      <c r="A1491" s="9" t="s">
        <v>51</v>
      </c>
      <c r="C1491" t="str">
        <f t="shared" si="46"/>
        <v>"https://www.zeldadungeon.net/maps/totk/tiles/sky/6/33_11.jpg",</v>
      </c>
      <c r="H1491" t="str">
        <f t="shared" si="47"/>
        <v>33_11</v>
      </c>
    </row>
    <row r="1492" spans="1:8" x14ac:dyDescent="0.2">
      <c r="A1492" s="9" t="s">
        <v>51</v>
      </c>
      <c r="C1492" t="str">
        <f t="shared" si="46"/>
        <v>"https://www.zeldadungeon.net/maps/totk/tiles/sky/6/33_12.jpg",</v>
      </c>
      <c r="H1492" t="str">
        <f t="shared" si="47"/>
        <v>33_12</v>
      </c>
    </row>
    <row r="1493" spans="1:8" x14ac:dyDescent="0.2">
      <c r="A1493" s="9" t="s">
        <v>51</v>
      </c>
      <c r="C1493" t="str">
        <f t="shared" si="46"/>
        <v>"https://www.zeldadungeon.net/maps/totk/tiles/sky/6/33_13.jpg",</v>
      </c>
      <c r="H1493" t="str">
        <f t="shared" si="47"/>
        <v>33_13</v>
      </c>
    </row>
    <row r="1494" spans="1:8" x14ac:dyDescent="0.2">
      <c r="A1494" s="9" t="s">
        <v>51</v>
      </c>
      <c r="C1494" t="str">
        <f t="shared" si="46"/>
        <v>"https://www.zeldadungeon.net/maps/totk/tiles/sky/6/33_14.jpg",</v>
      </c>
      <c r="H1494" t="str">
        <f t="shared" si="47"/>
        <v>33_14</v>
      </c>
    </row>
    <row r="1495" spans="1:8" x14ac:dyDescent="0.2">
      <c r="A1495" s="9" t="s">
        <v>51</v>
      </c>
      <c r="C1495" t="str">
        <f t="shared" si="46"/>
        <v>"https://www.zeldadungeon.net/maps/totk/tiles/sky/6/33_15.jpg",</v>
      </c>
      <c r="H1495" t="str">
        <f t="shared" si="47"/>
        <v>33_15</v>
      </c>
    </row>
    <row r="1496" spans="1:8" x14ac:dyDescent="0.2">
      <c r="A1496" s="9" t="s">
        <v>51</v>
      </c>
      <c r="C1496" t="str">
        <f t="shared" si="46"/>
        <v>"https://www.zeldadungeon.net/maps/totk/tiles/sky/6/33_16.jpg",</v>
      </c>
      <c r="H1496" t="str">
        <f t="shared" si="47"/>
        <v>33_16</v>
      </c>
    </row>
    <row r="1497" spans="1:8" x14ac:dyDescent="0.2">
      <c r="A1497" s="9" t="s">
        <v>51</v>
      </c>
      <c r="C1497" t="str">
        <f t="shared" si="46"/>
        <v>"https://www.zeldadungeon.net/maps/totk/tiles/sky/6/33_17.jpg",</v>
      </c>
      <c r="H1497" t="str">
        <f t="shared" si="47"/>
        <v>33_17</v>
      </c>
    </row>
    <row r="1498" spans="1:8" x14ac:dyDescent="0.2">
      <c r="A1498" s="9" t="s">
        <v>51</v>
      </c>
      <c r="C1498" t="str">
        <f t="shared" si="46"/>
        <v>"https://www.zeldadungeon.net/maps/totk/tiles/sky/6/33_18.jpg",</v>
      </c>
      <c r="H1498" t="str">
        <f t="shared" si="47"/>
        <v>33_18</v>
      </c>
    </row>
    <row r="1499" spans="1:8" x14ac:dyDescent="0.2">
      <c r="A1499" s="9" t="s">
        <v>51</v>
      </c>
      <c r="C1499" t="str">
        <f t="shared" si="46"/>
        <v>"https://www.zeldadungeon.net/maps/totk/tiles/sky/6/33_19.jpg",</v>
      </c>
      <c r="H1499" t="str">
        <f t="shared" si="47"/>
        <v>33_19</v>
      </c>
    </row>
    <row r="1500" spans="1:8" x14ac:dyDescent="0.2">
      <c r="A1500" s="9" t="s">
        <v>51</v>
      </c>
      <c r="C1500" t="str">
        <f t="shared" si="46"/>
        <v>"https://www.zeldadungeon.net/maps/totk/tiles/sky/6/33_20.jpg",</v>
      </c>
      <c r="H1500" t="str">
        <f t="shared" si="47"/>
        <v>33_20</v>
      </c>
    </row>
    <row r="1501" spans="1:8" x14ac:dyDescent="0.2">
      <c r="A1501" s="9" t="s">
        <v>51</v>
      </c>
      <c r="C1501" t="str">
        <f t="shared" si="46"/>
        <v>"https://www.zeldadungeon.net/maps/totk/tiles/sky/6/33_21.jpg",</v>
      </c>
      <c r="H1501" t="str">
        <f t="shared" si="47"/>
        <v>33_21</v>
      </c>
    </row>
    <row r="1502" spans="1:8" x14ac:dyDescent="0.2">
      <c r="A1502" s="9" t="s">
        <v>51</v>
      </c>
      <c r="C1502" t="str">
        <f t="shared" si="46"/>
        <v>"https://www.zeldadungeon.net/maps/totk/tiles/sky/6/33_22.jpg",</v>
      </c>
      <c r="H1502" t="str">
        <f t="shared" si="47"/>
        <v>33_22</v>
      </c>
    </row>
    <row r="1503" spans="1:8" x14ac:dyDescent="0.2">
      <c r="A1503" s="9" t="s">
        <v>51</v>
      </c>
      <c r="C1503" t="str">
        <f t="shared" si="46"/>
        <v>"https://www.zeldadungeon.net/maps/totk/tiles/sky/6/33_23.jpg",</v>
      </c>
      <c r="H1503" t="str">
        <f t="shared" si="47"/>
        <v>33_23</v>
      </c>
    </row>
    <row r="1504" spans="1:8" x14ac:dyDescent="0.2">
      <c r="A1504" s="9" t="s">
        <v>51</v>
      </c>
      <c r="C1504" t="str">
        <f t="shared" si="46"/>
        <v>"https://www.zeldadungeon.net/maps/totk/tiles/sky/6/33_24.jpg",</v>
      </c>
      <c r="H1504" t="str">
        <f t="shared" si="47"/>
        <v>33_24</v>
      </c>
    </row>
    <row r="1505" spans="1:8" x14ac:dyDescent="0.2">
      <c r="A1505" s="9" t="s">
        <v>51</v>
      </c>
      <c r="C1505" t="str">
        <f t="shared" si="46"/>
        <v>"https://www.zeldadungeon.net/maps/totk/tiles/sky/6/33_25.jpg",</v>
      </c>
      <c r="H1505" t="str">
        <f t="shared" si="47"/>
        <v>33_25</v>
      </c>
    </row>
    <row r="1506" spans="1:8" x14ac:dyDescent="0.2">
      <c r="A1506" s="9" t="s">
        <v>51</v>
      </c>
      <c r="C1506" t="str">
        <f t="shared" si="46"/>
        <v>"https://www.zeldadungeon.net/maps/totk/tiles/sky/6/33_26.jpg",</v>
      </c>
      <c r="H1506" t="str">
        <f t="shared" si="47"/>
        <v>33_26</v>
      </c>
    </row>
    <row r="1507" spans="1:8" x14ac:dyDescent="0.2">
      <c r="A1507" s="9" t="s">
        <v>51</v>
      </c>
      <c r="C1507" t="str">
        <f t="shared" si="46"/>
        <v>"https://www.zeldadungeon.net/maps/totk/tiles/sky/6/33_27.jpg",</v>
      </c>
      <c r="H1507" t="str">
        <f t="shared" si="47"/>
        <v>33_27</v>
      </c>
    </row>
    <row r="1508" spans="1:8" x14ac:dyDescent="0.2">
      <c r="A1508" s="9" t="s">
        <v>51</v>
      </c>
      <c r="C1508" t="str">
        <f t="shared" si="46"/>
        <v>"https://www.zeldadungeon.net/maps/totk/tiles/sky/6/33_28.jpg",</v>
      </c>
      <c r="H1508" t="str">
        <f t="shared" si="47"/>
        <v>33_28</v>
      </c>
    </row>
    <row r="1509" spans="1:8" x14ac:dyDescent="0.2">
      <c r="A1509" s="9" t="s">
        <v>51</v>
      </c>
      <c r="C1509" t="str">
        <f t="shared" si="46"/>
        <v>"https://www.zeldadungeon.net/maps/totk/tiles/sky/6/33_29.jpg",</v>
      </c>
      <c r="H1509" t="str">
        <f t="shared" si="47"/>
        <v>33_29</v>
      </c>
    </row>
    <row r="1510" spans="1:8" x14ac:dyDescent="0.2">
      <c r="A1510" s="9" t="s">
        <v>51</v>
      </c>
      <c r="C1510" t="str">
        <f t="shared" si="46"/>
        <v>"https://www.zeldadungeon.net/maps/totk/tiles/sky/6/33_30.jpg",</v>
      </c>
      <c r="H1510" t="str">
        <f t="shared" si="47"/>
        <v>33_30</v>
      </c>
    </row>
    <row r="1511" spans="1:8" x14ac:dyDescent="0.2">
      <c r="A1511" s="9" t="s">
        <v>51</v>
      </c>
      <c r="C1511" t="str">
        <f t="shared" si="46"/>
        <v>"https://www.zeldadungeon.net/maps/totk/tiles/sky/6/33_31.jpg",</v>
      </c>
      <c r="H1511" t="str">
        <f t="shared" si="47"/>
        <v>33_31</v>
      </c>
    </row>
    <row r="1512" spans="1:8" x14ac:dyDescent="0.2">
      <c r="A1512" s="9" t="s">
        <v>51</v>
      </c>
      <c r="C1512" t="str">
        <f t="shared" si="46"/>
        <v>"https://www.zeldadungeon.net/maps/totk/tiles/sky/6/33_32.jpg",</v>
      </c>
      <c r="H1512" t="str">
        <f t="shared" si="47"/>
        <v>33_32</v>
      </c>
    </row>
    <row r="1513" spans="1:8" x14ac:dyDescent="0.2">
      <c r="A1513" s="9" t="s">
        <v>51</v>
      </c>
      <c r="C1513" t="str">
        <f t="shared" si="46"/>
        <v>"https://www.zeldadungeon.net/maps/totk/tiles/sky/6/33_33.jpg",</v>
      </c>
      <c r="H1513" t="str">
        <f t="shared" si="47"/>
        <v>33_33</v>
      </c>
    </row>
    <row r="1514" spans="1:8" x14ac:dyDescent="0.2">
      <c r="A1514" s="9" t="s">
        <v>51</v>
      </c>
      <c r="C1514" t="str">
        <f t="shared" si="46"/>
        <v>"https://www.zeldadungeon.net/maps/totk/tiles/sky/6/33_34.jpg",</v>
      </c>
      <c r="H1514" t="str">
        <f t="shared" si="47"/>
        <v>33_34</v>
      </c>
    </row>
    <row r="1515" spans="1:8" x14ac:dyDescent="0.2">
      <c r="A1515" s="9" t="s">
        <v>51</v>
      </c>
      <c r="C1515" t="str">
        <f t="shared" si="46"/>
        <v>"https://www.zeldadungeon.net/maps/totk/tiles/sky/6/33_35.jpg",</v>
      </c>
      <c r="H1515" t="str">
        <f t="shared" si="47"/>
        <v>33_35</v>
      </c>
    </row>
    <row r="1516" spans="1:8" x14ac:dyDescent="0.2">
      <c r="A1516" s="9" t="s">
        <v>51</v>
      </c>
      <c r="C1516" t="str">
        <f t="shared" si="46"/>
        <v>"https://www.zeldadungeon.net/maps/totk/tiles/sky/6/33_36.jpg",</v>
      </c>
      <c r="H1516" t="str">
        <f t="shared" si="47"/>
        <v>33_36</v>
      </c>
    </row>
    <row r="1517" spans="1:8" x14ac:dyDescent="0.2">
      <c r="A1517" s="9" t="s">
        <v>51</v>
      </c>
      <c r="C1517" t="str">
        <f t="shared" si="46"/>
        <v>"https://www.zeldadungeon.net/maps/totk/tiles/sky/6/33_37.jpg",</v>
      </c>
      <c r="H1517" t="str">
        <f t="shared" si="47"/>
        <v>33_37</v>
      </c>
    </row>
    <row r="1518" spans="1:8" x14ac:dyDescent="0.2">
      <c r="A1518" s="9" t="s">
        <v>51</v>
      </c>
      <c r="C1518" t="str">
        <f t="shared" si="46"/>
        <v>"https://www.zeldadungeon.net/maps/totk/tiles/sky/6/33_38.jpg",</v>
      </c>
      <c r="H1518" t="str">
        <f t="shared" si="47"/>
        <v>33_38</v>
      </c>
    </row>
    <row r="1519" spans="1:8" x14ac:dyDescent="0.2">
      <c r="A1519" s="9" t="s">
        <v>51</v>
      </c>
      <c r="C1519" t="str">
        <f t="shared" si="46"/>
        <v>"https://www.zeldadungeon.net/maps/totk/tiles/sky/6/33_39.jpg",</v>
      </c>
      <c r="H1519" t="str">
        <f t="shared" si="47"/>
        <v>33_39</v>
      </c>
    </row>
    <row r="1520" spans="1:8" x14ac:dyDescent="0.2">
      <c r="A1520" s="9" t="s">
        <v>51</v>
      </c>
      <c r="C1520" t="str">
        <f t="shared" si="46"/>
        <v>"https://www.zeldadungeon.net/maps/totk/tiles/sky/6/33_40.jpg",</v>
      </c>
      <c r="H1520" t="str">
        <f t="shared" si="47"/>
        <v>33_40</v>
      </c>
    </row>
    <row r="1521" spans="1:8" x14ac:dyDescent="0.2">
      <c r="A1521" s="9" t="s">
        <v>51</v>
      </c>
      <c r="C1521" t="str">
        <f t="shared" si="46"/>
        <v>"https://www.zeldadungeon.net/maps/totk/tiles/sky/6/33_41.jpg",</v>
      </c>
      <c r="H1521" t="str">
        <f t="shared" si="47"/>
        <v>33_41</v>
      </c>
    </row>
    <row r="1522" spans="1:8" x14ac:dyDescent="0.2">
      <c r="A1522" s="9" t="s">
        <v>51</v>
      </c>
      <c r="C1522" t="str">
        <f t="shared" si="46"/>
        <v>"https://www.zeldadungeon.net/maps/totk/tiles/sky/6/33_42.jpg",</v>
      </c>
      <c r="H1522" t="str">
        <f t="shared" si="47"/>
        <v>33_42</v>
      </c>
    </row>
    <row r="1523" spans="1:8" x14ac:dyDescent="0.2">
      <c r="A1523" s="9" t="s">
        <v>51</v>
      </c>
      <c r="C1523" t="str">
        <f t="shared" si="46"/>
        <v>"https://www.zeldadungeon.net/maps/totk/tiles/sky/6/33_43.jpg",</v>
      </c>
      <c r="H1523" t="str">
        <f t="shared" si="47"/>
        <v>33_43</v>
      </c>
    </row>
    <row r="1524" spans="1:8" x14ac:dyDescent="0.2">
      <c r="A1524" s="9" t="s">
        <v>51</v>
      </c>
      <c r="C1524" t="str">
        <f t="shared" si="46"/>
        <v>"https://www.zeldadungeon.net/maps/totk/tiles/sky/6/33_44.jpg",</v>
      </c>
      <c r="H1524" t="str">
        <f t="shared" si="47"/>
        <v>33_44</v>
      </c>
    </row>
    <row r="1525" spans="1:8" x14ac:dyDescent="0.2">
      <c r="A1525" s="9" t="s">
        <v>51</v>
      </c>
      <c r="C1525" t="str">
        <f t="shared" si="46"/>
        <v>"https://www.zeldadungeon.net/maps/totk/tiles/sky/6/33_45.jpg",</v>
      </c>
      <c r="H1525" t="str">
        <f t="shared" si="47"/>
        <v>33_45</v>
      </c>
    </row>
    <row r="1526" spans="1:8" x14ac:dyDescent="0.2">
      <c r="A1526" s="9" t="s">
        <v>51</v>
      </c>
      <c r="C1526" t="str">
        <f t="shared" si="46"/>
        <v>"https://www.zeldadungeon.net/maps/totk/tiles/sky/6/33_46.jpg",</v>
      </c>
      <c r="H1526" t="str">
        <f t="shared" si="47"/>
        <v>33_46</v>
      </c>
    </row>
    <row r="1527" spans="1:8" x14ac:dyDescent="0.2">
      <c r="A1527" s="9" t="s">
        <v>51</v>
      </c>
      <c r="C1527" t="str">
        <f t="shared" si="46"/>
        <v>"https://www.zeldadungeon.net/maps/totk/tiles/sky/6/33_47.jpg",</v>
      </c>
      <c r="H1527" t="str">
        <f t="shared" si="47"/>
        <v>33_47</v>
      </c>
    </row>
    <row r="1528" spans="1:8" x14ac:dyDescent="0.2">
      <c r="A1528" s="9" t="s">
        <v>51</v>
      </c>
      <c r="C1528" t="str">
        <f t="shared" si="46"/>
        <v>"https://www.zeldadungeon.net/maps/totk/tiles/sky/6/33_48.jpg",</v>
      </c>
      <c r="H1528" t="str">
        <f t="shared" si="47"/>
        <v>33_48</v>
      </c>
    </row>
    <row r="1529" spans="1:8" x14ac:dyDescent="0.2">
      <c r="A1529" s="9" t="s">
        <v>51</v>
      </c>
      <c r="C1529" t="str">
        <f t="shared" si="46"/>
        <v>"https://www.zeldadungeon.net/maps/totk/tiles/sky/6/33_49.jpg",</v>
      </c>
      <c r="H1529" t="str">
        <f t="shared" si="47"/>
        <v>33_49</v>
      </c>
    </row>
    <row r="1530" spans="1:8" x14ac:dyDescent="0.2">
      <c r="A1530" s="9" t="s">
        <v>51</v>
      </c>
      <c r="C1530" t="str">
        <f t="shared" si="46"/>
        <v>"https://www.zeldadungeon.net/maps/totk/tiles/sky/6/33_50.jpg",</v>
      </c>
      <c r="H1530" t="str">
        <f t="shared" si="47"/>
        <v>33_50</v>
      </c>
    </row>
    <row r="1531" spans="1:8" x14ac:dyDescent="0.2">
      <c r="A1531" s="9" t="s">
        <v>51</v>
      </c>
      <c r="C1531" t="str">
        <f t="shared" si="46"/>
        <v>"https://www.zeldadungeon.net/maps/totk/tiles/sky/6/33_51.jpg",</v>
      </c>
      <c r="H1531" t="str">
        <f t="shared" si="47"/>
        <v>33_51</v>
      </c>
    </row>
    <row r="1532" spans="1:8" x14ac:dyDescent="0.2">
      <c r="A1532" s="9" t="s">
        <v>51</v>
      </c>
      <c r="C1532" t="str">
        <f t="shared" si="46"/>
        <v>"https://www.zeldadungeon.net/maps/totk/tiles/sky/6/33_52.jpg",</v>
      </c>
      <c r="H1532" t="str">
        <f t="shared" si="47"/>
        <v>33_52</v>
      </c>
    </row>
    <row r="1533" spans="1:8" x14ac:dyDescent="0.2">
      <c r="A1533" s="9" t="s">
        <v>51</v>
      </c>
      <c r="C1533" t="str">
        <f t="shared" si="46"/>
        <v>"https://www.zeldadungeon.net/maps/totk/tiles/sky/6/33_53.jpg",</v>
      </c>
      <c r="H1533" t="str">
        <f t="shared" si="47"/>
        <v>33_53</v>
      </c>
    </row>
    <row r="1534" spans="1:8" x14ac:dyDescent="0.2">
      <c r="A1534" s="9" t="s">
        <v>51</v>
      </c>
      <c r="C1534" t="str">
        <f t="shared" si="46"/>
        <v>"https://www.zeldadungeon.net/maps/totk/tiles/sky/6/33_54.jpg",</v>
      </c>
      <c r="H1534" t="str">
        <f t="shared" si="47"/>
        <v>33_54</v>
      </c>
    </row>
    <row r="1535" spans="1:8" x14ac:dyDescent="0.2">
      <c r="A1535" s="9" t="s">
        <v>51</v>
      </c>
      <c r="C1535" t="str">
        <f t="shared" si="46"/>
        <v>"https://www.zeldadungeon.net/maps/totk/tiles/sky/6/33_55.jpg",</v>
      </c>
      <c r="H1535" t="str">
        <f t="shared" si="47"/>
        <v>33_55</v>
      </c>
    </row>
    <row r="1536" spans="1:8" x14ac:dyDescent="0.2">
      <c r="A1536" s="9" t="s">
        <v>51</v>
      </c>
      <c r="C1536" t="str">
        <f t="shared" si="46"/>
        <v>"https://www.zeldadungeon.net/maps/totk/tiles/sky/6/34_8.jpg",</v>
      </c>
      <c r="H1536" t="str">
        <f t="shared" si="47"/>
        <v>34_8</v>
      </c>
    </row>
    <row r="1537" spans="1:8" x14ac:dyDescent="0.2">
      <c r="A1537" s="9" t="s">
        <v>51</v>
      </c>
      <c r="C1537" t="str">
        <f t="shared" ref="C1537:C1600" si="48">""""&amp;SUBSTITUTE(A1537,"zzz",H1537)&amp;""""&amp;","</f>
        <v>"https://www.zeldadungeon.net/maps/totk/tiles/sky/6/34_9.jpg",</v>
      </c>
      <c r="H1537" t="str">
        <f t="shared" ref="H1537:H1600" si="49">QUOTIENT(ROW(A1537),48)+2&amp;"_"&amp;MOD(ROW(A1537),48)+8</f>
        <v>34_9</v>
      </c>
    </row>
    <row r="1538" spans="1:8" x14ac:dyDescent="0.2">
      <c r="A1538" s="9" t="s">
        <v>51</v>
      </c>
      <c r="C1538" t="str">
        <f t="shared" si="48"/>
        <v>"https://www.zeldadungeon.net/maps/totk/tiles/sky/6/34_10.jpg",</v>
      </c>
      <c r="H1538" t="str">
        <f t="shared" si="49"/>
        <v>34_10</v>
      </c>
    </row>
    <row r="1539" spans="1:8" x14ac:dyDescent="0.2">
      <c r="A1539" s="9" t="s">
        <v>51</v>
      </c>
      <c r="C1539" t="str">
        <f t="shared" si="48"/>
        <v>"https://www.zeldadungeon.net/maps/totk/tiles/sky/6/34_11.jpg",</v>
      </c>
      <c r="H1539" t="str">
        <f t="shared" si="49"/>
        <v>34_11</v>
      </c>
    </row>
    <row r="1540" spans="1:8" x14ac:dyDescent="0.2">
      <c r="A1540" s="9" t="s">
        <v>51</v>
      </c>
      <c r="C1540" t="str">
        <f t="shared" si="48"/>
        <v>"https://www.zeldadungeon.net/maps/totk/tiles/sky/6/34_12.jpg",</v>
      </c>
      <c r="H1540" t="str">
        <f t="shared" si="49"/>
        <v>34_12</v>
      </c>
    </row>
    <row r="1541" spans="1:8" x14ac:dyDescent="0.2">
      <c r="A1541" s="9" t="s">
        <v>51</v>
      </c>
      <c r="C1541" t="str">
        <f t="shared" si="48"/>
        <v>"https://www.zeldadungeon.net/maps/totk/tiles/sky/6/34_13.jpg",</v>
      </c>
      <c r="H1541" t="str">
        <f t="shared" si="49"/>
        <v>34_13</v>
      </c>
    </row>
    <row r="1542" spans="1:8" x14ac:dyDescent="0.2">
      <c r="A1542" s="9" t="s">
        <v>51</v>
      </c>
      <c r="C1542" t="str">
        <f t="shared" si="48"/>
        <v>"https://www.zeldadungeon.net/maps/totk/tiles/sky/6/34_14.jpg",</v>
      </c>
      <c r="H1542" t="str">
        <f t="shared" si="49"/>
        <v>34_14</v>
      </c>
    </row>
    <row r="1543" spans="1:8" x14ac:dyDescent="0.2">
      <c r="A1543" s="9" t="s">
        <v>51</v>
      </c>
      <c r="C1543" t="str">
        <f t="shared" si="48"/>
        <v>"https://www.zeldadungeon.net/maps/totk/tiles/sky/6/34_15.jpg",</v>
      </c>
      <c r="H1543" t="str">
        <f t="shared" si="49"/>
        <v>34_15</v>
      </c>
    </row>
    <row r="1544" spans="1:8" x14ac:dyDescent="0.2">
      <c r="A1544" s="9" t="s">
        <v>51</v>
      </c>
      <c r="C1544" t="str">
        <f t="shared" si="48"/>
        <v>"https://www.zeldadungeon.net/maps/totk/tiles/sky/6/34_16.jpg",</v>
      </c>
      <c r="H1544" t="str">
        <f t="shared" si="49"/>
        <v>34_16</v>
      </c>
    </row>
    <row r="1545" spans="1:8" x14ac:dyDescent="0.2">
      <c r="A1545" s="9" t="s">
        <v>51</v>
      </c>
      <c r="C1545" t="str">
        <f t="shared" si="48"/>
        <v>"https://www.zeldadungeon.net/maps/totk/tiles/sky/6/34_17.jpg",</v>
      </c>
      <c r="H1545" t="str">
        <f t="shared" si="49"/>
        <v>34_17</v>
      </c>
    </row>
    <row r="1546" spans="1:8" x14ac:dyDescent="0.2">
      <c r="A1546" s="9" t="s">
        <v>51</v>
      </c>
      <c r="C1546" t="str">
        <f t="shared" si="48"/>
        <v>"https://www.zeldadungeon.net/maps/totk/tiles/sky/6/34_18.jpg",</v>
      </c>
      <c r="H1546" t="str">
        <f t="shared" si="49"/>
        <v>34_18</v>
      </c>
    </row>
    <row r="1547" spans="1:8" x14ac:dyDescent="0.2">
      <c r="A1547" s="9" t="s">
        <v>51</v>
      </c>
      <c r="C1547" t="str">
        <f t="shared" si="48"/>
        <v>"https://www.zeldadungeon.net/maps/totk/tiles/sky/6/34_19.jpg",</v>
      </c>
      <c r="H1547" t="str">
        <f t="shared" si="49"/>
        <v>34_19</v>
      </c>
    </row>
    <row r="1548" spans="1:8" x14ac:dyDescent="0.2">
      <c r="A1548" s="9" t="s">
        <v>51</v>
      </c>
      <c r="C1548" t="str">
        <f t="shared" si="48"/>
        <v>"https://www.zeldadungeon.net/maps/totk/tiles/sky/6/34_20.jpg",</v>
      </c>
      <c r="H1548" t="str">
        <f t="shared" si="49"/>
        <v>34_20</v>
      </c>
    </row>
    <row r="1549" spans="1:8" x14ac:dyDescent="0.2">
      <c r="A1549" s="9" t="s">
        <v>51</v>
      </c>
      <c r="C1549" t="str">
        <f t="shared" si="48"/>
        <v>"https://www.zeldadungeon.net/maps/totk/tiles/sky/6/34_21.jpg",</v>
      </c>
      <c r="H1549" t="str">
        <f t="shared" si="49"/>
        <v>34_21</v>
      </c>
    </row>
    <row r="1550" spans="1:8" x14ac:dyDescent="0.2">
      <c r="A1550" s="9" t="s">
        <v>51</v>
      </c>
      <c r="C1550" t="str">
        <f t="shared" si="48"/>
        <v>"https://www.zeldadungeon.net/maps/totk/tiles/sky/6/34_22.jpg",</v>
      </c>
      <c r="H1550" t="str">
        <f t="shared" si="49"/>
        <v>34_22</v>
      </c>
    </row>
    <row r="1551" spans="1:8" x14ac:dyDescent="0.2">
      <c r="A1551" s="9" t="s">
        <v>51</v>
      </c>
      <c r="C1551" t="str">
        <f t="shared" si="48"/>
        <v>"https://www.zeldadungeon.net/maps/totk/tiles/sky/6/34_23.jpg",</v>
      </c>
      <c r="H1551" t="str">
        <f t="shared" si="49"/>
        <v>34_23</v>
      </c>
    </row>
    <row r="1552" spans="1:8" x14ac:dyDescent="0.2">
      <c r="A1552" s="9" t="s">
        <v>51</v>
      </c>
      <c r="C1552" t="str">
        <f t="shared" si="48"/>
        <v>"https://www.zeldadungeon.net/maps/totk/tiles/sky/6/34_24.jpg",</v>
      </c>
      <c r="H1552" t="str">
        <f t="shared" si="49"/>
        <v>34_24</v>
      </c>
    </row>
    <row r="1553" spans="1:8" x14ac:dyDescent="0.2">
      <c r="A1553" s="9" t="s">
        <v>51</v>
      </c>
      <c r="C1553" t="str">
        <f t="shared" si="48"/>
        <v>"https://www.zeldadungeon.net/maps/totk/tiles/sky/6/34_25.jpg",</v>
      </c>
      <c r="H1553" t="str">
        <f t="shared" si="49"/>
        <v>34_25</v>
      </c>
    </row>
    <row r="1554" spans="1:8" x14ac:dyDescent="0.2">
      <c r="A1554" s="9" t="s">
        <v>51</v>
      </c>
      <c r="C1554" t="str">
        <f t="shared" si="48"/>
        <v>"https://www.zeldadungeon.net/maps/totk/tiles/sky/6/34_26.jpg",</v>
      </c>
      <c r="H1554" t="str">
        <f t="shared" si="49"/>
        <v>34_26</v>
      </c>
    </row>
    <row r="1555" spans="1:8" x14ac:dyDescent="0.2">
      <c r="A1555" s="9" t="s">
        <v>51</v>
      </c>
      <c r="C1555" t="str">
        <f t="shared" si="48"/>
        <v>"https://www.zeldadungeon.net/maps/totk/tiles/sky/6/34_27.jpg",</v>
      </c>
      <c r="H1555" t="str">
        <f t="shared" si="49"/>
        <v>34_27</v>
      </c>
    </row>
    <row r="1556" spans="1:8" x14ac:dyDescent="0.2">
      <c r="A1556" s="9" t="s">
        <v>51</v>
      </c>
      <c r="C1556" t="str">
        <f t="shared" si="48"/>
        <v>"https://www.zeldadungeon.net/maps/totk/tiles/sky/6/34_28.jpg",</v>
      </c>
      <c r="H1556" t="str">
        <f t="shared" si="49"/>
        <v>34_28</v>
      </c>
    </row>
    <row r="1557" spans="1:8" x14ac:dyDescent="0.2">
      <c r="A1557" s="9" t="s">
        <v>51</v>
      </c>
      <c r="C1557" t="str">
        <f t="shared" si="48"/>
        <v>"https://www.zeldadungeon.net/maps/totk/tiles/sky/6/34_29.jpg",</v>
      </c>
      <c r="H1557" t="str">
        <f t="shared" si="49"/>
        <v>34_29</v>
      </c>
    </row>
    <row r="1558" spans="1:8" x14ac:dyDescent="0.2">
      <c r="A1558" s="9" t="s">
        <v>51</v>
      </c>
      <c r="C1558" t="str">
        <f t="shared" si="48"/>
        <v>"https://www.zeldadungeon.net/maps/totk/tiles/sky/6/34_30.jpg",</v>
      </c>
      <c r="H1558" t="str">
        <f t="shared" si="49"/>
        <v>34_30</v>
      </c>
    </row>
    <row r="1559" spans="1:8" x14ac:dyDescent="0.2">
      <c r="A1559" s="9" t="s">
        <v>51</v>
      </c>
      <c r="C1559" t="str">
        <f t="shared" si="48"/>
        <v>"https://www.zeldadungeon.net/maps/totk/tiles/sky/6/34_31.jpg",</v>
      </c>
      <c r="H1559" t="str">
        <f t="shared" si="49"/>
        <v>34_31</v>
      </c>
    </row>
    <row r="1560" spans="1:8" x14ac:dyDescent="0.2">
      <c r="A1560" s="9" t="s">
        <v>51</v>
      </c>
      <c r="C1560" t="str">
        <f t="shared" si="48"/>
        <v>"https://www.zeldadungeon.net/maps/totk/tiles/sky/6/34_32.jpg",</v>
      </c>
      <c r="H1560" t="str">
        <f t="shared" si="49"/>
        <v>34_32</v>
      </c>
    </row>
    <row r="1561" spans="1:8" x14ac:dyDescent="0.2">
      <c r="A1561" s="9" t="s">
        <v>51</v>
      </c>
      <c r="C1561" t="str">
        <f t="shared" si="48"/>
        <v>"https://www.zeldadungeon.net/maps/totk/tiles/sky/6/34_33.jpg",</v>
      </c>
      <c r="H1561" t="str">
        <f t="shared" si="49"/>
        <v>34_33</v>
      </c>
    </row>
    <row r="1562" spans="1:8" x14ac:dyDescent="0.2">
      <c r="A1562" s="9" t="s">
        <v>51</v>
      </c>
      <c r="C1562" t="str">
        <f t="shared" si="48"/>
        <v>"https://www.zeldadungeon.net/maps/totk/tiles/sky/6/34_34.jpg",</v>
      </c>
      <c r="H1562" t="str">
        <f t="shared" si="49"/>
        <v>34_34</v>
      </c>
    </row>
    <row r="1563" spans="1:8" x14ac:dyDescent="0.2">
      <c r="A1563" s="9" t="s">
        <v>51</v>
      </c>
      <c r="C1563" t="str">
        <f t="shared" si="48"/>
        <v>"https://www.zeldadungeon.net/maps/totk/tiles/sky/6/34_35.jpg",</v>
      </c>
      <c r="H1563" t="str">
        <f t="shared" si="49"/>
        <v>34_35</v>
      </c>
    </row>
    <row r="1564" spans="1:8" x14ac:dyDescent="0.2">
      <c r="A1564" s="9" t="s">
        <v>51</v>
      </c>
      <c r="C1564" t="str">
        <f t="shared" si="48"/>
        <v>"https://www.zeldadungeon.net/maps/totk/tiles/sky/6/34_36.jpg",</v>
      </c>
      <c r="H1564" t="str">
        <f t="shared" si="49"/>
        <v>34_36</v>
      </c>
    </row>
    <row r="1565" spans="1:8" x14ac:dyDescent="0.2">
      <c r="A1565" s="9" t="s">
        <v>51</v>
      </c>
      <c r="C1565" t="str">
        <f t="shared" si="48"/>
        <v>"https://www.zeldadungeon.net/maps/totk/tiles/sky/6/34_37.jpg",</v>
      </c>
      <c r="H1565" t="str">
        <f t="shared" si="49"/>
        <v>34_37</v>
      </c>
    </row>
    <row r="1566" spans="1:8" x14ac:dyDescent="0.2">
      <c r="A1566" s="9" t="s">
        <v>51</v>
      </c>
      <c r="C1566" t="str">
        <f t="shared" si="48"/>
        <v>"https://www.zeldadungeon.net/maps/totk/tiles/sky/6/34_38.jpg",</v>
      </c>
      <c r="H1566" t="str">
        <f t="shared" si="49"/>
        <v>34_38</v>
      </c>
    </row>
    <row r="1567" spans="1:8" x14ac:dyDescent="0.2">
      <c r="A1567" s="9" t="s">
        <v>51</v>
      </c>
      <c r="C1567" t="str">
        <f t="shared" si="48"/>
        <v>"https://www.zeldadungeon.net/maps/totk/tiles/sky/6/34_39.jpg",</v>
      </c>
      <c r="H1567" t="str">
        <f t="shared" si="49"/>
        <v>34_39</v>
      </c>
    </row>
    <row r="1568" spans="1:8" x14ac:dyDescent="0.2">
      <c r="A1568" s="9" t="s">
        <v>51</v>
      </c>
      <c r="C1568" t="str">
        <f t="shared" si="48"/>
        <v>"https://www.zeldadungeon.net/maps/totk/tiles/sky/6/34_40.jpg",</v>
      </c>
      <c r="H1568" t="str">
        <f t="shared" si="49"/>
        <v>34_40</v>
      </c>
    </row>
    <row r="1569" spans="1:8" x14ac:dyDescent="0.2">
      <c r="A1569" s="9" t="s">
        <v>51</v>
      </c>
      <c r="C1569" t="str">
        <f t="shared" si="48"/>
        <v>"https://www.zeldadungeon.net/maps/totk/tiles/sky/6/34_41.jpg",</v>
      </c>
      <c r="H1569" t="str">
        <f t="shared" si="49"/>
        <v>34_41</v>
      </c>
    </row>
    <row r="1570" spans="1:8" x14ac:dyDescent="0.2">
      <c r="A1570" s="9" t="s">
        <v>51</v>
      </c>
      <c r="C1570" t="str">
        <f t="shared" si="48"/>
        <v>"https://www.zeldadungeon.net/maps/totk/tiles/sky/6/34_42.jpg",</v>
      </c>
      <c r="H1570" t="str">
        <f t="shared" si="49"/>
        <v>34_42</v>
      </c>
    </row>
    <row r="1571" spans="1:8" x14ac:dyDescent="0.2">
      <c r="A1571" s="9" t="s">
        <v>51</v>
      </c>
      <c r="C1571" t="str">
        <f t="shared" si="48"/>
        <v>"https://www.zeldadungeon.net/maps/totk/tiles/sky/6/34_43.jpg",</v>
      </c>
      <c r="H1571" t="str">
        <f t="shared" si="49"/>
        <v>34_43</v>
      </c>
    </row>
    <row r="1572" spans="1:8" x14ac:dyDescent="0.2">
      <c r="A1572" s="9" t="s">
        <v>51</v>
      </c>
      <c r="C1572" t="str">
        <f t="shared" si="48"/>
        <v>"https://www.zeldadungeon.net/maps/totk/tiles/sky/6/34_44.jpg",</v>
      </c>
      <c r="H1572" t="str">
        <f t="shared" si="49"/>
        <v>34_44</v>
      </c>
    </row>
    <row r="1573" spans="1:8" x14ac:dyDescent="0.2">
      <c r="A1573" s="9" t="s">
        <v>51</v>
      </c>
      <c r="C1573" t="str">
        <f t="shared" si="48"/>
        <v>"https://www.zeldadungeon.net/maps/totk/tiles/sky/6/34_45.jpg",</v>
      </c>
      <c r="H1573" t="str">
        <f t="shared" si="49"/>
        <v>34_45</v>
      </c>
    </row>
    <row r="1574" spans="1:8" x14ac:dyDescent="0.2">
      <c r="A1574" s="9" t="s">
        <v>51</v>
      </c>
      <c r="C1574" t="str">
        <f t="shared" si="48"/>
        <v>"https://www.zeldadungeon.net/maps/totk/tiles/sky/6/34_46.jpg",</v>
      </c>
      <c r="H1574" t="str">
        <f t="shared" si="49"/>
        <v>34_46</v>
      </c>
    </row>
    <row r="1575" spans="1:8" x14ac:dyDescent="0.2">
      <c r="A1575" s="9" t="s">
        <v>51</v>
      </c>
      <c r="C1575" t="str">
        <f t="shared" si="48"/>
        <v>"https://www.zeldadungeon.net/maps/totk/tiles/sky/6/34_47.jpg",</v>
      </c>
      <c r="H1575" t="str">
        <f t="shared" si="49"/>
        <v>34_47</v>
      </c>
    </row>
    <row r="1576" spans="1:8" x14ac:dyDescent="0.2">
      <c r="A1576" s="9" t="s">
        <v>51</v>
      </c>
      <c r="C1576" t="str">
        <f t="shared" si="48"/>
        <v>"https://www.zeldadungeon.net/maps/totk/tiles/sky/6/34_48.jpg",</v>
      </c>
      <c r="H1576" t="str">
        <f t="shared" si="49"/>
        <v>34_48</v>
      </c>
    </row>
    <row r="1577" spans="1:8" x14ac:dyDescent="0.2">
      <c r="A1577" s="9" t="s">
        <v>51</v>
      </c>
      <c r="C1577" t="str">
        <f t="shared" si="48"/>
        <v>"https://www.zeldadungeon.net/maps/totk/tiles/sky/6/34_49.jpg",</v>
      </c>
      <c r="H1577" t="str">
        <f t="shared" si="49"/>
        <v>34_49</v>
      </c>
    </row>
    <row r="1578" spans="1:8" x14ac:dyDescent="0.2">
      <c r="A1578" s="9" t="s">
        <v>51</v>
      </c>
      <c r="C1578" t="str">
        <f t="shared" si="48"/>
        <v>"https://www.zeldadungeon.net/maps/totk/tiles/sky/6/34_50.jpg",</v>
      </c>
      <c r="H1578" t="str">
        <f t="shared" si="49"/>
        <v>34_50</v>
      </c>
    </row>
    <row r="1579" spans="1:8" x14ac:dyDescent="0.2">
      <c r="A1579" s="9" t="s">
        <v>51</v>
      </c>
      <c r="C1579" t="str">
        <f t="shared" si="48"/>
        <v>"https://www.zeldadungeon.net/maps/totk/tiles/sky/6/34_51.jpg",</v>
      </c>
      <c r="H1579" t="str">
        <f t="shared" si="49"/>
        <v>34_51</v>
      </c>
    </row>
    <row r="1580" spans="1:8" x14ac:dyDescent="0.2">
      <c r="A1580" s="9" t="s">
        <v>51</v>
      </c>
      <c r="C1580" t="str">
        <f t="shared" si="48"/>
        <v>"https://www.zeldadungeon.net/maps/totk/tiles/sky/6/34_52.jpg",</v>
      </c>
      <c r="H1580" t="str">
        <f t="shared" si="49"/>
        <v>34_52</v>
      </c>
    </row>
    <row r="1581" spans="1:8" x14ac:dyDescent="0.2">
      <c r="A1581" s="9" t="s">
        <v>51</v>
      </c>
      <c r="C1581" t="str">
        <f t="shared" si="48"/>
        <v>"https://www.zeldadungeon.net/maps/totk/tiles/sky/6/34_53.jpg",</v>
      </c>
      <c r="H1581" t="str">
        <f t="shared" si="49"/>
        <v>34_53</v>
      </c>
    </row>
    <row r="1582" spans="1:8" x14ac:dyDescent="0.2">
      <c r="A1582" s="9" t="s">
        <v>51</v>
      </c>
      <c r="C1582" t="str">
        <f t="shared" si="48"/>
        <v>"https://www.zeldadungeon.net/maps/totk/tiles/sky/6/34_54.jpg",</v>
      </c>
      <c r="H1582" t="str">
        <f t="shared" si="49"/>
        <v>34_54</v>
      </c>
    </row>
    <row r="1583" spans="1:8" x14ac:dyDescent="0.2">
      <c r="A1583" s="9" t="s">
        <v>51</v>
      </c>
      <c r="C1583" t="str">
        <f t="shared" si="48"/>
        <v>"https://www.zeldadungeon.net/maps/totk/tiles/sky/6/34_55.jpg",</v>
      </c>
      <c r="H1583" t="str">
        <f t="shared" si="49"/>
        <v>34_55</v>
      </c>
    </row>
    <row r="1584" spans="1:8" x14ac:dyDescent="0.2">
      <c r="A1584" s="9" t="s">
        <v>51</v>
      </c>
      <c r="C1584" t="str">
        <f t="shared" si="48"/>
        <v>"https://www.zeldadungeon.net/maps/totk/tiles/sky/6/35_8.jpg",</v>
      </c>
      <c r="H1584" t="str">
        <f t="shared" si="49"/>
        <v>35_8</v>
      </c>
    </row>
    <row r="1585" spans="1:8" x14ac:dyDescent="0.2">
      <c r="A1585" s="9" t="s">
        <v>51</v>
      </c>
      <c r="C1585" t="str">
        <f t="shared" si="48"/>
        <v>"https://www.zeldadungeon.net/maps/totk/tiles/sky/6/35_9.jpg",</v>
      </c>
      <c r="H1585" t="str">
        <f t="shared" si="49"/>
        <v>35_9</v>
      </c>
    </row>
    <row r="1586" spans="1:8" x14ac:dyDescent="0.2">
      <c r="A1586" s="9" t="s">
        <v>51</v>
      </c>
      <c r="C1586" t="str">
        <f t="shared" si="48"/>
        <v>"https://www.zeldadungeon.net/maps/totk/tiles/sky/6/35_10.jpg",</v>
      </c>
      <c r="H1586" t="str">
        <f t="shared" si="49"/>
        <v>35_10</v>
      </c>
    </row>
    <row r="1587" spans="1:8" x14ac:dyDescent="0.2">
      <c r="A1587" s="9" t="s">
        <v>51</v>
      </c>
      <c r="C1587" t="str">
        <f t="shared" si="48"/>
        <v>"https://www.zeldadungeon.net/maps/totk/tiles/sky/6/35_11.jpg",</v>
      </c>
      <c r="H1587" t="str">
        <f t="shared" si="49"/>
        <v>35_11</v>
      </c>
    </row>
    <row r="1588" spans="1:8" x14ac:dyDescent="0.2">
      <c r="A1588" s="9" t="s">
        <v>51</v>
      </c>
      <c r="C1588" t="str">
        <f t="shared" si="48"/>
        <v>"https://www.zeldadungeon.net/maps/totk/tiles/sky/6/35_12.jpg",</v>
      </c>
      <c r="H1588" t="str">
        <f t="shared" si="49"/>
        <v>35_12</v>
      </c>
    </row>
    <row r="1589" spans="1:8" x14ac:dyDescent="0.2">
      <c r="A1589" s="9" t="s">
        <v>51</v>
      </c>
      <c r="C1589" t="str">
        <f t="shared" si="48"/>
        <v>"https://www.zeldadungeon.net/maps/totk/tiles/sky/6/35_13.jpg",</v>
      </c>
      <c r="H1589" t="str">
        <f t="shared" si="49"/>
        <v>35_13</v>
      </c>
    </row>
    <row r="1590" spans="1:8" x14ac:dyDescent="0.2">
      <c r="A1590" s="9" t="s">
        <v>51</v>
      </c>
      <c r="C1590" t="str">
        <f t="shared" si="48"/>
        <v>"https://www.zeldadungeon.net/maps/totk/tiles/sky/6/35_14.jpg",</v>
      </c>
      <c r="H1590" t="str">
        <f t="shared" si="49"/>
        <v>35_14</v>
      </c>
    </row>
    <row r="1591" spans="1:8" x14ac:dyDescent="0.2">
      <c r="A1591" s="9" t="s">
        <v>51</v>
      </c>
      <c r="C1591" t="str">
        <f t="shared" si="48"/>
        <v>"https://www.zeldadungeon.net/maps/totk/tiles/sky/6/35_15.jpg",</v>
      </c>
      <c r="H1591" t="str">
        <f t="shared" si="49"/>
        <v>35_15</v>
      </c>
    </row>
    <row r="1592" spans="1:8" x14ac:dyDescent="0.2">
      <c r="A1592" s="9" t="s">
        <v>51</v>
      </c>
      <c r="C1592" t="str">
        <f t="shared" si="48"/>
        <v>"https://www.zeldadungeon.net/maps/totk/tiles/sky/6/35_16.jpg",</v>
      </c>
      <c r="H1592" t="str">
        <f t="shared" si="49"/>
        <v>35_16</v>
      </c>
    </row>
    <row r="1593" spans="1:8" x14ac:dyDescent="0.2">
      <c r="A1593" s="9" t="s">
        <v>51</v>
      </c>
      <c r="C1593" t="str">
        <f t="shared" si="48"/>
        <v>"https://www.zeldadungeon.net/maps/totk/tiles/sky/6/35_17.jpg",</v>
      </c>
      <c r="H1593" t="str">
        <f t="shared" si="49"/>
        <v>35_17</v>
      </c>
    </row>
    <row r="1594" spans="1:8" x14ac:dyDescent="0.2">
      <c r="A1594" s="9" t="s">
        <v>51</v>
      </c>
      <c r="C1594" t="str">
        <f t="shared" si="48"/>
        <v>"https://www.zeldadungeon.net/maps/totk/tiles/sky/6/35_18.jpg",</v>
      </c>
      <c r="H1594" t="str">
        <f t="shared" si="49"/>
        <v>35_18</v>
      </c>
    </row>
    <row r="1595" spans="1:8" x14ac:dyDescent="0.2">
      <c r="A1595" s="9" t="s">
        <v>51</v>
      </c>
      <c r="C1595" t="str">
        <f t="shared" si="48"/>
        <v>"https://www.zeldadungeon.net/maps/totk/tiles/sky/6/35_19.jpg",</v>
      </c>
      <c r="H1595" t="str">
        <f t="shared" si="49"/>
        <v>35_19</v>
      </c>
    </row>
    <row r="1596" spans="1:8" x14ac:dyDescent="0.2">
      <c r="A1596" s="9" t="s">
        <v>51</v>
      </c>
      <c r="C1596" t="str">
        <f t="shared" si="48"/>
        <v>"https://www.zeldadungeon.net/maps/totk/tiles/sky/6/35_20.jpg",</v>
      </c>
      <c r="H1596" t="str">
        <f t="shared" si="49"/>
        <v>35_20</v>
      </c>
    </row>
    <row r="1597" spans="1:8" x14ac:dyDescent="0.2">
      <c r="A1597" s="9" t="s">
        <v>51</v>
      </c>
      <c r="C1597" t="str">
        <f t="shared" si="48"/>
        <v>"https://www.zeldadungeon.net/maps/totk/tiles/sky/6/35_21.jpg",</v>
      </c>
      <c r="H1597" t="str">
        <f t="shared" si="49"/>
        <v>35_21</v>
      </c>
    </row>
    <row r="1598" spans="1:8" x14ac:dyDescent="0.2">
      <c r="A1598" s="9" t="s">
        <v>51</v>
      </c>
      <c r="C1598" t="str">
        <f t="shared" si="48"/>
        <v>"https://www.zeldadungeon.net/maps/totk/tiles/sky/6/35_22.jpg",</v>
      </c>
      <c r="H1598" t="str">
        <f t="shared" si="49"/>
        <v>35_22</v>
      </c>
    </row>
    <row r="1599" spans="1:8" x14ac:dyDescent="0.2">
      <c r="A1599" s="9" t="s">
        <v>51</v>
      </c>
      <c r="C1599" t="str">
        <f t="shared" si="48"/>
        <v>"https://www.zeldadungeon.net/maps/totk/tiles/sky/6/35_23.jpg",</v>
      </c>
      <c r="H1599" t="str">
        <f t="shared" si="49"/>
        <v>35_23</v>
      </c>
    </row>
    <row r="1600" spans="1:8" x14ac:dyDescent="0.2">
      <c r="A1600" s="9" t="s">
        <v>51</v>
      </c>
      <c r="C1600" t="str">
        <f t="shared" si="48"/>
        <v>"https://www.zeldadungeon.net/maps/totk/tiles/sky/6/35_24.jpg",</v>
      </c>
      <c r="H1600" t="str">
        <f t="shared" si="49"/>
        <v>35_24</v>
      </c>
    </row>
    <row r="1601" spans="1:8" x14ac:dyDescent="0.2">
      <c r="A1601" s="9" t="s">
        <v>51</v>
      </c>
      <c r="C1601" t="str">
        <f t="shared" ref="C1601:C1664" si="50">""""&amp;SUBSTITUTE(A1601,"zzz",H1601)&amp;""""&amp;","</f>
        <v>"https://www.zeldadungeon.net/maps/totk/tiles/sky/6/35_25.jpg",</v>
      </c>
      <c r="H1601" t="str">
        <f t="shared" ref="H1601:H1664" si="51">QUOTIENT(ROW(A1601),48)+2&amp;"_"&amp;MOD(ROW(A1601),48)+8</f>
        <v>35_25</v>
      </c>
    </row>
    <row r="1602" spans="1:8" x14ac:dyDescent="0.2">
      <c r="A1602" s="9" t="s">
        <v>51</v>
      </c>
      <c r="C1602" t="str">
        <f t="shared" si="50"/>
        <v>"https://www.zeldadungeon.net/maps/totk/tiles/sky/6/35_26.jpg",</v>
      </c>
      <c r="H1602" t="str">
        <f t="shared" si="51"/>
        <v>35_26</v>
      </c>
    </row>
    <row r="1603" spans="1:8" x14ac:dyDescent="0.2">
      <c r="A1603" s="9" t="s">
        <v>51</v>
      </c>
      <c r="C1603" t="str">
        <f t="shared" si="50"/>
        <v>"https://www.zeldadungeon.net/maps/totk/tiles/sky/6/35_27.jpg",</v>
      </c>
      <c r="H1603" t="str">
        <f t="shared" si="51"/>
        <v>35_27</v>
      </c>
    </row>
    <row r="1604" spans="1:8" x14ac:dyDescent="0.2">
      <c r="A1604" s="9" t="s">
        <v>51</v>
      </c>
      <c r="C1604" t="str">
        <f t="shared" si="50"/>
        <v>"https://www.zeldadungeon.net/maps/totk/tiles/sky/6/35_28.jpg",</v>
      </c>
      <c r="H1604" t="str">
        <f t="shared" si="51"/>
        <v>35_28</v>
      </c>
    </row>
    <row r="1605" spans="1:8" x14ac:dyDescent="0.2">
      <c r="A1605" s="9" t="s">
        <v>51</v>
      </c>
      <c r="C1605" t="str">
        <f t="shared" si="50"/>
        <v>"https://www.zeldadungeon.net/maps/totk/tiles/sky/6/35_29.jpg",</v>
      </c>
      <c r="H1605" t="str">
        <f t="shared" si="51"/>
        <v>35_29</v>
      </c>
    </row>
    <row r="1606" spans="1:8" x14ac:dyDescent="0.2">
      <c r="A1606" s="9" t="s">
        <v>51</v>
      </c>
      <c r="C1606" t="str">
        <f t="shared" si="50"/>
        <v>"https://www.zeldadungeon.net/maps/totk/tiles/sky/6/35_30.jpg",</v>
      </c>
      <c r="H1606" t="str">
        <f t="shared" si="51"/>
        <v>35_30</v>
      </c>
    </row>
    <row r="1607" spans="1:8" x14ac:dyDescent="0.2">
      <c r="A1607" s="9" t="s">
        <v>51</v>
      </c>
      <c r="C1607" t="str">
        <f t="shared" si="50"/>
        <v>"https://www.zeldadungeon.net/maps/totk/tiles/sky/6/35_31.jpg",</v>
      </c>
      <c r="H1607" t="str">
        <f t="shared" si="51"/>
        <v>35_31</v>
      </c>
    </row>
    <row r="1608" spans="1:8" x14ac:dyDescent="0.2">
      <c r="A1608" s="9" t="s">
        <v>51</v>
      </c>
      <c r="C1608" t="str">
        <f t="shared" si="50"/>
        <v>"https://www.zeldadungeon.net/maps/totk/tiles/sky/6/35_32.jpg",</v>
      </c>
      <c r="H1608" t="str">
        <f t="shared" si="51"/>
        <v>35_32</v>
      </c>
    </row>
    <row r="1609" spans="1:8" x14ac:dyDescent="0.2">
      <c r="A1609" s="9" t="s">
        <v>51</v>
      </c>
      <c r="C1609" t="str">
        <f t="shared" si="50"/>
        <v>"https://www.zeldadungeon.net/maps/totk/tiles/sky/6/35_33.jpg",</v>
      </c>
      <c r="H1609" t="str">
        <f t="shared" si="51"/>
        <v>35_33</v>
      </c>
    </row>
    <row r="1610" spans="1:8" x14ac:dyDescent="0.2">
      <c r="A1610" s="9" t="s">
        <v>51</v>
      </c>
      <c r="C1610" t="str">
        <f t="shared" si="50"/>
        <v>"https://www.zeldadungeon.net/maps/totk/tiles/sky/6/35_34.jpg",</v>
      </c>
      <c r="H1610" t="str">
        <f t="shared" si="51"/>
        <v>35_34</v>
      </c>
    </row>
    <row r="1611" spans="1:8" x14ac:dyDescent="0.2">
      <c r="A1611" s="9" t="s">
        <v>51</v>
      </c>
      <c r="C1611" t="str">
        <f t="shared" si="50"/>
        <v>"https://www.zeldadungeon.net/maps/totk/tiles/sky/6/35_35.jpg",</v>
      </c>
      <c r="H1611" t="str">
        <f t="shared" si="51"/>
        <v>35_35</v>
      </c>
    </row>
    <row r="1612" spans="1:8" x14ac:dyDescent="0.2">
      <c r="A1612" s="9" t="s">
        <v>51</v>
      </c>
      <c r="C1612" t="str">
        <f t="shared" si="50"/>
        <v>"https://www.zeldadungeon.net/maps/totk/tiles/sky/6/35_36.jpg",</v>
      </c>
      <c r="H1612" t="str">
        <f t="shared" si="51"/>
        <v>35_36</v>
      </c>
    </row>
    <row r="1613" spans="1:8" x14ac:dyDescent="0.2">
      <c r="A1613" s="9" t="s">
        <v>51</v>
      </c>
      <c r="C1613" t="str">
        <f t="shared" si="50"/>
        <v>"https://www.zeldadungeon.net/maps/totk/tiles/sky/6/35_37.jpg",</v>
      </c>
      <c r="H1613" t="str">
        <f t="shared" si="51"/>
        <v>35_37</v>
      </c>
    </row>
    <row r="1614" spans="1:8" x14ac:dyDescent="0.2">
      <c r="A1614" s="9" t="s">
        <v>51</v>
      </c>
      <c r="C1614" t="str">
        <f t="shared" si="50"/>
        <v>"https://www.zeldadungeon.net/maps/totk/tiles/sky/6/35_38.jpg",</v>
      </c>
      <c r="H1614" t="str">
        <f t="shared" si="51"/>
        <v>35_38</v>
      </c>
    </row>
    <row r="1615" spans="1:8" x14ac:dyDescent="0.2">
      <c r="A1615" s="9" t="s">
        <v>51</v>
      </c>
      <c r="C1615" t="str">
        <f t="shared" si="50"/>
        <v>"https://www.zeldadungeon.net/maps/totk/tiles/sky/6/35_39.jpg",</v>
      </c>
      <c r="H1615" t="str">
        <f t="shared" si="51"/>
        <v>35_39</v>
      </c>
    </row>
    <row r="1616" spans="1:8" x14ac:dyDescent="0.2">
      <c r="A1616" s="9" t="s">
        <v>51</v>
      </c>
      <c r="C1616" t="str">
        <f t="shared" si="50"/>
        <v>"https://www.zeldadungeon.net/maps/totk/tiles/sky/6/35_40.jpg",</v>
      </c>
      <c r="H1616" t="str">
        <f t="shared" si="51"/>
        <v>35_40</v>
      </c>
    </row>
    <row r="1617" spans="1:8" x14ac:dyDescent="0.2">
      <c r="A1617" s="9" t="s">
        <v>51</v>
      </c>
      <c r="C1617" t="str">
        <f t="shared" si="50"/>
        <v>"https://www.zeldadungeon.net/maps/totk/tiles/sky/6/35_41.jpg",</v>
      </c>
      <c r="H1617" t="str">
        <f t="shared" si="51"/>
        <v>35_41</v>
      </c>
    </row>
    <row r="1618" spans="1:8" x14ac:dyDescent="0.2">
      <c r="A1618" s="9" t="s">
        <v>51</v>
      </c>
      <c r="C1618" t="str">
        <f t="shared" si="50"/>
        <v>"https://www.zeldadungeon.net/maps/totk/tiles/sky/6/35_42.jpg",</v>
      </c>
      <c r="H1618" t="str">
        <f t="shared" si="51"/>
        <v>35_42</v>
      </c>
    </row>
    <row r="1619" spans="1:8" x14ac:dyDescent="0.2">
      <c r="A1619" s="9" t="s">
        <v>51</v>
      </c>
      <c r="C1619" t="str">
        <f t="shared" si="50"/>
        <v>"https://www.zeldadungeon.net/maps/totk/tiles/sky/6/35_43.jpg",</v>
      </c>
      <c r="H1619" t="str">
        <f t="shared" si="51"/>
        <v>35_43</v>
      </c>
    </row>
    <row r="1620" spans="1:8" x14ac:dyDescent="0.2">
      <c r="A1620" s="9" t="s">
        <v>51</v>
      </c>
      <c r="C1620" t="str">
        <f t="shared" si="50"/>
        <v>"https://www.zeldadungeon.net/maps/totk/tiles/sky/6/35_44.jpg",</v>
      </c>
      <c r="H1620" t="str">
        <f t="shared" si="51"/>
        <v>35_44</v>
      </c>
    </row>
    <row r="1621" spans="1:8" x14ac:dyDescent="0.2">
      <c r="A1621" s="9" t="s">
        <v>51</v>
      </c>
      <c r="C1621" t="str">
        <f t="shared" si="50"/>
        <v>"https://www.zeldadungeon.net/maps/totk/tiles/sky/6/35_45.jpg",</v>
      </c>
      <c r="H1621" t="str">
        <f t="shared" si="51"/>
        <v>35_45</v>
      </c>
    </row>
    <row r="1622" spans="1:8" x14ac:dyDescent="0.2">
      <c r="A1622" s="9" t="s">
        <v>51</v>
      </c>
      <c r="C1622" t="str">
        <f t="shared" si="50"/>
        <v>"https://www.zeldadungeon.net/maps/totk/tiles/sky/6/35_46.jpg",</v>
      </c>
      <c r="H1622" t="str">
        <f t="shared" si="51"/>
        <v>35_46</v>
      </c>
    </row>
    <row r="1623" spans="1:8" x14ac:dyDescent="0.2">
      <c r="A1623" s="9" t="s">
        <v>51</v>
      </c>
      <c r="C1623" t="str">
        <f t="shared" si="50"/>
        <v>"https://www.zeldadungeon.net/maps/totk/tiles/sky/6/35_47.jpg",</v>
      </c>
      <c r="H1623" t="str">
        <f t="shared" si="51"/>
        <v>35_47</v>
      </c>
    </row>
    <row r="1624" spans="1:8" x14ac:dyDescent="0.2">
      <c r="A1624" s="9" t="s">
        <v>51</v>
      </c>
      <c r="C1624" t="str">
        <f t="shared" si="50"/>
        <v>"https://www.zeldadungeon.net/maps/totk/tiles/sky/6/35_48.jpg",</v>
      </c>
      <c r="H1624" t="str">
        <f t="shared" si="51"/>
        <v>35_48</v>
      </c>
    </row>
    <row r="1625" spans="1:8" x14ac:dyDescent="0.2">
      <c r="A1625" s="9" t="s">
        <v>51</v>
      </c>
      <c r="C1625" t="str">
        <f t="shared" si="50"/>
        <v>"https://www.zeldadungeon.net/maps/totk/tiles/sky/6/35_49.jpg",</v>
      </c>
      <c r="H1625" t="str">
        <f t="shared" si="51"/>
        <v>35_49</v>
      </c>
    </row>
    <row r="1626" spans="1:8" x14ac:dyDescent="0.2">
      <c r="A1626" s="9" t="s">
        <v>51</v>
      </c>
      <c r="C1626" t="str">
        <f t="shared" si="50"/>
        <v>"https://www.zeldadungeon.net/maps/totk/tiles/sky/6/35_50.jpg",</v>
      </c>
      <c r="H1626" t="str">
        <f t="shared" si="51"/>
        <v>35_50</v>
      </c>
    </row>
    <row r="1627" spans="1:8" x14ac:dyDescent="0.2">
      <c r="A1627" s="9" t="s">
        <v>51</v>
      </c>
      <c r="C1627" t="str">
        <f t="shared" si="50"/>
        <v>"https://www.zeldadungeon.net/maps/totk/tiles/sky/6/35_51.jpg",</v>
      </c>
      <c r="H1627" t="str">
        <f t="shared" si="51"/>
        <v>35_51</v>
      </c>
    </row>
    <row r="1628" spans="1:8" x14ac:dyDescent="0.2">
      <c r="A1628" s="9" t="s">
        <v>51</v>
      </c>
      <c r="C1628" t="str">
        <f t="shared" si="50"/>
        <v>"https://www.zeldadungeon.net/maps/totk/tiles/sky/6/35_52.jpg",</v>
      </c>
      <c r="H1628" t="str">
        <f t="shared" si="51"/>
        <v>35_52</v>
      </c>
    </row>
    <row r="1629" spans="1:8" x14ac:dyDescent="0.2">
      <c r="A1629" s="9" t="s">
        <v>51</v>
      </c>
      <c r="C1629" t="str">
        <f t="shared" si="50"/>
        <v>"https://www.zeldadungeon.net/maps/totk/tiles/sky/6/35_53.jpg",</v>
      </c>
      <c r="H1629" t="str">
        <f t="shared" si="51"/>
        <v>35_53</v>
      </c>
    </row>
    <row r="1630" spans="1:8" x14ac:dyDescent="0.2">
      <c r="A1630" s="9" t="s">
        <v>51</v>
      </c>
      <c r="C1630" t="str">
        <f t="shared" si="50"/>
        <v>"https://www.zeldadungeon.net/maps/totk/tiles/sky/6/35_54.jpg",</v>
      </c>
      <c r="H1630" t="str">
        <f t="shared" si="51"/>
        <v>35_54</v>
      </c>
    </row>
    <row r="1631" spans="1:8" x14ac:dyDescent="0.2">
      <c r="A1631" s="9" t="s">
        <v>51</v>
      </c>
      <c r="C1631" t="str">
        <f t="shared" si="50"/>
        <v>"https://www.zeldadungeon.net/maps/totk/tiles/sky/6/35_55.jpg",</v>
      </c>
      <c r="H1631" t="str">
        <f t="shared" si="51"/>
        <v>35_55</v>
      </c>
    </row>
    <row r="1632" spans="1:8" x14ac:dyDescent="0.2">
      <c r="A1632" s="9" t="s">
        <v>51</v>
      </c>
      <c r="C1632" t="str">
        <f t="shared" si="50"/>
        <v>"https://www.zeldadungeon.net/maps/totk/tiles/sky/6/36_8.jpg",</v>
      </c>
      <c r="H1632" t="str">
        <f t="shared" si="51"/>
        <v>36_8</v>
      </c>
    </row>
    <row r="1633" spans="1:8" x14ac:dyDescent="0.2">
      <c r="A1633" s="9" t="s">
        <v>51</v>
      </c>
      <c r="C1633" t="str">
        <f t="shared" si="50"/>
        <v>"https://www.zeldadungeon.net/maps/totk/tiles/sky/6/36_9.jpg",</v>
      </c>
      <c r="H1633" t="str">
        <f t="shared" si="51"/>
        <v>36_9</v>
      </c>
    </row>
    <row r="1634" spans="1:8" x14ac:dyDescent="0.2">
      <c r="A1634" s="9" t="s">
        <v>51</v>
      </c>
      <c r="C1634" t="str">
        <f t="shared" si="50"/>
        <v>"https://www.zeldadungeon.net/maps/totk/tiles/sky/6/36_10.jpg",</v>
      </c>
      <c r="H1634" t="str">
        <f t="shared" si="51"/>
        <v>36_10</v>
      </c>
    </row>
    <row r="1635" spans="1:8" x14ac:dyDescent="0.2">
      <c r="A1635" s="9" t="s">
        <v>51</v>
      </c>
      <c r="C1635" t="str">
        <f t="shared" si="50"/>
        <v>"https://www.zeldadungeon.net/maps/totk/tiles/sky/6/36_11.jpg",</v>
      </c>
      <c r="H1635" t="str">
        <f t="shared" si="51"/>
        <v>36_11</v>
      </c>
    </row>
    <row r="1636" spans="1:8" x14ac:dyDescent="0.2">
      <c r="A1636" s="9" t="s">
        <v>51</v>
      </c>
      <c r="C1636" t="str">
        <f t="shared" si="50"/>
        <v>"https://www.zeldadungeon.net/maps/totk/tiles/sky/6/36_12.jpg",</v>
      </c>
      <c r="H1636" t="str">
        <f t="shared" si="51"/>
        <v>36_12</v>
      </c>
    </row>
    <row r="1637" spans="1:8" x14ac:dyDescent="0.2">
      <c r="A1637" s="9" t="s">
        <v>51</v>
      </c>
      <c r="C1637" t="str">
        <f t="shared" si="50"/>
        <v>"https://www.zeldadungeon.net/maps/totk/tiles/sky/6/36_13.jpg",</v>
      </c>
      <c r="H1637" t="str">
        <f t="shared" si="51"/>
        <v>36_13</v>
      </c>
    </row>
    <row r="1638" spans="1:8" x14ac:dyDescent="0.2">
      <c r="A1638" s="9" t="s">
        <v>51</v>
      </c>
      <c r="C1638" t="str">
        <f t="shared" si="50"/>
        <v>"https://www.zeldadungeon.net/maps/totk/tiles/sky/6/36_14.jpg",</v>
      </c>
      <c r="H1638" t="str">
        <f t="shared" si="51"/>
        <v>36_14</v>
      </c>
    </row>
    <row r="1639" spans="1:8" x14ac:dyDescent="0.2">
      <c r="A1639" s="9" t="s">
        <v>51</v>
      </c>
      <c r="C1639" t="str">
        <f t="shared" si="50"/>
        <v>"https://www.zeldadungeon.net/maps/totk/tiles/sky/6/36_15.jpg",</v>
      </c>
      <c r="H1639" t="str">
        <f t="shared" si="51"/>
        <v>36_15</v>
      </c>
    </row>
    <row r="1640" spans="1:8" x14ac:dyDescent="0.2">
      <c r="A1640" s="9" t="s">
        <v>51</v>
      </c>
      <c r="C1640" t="str">
        <f t="shared" si="50"/>
        <v>"https://www.zeldadungeon.net/maps/totk/tiles/sky/6/36_16.jpg",</v>
      </c>
      <c r="H1640" t="str">
        <f t="shared" si="51"/>
        <v>36_16</v>
      </c>
    </row>
    <row r="1641" spans="1:8" x14ac:dyDescent="0.2">
      <c r="A1641" s="9" t="s">
        <v>51</v>
      </c>
      <c r="C1641" t="str">
        <f t="shared" si="50"/>
        <v>"https://www.zeldadungeon.net/maps/totk/tiles/sky/6/36_17.jpg",</v>
      </c>
      <c r="H1641" t="str">
        <f t="shared" si="51"/>
        <v>36_17</v>
      </c>
    </row>
    <row r="1642" spans="1:8" x14ac:dyDescent="0.2">
      <c r="A1642" s="9" t="s">
        <v>51</v>
      </c>
      <c r="C1642" t="str">
        <f t="shared" si="50"/>
        <v>"https://www.zeldadungeon.net/maps/totk/tiles/sky/6/36_18.jpg",</v>
      </c>
      <c r="H1642" t="str">
        <f t="shared" si="51"/>
        <v>36_18</v>
      </c>
    </row>
    <row r="1643" spans="1:8" x14ac:dyDescent="0.2">
      <c r="A1643" s="9" t="s">
        <v>51</v>
      </c>
      <c r="C1643" t="str">
        <f t="shared" si="50"/>
        <v>"https://www.zeldadungeon.net/maps/totk/tiles/sky/6/36_19.jpg",</v>
      </c>
      <c r="H1643" t="str">
        <f t="shared" si="51"/>
        <v>36_19</v>
      </c>
    </row>
    <row r="1644" spans="1:8" x14ac:dyDescent="0.2">
      <c r="A1644" s="9" t="s">
        <v>51</v>
      </c>
      <c r="C1644" t="str">
        <f t="shared" si="50"/>
        <v>"https://www.zeldadungeon.net/maps/totk/tiles/sky/6/36_20.jpg",</v>
      </c>
      <c r="H1644" t="str">
        <f t="shared" si="51"/>
        <v>36_20</v>
      </c>
    </row>
    <row r="1645" spans="1:8" x14ac:dyDescent="0.2">
      <c r="A1645" s="9" t="s">
        <v>51</v>
      </c>
      <c r="C1645" t="str">
        <f t="shared" si="50"/>
        <v>"https://www.zeldadungeon.net/maps/totk/tiles/sky/6/36_21.jpg",</v>
      </c>
      <c r="H1645" t="str">
        <f t="shared" si="51"/>
        <v>36_21</v>
      </c>
    </row>
    <row r="1646" spans="1:8" x14ac:dyDescent="0.2">
      <c r="A1646" s="9" t="s">
        <v>51</v>
      </c>
      <c r="C1646" t="str">
        <f t="shared" si="50"/>
        <v>"https://www.zeldadungeon.net/maps/totk/tiles/sky/6/36_22.jpg",</v>
      </c>
      <c r="H1646" t="str">
        <f t="shared" si="51"/>
        <v>36_22</v>
      </c>
    </row>
    <row r="1647" spans="1:8" x14ac:dyDescent="0.2">
      <c r="A1647" s="9" t="s">
        <v>51</v>
      </c>
      <c r="C1647" t="str">
        <f t="shared" si="50"/>
        <v>"https://www.zeldadungeon.net/maps/totk/tiles/sky/6/36_23.jpg",</v>
      </c>
      <c r="H1647" t="str">
        <f t="shared" si="51"/>
        <v>36_23</v>
      </c>
    </row>
    <row r="1648" spans="1:8" x14ac:dyDescent="0.2">
      <c r="A1648" s="9" t="s">
        <v>51</v>
      </c>
      <c r="C1648" t="str">
        <f t="shared" si="50"/>
        <v>"https://www.zeldadungeon.net/maps/totk/tiles/sky/6/36_24.jpg",</v>
      </c>
      <c r="H1648" t="str">
        <f t="shared" si="51"/>
        <v>36_24</v>
      </c>
    </row>
    <row r="1649" spans="1:8" x14ac:dyDescent="0.2">
      <c r="A1649" s="9" t="s">
        <v>51</v>
      </c>
      <c r="C1649" t="str">
        <f t="shared" si="50"/>
        <v>"https://www.zeldadungeon.net/maps/totk/tiles/sky/6/36_25.jpg",</v>
      </c>
      <c r="H1649" t="str">
        <f t="shared" si="51"/>
        <v>36_25</v>
      </c>
    </row>
    <row r="1650" spans="1:8" x14ac:dyDescent="0.2">
      <c r="A1650" s="9" t="s">
        <v>51</v>
      </c>
      <c r="C1650" t="str">
        <f t="shared" si="50"/>
        <v>"https://www.zeldadungeon.net/maps/totk/tiles/sky/6/36_26.jpg",</v>
      </c>
      <c r="H1650" t="str">
        <f t="shared" si="51"/>
        <v>36_26</v>
      </c>
    </row>
    <row r="1651" spans="1:8" x14ac:dyDescent="0.2">
      <c r="A1651" s="9" t="s">
        <v>51</v>
      </c>
      <c r="C1651" t="str">
        <f t="shared" si="50"/>
        <v>"https://www.zeldadungeon.net/maps/totk/tiles/sky/6/36_27.jpg",</v>
      </c>
      <c r="H1651" t="str">
        <f t="shared" si="51"/>
        <v>36_27</v>
      </c>
    </row>
    <row r="1652" spans="1:8" x14ac:dyDescent="0.2">
      <c r="A1652" s="9" t="s">
        <v>51</v>
      </c>
      <c r="C1652" t="str">
        <f t="shared" si="50"/>
        <v>"https://www.zeldadungeon.net/maps/totk/tiles/sky/6/36_28.jpg",</v>
      </c>
      <c r="H1652" t="str">
        <f t="shared" si="51"/>
        <v>36_28</v>
      </c>
    </row>
    <row r="1653" spans="1:8" x14ac:dyDescent="0.2">
      <c r="A1653" s="9" t="s">
        <v>51</v>
      </c>
      <c r="C1653" t="str">
        <f t="shared" si="50"/>
        <v>"https://www.zeldadungeon.net/maps/totk/tiles/sky/6/36_29.jpg",</v>
      </c>
      <c r="H1653" t="str">
        <f t="shared" si="51"/>
        <v>36_29</v>
      </c>
    </row>
    <row r="1654" spans="1:8" x14ac:dyDescent="0.2">
      <c r="A1654" s="9" t="s">
        <v>51</v>
      </c>
      <c r="C1654" t="str">
        <f t="shared" si="50"/>
        <v>"https://www.zeldadungeon.net/maps/totk/tiles/sky/6/36_30.jpg",</v>
      </c>
      <c r="H1654" t="str">
        <f t="shared" si="51"/>
        <v>36_30</v>
      </c>
    </row>
    <row r="1655" spans="1:8" x14ac:dyDescent="0.2">
      <c r="A1655" s="9" t="s">
        <v>51</v>
      </c>
      <c r="C1655" t="str">
        <f t="shared" si="50"/>
        <v>"https://www.zeldadungeon.net/maps/totk/tiles/sky/6/36_31.jpg",</v>
      </c>
      <c r="H1655" t="str">
        <f t="shared" si="51"/>
        <v>36_31</v>
      </c>
    </row>
    <row r="1656" spans="1:8" x14ac:dyDescent="0.2">
      <c r="A1656" s="9" t="s">
        <v>51</v>
      </c>
      <c r="C1656" t="str">
        <f t="shared" si="50"/>
        <v>"https://www.zeldadungeon.net/maps/totk/tiles/sky/6/36_32.jpg",</v>
      </c>
      <c r="H1656" t="str">
        <f t="shared" si="51"/>
        <v>36_32</v>
      </c>
    </row>
    <row r="1657" spans="1:8" x14ac:dyDescent="0.2">
      <c r="A1657" s="9" t="s">
        <v>51</v>
      </c>
      <c r="C1657" t="str">
        <f t="shared" si="50"/>
        <v>"https://www.zeldadungeon.net/maps/totk/tiles/sky/6/36_33.jpg",</v>
      </c>
      <c r="H1657" t="str">
        <f t="shared" si="51"/>
        <v>36_33</v>
      </c>
    </row>
    <row r="1658" spans="1:8" x14ac:dyDescent="0.2">
      <c r="A1658" s="9" t="s">
        <v>51</v>
      </c>
      <c r="C1658" t="str">
        <f t="shared" si="50"/>
        <v>"https://www.zeldadungeon.net/maps/totk/tiles/sky/6/36_34.jpg",</v>
      </c>
      <c r="H1658" t="str">
        <f t="shared" si="51"/>
        <v>36_34</v>
      </c>
    </row>
    <row r="1659" spans="1:8" x14ac:dyDescent="0.2">
      <c r="A1659" s="9" t="s">
        <v>51</v>
      </c>
      <c r="C1659" t="str">
        <f t="shared" si="50"/>
        <v>"https://www.zeldadungeon.net/maps/totk/tiles/sky/6/36_35.jpg",</v>
      </c>
      <c r="H1659" t="str">
        <f t="shared" si="51"/>
        <v>36_35</v>
      </c>
    </row>
    <row r="1660" spans="1:8" x14ac:dyDescent="0.2">
      <c r="A1660" s="9" t="s">
        <v>51</v>
      </c>
      <c r="C1660" t="str">
        <f t="shared" si="50"/>
        <v>"https://www.zeldadungeon.net/maps/totk/tiles/sky/6/36_36.jpg",</v>
      </c>
      <c r="H1660" t="str">
        <f t="shared" si="51"/>
        <v>36_36</v>
      </c>
    </row>
    <row r="1661" spans="1:8" x14ac:dyDescent="0.2">
      <c r="A1661" s="9" t="s">
        <v>51</v>
      </c>
      <c r="C1661" t="str">
        <f t="shared" si="50"/>
        <v>"https://www.zeldadungeon.net/maps/totk/tiles/sky/6/36_37.jpg",</v>
      </c>
      <c r="H1661" t="str">
        <f t="shared" si="51"/>
        <v>36_37</v>
      </c>
    </row>
    <row r="1662" spans="1:8" x14ac:dyDescent="0.2">
      <c r="A1662" s="9" t="s">
        <v>51</v>
      </c>
      <c r="C1662" t="str">
        <f t="shared" si="50"/>
        <v>"https://www.zeldadungeon.net/maps/totk/tiles/sky/6/36_38.jpg",</v>
      </c>
      <c r="H1662" t="str">
        <f t="shared" si="51"/>
        <v>36_38</v>
      </c>
    </row>
    <row r="1663" spans="1:8" x14ac:dyDescent="0.2">
      <c r="A1663" s="9" t="s">
        <v>51</v>
      </c>
      <c r="C1663" t="str">
        <f t="shared" si="50"/>
        <v>"https://www.zeldadungeon.net/maps/totk/tiles/sky/6/36_39.jpg",</v>
      </c>
      <c r="H1663" t="str">
        <f t="shared" si="51"/>
        <v>36_39</v>
      </c>
    </row>
    <row r="1664" spans="1:8" x14ac:dyDescent="0.2">
      <c r="A1664" s="9" t="s">
        <v>51</v>
      </c>
      <c r="C1664" t="str">
        <f t="shared" si="50"/>
        <v>"https://www.zeldadungeon.net/maps/totk/tiles/sky/6/36_40.jpg",</v>
      </c>
      <c r="H1664" t="str">
        <f t="shared" si="51"/>
        <v>36_40</v>
      </c>
    </row>
    <row r="1665" spans="1:8" x14ac:dyDescent="0.2">
      <c r="A1665" s="9" t="s">
        <v>51</v>
      </c>
      <c r="C1665" t="str">
        <f t="shared" ref="C1665:C1728" si="52">""""&amp;SUBSTITUTE(A1665,"zzz",H1665)&amp;""""&amp;","</f>
        <v>"https://www.zeldadungeon.net/maps/totk/tiles/sky/6/36_41.jpg",</v>
      </c>
      <c r="H1665" t="str">
        <f t="shared" ref="H1665:H1728" si="53">QUOTIENT(ROW(A1665),48)+2&amp;"_"&amp;MOD(ROW(A1665),48)+8</f>
        <v>36_41</v>
      </c>
    </row>
    <row r="1666" spans="1:8" x14ac:dyDescent="0.2">
      <c r="A1666" s="9" t="s">
        <v>51</v>
      </c>
      <c r="C1666" t="str">
        <f t="shared" si="52"/>
        <v>"https://www.zeldadungeon.net/maps/totk/tiles/sky/6/36_42.jpg",</v>
      </c>
      <c r="H1666" t="str">
        <f t="shared" si="53"/>
        <v>36_42</v>
      </c>
    </row>
    <row r="1667" spans="1:8" x14ac:dyDescent="0.2">
      <c r="A1667" s="9" t="s">
        <v>51</v>
      </c>
      <c r="C1667" t="str">
        <f t="shared" si="52"/>
        <v>"https://www.zeldadungeon.net/maps/totk/tiles/sky/6/36_43.jpg",</v>
      </c>
      <c r="H1667" t="str">
        <f t="shared" si="53"/>
        <v>36_43</v>
      </c>
    </row>
    <row r="1668" spans="1:8" x14ac:dyDescent="0.2">
      <c r="A1668" s="9" t="s">
        <v>51</v>
      </c>
      <c r="C1668" t="str">
        <f t="shared" si="52"/>
        <v>"https://www.zeldadungeon.net/maps/totk/tiles/sky/6/36_44.jpg",</v>
      </c>
      <c r="H1668" t="str">
        <f t="shared" si="53"/>
        <v>36_44</v>
      </c>
    </row>
    <row r="1669" spans="1:8" x14ac:dyDescent="0.2">
      <c r="A1669" s="9" t="s">
        <v>51</v>
      </c>
      <c r="C1669" t="str">
        <f t="shared" si="52"/>
        <v>"https://www.zeldadungeon.net/maps/totk/tiles/sky/6/36_45.jpg",</v>
      </c>
      <c r="H1669" t="str">
        <f t="shared" si="53"/>
        <v>36_45</v>
      </c>
    </row>
    <row r="1670" spans="1:8" x14ac:dyDescent="0.2">
      <c r="A1670" s="9" t="s">
        <v>51</v>
      </c>
      <c r="C1670" t="str">
        <f t="shared" si="52"/>
        <v>"https://www.zeldadungeon.net/maps/totk/tiles/sky/6/36_46.jpg",</v>
      </c>
      <c r="H1670" t="str">
        <f t="shared" si="53"/>
        <v>36_46</v>
      </c>
    </row>
    <row r="1671" spans="1:8" x14ac:dyDescent="0.2">
      <c r="A1671" s="9" t="s">
        <v>51</v>
      </c>
      <c r="C1671" t="str">
        <f t="shared" si="52"/>
        <v>"https://www.zeldadungeon.net/maps/totk/tiles/sky/6/36_47.jpg",</v>
      </c>
      <c r="H1671" t="str">
        <f t="shared" si="53"/>
        <v>36_47</v>
      </c>
    </row>
    <row r="1672" spans="1:8" x14ac:dyDescent="0.2">
      <c r="A1672" s="9" t="s">
        <v>51</v>
      </c>
      <c r="C1672" t="str">
        <f t="shared" si="52"/>
        <v>"https://www.zeldadungeon.net/maps/totk/tiles/sky/6/36_48.jpg",</v>
      </c>
      <c r="H1672" t="str">
        <f t="shared" si="53"/>
        <v>36_48</v>
      </c>
    </row>
    <row r="1673" spans="1:8" x14ac:dyDescent="0.2">
      <c r="A1673" s="9" t="s">
        <v>51</v>
      </c>
      <c r="C1673" t="str">
        <f t="shared" si="52"/>
        <v>"https://www.zeldadungeon.net/maps/totk/tiles/sky/6/36_49.jpg",</v>
      </c>
      <c r="H1673" t="str">
        <f t="shared" si="53"/>
        <v>36_49</v>
      </c>
    </row>
    <row r="1674" spans="1:8" x14ac:dyDescent="0.2">
      <c r="A1674" s="9" t="s">
        <v>51</v>
      </c>
      <c r="C1674" t="str">
        <f t="shared" si="52"/>
        <v>"https://www.zeldadungeon.net/maps/totk/tiles/sky/6/36_50.jpg",</v>
      </c>
      <c r="H1674" t="str">
        <f t="shared" si="53"/>
        <v>36_50</v>
      </c>
    </row>
    <row r="1675" spans="1:8" x14ac:dyDescent="0.2">
      <c r="A1675" s="9" t="s">
        <v>51</v>
      </c>
      <c r="C1675" t="str">
        <f t="shared" si="52"/>
        <v>"https://www.zeldadungeon.net/maps/totk/tiles/sky/6/36_51.jpg",</v>
      </c>
      <c r="H1675" t="str">
        <f t="shared" si="53"/>
        <v>36_51</v>
      </c>
    </row>
    <row r="1676" spans="1:8" x14ac:dyDescent="0.2">
      <c r="A1676" s="9" t="s">
        <v>51</v>
      </c>
      <c r="C1676" t="str">
        <f t="shared" si="52"/>
        <v>"https://www.zeldadungeon.net/maps/totk/tiles/sky/6/36_52.jpg",</v>
      </c>
      <c r="H1676" t="str">
        <f t="shared" si="53"/>
        <v>36_52</v>
      </c>
    </row>
    <row r="1677" spans="1:8" x14ac:dyDescent="0.2">
      <c r="A1677" s="9" t="s">
        <v>51</v>
      </c>
      <c r="C1677" t="str">
        <f t="shared" si="52"/>
        <v>"https://www.zeldadungeon.net/maps/totk/tiles/sky/6/36_53.jpg",</v>
      </c>
      <c r="H1677" t="str">
        <f t="shared" si="53"/>
        <v>36_53</v>
      </c>
    </row>
    <row r="1678" spans="1:8" x14ac:dyDescent="0.2">
      <c r="A1678" s="9" t="s">
        <v>51</v>
      </c>
      <c r="C1678" t="str">
        <f t="shared" si="52"/>
        <v>"https://www.zeldadungeon.net/maps/totk/tiles/sky/6/36_54.jpg",</v>
      </c>
      <c r="H1678" t="str">
        <f t="shared" si="53"/>
        <v>36_54</v>
      </c>
    </row>
    <row r="1679" spans="1:8" x14ac:dyDescent="0.2">
      <c r="A1679" s="9" t="s">
        <v>51</v>
      </c>
      <c r="C1679" t="str">
        <f t="shared" si="52"/>
        <v>"https://www.zeldadungeon.net/maps/totk/tiles/sky/6/36_55.jpg",</v>
      </c>
      <c r="H1679" t="str">
        <f t="shared" si="53"/>
        <v>36_55</v>
      </c>
    </row>
    <row r="1680" spans="1:8" x14ac:dyDescent="0.2">
      <c r="A1680" s="9" t="s">
        <v>51</v>
      </c>
      <c r="C1680" t="str">
        <f t="shared" si="52"/>
        <v>"https://www.zeldadungeon.net/maps/totk/tiles/sky/6/37_8.jpg",</v>
      </c>
      <c r="H1680" t="str">
        <f t="shared" si="53"/>
        <v>37_8</v>
      </c>
    </row>
    <row r="1681" spans="1:8" x14ac:dyDescent="0.2">
      <c r="A1681" s="9" t="s">
        <v>51</v>
      </c>
      <c r="C1681" t="str">
        <f t="shared" si="52"/>
        <v>"https://www.zeldadungeon.net/maps/totk/tiles/sky/6/37_9.jpg",</v>
      </c>
      <c r="H1681" t="str">
        <f t="shared" si="53"/>
        <v>37_9</v>
      </c>
    </row>
    <row r="1682" spans="1:8" x14ac:dyDescent="0.2">
      <c r="A1682" s="9" t="s">
        <v>51</v>
      </c>
      <c r="C1682" t="str">
        <f t="shared" si="52"/>
        <v>"https://www.zeldadungeon.net/maps/totk/tiles/sky/6/37_10.jpg",</v>
      </c>
      <c r="H1682" t="str">
        <f t="shared" si="53"/>
        <v>37_10</v>
      </c>
    </row>
    <row r="1683" spans="1:8" x14ac:dyDescent="0.2">
      <c r="A1683" s="9" t="s">
        <v>51</v>
      </c>
      <c r="C1683" t="str">
        <f t="shared" si="52"/>
        <v>"https://www.zeldadungeon.net/maps/totk/tiles/sky/6/37_11.jpg",</v>
      </c>
      <c r="H1683" t="str">
        <f t="shared" si="53"/>
        <v>37_11</v>
      </c>
    </row>
    <row r="1684" spans="1:8" x14ac:dyDescent="0.2">
      <c r="A1684" s="9" t="s">
        <v>51</v>
      </c>
      <c r="C1684" t="str">
        <f t="shared" si="52"/>
        <v>"https://www.zeldadungeon.net/maps/totk/tiles/sky/6/37_12.jpg",</v>
      </c>
      <c r="H1684" t="str">
        <f t="shared" si="53"/>
        <v>37_12</v>
      </c>
    </row>
    <row r="1685" spans="1:8" x14ac:dyDescent="0.2">
      <c r="A1685" s="9" t="s">
        <v>51</v>
      </c>
      <c r="C1685" t="str">
        <f t="shared" si="52"/>
        <v>"https://www.zeldadungeon.net/maps/totk/tiles/sky/6/37_13.jpg",</v>
      </c>
      <c r="H1685" t="str">
        <f t="shared" si="53"/>
        <v>37_13</v>
      </c>
    </row>
    <row r="1686" spans="1:8" x14ac:dyDescent="0.2">
      <c r="A1686" s="9" t="s">
        <v>51</v>
      </c>
      <c r="C1686" t="str">
        <f t="shared" si="52"/>
        <v>"https://www.zeldadungeon.net/maps/totk/tiles/sky/6/37_14.jpg",</v>
      </c>
      <c r="H1686" t="str">
        <f t="shared" si="53"/>
        <v>37_14</v>
      </c>
    </row>
    <row r="1687" spans="1:8" x14ac:dyDescent="0.2">
      <c r="A1687" s="9" t="s">
        <v>51</v>
      </c>
      <c r="C1687" t="str">
        <f t="shared" si="52"/>
        <v>"https://www.zeldadungeon.net/maps/totk/tiles/sky/6/37_15.jpg",</v>
      </c>
      <c r="H1687" t="str">
        <f t="shared" si="53"/>
        <v>37_15</v>
      </c>
    </row>
    <row r="1688" spans="1:8" x14ac:dyDescent="0.2">
      <c r="A1688" s="9" t="s">
        <v>51</v>
      </c>
      <c r="C1688" t="str">
        <f t="shared" si="52"/>
        <v>"https://www.zeldadungeon.net/maps/totk/tiles/sky/6/37_16.jpg",</v>
      </c>
      <c r="H1688" t="str">
        <f t="shared" si="53"/>
        <v>37_16</v>
      </c>
    </row>
    <row r="1689" spans="1:8" x14ac:dyDescent="0.2">
      <c r="A1689" s="9" t="s">
        <v>51</v>
      </c>
      <c r="C1689" t="str">
        <f t="shared" si="52"/>
        <v>"https://www.zeldadungeon.net/maps/totk/tiles/sky/6/37_17.jpg",</v>
      </c>
      <c r="H1689" t="str">
        <f t="shared" si="53"/>
        <v>37_17</v>
      </c>
    </row>
    <row r="1690" spans="1:8" x14ac:dyDescent="0.2">
      <c r="A1690" s="9" t="s">
        <v>51</v>
      </c>
      <c r="C1690" t="str">
        <f t="shared" si="52"/>
        <v>"https://www.zeldadungeon.net/maps/totk/tiles/sky/6/37_18.jpg",</v>
      </c>
      <c r="H1690" t="str">
        <f t="shared" si="53"/>
        <v>37_18</v>
      </c>
    </row>
    <row r="1691" spans="1:8" x14ac:dyDescent="0.2">
      <c r="A1691" s="9" t="s">
        <v>51</v>
      </c>
      <c r="C1691" t="str">
        <f t="shared" si="52"/>
        <v>"https://www.zeldadungeon.net/maps/totk/tiles/sky/6/37_19.jpg",</v>
      </c>
      <c r="H1691" t="str">
        <f t="shared" si="53"/>
        <v>37_19</v>
      </c>
    </row>
    <row r="1692" spans="1:8" x14ac:dyDescent="0.2">
      <c r="A1692" s="9" t="s">
        <v>51</v>
      </c>
      <c r="C1692" t="str">
        <f t="shared" si="52"/>
        <v>"https://www.zeldadungeon.net/maps/totk/tiles/sky/6/37_20.jpg",</v>
      </c>
      <c r="H1692" t="str">
        <f t="shared" si="53"/>
        <v>37_20</v>
      </c>
    </row>
    <row r="1693" spans="1:8" x14ac:dyDescent="0.2">
      <c r="A1693" s="9" t="s">
        <v>51</v>
      </c>
      <c r="C1693" t="str">
        <f t="shared" si="52"/>
        <v>"https://www.zeldadungeon.net/maps/totk/tiles/sky/6/37_21.jpg",</v>
      </c>
      <c r="H1693" t="str">
        <f t="shared" si="53"/>
        <v>37_21</v>
      </c>
    </row>
    <row r="1694" spans="1:8" x14ac:dyDescent="0.2">
      <c r="A1694" s="9" t="s">
        <v>51</v>
      </c>
      <c r="C1694" t="str">
        <f t="shared" si="52"/>
        <v>"https://www.zeldadungeon.net/maps/totk/tiles/sky/6/37_22.jpg",</v>
      </c>
      <c r="H1694" t="str">
        <f t="shared" si="53"/>
        <v>37_22</v>
      </c>
    </row>
    <row r="1695" spans="1:8" x14ac:dyDescent="0.2">
      <c r="A1695" s="9" t="s">
        <v>51</v>
      </c>
      <c r="C1695" t="str">
        <f t="shared" si="52"/>
        <v>"https://www.zeldadungeon.net/maps/totk/tiles/sky/6/37_23.jpg",</v>
      </c>
      <c r="H1695" t="str">
        <f t="shared" si="53"/>
        <v>37_23</v>
      </c>
    </row>
    <row r="1696" spans="1:8" x14ac:dyDescent="0.2">
      <c r="A1696" s="9" t="s">
        <v>51</v>
      </c>
      <c r="C1696" t="str">
        <f t="shared" si="52"/>
        <v>"https://www.zeldadungeon.net/maps/totk/tiles/sky/6/37_24.jpg",</v>
      </c>
      <c r="H1696" t="str">
        <f t="shared" si="53"/>
        <v>37_24</v>
      </c>
    </row>
    <row r="1697" spans="1:8" x14ac:dyDescent="0.2">
      <c r="A1697" s="9" t="s">
        <v>51</v>
      </c>
      <c r="C1697" t="str">
        <f t="shared" si="52"/>
        <v>"https://www.zeldadungeon.net/maps/totk/tiles/sky/6/37_25.jpg",</v>
      </c>
      <c r="H1697" t="str">
        <f t="shared" si="53"/>
        <v>37_25</v>
      </c>
    </row>
    <row r="1698" spans="1:8" x14ac:dyDescent="0.2">
      <c r="A1698" s="9" t="s">
        <v>51</v>
      </c>
      <c r="C1698" t="str">
        <f t="shared" si="52"/>
        <v>"https://www.zeldadungeon.net/maps/totk/tiles/sky/6/37_26.jpg",</v>
      </c>
      <c r="H1698" t="str">
        <f t="shared" si="53"/>
        <v>37_26</v>
      </c>
    </row>
    <row r="1699" spans="1:8" x14ac:dyDescent="0.2">
      <c r="A1699" s="9" t="s">
        <v>51</v>
      </c>
      <c r="C1699" t="str">
        <f t="shared" si="52"/>
        <v>"https://www.zeldadungeon.net/maps/totk/tiles/sky/6/37_27.jpg",</v>
      </c>
      <c r="H1699" t="str">
        <f t="shared" si="53"/>
        <v>37_27</v>
      </c>
    </row>
    <row r="1700" spans="1:8" x14ac:dyDescent="0.2">
      <c r="A1700" s="9" t="s">
        <v>51</v>
      </c>
      <c r="C1700" t="str">
        <f t="shared" si="52"/>
        <v>"https://www.zeldadungeon.net/maps/totk/tiles/sky/6/37_28.jpg",</v>
      </c>
      <c r="H1700" t="str">
        <f t="shared" si="53"/>
        <v>37_28</v>
      </c>
    </row>
    <row r="1701" spans="1:8" x14ac:dyDescent="0.2">
      <c r="A1701" s="9" t="s">
        <v>51</v>
      </c>
      <c r="C1701" t="str">
        <f t="shared" si="52"/>
        <v>"https://www.zeldadungeon.net/maps/totk/tiles/sky/6/37_29.jpg",</v>
      </c>
      <c r="H1701" t="str">
        <f t="shared" si="53"/>
        <v>37_29</v>
      </c>
    </row>
    <row r="1702" spans="1:8" x14ac:dyDescent="0.2">
      <c r="A1702" s="9" t="s">
        <v>51</v>
      </c>
      <c r="C1702" t="str">
        <f t="shared" si="52"/>
        <v>"https://www.zeldadungeon.net/maps/totk/tiles/sky/6/37_30.jpg",</v>
      </c>
      <c r="H1702" t="str">
        <f t="shared" si="53"/>
        <v>37_30</v>
      </c>
    </row>
    <row r="1703" spans="1:8" x14ac:dyDescent="0.2">
      <c r="A1703" s="9" t="s">
        <v>51</v>
      </c>
      <c r="C1703" t="str">
        <f t="shared" si="52"/>
        <v>"https://www.zeldadungeon.net/maps/totk/tiles/sky/6/37_31.jpg",</v>
      </c>
      <c r="H1703" t="str">
        <f t="shared" si="53"/>
        <v>37_31</v>
      </c>
    </row>
    <row r="1704" spans="1:8" x14ac:dyDescent="0.2">
      <c r="A1704" s="9" t="s">
        <v>51</v>
      </c>
      <c r="C1704" t="str">
        <f t="shared" si="52"/>
        <v>"https://www.zeldadungeon.net/maps/totk/tiles/sky/6/37_32.jpg",</v>
      </c>
      <c r="H1704" t="str">
        <f t="shared" si="53"/>
        <v>37_32</v>
      </c>
    </row>
    <row r="1705" spans="1:8" x14ac:dyDescent="0.2">
      <c r="A1705" s="9" t="s">
        <v>51</v>
      </c>
      <c r="C1705" t="str">
        <f t="shared" si="52"/>
        <v>"https://www.zeldadungeon.net/maps/totk/tiles/sky/6/37_33.jpg",</v>
      </c>
      <c r="H1705" t="str">
        <f t="shared" si="53"/>
        <v>37_33</v>
      </c>
    </row>
    <row r="1706" spans="1:8" x14ac:dyDescent="0.2">
      <c r="A1706" s="9" t="s">
        <v>51</v>
      </c>
      <c r="C1706" t="str">
        <f t="shared" si="52"/>
        <v>"https://www.zeldadungeon.net/maps/totk/tiles/sky/6/37_34.jpg",</v>
      </c>
      <c r="H1706" t="str">
        <f t="shared" si="53"/>
        <v>37_34</v>
      </c>
    </row>
    <row r="1707" spans="1:8" x14ac:dyDescent="0.2">
      <c r="A1707" s="9" t="s">
        <v>51</v>
      </c>
      <c r="C1707" t="str">
        <f t="shared" si="52"/>
        <v>"https://www.zeldadungeon.net/maps/totk/tiles/sky/6/37_35.jpg",</v>
      </c>
      <c r="H1707" t="str">
        <f t="shared" si="53"/>
        <v>37_35</v>
      </c>
    </row>
    <row r="1708" spans="1:8" x14ac:dyDescent="0.2">
      <c r="A1708" s="9" t="s">
        <v>51</v>
      </c>
      <c r="C1708" t="str">
        <f t="shared" si="52"/>
        <v>"https://www.zeldadungeon.net/maps/totk/tiles/sky/6/37_36.jpg",</v>
      </c>
      <c r="H1708" t="str">
        <f t="shared" si="53"/>
        <v>37_36</v>
      </c>
    </row>
    <row r="1709" spans="1:8" x14ac:dyDescent="0.2">
      <c r="A1709" s="9" t="s">
        <v>51</v>
      </c>
      <c r="C1709" t="str">
        <f t="shared" si="52"/>
        <v>"https://www.zeldadungeon.net/maps/totk/tiles/sky/6/37_37.jpg",</v>
      </c>
      <c r="H1709" t="str">
        <f t="shared" si="53"/>
        <v>37_37</v>
      </c>
    </row>
    <row r="1710" spans="1:8" x14ac:dyDescent="0.2">
      <c r="A1710" s="9" t="s">
        <v>51</v>
      </c>
      <c r="C1710" t="str">
        <f t="shared" si="52"/>
        <v>"https://www.zeldadungeon.net/maps/totk/tiles/sky/6/37_38.jpg",</v>
      </c>
      <c r="H1710" t="str">
        <f t="shared" si="53"/>
        <v>37_38</v>
      </c>
    </row>
    <row r="1711" spans="1:8" x14ac:dyDescent="0.2">
      <c r="A1711" s="9" t="s">
        <v>51</v>
      </c>
      <c r="C1711" t="str">
        <f t="shared" si="52"/>
        <v>"https://www.zeldadungeon.net/maps/totk/tiles/sky/6/37_39.jpg",</v>
      </c>
      <c r="H1711" t="str">
        <f t="shared" si="53"/>
        <v>37_39</v>
      </c>
    </row>
    <row r="1712" spans="1:8" x14ac:dyDescent="0.2">
      <c r="A1712" s="9" t="s">
        <v>51</v>
      </c>
      <c r="C1712" t="str">
        <f t="shared" si="52"/>
        <v>"https://www.zeldadungeon.net/maps/totk/tiles/sky/6/37_40.jpg",</v>
      </c>
      <c r="H1712" t="str">
        <f t="shared" si="53"/>
        <v>37_40</v>
      </c>
    </row>
    <row r="1713" spans="1:8" x14ac:dyDescent="0.2">
      <c r="A1713" s="9" t="s">
        <v>51</v>
      </c>
      <c r="C1713" t="str">
        <f t="shared" si="52"/>
        <v>"https://www.zeldadungeon.net/maps/totk/tiles/sky/6/37_41.jpg",</v>
      </c>
      <c r="H1713" t="str">
        <f t="shared" si="53"/>
        <v>37_41</v>
      </c>
    </row>
    <row r="1714" spans="1:8" x14ac:dyDescent="0.2">
      <c r="A1714" s="9" t="s">
        <v>51</v>
      </c>
      <c r="C1714" t="str">
        <f t="shared" si="52"/>
        <v>"https://www.zeldadungeon.net/maps/totk/tiles/sky/6/37_42.jpg",</v>
      </c>
      <c r="H1714" t="str">
        <f t="shared" si="53"/>
        <v>37_42</v>
      </c>
    </row>
    <row r="1715" spans="1:8" x14ac:dyDescent="0.2">
      <c r="A1715" s="9" t="s">
        <v>51</v>
      </c>
      <c r="C1715" t="str">
        <f t="shared" si="52"/>
        <v>"https://www.zeldadungeon.net/maps/totk/tiles/sky/6/37_43.jpg",</v>
      </c>
      <c r="H1715" t="str">
        <f t="shared" si="53"/>
        <v>37_43</v>
      </c>
    </row>
    <row r="1716" spans="1:8" x14ac:dyDescent="0.2">
      <c r="A1716" s="9" t="s">
        <v>51</v>
      </c>
      <c r="C1716" t="str">
        <f t="shared" si="52"/>
        <v>"https://www.zeldadungeon.net/maps/totk/tiles/sky/6/37_44.jpg",</v>
      </c>
      <c r="H1716" t="str">
        <f t="shared" si="53"/>
        <v>37_44</v>
      </c>
    </row>
    <row r="1717" spans="1:8" x14ac:dyDescent="0.2">
      <c r="A1717" s="9" t="s">
        <v>51</v>
      </c>
      <c r="C1717" t="str">
        <f t="shared" si="52"/>
        <v>"https://www.zeldadungeon.net/maps/totk/tiles/sky/6/37_45.jpg",</v>
      </c>
      <c r="H1717" t="str">
        <f t="shared" si="53"/>
        <v>37_45</v>
      </c>
    </row>
    <row r="1718" spans="1:8" x14ac:dyDescent="0.2">
      <c r="A1718" s="9" t="s">
        <v>51</v>
      </c>
      <c r="C1718" t="str">
        <f t="shared" si="52"/>
        <v>"https://www.zeldadungeon.net/maps/totk/tiles/sky/6/37_46.jpg",</v>
      </c>
      <c r="H1718" t="str">
        <f t="shared" si="53"/>
        <v>37_46</v>
      </c>
    </row>
    <row r="1719" spans="1:8" x14ac:dyDescent="0.2">
      <c r="A1719" s="9" t="s">
        <v>51</v>
      </c>
      <c r="C1719" t="str">
        <f t="shared" si="52"/>
        <v>"https://www.zeldadungeon.net/maps/totk/tiles/sky/6/37_47.jpg",</v>
      </c>
      <c r="H1719" t="str">
        <f t="shared" si="53"/>
        <v>37_47</v>
      </c>
    </row>
    <row r="1720" spans="1:8" x14ac:dyDescent="0.2">
      <c r="A1720" s="9" t="s">
        <v>51</v>
      </c>
      <c r="C1720" t="str">
        <f t="shared" si="52"/>
        <v>"https://www.zeldadungeon.net/maps/totk/tiles/sky/6/37_48.jpg",</v>
      </c>
      <c r="H1720" t="str">
        <f t="shared" si="53"/>
        <v>37_48</v>
      </c>
    </row>
    <row r="1721" spans="1:8" x14ac:dyDescent="0.2">
      <c r="A1721" s="9" t="s">
        <v>51</v>
      </c>
      <c r="C1721" t="str">
        <f t="shared" si="52"/>
        <v>"https://www.zeldadungeon.net/maps/totk/tiles/sky/6/37_49.jpg",</v>
      </c>
      <c r="H1721" t="str">
        <f t="shared" si="53"/>
        <v>37_49</v>
      </c>
    </row>
    <row r="1722" spans="1:8" x14ac:dyDescent="0.2">
      <c r="A1722" s="9" t="s">
        <v>51</v>
      </c>
      <c r="C1722" t="str">
        <f t="shared" si="52"/>
        <v>"https://www.zeldadungeon.net/maps/totk/tiles/sky/6/37_50.jpg",</v>
      </c>
      <c r="H1722" t="str">
        <f t="shared" si="53"/>
        <v>37_50</v>
      </c>
    </row>
    <row r="1723" spans="1:8" x14ac:dyDescent="0.2">
      <c r="A1723" s="9" t="s">
        <v>51</v>
      </c>
      <c r="C1723" t="str">
        <f t="shared" si="52"/>
        <v>"https://www.zeldadungeon.net/maps/totk/tiles/sky/6/37_51.jpg",</v>
      </c>
      <c r="H1723" t="str">
        <f t="shared" si="53"/>
        <v>37_51</v>
      </c>
    </row>
    <row r="1724" spans="1:8" x14ac:dyDescent="0.2">
      <c r="A1724" s="9" t="s">
        <v>51</v>
      </c>
      <c r="C1724" t="str">
        <f t="shared" si="52"/>
        <v>"https://www.zeldadungeon.net/maps/totk/tiles/sky/6/37_52.jpg",</v>
      </c>
      <c r="H1724" t="str">
        <f t="shared" si="53"/>
        <v>37_52</v>
      </c>
    </row>
    <row r="1725" spans="1:8" x14ac:dyDescent="0.2">
      <c r="A1725" s="9" t="s">
        <v>51</v>
      </c>
      <c r="C1725" t="str">
        <f t="shared" si="52"/>
        <v>"https://www.zeldadungeon.net/maps/totk/tiles/sky/6/37_53.jpg",</v>
      </c>
      <c r="H1725" t="str">
        <f t="shared" si="53"/>
        <v>37_53</v>
      </c>
    </row>
    <row r="1726" spans="1:8" x14ac:dyDescent="0.2">
      <c r="A1726" s="9" t="s">
        <v>51</v>
      </c>
      <c r="C1726" t="str">
        <f t="shared" si="52"/>
        <v>"https://www.zeldadungeon.net/maps/totk/tiles/sky/6/37_54.jpg",</v>
      </c>
      <c r="H1726" t="str">
        <f t="shared" si="53"/>
        <v>37_54</v>
      </c>
    </row>
    <row r="1727" spans="1:8" x14ac:dyDescent="0.2">
      <c r="A1727" s="9" t="s">
        <v>51</v>
      </c>
      <c r="C1727" t="str">
        <f t="shared" si="52"/>
        <v>"https://www.zeldadungeon.net/maps/totk/tiles/sky/6/37_55.jpg",</v>
      </c>
      <c r="H1727" t="str">
        <f t="shared" si="53"/>
        <v>37_55</v>
      </c>
    </row>
    <row r="1728" spans="1:8" x14ac:dyDescent="0.2">
      <c r="A1728" s="9" t="s">
        <v>51</v>
      </c>
      <c r="C1728" t="str">
        <f t="shared" si="52"/>
        <v>"https://www.zeldadungeon.net/maps/totk/tiles/sky/6/38_8.jpg",</v>
      </c>
      <c r="H1728" t="str">
        <f t="shared" si="53"/>
        <v>38_8</v>
      </c>
    </row>
    <row r="1729" spans="1:8" x14ac:dyDescent="0.2">
      <c r="A1729" s="9" t="s">
        <v>51</v>
      </c>
      <c r="C1729" t="str">
        <f t="shared" ref="C1729:C1792" si="54">""""&amp;SUBSTITUTE(A1729,"zzz",H1729)&amp;""""&amp;","</f>
        <v>"https://www.zeldadungeon.net/maps/totk/tiles/sky/6/38_9.jpg",</v>
      </c>
      <c r="H1729" t="str">
        <f t="shared" ref="H1729:H1792" si="55">QUOTIENT(ROW(A1729),48)+2&amp;"_"&amp;MOD(ROW(A1729),48)+8</f>
        <v>38_9</v>
      </c>
    </row>
    <row r="1730" spans="1:8" x14ac:dyDescent="0.2">
      <c r="A1730" s="9" t="s">
        <v>51</v>
      </c>
      <c r="C1730" t="str">
        <f t="shared" si="54"/>
        <v>"https://www.zeldadungeon.net/maps/totk/tiles/sky/6/38_10.jpg",</v>
      </c>
      <c r="H1730" t="str">
        <f t="shared" si="55"/>
        <v>38_10</v>
      </c>
    </row>
    <row r="1731" spans="1:8" x14ac:dyDescent="0.2">
      <c r="A1731" s="9" t="s">
        <v>51</v>
      </c>
      <c r="C1731" t="str">
        <f t="shared" si="54"/>
        <v>"https://www.zeldadungeon.net/maps/totk/tiles/sky/6/38_11.jpg",</v>
      </c>
      <c r="H1731" t="str">
        <f t="shared" si="55"/>
        <v>38_11</v>
      </c>
    </row>
    <row r="1732" spans="1:8" x14ac:dyDescent="0.2">
      <c r="A1732" s="9" t="s">
        <v>51</v>
      </c>
      <c r="C1732" t="str">
        <f t="shared" si="54"/>
        <v>"https://www.zeldadungeon.net/maps/totk/tiles/sky/6/38_12.jpg",</v>
      </c>
      <c r="H1732" t="str">
        <f t="shared" si="55"/>
        <v>38_12</v>
      </c>
    </row>
    <row r="1733" spans="1:8" x14ac:dyDescent="0.2">
      <c r="A1733" s="9" t="s">
        <v>51</v>
      </c>
      <c r="C1733" t="str">
        <f t="shared" si="54"/>
        <v>"https://www.zeldadungeon.net/maps/totk/tiles/sky/6/38_13.jpg",</v>
      </c>
      <c r="H1733" t="str">
        <f t="shared" si="55"/>
        <v>38_13</v>
      </c>
    </row>
    <row r="1734" spans="1:8" x14ac:dyDescent="0.2">
      <c r="A1734" s="9" t="s">
        <v>51</v>
      </c>
      <c r="C1734" t="str">
        <f t="shared" si="54"/>
        <v>"https://www.zeldadungeon.net/maps/totk/tiles/sky/6/38_14.jpg",</v>
      </c>
      <c r="H1734" t="str">
        <f t="shared" si="55"/>
        <v>38_14</v>
      </c>
    </row>
    <row r="1735" spans="1:8" x14ac:dyDescent="0.2">
      <c r="A1735" s="9" t="s">
        <v>51</v>
      </c>
      <c r="C1735" t="str">
        <f t="shared" si="54"/>
        <v>"https://www.zeldadungeon.net/maps/totk/tiles/sky/6/38_15.jpg",</v>
      </c>
      <c r="H1735" t="str">
        <f t="shared" si="55"/>
        <v>38_15</v>
      </c>
    </row>
    <row r="1736" spans="1:8" x14ac:dyDescent="0.2">
      <c r="A1736" s="9" t="s">
        <v>51</v>
      </c>
      <c r="C1736" t="str">
        <f t="shared" si="54"/>
        <v>"https://www.zeldadungeon.net/maps/totk/tiles/sky/6/38_16.jpg",</v>
      </c>
      <c r="H1736" t="str">
        <f t="shared" si="55"/>
        <v>38_16</v>
      </c>
    </row>
    <row r="1737" spans="1:8" x14ac:dyDescent="0.2">
      <c r="A1737" s="9" t="s">
        <v>51</v>
      </c>
      <c r="C1737" t="str">
        <f t="shared" si="54"/>
        <v>"https://www.zeldadungeon.net/maps/totk/tiles/sky/6/38_17.jpg",</v>
      </c>
      <c r="H1737" t="str">
        <f t="shared" si="55"/>
        <v>38_17</v>
      </c>
    </row>
    <row r="1738" spans="1:8" x14ac:dyDescent="0.2">
      <c r="A1738" s="9" t="s">
        <v>51</v>
      </c>
      <c r="C1738" t="str">
        <f t="shared" si="54"/>
        <v>"https://www.zeldadungeon.net/maps/totk/tiles/sky/6/38_18.jpg",</v>
      </c>
      <c r="H1738" t="str">
        <f t="shared" si="55"/>
        <v>38_18</v>
      </c>
    </row>
    <row r="1739" spans="1:8" x14ac:dyDescent="0.2">
      <c r="A1739" s="9" t="s">
        <v>51</v>
      </c>
      <c r="C1739" t="str">
        <f t="shared" si="54"/>
        <v>"https://www.zeldadungeon.net/maps/totk/tiles/sky/6/38_19.jpg",</v>
      </c>
      <c r="H1739" t="str">
        <f t="shared" si="55"/>
        <v>38_19</v>
      </c>
    </row>
    <row r="1740" spans="1:8" x14ac:dyDescent="0.2">
      <c r="A1740" s="9" t="s">
        <v>51</v>
      </c>
      <c r="C1740" t="str">
        <f t="shared" si="54"/>
        <v>"https://www.zeldadungeon.net/maps/totk/tiles/sky/6/38_20.jpg",</v>
      </c>
      <c r="H1740" t="str">
        <f t="shared" si="55"/>
        <v>38_20</v>
      </c>
    </row>
    <row r="1741" spans="1:8" x14ac:dyDescent="0.2">
      <c r="A1741" s="9" t="s">
        <v>51</v>
      </c>
      <c r="C1741" t="str">
        <f t="shared" si="54"/>
        <v>"https://www.zeldadungeon.net/maps/totk/tiles/sky/6/38_21.jpg",</v>
      </c>
      <c r="H1741" t="str">
        <f t="shared" si="55"/>
        <v>38_21</v>
      </c>
    </row>
    <row r="1742" spans="1:8" x14ac:dyDescent="0.2">
      <c r="A1742" s="9" t="s">
        <v>51</v>
      </c>
      <c r="C1742" t="str">
        <f t="shared" si="54"/>
        <v>"https://www.zeldadungeon.net/maps/totk/tiles/sky/6/38_22.jpg",</v>
      </c>
      <c r="H1742" t="str">
        <f t="shared" si="55"/>
        <v>38_22</v>
      </c>
    </row>
    <row r="1743" spans="1:8" x14ac:dyDescent="0.2">
      <c r="A1743" s="9" t="s">
        <v>51</v>
      </c>
      <c r="C1743" t="str">
        <f t="shared" si="54"/>
        <v>"https://www.zeldadungeon.net/maps/totk/tiles/sky/6/38_23.jpg",</v>
      </c>
      <c r="H1743" t="str">
        <f t="shared" si="55"/>
        <v>38_23</v>
      </c>
    </row>
    <row r="1744" spans="1:8" x14ac:dyDescent="0.2">
      <c r="A1744" s="9" t="s">
        <v>51</v>
      </c>
      <c r="C1744" t="str">
        <f t="shared" si="54"/>
        <v>"https://www.zeldadungeon.net/maps/totk/tiles/sky/6/38_24.jpg",</v>
      </c>
      <c r="H1744" t="str">
        <f t="shared" si="55"/>
        <v>38_24</v>
      </c>
    </row>
    <row r="1745" spans="1:8" x14ac:dyDescent="0.2">
      <c r="A1745" s="9" t="s">
        <v>51</v>
      </c>
      <c r="C1745" t="str">
        <f t="shared" si="54"/>
        <v>"https://www.zeldadungeon.net/maps/totk/tiles/sky/6/38_25.jpg",</v>
      </c>
      <c r="H1745" t="str">
        <f t="shared" si="55"/>
        <v>38_25</v>
      </c>
    </row>
    <row r="1746" spans="1:8" x14ac:dyDescent="0.2">
      <c r="A1746" s="9" t="s">
        <v>51</v>
      </c>
      <c r="C1746" t="str">
        <f t="shared" si="54"/>
        <v>"https://www.zeldadungeon.net/maps/totk/tiles/sky/6/38_26.jpg",</v>
      </c>
      <c r="H1746" t="str">
        <f t="shared" si="55"/>
        <v>38_26</v>
      </c>
    </row>
    <row r="1747" spans="1:8" x14ac:dyDescent="0.2">
      <c r="A1747" s="9" t="s">
        <v>51</v>
      </c>
      <c r="C1747" t="str">
        <f t="shared" si="54"/>
        <v>"https://www.zeldadungeon.net/maps/totk/tiles/sky/6/38_27.jpg",</v>
      </c>
      <c r="H1747" t="str">
        <f t="shared" si="55"/>
        <v>38_27</v>
      </c>
    </row>
    <row r="1748" spans="1:8" x14ac:dyDescent="0.2">
      <c r="A1748" s="9" t="s">
        <v>51</v>
      </c>
      <c r="C1748" t="str">
        <f t="shared" si="54"/>
        <v>"https://www.zeldadungeon.net/maps/totk/tiles/sky/6/38_28.jpg",</v>
      </c>
      <c r="H1748" t="str">
        <f t="shared" si="55"/>
        <v>38_28</v>
      </c>
    </row>
    <row r="1749" spans="1:8" x14ac:dyDescent="0.2">
      <c r="A1749" s="9" t="s">
        <v>51</v>
      </c>
      <c r="C1749" t="str">
        <f t="shared" si="54"/>
        <v>"https://www.zeldadungeon.net/maps/totk/tiles/sky/6/38_29.jpg",</v>
      </c>
      <c r="H1749" t="str">
        <f t="shared" si="55"/>
        <v>38_29</v>
      </c>
    </row>
    <row r="1750" spans="1:8" x14ac:dyDescent="0.2">
      <c r="A1750" s="9" t="s">
        <v>51</v>
      </c>
      <c r="C1750" t="str">
        <f t="shared" si="54"/>
        <v>"https://www.zeldadungeon.net/maps/totk/tiles/sky/6/38_30.jpg",</v>
      </c>
      <c r="H1750" t="str">
        <f t="shared" si="55"/>
        <v>38_30</v>
      </c>
    </row>
    <row r="1751" spans="1:8" x14ac:dyDescent="0.2">
      <c r="A1751" s="9" t="s">
        <v>51</v>
      </c>
      <c r="C1751" t="str">
        <f t="shared" si="54"/>
        <v>"https://www.zeldadungeon.net/maps/totk/tiles/sky/6/38_31.jpg",</v>
      </c>
      <c r="H1751" t="str">
        <f t="shared" si="55"/>
        <v>38_31</v>
      </c>
    </row>
    <row r="1752" spans="1:8" x14ac:dyDescent="0.2">
      <c r="A1752" s="9" t="s">
        <v>51</v>
      </c>
      <c r="C1752" t="str">
        <f t="shared" si="54"/>
        <v>"https://www.zeldadungeon.net/maps/totk/tiles/sky/6/38_32.jpg",</v>
      </c>
      <c r="H1752" t="str">
        <f t="shared" si="55"/>
        <v>38_32</v>
      </c>
    </row>
    <row r="1753" spans="1:8" x14ac:dyDescent="0.2">
      <c r="A1753" s="9" t="s">
        <v>51</v>
      </c>
      <c r="C1753" t="str">
        <f t="shared" si="54"/>
        <v>"https://www.zeldadungeon.net/maps/totk/tiles/sky/6/38_33.jpg",</v>
      </c>
      <c r="H1753" t="str">
        <f t="shared" si="55"/>
        <v>38_33</v>
      </c>
    </row>
    <row r="1754" spans="1:8" x14ac:dyDescent="0.2">
      <c r="A1754" s="9" t="s">
        <v>51</v>
      </c>
      <c r="C1754" t="str">
        <f t="shared" si="54"/>
        <v>"https://www.zeldadungeon.net/maps/totk/tiles/sky/6/38_34.jpg",</v>
      </c>
      <c r="H1754" t="str">
        <f t="shared" si="55"/>
        <v>38_34</v>
      </c>
    </row>
    <row r="1755" spans="1:8" x14ac:dyDescent="0.2">
      <c r="A1755" s="9" t="s">
        <v>51</v>
      </c>
      <c r="C1755" t="str">
        <f t="shared" si="54"/>
        <v>"https://www.zeldadungeon.net/maps/totk/tiles/sky/6/38_35.jpg",</v>
      </c>
      <c r="H1755" t="str">
        <f t="shared" si="55"/>
        <v>38_35</v>
      </c>
    </row>
    <row r="1756" spans="1:8" x14ac:dyDescent="0.2">
      <c r="A1756" s="9" t="s">
        <v>51</v>
      </c>
      <c r="C1756" t="str">
        <f t="shared" si="54"/>
        <v>"https://www.zeldadungeon.net/maps/totk/tiles/sky/6/38_36.jpg",</v>
      </c>
      <c r="H1756" t="str">
        <f t="shared" si="55"/>
        <v>38_36</v>
      </c>
    </row>
    <row r="1757" spans="1:8" x14ac:dyDescent="0.2">
      <c r="A1757" s="9" t="s">
        <v>51</v>
      </c>
      <c r="C1757" t="str">
        <f t="shared" si="54"/>
        <v>"https://www.zeldadungeon.net/maps/totk/tiles/sky/6/38_37.jpg",</v>
      </c>
      <c r="H1757" t="str">
        <f t="shared" si="55"/>
        <v>38_37</v>
      </c>
    </row>
    <row r="1758" spans="1:8" x14ac:dyDescent="0.2">
      <c r="A1758" s="9" t="s">
        <v>51</v>
      </c>
      <c r="C1758" t="str">
        <f t="shared" si="54"/>
        <v>"https://www.zeldadungeon.net/maps/totk/tiles/sky/6/38_38.jpg",</v>
      </c>
      <c r="H1758" t="str">
        <f t="shared" si="55"/>
        <v>38_38</v>
      </c>
    </row>
    <row r="1759" spans="1:8" x14ac:dyDescent="0.2">
      <c r="A1759" s="9" t="s">
        <v>51</v>
      </c>
      <c r="C1759" t="str">
        <f t="shared" si="54"/>
        <v>"https://www.zeldadungeon.net/maps/totk/tiles/sky/6/38_39.jpg",</v>
      </c>
      <c r="H1759" t="str">
        <f t="shared" si="55"/>
        <v>38_39</v>
      </c>
    </row>
    <row r="1760" spans="1:8" x14ac:dyDescent="0.2">
      <c r="A1760" s="9" t="s">
        <v>51</v>
      </c>
      <c r="C1760" t="str">
        <f t="shared" si="54"/>
        <v>"https://www.zeldadungeon.net/maps/totk/tiles/sky/6/38_40.jpg",</v>
      </c>
      <c r="H1760" t="str">
        <f t="shared" si="55"/>
        <v>38_40</v>
      </c>
    </row>
    <row r="1761" spans="1:8" x14ac:dyDescent="0.2">
      <c r="A1761" s="9" t="s">
        <v>51</v>
      </c>
      <c r="C1761" t="str">
        <f t="shared" si="54"/>
        <v>"https://www.zeldadungeon.net/maps/totk/tiles/sky/6/38_41.jpg",</v>
      </c>
      <c r="H1761" t="str">
        <f t="shared" si="55"/>
        <v>38_41</v>
      </c>
    </row>
    <row r="1762" spans="1:8" x14ac:dyDescent="0.2">
      <c r="A1762" s="9" t="s">
        <v>51</v>
      </c>
      <c r="C1762" t="str">
        <f t="shared" si="54"/>
        <v>"https://www.zeldadungeon.net/maps/totk/tiles/sky/6/38_42.jpg",</v>
      </c>
      <c r="H1762" t="str">
        <f t="shared" si="55"/>
        <v>38_42</v>
      </c>
    </row>
    <row r="1763" spans="1:8" x14ac:dyDescent="0.2">
      <c r="A1763" s="9" t="s">
        <v>51</v>
      </c>
      <c r="C1763" t="str">
        <f t="shared" si="54"/>
        <v>"https://www.zeldadungeon.net/maps/totk/tiles/sky/6/38_43.jpg",</v>
      </c>
      <c r="H1763" t="str">
        <f t="shared" si="55"/>
        <v>38_43</v>
      </c>
    </row>
    <row r="1764" spans="1:8" x14ac:dyDescent="0.2">
      <c r="A1764" s="9" t="s">
        <v>51</v>
      </c>
      <c r="C1764" t="str">
        <f t="shared" si="54"/>
        <v>"https://www.zeldadungeon.net/maps/totk/tiles/sky/6/38_44.jpg",</v>
      </c>
      <c r="H1764" t="str">
        <f t="shared" si="55"/>
        <v>38_44</v>
      </c>
    </row>
    <row r="1765" spans="1:8" x14ac:dyDescent="0.2">
      <c r="A1765" s="9" t="s">
        <v>51</v>
      </c>
      <c r="C1765" t="str">
        <f t="shared" si="54"/>
        <v>"https://www.zeldadungeon.net/maps/totk/tiles/sky/6/38_45.jpg",</v>
      </c>
      <c r="H1765" t="str">
        <f t="shared" si="55"/>
        <v>38_45</v>
      </c>
    </row>
    <row r="1766" spans="1:8" x14ac:dyDescent="0.2">
      <c r="A1766" s="9" t="s">
        <v>51</v>
      </c>
      <c r="C1766" t="str">
        <f t="shared" si="54"/>
        <v>"https://www.zeldadungeon.net/maps/totk/tiles/sky/6/38_46.jpg",</v>
      </c>
      <c r="H1766" t="str">
        <f t="shared" si="55"/>
        <v>38_46</v>
      </c>
    </row>
    <row r="1767" spans="1:8" x14ac:dyDescent="0.2">
      <c r="A1767" s="9" t="s">
        <v>51</v>
      </c>
      <c r="C1767" t="str">
        <f t="shared" si="54"/>
        <v>"https://www.zeldadungeon.net/maps/totk/tiles/sky/6/38_47.jpg",</v>
      </c>
      <c r="H1767" t="str">
        <f t="shared" si="55"/>
        <v>38_47</v>
      </c>
    </row>
    <row r="1768" spans="1:8" x14ac:dyDescent="0.2">
      <c r="A1768" s="9" t="s">
        <v>51</v>
      </c>
      <c r="C1768" t="str">
        <f t="shared" si="54"/>
        <v>"https://www.zeldadungeon.net/maps/totk/tiles/sky/6/38_48.jpg",</v>
      </c>
      <c r="H1768" t="str">
        <f t="shared" si="55"/>
        <v>38_48</v>
      </c>
    </row>
    <row r="1769" spans="1:8" x14ac:dyDescent="0.2">
      <c r="A1769" s="9" t="s">
        <v>51</v>
      </c>
      <c r="C1769" t="str">
        <f t="shared" si="54"/>
        <v>"https://www.zeldadungeon.net/maps/totk/tiles/sky/6/38_49.jpg",</v>
      </c>
      <c r="H1769" t="str">
        <f t="shared" si="55"/>
        <v>38_49</v>
      </c>
    </row>
    <row r="1770" spans="1:8" x14ac:dyDescent="0.2">
      <c r="A1770" s="9" t="s">
        <v>51</v>
      </c>
      <c r="C1770" t="str">
        <f t="shared" si="54"/>
        <v>"https://www.zeldadungeon.net/maps/totk/tiles/sky/6/38_50.jpg",</v>
      </c>
      <c r="H1770" t="str">
        <f t="shared" si="55"/>
        <v>38_50</v>
      </c>
    </row>
    <row r="1771" spans="1:8" x14ac:dyDescent="0.2">
      <c r="A1771" s="9" t="s">
        <v>51</v>
      </c>
      <c r="C1771" t="str">
        <f t="shared" si="54"/>
        <v>"https://www.zeldadungeon.net/maps/totk/tiles/sky/6/38_51.jpg",</v>
      </c>
      <c r="H1771" t="str">
        <f t="shared" si="55"/>
        <v>38_51</v>
      </c>
    </row>
    <row r="1772" spans="1:8" x14ac:dyDescent="0.2">
      <c r="A1772" s="9" t="s">
        <v>51</v>
      </c>
      <c r="C1772" t="str">
        <f t="shared" si="54"/>
        <v>"https://www.zeldadungeon.net/maps/totk/tiles/sky/6/38_52.jpg",</v>
      </c>
      <c r="H1772" t="str">
        <f t="shared" si="55"/>
        <v>38_52</v>
      </c>
    </row>
    <row r="1773" spans="1:8" x14ac:dyDescent="0.2">
      <c r="A1773" s="9" t="s">
        <v>51</v>
      </c>
      <c r="C1773" t="str">
        <f t="shared" si="54"/>
        <v>"https://www.zeldadungeon.net/maps/totk/tiles/sky/6/38_53.jpg",</v>
      </c>
      <c r="H1773" t="str">
        <f t="shared" si="55"/>
        <v>38_53</v>
      </c>
    </row>
    <row r="1774" spans="1:8" x14ac:dyDescent="0.2">
      <c r="A1774" s="9" t="s">
        <v>51</v>
      </c>
      <c r="C1774" t="str">
        <f t="shared" si="54"/>
        <v>"https://www.zeldadungeon.net/maps/totk/tiles/sky/6/38_54.jpg",</v>
      </c>
      <c r="H1774" t="str">
        <f t="shared" si="55"/>
        <v>38_54</v>
      </c>
    </row>
    <row r="1775" spans="1:8" x14ac:dyDescent="0.2">
      <c r="A1775" s="9" t="s">
        <v>51</v>
      </c>
      <c r="C1775" t="str">
        <f t="shared" si="54"/>
        <v>"https://www.zeldadungeon.net/maps/totk/tiles/sky/6/38_55.jpg",</v>
      </c>
      <c r="H1775" t="str">
        <f t="shared" si="55"/>
        <v>38_55</v>
      </c>
    </row>
    <row r="1776" spans="1:8" x14ac:dyDescent="0.2">
      <c r="A1776" s="9" t="s">
        <v>51</v>
      </c>
      <c r="C1776" t="str">
        <f t="shared" si="54"/>
        <v>"https://www.zeldadungeon.net/maps/totk/tiles/sky/6/39_8.jpg",</v>
      </c>
      <c r="H1776" t="str">
        <f t="shared" si="55"/>
        <v>39_8</v>
      </c>
    </row>
    <row r="1777" spans="1:8" x14ac:dyDescent="0.2">
      <c r="A1777" s="9" t="s">
        <v>51</v>
      </c>
      <c r="C1777" t="str">
        <f t="shared" si="54"/>
        <v>"https://www.zeldadungeon.net/maps/totk/tiles/sky/6/39_9.jpg",</v>
      </c>
      <c r="H1777" t="str">
        <f t="shared" si="55"/>
        <v>39_9</v>
      </c>
    </row>
    <row r="1778" spans="1:8" x14ac:dyDescent="0.2">
      <c r="A1778" s="9" t="s">
        <v>51</v>
      </c>
      <c r="C1778" t="str">
        <f t="shared" si="54"/>
        <v>"https://www.zeldadungeon.net/maps/totk/tiles/sky/6/39_10.jpg",</v>
      </c>
      <c r="H1778" t="str">
        <f t="shared" si="55"/>
        <v>39_10</v>
      </c>
    </row>
    <row r="1779" spans="1:8" x14ac:dyDescent="0.2">
      <c r="A1779" s="9" t="s">
        <v>51</v>
      </c>
      <c r="C1779" t="str">
        <f t="shared" si="54"/>
        <v>"https://www.zeldadungeon.net/maps/totk/tiles/sky/6/39_11.jpg",</v>
      </c>
      <c r="H1779" t="str">
        <f t="shared" si="55"/>
        <v>39_11</v>
      </c>
    </row>
    <row r="1780" spans="1:8" x14ac:dyDescent="0.2">
      <c r="A1780" s="9" t="s">
        <v>51</v>
      </c>
      <c r="C1780" t="str">
        <f t="shared" si="54"/>
        <v>"https://www.zeldadungeon.net/maps/totk/tiles/sky/6/39_12.jpg",</v>
      </c>
      <c r="H1780" t="str">
        <f t="shared" si="55"/>
        <v>39_12</v>
      </c>
    </row>
    <row r="1781" spans="1:8" x14ac:dyDescent="0.2">
      <c r="A1781" s="9" t="s">
        <v>51</v>
      </c>
      <c r="C1781" t="str">
        <f t="shared" si="54"/>
        <v>"https://www.zeldadungeon.net/maps/totk/tiles/sky/6/39_13.jpg",</v>
      </c>
      <c r="H1781" t="str">
        <f t="shared" si="55"/>
        <v>39_13</v>
      </c>
    </row>
    <row r="1782" spans="1:8" x14ac:dyDescent="0.2">
      <c r="A1782" s="9" t="s">
        <v>51</v>
      </c>
      <c r="C1782" t="str">
        <f t="shared" si="54"/>
        <v>"https://www.zeldadungeon.net/maps/totk/tiles/sky/6/39_14.jpg",</v>
      </c>
      <c r="H1782" t="str">
        <f t="shared" si="55"/>
        <v>39_14</v>
      </c>
    </row>
    <row r="1783" spans="1:8" x14ac:dyDescent="0.2">
      <c r="A1783" s="9" t="s">
        <v>51</v>
      </c>
      <c r="C1783" t="str">
        <f t="shared" si="54"/>
        <v>"https://www.zeldadungeon.net/maps/totk/tiles/sky/6/39_15.jpg",</v>
      </c>
      <c r="H1783" t="str">
        <f t="shared" si="55"/>
        <v>39_15</v>
      </c>
    </row>
    <row r="1784" spans="1:8" x14ac:dyDescent="0.2">
      <c r="A1784" s="9" t="s">
        <v>51</v>
      </c>
      <c r="C1784" t="str">
        <f t="shared" si="54"/>
        <v>"https://www.zeldadungeon.net/maps/totk/tiles/sky/6/39_16.jpg",</v>
      </c>
      <c r="H1784" t="str">
        <f t="shared" si="55"/>
        <v>39_16</v>
      </c>
    </row>
    <row r="1785" spans="1:8" x14ac:dyDescent="0.2">
      <c r="A1785" s="9" t="s">
        <v>51</v>
      </c>
      <c r="C1785" t="str">
        <f t="shared" si="54"/>
        <v>"https://www.zeldadungeon.net/maps/totk/tiles/sky/6/39_17.jpg",</v>
      </c>
      <c r="H1785" t="str">
        <f t="shared" si="55"/>
        <v>39_17</v>
      </c>
    </row>
    <row r="1786" spans="1:8" x14ac:dyDescent="0.2">
      <c r="A1786" s="9" t="s">
        <v>51</v>
      </c>
      <c r="C1786" t="str">
        <f t="shared" si="54"/>
        <v>"https://www.zeldadungeon.net/maps/totk/tiles/sky/6/39_18.jpg",</v>
      </c>
      <c r="H1786" t="str">
        <f t="shared" si="55"/>
        <v>39_18</v>
      </c>
    </row>
    <row r="1787" spans="1:8" x14ac:dyDescent="0.2">
      <c r="A1787" s="9" t="s">
        <v>51</v>
      </c>
      <c r="C1787" t="str">
        <f t="shared" si="54"/>
        <v>"https://www.zeldadungeon.net/maps/totk/tiles/sky/6/39_19.jpg",</v>
      </c>
      <c r="H1787" t="str">
        <f t="shared" si="55"/>
        <v>39_19</v>
      </c>
    </row>
    <row r="1788" spans="1:8" x14ac:dyDescent="0.2">
      <c r="A1788" s="9" t="s">
        <v>51</v>
      </c>
      <c r="C1788" t="str">
        <f t="shared" si="54"/>
        <v>"https://www.zeldadungeon.net/maps/totk/tiles/sky/6/39_20.jpg",</v>
      </c>
      <c r="H1788" t="str">
        <f t="shared" si="55"/>
        <v>39_20</v>
      </c>
    </row>
    <row r="1789" spans="1:8" x14ac:dyDescent="0.2">
      <c r="A1789" s="9" t="s">
        <v>51</v>
      </c>
      <c r="C1789" t="str">
        <f t="shared" si="54"/>
        <v>"https://www.zeldadungeon.net/maps/totk/tiles/sky/6/39_21.jpg",</v>
      </c>
      <c r="H1789" t="str">
        <f t="shared" si="55"/>
        <v>39_21</v>
      </c>
    </row>
    <row r="1790" spans="1:8" x14ac:dyDescent="0.2">
      <c r="A1790" s="9" t="s">
        <v>51</v>
      </c>
      <c r="C1790" t="str">
        <f t="shared" si="54"/>
        <v>"https://www.zeldadungeon.net/maps/totk/tiles/sky/6/39_22.jpg",</v>
      </c>
      <c r="H1790" t="str">
        <f t="shared" si="55"/>
        <v>39_22</v>
      </c>
    </row>
    <row r="1791" spans="1:8" x14ac:dyDescent="0.2">
      <c r="A1791" s="9" t="s">
        <v>51</v>
      </c>
      <c r="C1791" t="str">
        <f t="shared" si="54"/>
        <v>"https://www.zeldadungeon.net/maps/totk/tiles/sky/6/39_23.jpg",</v>
      </c>
      <c r="H1791" t="str">
        <f t="shared" si="55"/>
        <v>39_23</v>
      </c>
    </row>
    <row r="1792" spans="1:8" x14ac:dyDescent="0.2">
      <c r="A1792" s="9" t="s">
        <v>51</v>
      </c>
      <c r="C1792" t="str">
        <f t="shared" si="54"/>
        <v>"https://www.zeldadungeon.net/maps/totk/tiles/sky/6/39_24.jpg",</v>
      </c>
      <c r="H1792" t="str">
        <f t="shared" si="55"/>
        <v>39_24</v>
      </c>
    </row>
    <row r="1793" spans="1:8" x14ac:dyDescent="0.2">
      <c r="A1793" s="9" t="s">
        <v>51</v>
      </c>
      <c r="C1793" t="str">
        <f t="shared" ref="C1793:C1856" si="56">""""&amp;SUBSTITUTE(A1793,"zzz",H1793)&amp;""""&amp;","</f>
        <v>"https://www.zeldadungeon.net/maps/totk/tiles/sky/6/39_25.jpg",</v>
      </c>
      <c r="H1793" t="str">
        <f t="shared" ref="H1793:H1856" si="57">QUOTIENT(ROW(A1793),48)+2&amp;"_"&amp;MOD(ROW(A1793),48)+8</f>
        <v>39_25</v>
      </c>
    </row>
    <row r="1794" spans="1:8" x14ac:dyDescent="0.2">
      <c r="A1794" s="9" t="s">
        <v>51</v>
      </c>
      <c r="C1794" t="str">
        <f t="shared" si="56"/>
        <v>"https://www.zeldadungeon.net/maps/totk/tiles/sky/6/39_26.jpg",</v>
      </c>
      <c r="H1794" t="str">
        <f t="shared" si="57"/>
        <v>39_26</v>
      </c>
    </row>
    <row r="1795" spans="1:8" x14ac:dyDescent="0.2">
      <c r="A1795" s="9" t="s">
        <v>51</v>
      </c>
      <c r="C1795" t="str">
        <f t="shared" si="56"/>
        <v>"https://www.zeldadungeon.net/maps/totk/tiles/sky/6/39_27.jpg",</v>
      </c>
      <c r="H1795" t="str">
        <f t="shared" si="57"/>
        <v>39_27</v>
      </c>
    </row>
    <row r="1796" spans="1:8" x14ac:dyDescent="0.2">
      <c r="A1796" s="9" t="s">
        <v>51</v>
      </c>
      <c r="C1796" t="str">
        <f t="shared" si="56"/>
        <v>"https://www.zeldadungeon.net/maps/totk/tiles/sky/6/39_28.jpg",</v>
      </c>
      <c r="H1796" t="str">
        <f t="shared" si="57"/>
        <v>39_28</v>
      </c>
    </row>
    <row r="1797" spans="1:8" x14ac:dyDescent="0.2">
      <c r="A1797" s="9" t="s">
        <v>51</v>
      </c>
      <c r="C1797" t="str">
        <f t="shared" si="56"/>
        <v>"https://www.zeldadungeon.net/maps/totk/tiles/sky/6/39_29.jpg",</v>
      </c>
      <c r="H1797" t="str">
        <f t="shared" si="57"/>
        <v>39_29</v>
      </c>
    </row>
    <row r="1798" spans="1:8" x14ac:dyDescent="0.2">
      <c r="A1798" s="9" t="s">
        <v>51</v>
      </c>
      <c r="C1798" t="str">
        <f t="shared" si="56"/>
        <v>"https://www.zeldadungeon.net/maps/totk/tiles/sky/6/39_30.jpg",</v>
      </c>
      <c r="H1798" t="str">
        <f t="shared" si="57"/>
        <v>39_30</v>
      </c>
    </row>
    <row r="1799" spans="1:8" x14ac:dyDescent="0.2">
      <c r="A1799" s="9" t="s">
        <v>51</v>
      </c>
      <c r="C1799" t="str">
        <f t="shared" si="56"/>
        <v>"https://www.zeldadungeon.net/maps/totk/tiles/sky/6/39_31.jpg",</v>
      </c>
      <c r="H1799" t="str">
        <f t="shared" si="57"/>
        <v>39_31</v>
      </c>
    </row>
    <row r="1800" spans="1:8" x14ac:dyDescent="0.2">
      <c r="A1800" s="9" t="s">
        <v>51</v>
      </c>
      <c r="C1800" t="str">
        <f t="shared" si="56"/>
        <v>"https://www.zeldadungeon.net/maps/totk/tiles/sky/6/39_32.jpg",</v>
      </c>
      <c r="H1800" t="str">
        <f t="shared" si="57"/>
        <v>39_32</v>
      </c>
    </row>
    <row r="1801" spans="1:8" x14ac:dyDescent="0.2">
      <c r="A1801" s="9" t="s">
        <v>51</v>
      </c>
      <c r="C1801" t="str">
        <f t="shared" si="56"/>
        <v>"https://www.zeldadungeon.net/maps/totk/tiles/sky/6/39_33.jpg",</v>
      </c>
      <c r="H1801" t="str">
        <f t="shared" si="57"/>
        <v>39_33</v>
      </c>
    </row>
    <row r="1802" spans="1:8" x14ac:dyDescent="0.2">
      <c r="A1802" s="9" t="s">
        <v>51</v>
      </c>
      <c r="C1802" t="str">
        <f t="shared" si="56"/>
        <v>"https://www.zeldadungeon.net/maps/totk/tiles/sky/6/39_34.jpg",</v>
      </c>
      <c r="H1802" t="str">
        <f t="shared" si="57"/>
        <v>39_34</v>
      </c>
    </row>
    <row r="1803" spans="1:8" x14ac:dyDescent="0.2">
      <c r="A1803" s="9" t="s">
        <v>51</v>
      </c>
      <c r="C1803" t="str">
        <f t="shared" si="56"/>
        <v>"https://www.zeldadungeon.net/maps/totk/tiles/sky/6/39_35.jpg",</v>
      </c>
      <c r="H1803" t="str">
        <f t="shared" si="57"/>
        <v>39_35</v>
      </c>
    </row>
    <row r="1804" spans="1:8" x14ac:dyDescent="0.2">
      <c r="A1804" s="9" t="s">
        <v>51</v>
      </c>
      <c r="C1804" t="str">
        <f t="shared" si="56"/>
        <v>"https://www.zeldadungeon.net/maps/totk/tiles/sky/6/39_36.jpg",</v>
      </c>
      <c r="H1804" t="str">
        <f t="shared" si="57"/>
        <v>39_36</v>
      </c>
    </row>
    <row r="1805" spans="1:8" x14ac:dyDescent="0.2">
      <c r="A1805" s="9" t="s">
        <v>51</v>
      </c>
      <c r="C1805" t="str">
        <f t="shared" si="56"/>
        <v>"https://www.zeldadungeon.net/maps/totk/tiles/sky/6/39_37.jpg",</v>
      </c>
      <c r="H1805" t="str">
        <f t="shared" si="57"/>
        <v>39_37</v>
      </c>
    </row>
    <row r="1806" spans="1:8" x14ac:dyDescent="0.2">
      <c r="A1806" s="9" t="s">
        <v>51</v>
      </c>
      <c r="C1806" t="str">
        <f t="shared" si="56"/>
        <v>"https://www.zeldadungeon.net/maps/totk/tiles/sky/6/39_38.jpg",</v>
      </c>
      <c r="H1806" t="str">
        <f t="shared" si="57"/>
        <v>39_38</v>
      </c>
    </row>
    <row r="1807" spans="1:8" x14ac:dyDescent="0.2">
      <c r="A1807" s="9" t="s">
        <v>51</v>
      </c>
      <c r="C1807" t="str">
        <f t="shared" si="56"/>
        <v>"https://www.zeldadungeon.net/maps/totk/tiles/sky/6/39_39.jpg",</v>
      </c>
      <c r="H1807" t="str">
        <f t="shared" si="57"/>
        <v>39_39</v>
      </c>
    </row>
    <row r="1808" spans="1:8" x14ac:dyDescent="0.2">
      <c r="A1808" s="9" t="s">
        <v>51</v>
      </c>
      <c r="C1808" t="str">
        <f t="shared" si="56"/>
        <v>"https://www.zeldadungeon.net/maps/totk/tiles/sky/6/39_40.jpg",</v>
      </c>
      <c r="H1808" t="str">
        <f t="shared" si="57"/>
        <v>39_40</v>
      </c>
    </row>
    <row r="1809" spans="1:8" x14ac:dyDescent="0.2">
      <c r="A1809" s="9" t="s">
        <v>51</v>
      </c>
      <c r="C1809" t="str">
        <f t="shared" si="56"/>
        <v>"https://www.zeldadungeon.net/maps/totk/tiles/sky/6/39_41.jpg",</v>
      </c>
      <c r="H1809" t="str">
        <f t="shared" si="57"/>
        <v>39_41</v>
      </c>
    </row>
    <row r="1810" spans="1:8" x14ac:dyDescent="0.2">
      <c r="A1810" s="9" t="s">
        <v>51</v>
      </c>
      <c r="C1810" t="str">
        <f t="shared" si="56"/>
        <v>"https://www.zeldadungeon.net/maps/totk/tiles/sky/6/39_42.jpg",</v>
      </c>
      <c r="H1810" t="str">
        <f t="shared" si="57"/>
        <v>39_42</v>
      </c>
    </row>
    <row r="1811" spans="1:8" x14ac:dyDescent="0.2">
      <c r="A1811" s="9" t="s">
        <v>51</v>
      </c>
      <c r="C1811" t="str">
        <f t="shared" si="56"/>
        <v>"https://www.zeldadungeon.net/maps/totk/tiles/sky/6/39_43.jpg",</v>
      </c>
      <c r="H1811" t="str">
        <f t="shared" si="57"/>
        <v>39_43</v>
      </c>
    </row>
    <row r="1812" spans="1:8" x14ac:dyDescent="0.2">
      <c r="A1812" s="9" t="s">
        <v>51</v>
      </c>
      <c r="C1812" t="str">
        <f t="shared" si="56"/>
        <v>"https://www.zeldadungeon.net/maps/totk/tiles/sky/6/39_44.jpg",</v>
      </c>
      <c r="H1812" t="str">
        <f t="shared" si="57"/>
        <v>39_44</v>
      </c>
    </row>
    <row r="1813" spans="1:8" x14ac:dyDescent="0.2">
      <c r="A1813" s="9" t="s">
        <v>51</v>
      </c>
      <c r="C1813" t="str">
        <f t="shared" si="56"/>
        <v>"https://www.zeldadungeon.net/maps/totk/tiles/sky/6/39_45.jpg",</v>
      </c>
      <c r="H1813" t="str">
        <f t="shared" si="57"/>
        <v>39_45</v>
      </c>
    </row>
    <row r="1814" spans="1:8" x14ac:dyDescent="0.2">
      <c r="A1814" s="9" t="s">
        <v>51</v>
      </c>
      <c r="C1814" t="str">
        <f t="shared" si="56"/>
        <v>"https://www.zeldadungeon.net/maps/totk/tiles/sky/6/39_46.jpg",</v>
      </c>
      <c r="H1814" t="str">
        <f t="shared" si="57"/>
        <v>39_46</v>
      </c>
    </row>
    <row r="1815" spans="1:8" x14ac:dyDescent="0.2">
      <c r="A1815" s="9" t="s">
        <v>51</v>
      </c>
      <c r="C1815" t="str">
        <f t="shared" si="56"/>
        <v>"https://www.zeldadungeon.net/maps/totk/tiles/sky/6/39_47.jpg",</v>
      </c>
      <c r="H1815" t="str">
        <f t="shared" si="57"/>
        <v>39_47</v>
      </c>
    </row>
    <row r="1816" spans="1:8" x14ac:dyDescent="0.2">
      <c r="A1816" s="9" t="s">
        <v>51</v>
      </c>
      <c r="C1816" t="str">
        <f t="shared" si="56"/>
        <v>"https://www.zeldadungeon.net/maps/totk/tiles/sky/6/39_48.jpg",</v>
      </c>
      <c r="H1816" t="str">
        <f t="shared" si="57"/>
        <v>39_48</v>
      </c>
    </row>
    <row r="1817" spans="1:8" x14ac:dyDescent="0.2">
      <c r="A1817" s="9" t="s">
        <v>51</v>
      </c>
      <c r="C1817" t="str">
        <f t="shared" si="56"/>
        <v>"https://www.zeldadungeon.net/maps/totk/tiles/sky/6/39_49.jpg",</v>
      </c>
      <c r="H1817" t="str">
        <f t="shared" si="57"/>
        <v>39_49</v>
      </c>
    </row>
    <row r="1818" spans="1:8" x14ac:dyDescent="0.2">
      <c r="A1818" s="9" t="s">
        <v>51</v>
      </c>
      <c r="C1818" t="str">
        <f t="shared" si="56"/>
        <v>"https://www.zeldadungeon.net/maps/totk/tiles/sky/6/39_50.jpg",</v>
      </c>
      <c r="H1818" t="str">
        <f t="shared" si="57"/>
        <v>39_50</v>
      </c>
    </row>
    <row r="1819" spans="1:8" x14ac:dyDescent="0.2">
      <c r="A1819" s="9" t="s">
        <v>51</v>
      </c>
      <c r="C1819" t="str">
        <f t="shared" si="56"/>
        <v>"https://www.zeldadungeon.net/maps/totk/tiles/sky/6/39_51.jpg",</v>
      </c>
      <c r="H1819" t="str">
        <f t="shared" si="57"/>
        <v>39_51</v>
      </c>
    </row>
    <row r="1820" spans="1:8" x14ac:dyDescent="0.2">
      <c r="A1820" s="9" t="s">
        <v>51</v>
      </c>
      <c r="C1820" t="str">
        <f t="shared" si="56"/>
        <v>"https://www.zeldadungeon.net/maps/totk/tiles/sky/6/39_52.jpg",</v>
      </c>
      <c r="H1820" t="str">
        <f t="shared" si="57"/>
        <v>39_52</v>
      </c>
    </row>
    <row r="1821" spans="1:8" x14ac:dyDescent="0.2">
      <c r="A1821" s="9" t="s">
        <v>51</v>
      </c>
      <c r="C1821" t="str">
        <f t="shared" si="56"/>
        <v>"https://www.zeldadungeon.net/maps/totk/tiles/sky/6/39_53.jpg",</v>
      </c>
      <c r="H1821" t="str">
        <f t="shared" si="57"/>
        <v>39_53</v>
      </c>
    </row>
    <row r="1822" spans="1:8" x14ac:dyDescent="0.2">
      <c r="A1822" s="9" t="s">
        <v>51</v>
      </c>
      <c r="C1822" t="str">
        <f t="shared" si="56"/>
        <v>"https://www.zeldadungeon.net/maps/totk/tiles/sky/6/39_54.jpg",</v>
      </c>
      <c r="H1822" t="str">
        <f t="shared" si="57"/>
        <v>39_54</v>
      </c>
    </row>
    <row r="1823" spans="1:8" x14ac:dyDescent="0.2">
      <c r="A1823" s="9" t="s">
        <v>51</v>
      </c>
      <c r="C1823" t="str">
        <f t="shared" si="56"/>
        <v>"https://www.zeldadungeon.net/maps/totk/tiles/sky/6/39_55.jpg",</v>
      </c>
      <c r="H1823" t="str">
        <f t="shared" si="57"/>
        <v>39_55</v>
      </c>
    </row>
    <row r="1824" spans="1:8" x14ac:dyDescent="0.2">
      <c r="A1824" s="9" t="s">
        <v>51</v>
      </c>
      <c r="C1824" t="str">
        <f t="shared" si="56"/>
        <v>"https://www.zeldadungeon.net/maps/totk/tiles/sky/6/40_8.jpg",</v>
      </c>
      <c r="H1824" t="str">
        <f t="shared" si="57"/>
        <v>40_8</v>
      </c>
    </row>
    <row r="1825" spans="1:8" x14ac:dyDescent="0.2">
      <c r="A1825" s="9" t="s">
        <v>51</v>
      </c>
      <c r="C1825" t="str">
        <f t="shared" si="56"/>
        <v>"https://www.zeldadungeon.net/maps/totk/tiles/sky/6/40_9.jpg",</v>
      </c>
      <c r="H1825" t="str">
        <f t="shared" si="57"/>
        <v>40_9</v>
      </c>
    </row>
    <row r="1826" spans="1:8" x14ac:dyDescent="0.2">
      <c r="A1826" s="9" t="s">
        <v>51</v>
      </c>
      <c r="C1826" t="str">
        <f t="shared" si="56"/>
        <v>"https://www.zeldadungeon.net/maps/totk/tiles/sky/6/40_10.jpg",</v>
      </c>
      <c r="H1826" t="str">
        <f t="shared" si="57"/>
        <v>40_10</v>
      </c>
    </row>
    <row r="1827" spans="1:8" x14ac:dyDescent="0.2">
      <c r="A1827" s="9" t="s">
        <v>51</v>
      </c>
      <c r="C1827" t="str">
        <f t="shared" si="56"/>
        <v>"https://www.zeldadungeon.net/maps/totk/tiles/sky/6/40_11.jpg",</v>
      </c>
      <c r="H1827" t="str">
        <f t="shared" si="57"/>
        <v>40_11</v>
      </c>
    </row>
    <row r="1828" spans="1:8" x14ac:dyDescent="0.2">
      <c r="A1828" s="9" t="s">
        <v>51</v>
      </c>
      <c r="C1828" t="str">
        <f t="shared" si="56"/>
        <v>"https://www.zeldadungeon.net/maps/totk/tiles/sky/6/40_12.jpg",</v>
      </c>
      <c r="H1828" t="str">
        <f t="shared" si="57"/>
        <v>40_12</v>
      </c>
    </row>
    <row r="1829" spans="1:8" x14ac:dyDescent="0.2">
      <c r="A1829" s="9" t="s">
        <v>51</v>
      </c>
      <c r="C1829" t="str">
        <f t="shared" si="56"/>
        <v>"https://www.zeldadungeon.net/maps/totk/tiles/sky/6/40_13.jpg",</v>
      </c>
      <c r="H1829" t="str">
        <f t="shared" si="57"/>
        <v>40_13</v>
      </c>
    </row>
    <row r="1830" spans="1:8" x14ac:dyDescent="0.2">
      <c r="A1830" s="9" t="s">
        <v>51</v>
      </c>
      <c r="C1830" t="str">
        <f t="shared" si="56"/>
        <v>"https://www.zeldadungeon.net/maps/totk/tiles/sky/6/40_14.jpg",</v>
      </c>
      <c r="H1830" t="str">
        <f t="shared" si="57"/>
        <v>40_14</v>
      </c>
    </row>
    <row r="1831" spans="1:8" x14ac:dyDescent="0.2">
      <c r="A1831" s="9" t="s">
        <v>51</v>
      </c>
      <c r="C1831" t="str">
        <f t="shared" si="56"/>
        <v>"https://www.zeldadungeon.net/maps/totk/tiles/sky/6/40_15.jpg",</v>
      </c>
      <c r="H1831" t="str">
        <f t="shared" si="57"/>
        <v>40_15</v>
      </c>
    </row>
    <row r="1832" spans="1:8" x14ac:dyDescent="0.2">
      <c r="A1832" s="9" t="s">
        <v>51</v>
      </c>
      <c r="C1832" t="str">
        <f t="shared" si="56"/>
        <v>"https://www.zeldadungeon.net/maps/totk/tiles/sky/6/40_16.jpg",</v>
      </c>
      <c r="H1832" t="str">
        <f t="shared" si="57"/>
        <v>40_16</v>
      </c>
    </row>
    <row r="1833" spans="1:8" x14ac:dyDescent="0.2">
      <c r="A1833" s="9" t="s">
        <v>51</v>
      </c>
      <c r="C1833" t="str">
        <f t="shared" si="56"/>
        <v>"https://www.zeldadungeon.net/maps/totk/tiles/sky/6/40_17.jpg",</v>
      </c>
      <c r="H1833" t="str">
        <f t="shared" si="57"/>
        <v>40_17</v>
      </c>
    </row>
    <row r="1834" spans="1:8" x14ac:dyDescent="0.2">
      <c r="A1834" s="9" t="s">
        <v>51</v>
      </c>
      <c r="C1834" t="str">
        <f t="shared" si="56"/>
        <v>"https://www.zeldadungeon.net/maps/totk/tiles/sky/6/40_18.jpg",</v>
      </c>
      <c r="H1834" t="str">
        <f t="shared" si="57"/>
        <v>40_18</v>
      </c>
    </row>
    <row r="1835" spans="1:8" x14ac:dyDescent="0.2">
      <c r="A1835" s="9" t="s">
        <v>51</v>
      </c>
      <c r="C1835" t="str">
        <f t="shared" si="56"/>
        <v>"https://www.zeldadungeon.net/maps/totk/tiles/sky/6/40_19.jpg",</v>
      </c>
      <c r="H1835" t="str">
        <f t="shared" si="57"/>
        <v>40_19</v>
      </c>
    </row>
    <row r="1836" spans="1:8" x14ac:dyDescent="0.2">
      <c r="A1836" s="9" t="s">
        <v>51</v>
      </c>
      <c r="C1836" t="str">
        <f t="shared" si="56"/>
        <v>"https://www.zeldadungeon.net/maps/totk/tiles/sky/6/40_20.jpg",</v>
      </c>
      <c r="H1836" t="str">
        <f t="shared" si="57"/>
        <v>40_20</v>
      </c>
    </row>
    <row r="1837" spans="1:8" x14ac:dyDescent="0.2">
      <c r="A1837" s="9" t="s">
        <v>51</v>
      </c>
      <c r="C1837" t="str">
        <f t="shared" si="56"/>
        <v>"https://www.zeldadungeon.net/maps/totk/tiles/sky/6/40_21.jpg",</v>
      </c>
      <c r="H1837" t="str">
        <f t="shared" si="57"/>
        <v>40_21</v>
      </c>
    </row>
    <row r="1838" spans="1:8" x14ac:dyDescent="0.2">
      <c r="A1838" s="9" t="s">
        <v>51</v>
      </c>
      <c r="C1838" t="str">
        <f t="shared" si="56"/>
        <v>"https://www.zeldadungeon.net/maps/totk/tiles/sky/6/40_22.jpg",</v>
      </c>
      <c r="H1838" t="str">
        <f t="shared" si="57"/>
        <v>40_22</v>
      </c>
    </row>
    <row r="1839" spans="1:8" x14ac:dyDescent="0.2">
      <c r="A1839" s="9" t="s">
        <v>51</v>
      </c>
      <c r="C1839" t="str">
        <f t="shared" si="56"/>
        <v>"https://www.zeldadungeon.net/maps/totk/tiles/sky/6/40_23.jpg",</v>
      </c>
      <c r="H1839" t="str">
        <f t="shared" si="57"/>
        <v>40_23</v>
      </c>
    </row>
    <row r="1840" spans="1:8" x14ac:dyDescent="0.2">
      <c r="A1840" s="9" t="s">
        <v>51</v>
      </c>
      <c r="C1840" t="str">
        <f t="shared" si="56"/>
        <v>"https://www.zeldadungeon.net/maps/totk/tiles/sky/6/40_24.jpg",</v>
      </c>
      <c r="H1840" t="str">
        <f t="shared" si="57"/>
        <v>40_24</v>
      </c>
    </row>
    <row r="1841" spans="1:8" x14ac:dyDescent="0.2">
      <c r="A1841" s="9" t="s">
        <v>51</v>
      </c>
      <c r="C1841" t="str">
        <f t="shared" si="56"/>
        <v>"https://www.zeldadungeon.net/maps/totk/tiles/sky/6/40_25.jpg",</v>
      </c>
      <c r="H1841" t="str">
        <f t="shared" si="57"/>
        <v>40_25</v>
      </c>
    </row>
    <row r="1842" spans="1:8" x14ac:dyDescent="0.2">
      <c r="A1842" s="9" t="s">
        <v>51</v>
      </c>
      <c r="C1842" t="str">
        <f t="shared" si="56"/>
        <v>"https://www.zeldadungeon.net/maps/totk/tiles/sky/6/40_26.jpg",</v>
      </c>
      <c r="H1842" t="str">
        <f t="shared" si="57"/>
        <v>40_26</v>
      </c>
    </row>
    <row r="1843" spans="1:8" x14ac:dyDescent="0.2">
      <c r="A1843" s="9" t="s">
        <v>51</v>
      </c>
      <c r="C1843" t="str">
        <f t="shared" si="56"/>
        <v>"https://www.zeldadungeon.net/maps/totk/tiles/sky/6/40_27.jpg",</v>
      </c>
      <c r="H1843" t="str">
        <f t="shared" si="57"/>
        <v>40_27</v>
      </c>
    </row>
    <row r="1844" spans="1:8" x14ac:dyDescent="0.2">
      <c r="A1844" s="9" t="s">
        <v>51</v>
      </c>
      <c r="C1844" t="str">
        <f t="shared" si="56"/>
        <v>"https://www.zeldadungeon.net/maps/totk/tiles/sky/6/40_28.jpg",</v>
      </c>
      <c r="H1844" t="str">
        <f t="shared" si="57"/>
        <v>40_28</v>
      </c>
    </row>
    <row r="1845" spans="1:8" x14ac:dyDescent="0.2">
      <c r="A1845" s="9" t="s">
        <v>51</v>
      </c>
      <c r="C1845" t="str">
        <f t="shared" si="56"/>
        <v>"https://www.zeldadungeon.net/maps/totk/tiles/sky/6/40_29.jpg",</v>
      </c>
      <c r="H1845" t="str">
        <f t="shared" si="57"/>
        <v>40_29</v>
      </c>
    </row>
    <row r="1846" spans="1:8" x14ac:dyDescent="0.2">
      <c r="A1846" s="9" t="s">
        <v>51</v>
      </c>
      <c r="C1846" t="str">
        <f t="shared" si="56"/>
        <v>"https://www.zeldadungeon.net/maps/totk/tiles/sky/6/40_30.jpg",</v>
      </c>
      <c r="H1846" t="str">
        <f t="shared" si="57"/>
        <v>40_30</v>
      </c>
    </row>
    <row r="1847" spans="1:8" x14ac:dyDescent="0.2">
      <c r="A1847" s="9" t="s">
        <v>51</v>
      </c>
      <c r="C1847" t="str">
        <f t="shared" si="56"/>
        <v>"https://www.zeldadungeon.net/maps/totk/tiles/sky/6/40_31.jpg",</v>
      </c>
      <c r="H1847" t="str">
        <f t="shared" si="57"/>
        <v>40_31</v>
      </c>
    </row>
    <row r="1848" spans="1:8" x14ac:dyDescent="0.2">
      <c r="A1848" s="9" t="s">
        <v>51</v>
      </c>
      <c r="C1848" t="str">
        <f t="shared" si="56"/>
        <v>"https://www.zeldadungeon.net/maps/totk/tiles/sky/6/40_32.jpg",</v>
      </c>
      <c r="H1848" t="str">
        <f t="shared" si="57"/>
        <v>40_32</v>
      </c>
    </row>
    <row r="1849" spans="1:8" x14ac:dyDescent="0.2">
      <c r="A1849" s="9" t="s">
        <v>51</v>
      </c>
      <c r="C1849" t="str">
        <f t="shared" si="56"/>
        <v>"https://www.zeldadungeon.net/maps/totk/tiles/sky/6/40_33.jpg",</v>
      </c>
      <c r="H1849" t="str">
        <f t="shared" si="57"/>
        <v>40_33</v>
      </c>
    </row>
    <row r="1850" spans="1:8" x14ac:dyDescent="0.2">
      <c r="A1850" s="9" t="s">
        <v>51</v>
      </c>
      <c r="C1850" t="str">
        <f t="shared" si="56"/>
        <v>"https://www.zeldadungeon.net/maps/totk/tiles/sky/6/40_34.jpg",</v>
      </c>
      <c r="H1850" t="str">
        <f t="shared" si="57"/>
        <v>40_34</v>
      </c>
    </row>
    <row r="1851" spans="1:8" x14ac:dyDescent="0.2">
      <c r="A1851" s="9" t="s">
        <v>51</v>
      </c>
      <c r="C1851" t="str">
        <f t="shared" si="56"/>
        <v>"https://www.zeldadungeon.net/maps/totk/tiles/sky/6/40_35.jpg",</v>
      </c>
      <c r="H1851" t="str">
        <f t="shared" si="57"/>
        <v>40_35</v>
      </c>
    </row>
    <row r="1852" spans="1:8" x14ac:dyDescent="0.2">
      <c r="A1852" s="9" t="s">
        <v>51</v>
      </c>
      <c r="C1852" t="str">
        <f t="shared" si="56"/>
        <v>"https://www.zeldadungeon.net/maps/totk/tiles/sky/6/40_36.jpg",</v>
      </c>
      <c r="H1852" t="str">
        <f t="shared" si="57"/>
        <v>40_36</v>
      </c>
    </row>
    <row r="1853" spans="1:8" x14ac:dyDescent="0.2">
      <c r="A1853" s="9" t="s">
        <v>51</v>
      </c>
      <c r="C1853" t="str">
        <f t="shared" si="56"/>
        <v>"https://www.zeldadungeon.net/maps/totk/tiles/sky/6/40_37.jpg",</v>
      </c>
      <c r="H1853" t="str">
        <f t="shared" si="57"/>
        <v>40_37</v>
      </c>
    </row>
    <row r="1854" spans="1:8" x14ac:dyDescent="0.2">
      <c r="A1854" s="9" t="s">
        <v>51</v>
      </c>
      <c r="C1854" t="str">
        <f t="shared" si="56"/>
        <v>"https://www.zeldadungeon.net/maps/totk/tiles/sky/6/40_38.jpg",</v>
      </c>
      <c r="H1854" t="str">
        <f t="shared" si="57"/>
        <v>40_38</v>
      </c>
    </row>
    <row r="1855" spans="1:8" x14ac:dyDescent="0.2">
      <c r="A1855" s="9" t="s">
        <v>51</v>
      </c>
      <c r="C1855" t="str">
        <f t="shared" si="56"/>
        <v>"https://www.zeldadungeon.net/maps/totk/tiles/sky/6/40_39.jpg",</v>
      </c>
      <c r="H1855" t="str">
        <f t="shared" si="57"/>
        <v>40_39</v>
      </c>
    </row>
    <row r="1856" spans="1:8" x14ac:dyDescent="0.2">
      <c r="A1856" s="9" t="s">
        <v>51</v>
      </c>
      <c r="C1856" t="str">
        <f t="shared" si="56"/>
        <v>"https://www.zeldadungeon.net/maps/totk/tiles/sky/6/40_40.jpg",</v>
      </c>
      <c r="H1856" t="str">
        <f t="shared" si="57"/>
        <v>40_40</v>
      </c>
    </row>
    <row r="1857" spans="1:8" x14ac:dyDescent="0.2">
      <c r="A1857" s="9" t="s">
        <v>51</v>
      </c>
      <c r="C1857" t="str">
        <f t="shared" ref="C1857:C1920" si="58">""""&amp;SUBSTITUTE(A1857,"zzz",H1857)&amp;""""&amp;","</f>
        <v>"https://www.zeldadungeon.net/maps/totk/tiles/sky/6/40_41.jpg",</v>
      </c>
      <c r="H1857" t="str">
        <f t="shared" ref="H1857:H1920" si="59">QUOTIENT(ROW(A1857),48)+2&amp;"_"&amp;MOD(ROW(A1857),48)+8</f>
        <v>40_41</v>
      </c>
    </row>
    <row r="1858" spans="1:8" x14ac:dyDescent="0.2">
      <c r="A1858" s="9" t="s">
        <v>51</v>
      </c>
      <c r="C1858" t="str">
        <f t="shared" si="58"/>
        <v>"https://www.zeldadungeon.net/maps/totk/tiles/sky/6/40_42.jpg",</v>
      </c>
      <c r="H1858" t="str">
        <f t="shared" si="59"/>
        <v>40_42</v>
      </c>
    </row>
    <row r="1859" spans="1:8" x14ac:dyDescent="0.2">
      <c r="A1859" s="9" t="s">
        <v>51</v>
      </c>
      <c r="C1859" t="str">
        <f t="shared" si="58"/>
        <v>"https://www.zeldadungeon.net/maps/totk/tiles/sky/6/40_43.jpg",</v>
      </c>
      <c r="H1859" t="str">
        <f t="shared" si="59"/>
        <v>40_43</v>
      </c>
    </row>
    <row r="1860" spans="1:8" x14ac:dyDescent="0.2">
      <c r="A1860" s="9" t="s">
        <v>51</v>
      </c>
      <c r="C1860" t="str">
        <f t="shared" si="58"/>
        <v>"https://www.zeldadungeon.net/maps/totk/tiles/sky/6/40_44.jpg",</v>
      </c>
      <c r="H1860" t="str">
        <f t="shared" si="59"/>
        <v>40_44</v>
      </c>
    </row>
    <row r="1861" spans="1:8" x14ac:dyDescent="0.2">
      <c r="A1861" s="9" t="s">
        <v>51</v>
      </c>
      <c r="C1861" t="str">
        <f t="shared" si="58"/>
        <v>"https://www.zeldadungeon.net/maps/totk/tiles/sky/6/40_45.jpg",</v>
      </c>
      <c r="H1861" t="str">
        <f t="shared" si="59"/>
        <v>40_45</v>
      </c>
    </row>
    <row r="1862" spans="1:8" x14ac:dyDescent="0.2">
      <c r="A1862" s="9" t="s">
        <v>51</v>
      </c>
      <c r="C1862" t="str">
        <f t="shared" si="58"/>
        <v>"https://www.zeldadungeon.net/maps/totk/tiles/sky/6/40_46.jpg",</v>
      </c>
      <c r="H1862" t="str">
        <f t="shared" si="59"/>
        <v>40_46</v>
      </c>
    </row>
    <row r="1863" spans="1:8" x14ac:dyDescent="0.2">
      <c r="A1863" s="9" t="s">
        <v>51</v>
      </c>
      <c r="C1863" t="str">
        <f t="shared" si="58"/>
        <v>"https://www.zeldadungeon.net/maps/totk/tiles/sky/6/40_47.jpg",</v>
      </c>
      <c r="H1863" t="str">
        <f t="shared" si="59"/>
        <v>40_47</v>
      </c>
    </row>
    <row r="1864" spans="1:8" x14ac:dyDescent="0.2">
      <c r="A1864" s="9" t="s">
        <v>51</v>
      </c>
      <c r="C1864" t="str">
        <f t="shared" si="58"/>
        <v>"https://www.zeldadungeon.net/maps/totk/tiles/sky/6/40_48.jpg",</v>
      </c>
      <c r="H1864" t="str">
        <f t="shared" si="59"/>
        <v>40_48</v>
      </c>
    </row>
    <row r="1865" spans="1:8" x14ac:dyDescent="0.2">
      <c r="A1865" s="9" t="s">
        <v>51</v>
      </c>
      <c r="C1865" t="str">
        <f t="shared" si="58"/>
        <v>"https://www.zeldadungeon.net/maps/totk/tiles/sky/6/40_49.jpg",</v>
      </c>
      <c r="H1865" t="str">
        <f t="shared" si="59"/>
        <v>40_49</v>
      </c>
    </row>
    <row r="1866" spans="1:8" x14ac:dyDescent="0.2">
      <c r="A1866" s="9" t="s">
        <v>51</v>
      </c>
      <c r="C1866" t="str">
        <f t="shared" si="58"/>
        <v>"https://www.zeldadungeon.net/maps/totk/tiles/sky/6/40_50.jpg",</v>
      </c>
      <c r="H1866" t="str">
        <f t="shared" si="59"/>
        <v>40_50</v>
      </c>
    </row>
    <row r="1867" spans="1:8" x14ac:dyDescent="0.2">
      <c r="A1867" s="9" t="s">
        <v>51</v>
      </c>
      <c r="C1867" t="str">
        <f t="shared" si="58"/>
        <v>"https://www.zeldadungeon.net/maps/totk/tiles/sky/6/40_51.jpg",</v>
      </c>
      <c r="H1867" t="str">
        <f t="shared" si="59"/>
        <v>40_51</v>
      </c>
    </row>
    <row r="1868" spans="1:8" x14ac:dyDescent="0.2">
      <c r="A1868" s="9" t="s">
        <v>51</v>
      </c>
      <c r="C1868" t="str">
        <f t="shared" si="58"/>
        <v>"https://www.zeldadungeon.net/maps/totk/tiles/sky/6/40_52.jpg",</v>
      </c>
      <c r="H1868" t="str">
        <f t="shared" si="59"/>
        <v>40_52</v>
      </c>
    </row>
    <row r="1869" spans="1:8" x14ac:dyDescent="0.2">
      <c r="A1869" s="9" t="s">
        <v>51</v>
      </c>
      <c r="C1869" t="str">
        <f t="shared" si="58"/>
        <v>"https://www.zeldadungeon.net/maps/totk/tiles/sky/6/40_53.jpg",</v>
      </c>
      <c r="H1869" t="str">
        <f t="shared" si="59"/>
        <v>40_53</v>
      </c>
    </row>
    <row r="1870" spans="1:8" x14ac:dyDescent="0.2">
      <c r="A1870" s="9" t="s">
        <v>51</v>
      </c>
      <c r="C1870" t="str">
        <f t="shared" si="58"/>
        <v>"https://www.zeldadungeon.net/maps/totk/tiles/sky/6/40_54.jpg",</v>
      </c>
      <c r="H1870" t="str">
        <f t="shared" si="59"/>
        <v>40_54</v>
      </c>
    </row>
    <row r="1871" spans="1:8" x14ac:dyDescent="0.2">
      <c r="A1871" s="9" t="s">
        <v>51</v>
      </c>
      <c r="C1871" t="str">
        <f t="shared" si="58"/>
        <v>"https://www.zeldadungeon.net/maps/totk/tiles/sky/6/40_55.jpg",</v>
      </c>
      <c r="H1871" t="str">
        <f t="shared" si="59"/>
        <v>40_55</v>
      </c>
    </row>
    <row r="1872" spans="1:8" x14ac:dyDescent="0.2">
      <c r="A1872" s="9" t="s">
        <v>51</v>
      </c>
      <c r="C1872" t="str">
        <f t="shared" si="58"/>
        <v>"https://www.zeldadungeon.net/maps/totk/tiles/sky/6/41_8.jpg",</v>
      </c>
      <c r="H1872" t="str">
        <f t="shared" si="59"/>
        <v>41_8</v>
      </c>
    </row>
    <row r="1873" spans="1:8" x14ac:dyDescent="0.2">
      <c r="A1873" s="9" t="s">
        <v>51</v>
      </c>
      <c r="C1873" t="str">
        <f t="shared" si="58"/>
        <v>"https://www.zeldadungeon.net/maps/totk/tiles/sky/6/41_9.jpg",</v>
      </c>
      <c r="H1873" t="str">
        <f t="shared" si="59"/>
        <v>41_9</v>
      </c>
    </row>
    <row r="1874" spans="1:8" x14ac:dyDescent="0.2">
      <c r="A1874" s="9" t="s">
        <v>51</v>
      </c>
      <c r="C1874" t="str">
        <f t="shared" si="58"/>
        <v>"https://www.zeldadungeon.net/maps/totk/tiles/sky/6/41_10.jpg",</v>
      </c>
      <c r="H1874" t="str">
        <f t="shared" si="59"/>
        <v>41_10</v>
      </c>
    </row>
    <row r="1875" spans="1:8" x14ac:dyDescent="0.2">
      <c r="A1875" s="9" t="s">
        <v>51</v>
      </c>
      <c r="C1875" t="str">
        <f t="shared" si="58"/>
        <v>"https://www.zeldadungeon.net/maps/totk/tiles/sky/6/41_11.jpg",</v>
      </c>
      <c r="H1875" t="str">
        <f t="shared" si="59"/>
        <v>41_11</v>
      </c>
    </row>
    <row r="1876" spans="1:8" x14ac:dyDescent="0.2">
      <c r="A1876" s="9" t="s">
        <v>51</v>
      </c>
      <c r="C1876" t="str">
        <f t="shared" si="58"/>
        <v>"https://www.zeldadungeon.net/maps/totk/tiles/sky/6/41_12.jpg",</v>
      </c>
      <c r="H1876" t="str">
        <f t="shared" si="59"/>
        <v>41_12</v>
      </c>
    </row>
    <row r="1877" spans="1:8" x14ac:dyDescent="0.2">
      <c r="A1877" s="9" t="s">
        <v>51</v>
      </c>
      <c r="C1877" t="str">
        <f t="shared" si="58"/>
        <v>"https://www.zeldadungeon.net/maps/totk/tiles/sky/6/41_13.jpg",</v>
      </c>
      <c r="H1877" t="str">
        <f t="shared" si="59"/>
        <v>41_13</v>
      </c>
    </row>
    <row r="1878" spans="1:8" x14ac:dyDescent="0.2">
      <c r="A1878" s="9" t="s">
        <v>51</v>
      </c>
      <c r="C1878" t="str">
        <f t="shared" si="58"/>
        <v>"https://www.zeldadungeon.net/maps/totk/tiles/sky/6/41_14.jpg",</v>
      </c>
      <c r="H1878" t="str">
        <f t="shared" si="59"/>
        <v>41_14</v>
      </c>
    </row>
    <row r="1879" spans="1:8" x14ac:dyDescent="0.2">
      <c r="A1879" s="9" t="s">
        <v>51</v>
      </c>
      <c r="C1879" t="str">
        <f t="shared" si="58"/>
        <v>"https://www.zeldadungeon.net/maps/totk/tiles/sky/6/41_15.jpg",</v>
      </c>
      <c r="H1879" t="str">
        <f t="shared" si="59"/>
        <v>41_15</v>
      </c>
    </row>
    <row r="1880" spans="1:8" x14ac:dyDescent="0.2">
      <c r="A1880" s="9" t="s">
        <v>51</v>
      </c>
      <c r="C1880" t="str">
        <f t="shared" si="58"/>
        <v>"https://www.zeldadungeon.net/maps/totk/tiles/sky/6/41_16.jpg",</v>
      </c>
      <c r="H1880" t="str">
        <f t="shared" si="59"/>
        <v>41_16</v>
      </c>
    </row>
    <row r="1881" spans="1:8" x14ac:dyDescent="0.2">
      <c r="A1881" s="9" t="s">
        <v>51</v>
      </c>
      <c r="C1881" t="str">
        <f t="shared" si="58"/>
        <v>"https://www.zeldadungeon.net/maps/totk/tiles/sky/6/41_17.jpg",</v>
      </c>
      <c r="H1881" t="str">
        <f t="shared" si="59"/>
        <v>41_17</v>
      </c>
    </row>
    <row r="1882" spans="1:8" x14ac:dyDescent="0.2">
      <c r="A1882" s="9" t="s">
        <v>51</v>
      </c>
      <c r="C1882" t="str">
        <f t="shared" si="58"/>
        <v>"https://www.zeldadungeon.net/maps/totk/tiles/sky/6/41_18.jpg",</v>
      </c>
      <c r="H1882" t="str">
        <f t="shared" si="59"/>
        <v>41_18</v>
      </c>
    </row>
    <row r="1883" spans="1:8" x14ac:dyDescent="0.2">
      <c r="A1883" s="9" t="s">
        <v>51</v>
      </c>
      <c r="C1883" t="str">
        <f t="shared" si="58"/>
        <v>"https://www.zeldadungeon.net/maps/totk/tiles/sky/6/41_19.jpg",</v>
      </c>
      <c r="H1883" t="str">
        <f t="shared" si="59"/>
        <v>41_19</v>
      </c>
    </row>
    <row r="1884" spans="1:8" x14ac:dyDescent="0.2">
      <c r="A1884" s="9" t="s">
        <v>51</v>
      </c>
      <c r="C1884" t="str">
        <f t="shared" si="58"/>
        <v>"https://www.zeldadungeon.net/maps/totk/tiles/sky/6/41_20.jpg",</v>
      </c>
      <c r="H1884" t="str">
        <f t="shared" si="59"/>
        <v>41_20</v>
      </c>
    </row>
    <row r="1885" spans="1:8" x14ac:dyDescent="0.2">
      <c r="A1885" s="9" t="s">
        <v>51</v>
      </c>
      <c r="C1885" t="str">
        <f t="shared" si="58"/>
        <v>"https://www.zeldadungeon.net/maps/totk/tiles/sky/6/41_21.jpg",</v>
      </c>
      <c r="H1885" t="str">
        <f t="shared" si="59"/>
        <v>41_21</v>
      </c>
    </row>
    <row r="1886" spans="1:8" x14ac:dyDescent="0.2">
      <c r="A1886" s="9" t="s">
        <v>51</v>
      </c>
      <c r="C1886" t="str">
        <f t="shared" si="58"/>
        <v>"https://www.zeldadungeon.net/maps/totk/tiles/sky/6/41_22.jpg",</v>
      </c>
      <c r="H1886" t="str">
        <f t="shared" si="59"/>
        <v>41_22</v>
      </c>
    </row>
    <row r="1887" spans="1:8" x14ac:dyDescent="0.2">
      <c r="A1887" s="9" t="s">
        <v>51</v>
      </c>
      <c r="C1887" t="str">
        <f t="shared" si="58"/>
        <v>"https://www.zeldadungeon.net/maps/totk/tiles/sky/6/41_23.jpg",</v>
      </c>
      <c r="H1887" t="str">
        <f t="shared" si="59"/>
        <v>41_23</v>
      </c>
    </row>
    <row r="1888" spans="1:8" x14ac:dyDescent="0.2">
      <c r="A1888" s="9" t="s">
        <v>51</v>
      </c>
      <c r="C1888" t="str">
        <f t="shared" si="58"/>
        <v>"https://www.zeldadungeon.net/maps/totk/tiles/sky/6/41_24.jpg",</v>
      </c>
      <c r="H1888" t="str">
        <f t="shared" si="59"/>
        <v>41_24</v>
      </c>
    </row>
    <row r="1889" spans="1:8" x14ac:dyDescent="0.2">
      <c r="A1889" s="9" t="s">
        <v>51</v>
      </c>
      <c r="C1889" t="str">
        <f t="shared" si="58"/>
        <v>"https://www.zeldadungeon.net/maps/totk/tiles/sky/6/41_25.jpg",</v>
      </c>
      <c r="H1889" t="str">
        <f t="shared" si="59"/>
        <v>41_25</v>
      </c>
    </row>
    <row r="1890" spans="1:8" x14ac:dyDescent="0.2">
      <c r="A1890" s="9" t="s">
        <v>51</v>
      </c>
      <c r="C1890" t="str">
        <f t="shared" si="58"/>
        <v>"https://www.zeldadungeon.net/maps/totk/tiles/sky/6/41_26.jpg",</v>
      </c>
      <c r="H1890" t="str">
        <f t="shared" si="59"/>
        <v>41_26</v>
      </c>
    </row>
    <row r="1891" spans="1:8" x14ac:dyDescent="0.2">
      <c r="A1891" s="9" t="s">
        <v>51</v>
      </c>
      <c r="C1891" t="str">
        <f t="shared" si="58"/>
        <v>"https://www.zeldadungeon.net/maps/totk/tiles/sky/6/41_27.jpg",</v>
      </c>
      <c r="H1891" t="str">
        <f t="shared" si="59"/>
        <v>41_27</v>
      </c>
    </row>
    <row r="1892" spans="1:8" x14ac:dyDescent="0.2">
      <c r="A1892" s="9" t="s">
        <v>51</v>
      </c>
      <c r="C1892" t="str">
        <f t="shared" si="58"/>
        <v>"https://www.zeldadungeon.net/maps/totk/tiles/sky/6/41_28.jpg",</v>
      </c>
      <c r="H1892" t="str">
        <f t="shared" si="59"/>
        <v>41_28</v>
      </c>
    </row>
    <row r="1893" spans="1:8" x14ac:dyDescent="0.2">
      <c r="A1893" s="9" t="s">
        <v>51</v>
      </c>
      <c r="C1893" t="str">
        <f t="shared" si="58"/>
        <v>"https://www.zeldadungeon.net/maps/totk/tiles/sky/6/41_29.jpg",</v>
      </c>
      <c r="H1893" t="str">
        <f t="shared" si="59"/>
        <v>41_29</v>
      </c>
    </row>
    <row r="1894" spans="1:8" x14ac:dyDescent="0.2">
      <c r="A1894" s="9" t="s">
        <v>51</v>
      </c>
      <c r="C1894" t="str">
        <f t="shared" si="58"/>
        <v>"https://www.zeldadungeon.net/maps/totk/tiles/sky/6/41_30.jpg",</v>
      </c>
      <c r="H1894" t="str">
        <f t="shared" si="59"/>
        <v>41_30</v>
      </c>
    </row>
    <row r="1895" spans="1:8" x14ac:dyDescent="0.2">
      <c r="A1895" s="9" t="s">
        <v>51</v>
      </c>
      <c r="C1895" t="str">
        <f t="shared" si="58"/>
        <v>"https://www.zeldadungeon.net/maps/totk/tiles/sky/6/41_31.jpg",</v>
      </c>
      <c r="H1895" t="str">
        <f t="shared" si="59"/>
        <v>41_31</v>
      </c>
    </row>
    <row r="1896" spans="1:8" x14ac:dyDescent="0.2">
      <c r="A1896" s="9" t="s">
        <v>51</v>
      </c>
      <c r="C1896" t="str">
        <f t="shared" si="58"/>
        <v>"https://www.zeldadungeon.net/maps/totk/tiles/sky/6/41_32.jpg",</v>
      </c>
      <c r="H1896" t="str">
        <f t="shared" si="59"/>
        <v>41_32</v>
      </c>
    </row>
    <row r="1897" spans="1:8" x14ac:dyDescent="0.2">
      <c r="A1897" s="9" t="s">
        <v>51</v>
      </c>
      <c r="C1897" t="str">
        <f t="shared" si="58"/>
        <v>"https://www.zeldadungeon.net/maps/totk/tiles/sky/6/41_33.jpg",</v>
      </c>
      <c r="H1897" t="str">
        <f t="shared" si="59"/>
        <v>41_33</v>
      </c>
    </row>
    <row r="1898" spans="1:8" x14ac:dyDescent="0.2">
      <c r="A1898" s="9" t="s">
        <v>51</v>
      </c>
      <c r="C1898" t="str">
        <f t="shared" si="58"/>
        <v>"https://www.zeldadungeon.net/maps/totk/tiles/sky/6/41_34.jpg",</v>
      </c>
      <c r="H1898" t="str">
        <f t="shared" si="59"/>
        <v>41_34</v>
      </c>
    </row>
    <row r="1899" spans="1:8" x14ac:dyDescent="0.2">
      <c r="A1899" s="9" t="s">
        <v>51</v>
      </c>
      <c r="C1899" t="str">
        <f t="shared" si="58"/>
        <v>"https://www.zeldadungeon.net/maps/totk/tiles/sky/6/41_35.jpg",</v>
      </c>
      <c r="H1899" t="str">
        <f t="shared" si="59"/>
        <v>41_35</v>
      </c>
    </row>
    <row r="1900" spans="1:8" x14ac:dyDescent="0.2">
      <c r="A1900" s="9" t="s">
        <v>51</v>
      </c>
      <c r="C1900" t="str">
        <f t="shared" si="58"/>
        <v>"https://www.zeldadungeon.net/maps/totk/tiles/sky/6/41_36.jpg",</v>
      </c>
      <c r="H1900" t="str">
        <f t="shared" si="59"/>
        <v>41_36</v>
      </c>
    </row>
    <row r="1901" spans="1:8" x14ac:dyDescent="0.2">
      <c r="A1901" s="9" t="s">
        <v>51</v>
      </c>
      <c r="C1901" t="str">
        <f t="shared" si="58"/>
        <v>"https://www.zeldadungeon.net/maps/totk/tiles/sky/6/41_37.jpg",</v>
      </c>
      <c r="H1901" t="str">
        <f t="shared" si="59"/>
        <v>41_37</v>
      </c>
    </row>
    <row r="1902" spans="1:8" x14ac:dyDescent="0.2">
      <c r="A1902" s="9" t="s">
        <v>51</v>
      </c>
      <c r="C1902" t="str">
        <f t="shared" si="58"/>
        <v>"https://www.zeldadungeon.net/maps/totk/tiles/sky/6/41_38.jpg",</v>
      </c>
      <c r="H1902" t="str">
        <f t="shared" si="59"/>
        <v>41_38</v>
      </c>
    </row>
    <row r="1903" spans="1:8" x14ac:dyDescent="0.2">
      <c r="A1903" s="9" t="s">
        <v>51</v>
      </c>
      <c r="C1903" t="str">
        <f t="shared" si="58"/>
        <v>"https://www.zeldadungeon.net/maps/totk/tiles/sky/6/41_39.jpg",</v>
      </c>
      <c r="H1903" t="str">
        <f t="shared" si="59"/>
        <v>41_39</v>
      </c>
    </row>
    <row r="1904" spans="1:8" x14ac:dyDescent="0.2">
      <c r="A1904" s="9" t="s">
        <v>51</v>
      </c>
      <c r="C1904" t="str">
        <f t="shared" si="58"/>
        <v>"https://www.zeldadungeon.net/maps/totk/tiles/sky/6/41_40.jpg",</v>
      </c>
      <c r="H1904" t="str">
        <f t="shared" si="59"/>
        <v>41_40</v>
      </c>
    </row>
    <row r="1905" spans="1:8" x14ac:dyDescent="0.2">
      <c r="A1905" s="9" t="s">
        <v>51</v>
      </c>
      <c r="C1905" t="str">
        <f t="shared" si="58"/>
        <v>"https://www.zeldadungeon.net/maps/totk/tiles/sky/6/41_41.jpg",</v>
      </c>
      <c r="H1905" t="str">
        <f t="shared" si="59"/>
        <v>41_41</v>
      </c>
    </row>
    <row r="1906" spans="1:8" x14ac:dyDescent="0.2">
      <c r="A1906" s="9" t="s">
        <v>51</v>
      </c>
      <c r="C1906" t="str">
        <f t="shared" si="58"/>
        <v>"https://www.zeldadungeon.net/maps/totk/tiles/sky/6/41_42.jpg",</v>
      </c>
      <c r="H1906" t="str">
        <f t="shared" si="59"/>
        <v>41_42</v>
      </c>
    </row>
    <row r="1907" spans="1:8" x14ac:dyDescent="0.2">
      <c r="A1907" s="9" t="s">
        <v>51</v>
      </c>
      <c r="C1907" t="str">
        <f t="shared" si="58"/>
        <v>"https://www.zeldadungeon.net/maps/totk/tiles/sky/6/41_43.jpg",</v>
      </c>
      <c r="H1907" t="str">
        <f t="shared" si="59"/>
        <v>41_43</v>
      </c>
    </row>
    <row r="1908" spans="1:8" x14ac:dyDescent="0.2">
      <c r="A1908" s="9" t="s">
        <v>51</v>
      </c>
      <c r="C1908" t="str">
        <f t="shared" si="58"/>
        <v>"https://www.zeldadungeon.net/maps/totk/tiles/sky/6/41_44.jpg",</v>
      </c>
      <c r="H1908" t="str">
        <f t="shared" si="59"/>
        <v>41_44</v>
      </c>
    </row>
    <row r="1909" spans="1:8" x14ac:dyDescent="0.2">
      <c r="A1909" s="9" t="s">
        <v>51</v>
      </c>
      <c r="C1909" t="str">
        <f t="shared" si="58"/>
        <v>"https://www.zeldadungeon.net/maps/totk/tiles/sky/6/41_45.jpg",</v>
      </c>
      <c r="H1909" t="str">
        <f t="shared" si="59"/>
        <v>41_45</v>
      </c>
    </row>
    <row r="1910" spans="1:8" x14ac:dyDescent="0.2">
      <c r="A1910" s="9" t="s">
        <v>51</v>
      </c>
      <c r="C1910" t="str">
        <f t="shared" si="58"/>
        <v>"https://www.zeldadungeon.net/maps/totk/tiles/sky/6/41_46.jpg",</v>
      </c>
      <c r="H1910" t="str">
        <f t="shared" si="59"/>
        <v>41_46</v>
      </c>
    </row>
    <row r="1911" spans="1:8" x14ac:dyDescent="0.2">
      <c r="A1911" s="9" t="s">
        <v>51</v>
      </c>
      <c r="C1911" t="str">
        <f t="shared" si="58"/>
        <v>"https://www.zeldadungeon.net/maps/totk/tiles/sky/6/41_47.jpg",</v>
      </c>
      <c r="H1911" t="str">
        <f t="shared" si="59"/>
        <v>41_47</v>
      </c>
    </row>
    <row r="1912" spans="1:8" x14ac:dyDescent="0.2">
      <c r="A1912" s="9" t="s">
        <v>51</v>
      </c>
      <c r="C1912" t="str">
        <f t="shared" si="58"/>
        <v>"https://www.zeldadungeon.net/maps/totk/tiles/sky/6/41_48.jpg",</v>
      </c>
      <c r="H1912" t="str">
        <f t="shared" si="59"/>
        <v>41_48</v>
      </c>
    </row>
    <row r="1913" spans="1:8" x14ac:dyDescent="0.2">
      <c r="A1913" s="9" t="s">
        <v>51</v>
      </c>
      <c r="C1913" t="str">
        <f t="shared" si="58"/>
        <v>"https://www.zeldadungeon.net/maps/totk/tiles/sky/6/41_49.jpg",</v>
      </c>
      <c r="H1913" t="str">
        <f t="shared" si="59"/>
        <v>41_49</v>
      </c>
    </row>
    <row r="1914" spans="1:8" x14ac:dyDescent="0.2">
      <c r="A1914" s="9" t="s">
        <v>51</v>
      </c>
      <c r="C1914" t="str">
        <f t="shared" si="58"/>
        <v>"https://www.zeldadungeon.net/maps/totk/tiles/sky/6/41_50.jpg",</v>
      </c>
      <c r="H1914" t="str">
        <f t="shared" si="59"/>
        <v>41_50</v>
      </c>
    </row>
    <row r="1915" spans="1:8" x14ac:dyDescent="0.2">
      <c r="A1915" s="9" t="s">
        <v>51</v>
      </c>
      <c r="C1915" t="str">
        <f t="shared" si="58"/>
        <v>"https://www.zeldadungeon.net/maps/totk/tiles/sky/6/41_51.jpg",</v>
      </c>
      <c r="H1915" t="str">
        <f t="shared" si="59"/>
        <v>41_51</v>
      </c>
    </row>
    <row r="1916" spans="1:8" x14ac:dyDescent="0.2">
      <c r="A1916" s="9" t="s">
        <v>51</v>
      </c>
      <c r="C1916" t="str">
        <f t="shared" si="58"/>
        <v>"https://www.zeldadungeon.net/maps/totk/tiles/sky/6/41_52.jpg",</v>
      </c>
      <c r="H1916" t="str">
        <f t="shared" si="59"/>
        <v>41_52</v>
      </c>
    </row>
    <row r="1917" spans="1:8" x14ac:dyDescent="0.2">
      <c r="A1917" s="9" t="s">
        <v>51</v>
      </c>
      <c r="C1917" t="str">
        <f t="shared" si="58"/>
        <v>"https://www.zeldadungeon.net/maps/totk/tiles/sky/6/41_53.jpg",</v>
      </c>
      <c r="H1917" t="str">
        <f t="shared" si="59"/>
        <v>41_53</v>
      </c>
    </row>
    <row r="1918" spans="1:8" x14ac:dyDescent="0.2">
      <c r="A1918" s="9" t="s">
        <v>51</v>
      </c>
      <c r="C1918" t="str">
        <f t="shared" si="58"/>
        <v>"https://www.zeldadungeon.net/maps/totk/tiles/sky/6/41_54.jpg",</v>
      </c>
      <c r="H1918" t="str">
        <f t="shared" si="59"/>
        <v>41_54</v>
      </c>
    </row>
    <row r="1919" spans="1:8" x14ac:dyDescent="0.2">
      <c r="A1919" s="9" t="s">
        <v>51</v>
      </c>
      <c r="C1919" t="str">
        <f t="shared" si="58"/>
        <v>"https://www.zeldadungeon.net/maps/totk/tiles/sky/6/41_55.jpg",</v>
      </c>
      <c r="H1919" t="str">
        <f t="shared" si="59"/>
        <v>41_55</v>
      </c>
    </row>
    <row r="1920" spans="1:8" x14ac:dyDescent="0.2">
      <c r="A1920" s="9" t="s">
        <v>51</v>
      </c>
      <c r="C1920" t="str">
        <f t="shared" si="58"/>
        <v>"https://www.zeldadungeon.net/maps/totk/tiles/sky/6/42_8.jpg",</v>
      </c>
      <c r="H1920" t="str">
        <f t="shared" si="59"/>
        <v>42_8</v>
      </c>
    </row>
    <row r="1921" spans="1:8" x14ac:dyDescent="0.2">
      <c r="A1921" s="9" t="s">
        <v>51</v>
      </c>
      <c r="C1921" t="str">
        <f t="shared" ref="C1921:C1984" si="60">""""&amp;SUBSTITUTE(A1921,"zzz",H1921)&amp;""""&amp;","</f>
        <v>"https://www.zeldadungeon.net/maps/totk/tiles/sky/6/42_9.jpg",</v>
      </c>
      <c r="H1921" t="str">
        <f t="shared" ref="H1921:H1984" si="61">QUOTIENT(ROW(A1921),48)+2&amp;"_"&amp;MOD(ROW(A1921),48)+8</f>
        <v>42_9</v>
      </c>
    </row>
    <row r="1922" spans="1:8" x14ac:dyDescent="0.2">
      <c r="A1922" s="9" t="s">
        <v>51</v>
      </c>
      <c r="C1922" t="str">
        <f t="shared" si="60"/>
        <v>"https://www.zeldadungeon.net/maps/totk/tiles/sky/6/42_10.jpg",</v>
      </c>
      <c r="H1922" t="str">
        <f t="shared" si="61"/>
        <v>42_10</v>
      </c>
    </row>
    <row r="1923" spans="1:8" x14ac:dyDescent="0.2">
      <c r="A1923" s="9" t="s">
        <v>51</v>
      </c>
      <c r="C1923" t="str">
        <f t="shared" si="60"/>
        <v>"https://www.zeldadungeon.net/maps/totk/tiles/sky/6/42_11.jpg",</v>
      </c>
      <c r="H1923" t="str">
        <f t="shared" si="61"/>
        <v>42_11</v>
      </c>
    </row>
    <row r="1924" spans="1:8" x14ac:dyDescent="0.2">
      <c r="A1924" s="9" t="s">
        <v>51</v>
      </c>
      <c r="C1924" t="str">
        <f t="shared" si="60"/>
        <v>"https://www.zeldadungeon.net/maps/totk/tiles/sky/6/42_12.jpg",</v>
      </c>
      <c r="H1924" t="str">
        <f t="shared" si="61"/>
        <v>42_12</v>
      </c>
    </row>
    <row r="1925" spans="1:8" x14ac:dyDescent="0.2">
      <c r="A1925" s="9" t="s">
        <v>51</v>
      </c>
      <c r="C1925" t="str">
        <f t="shared" si="60"/>
        <v>"https://www.zeldadungeon.net/maps/totk/tiles/sky/6/42_13.jpg",</v>
      </c>
      <c r="H1925" t="str">
        <f t="shared" si="61"/>
        <v>42_13</v>
      </c>
    </row>
    <row r="1926" spans="1:8" x14ac:dyDescent="0.2">
      <c r="A1926" s="9" t="s">
        <v>51</v>
      </c>
      <c r="C1926" t="str">
        <f t="shared" si="60"/>
        <v>"https://www.zeldadungeon.net/maps/totk/tiles/sky/6/42_14.jpg",</v>
      </c>
      <c r="H1926" t="str">
        <f t="shared" si="61"/>
        <v>42_14</v>
      </c>
    </row>
    <row r="1927" spans="1:8" x14ac:dyDescent="0.2">
      <c r="A1927" s="9" t="s">
        <v>51</v>
      </c>
      <c r="C1927" t="str">
        <f t="shared" si="60"/>
        <v>"https://www.zeldadungeon.net/maps/totk/tiles/sky/6/42_15.jpg",</v>
      </c>
      <c r="H1927" t="str">
        <f t="shared" si="61"/>
        <v>42_15</v>
      </c>
    </row>
    <row r="1928" spans="1:8" x14ac:dyDescent="0.2">
      <c r="A1928" s="9" t="s">
        <v>51</v>
      </c>
      <c r="C1928" t="str">
        <f t="shared" si="60"/>
        <v>"https://www.zeldadungeon.net/maps/totk/tiles/sky/6/42_16.jpg",</v>
      </c>
      <c r="H1928" t="str">
        <f t="shared" si="61"/>
        <v>42_16</v>
      </c>
    </row>
    <row r="1929" spans="1:8" x14ac:dyDescent="0.2">
      <c r="A1929" s="9" t="s">
        <v>51</v>
      </c>
      <c r="C1929" t="str">
        <f t="shared" si="60"/>
        <v>"https://www.zeldadungeon.net/maps/totk/tiles/sky/6/42_17.jpg",</v>
      </c>
      <c r="H1929" t="str">
        <f t="shared" si="61"/>
        <v>42_17</v>
      </c>
    </row>
    <row r="1930" spans="1:8" x14ac:dyDescent="0.2">
      <c r="A1930" s="9" t="s">
        <v>51</v>
      </c>
      <c r="C1930" t="str">
        <f t="shared" si="60"/>
        <v>"https://www.zeldadungeon.net/maps/totk/tiles/sky/6/42_18.jpg",</v>
      </c>
      <c r="H1930" t="str">
        <f t="shared" si="61"/>
        <v>42_18</v>
      </c>
    </row>
    <row r="1931" spans="1:8" x14ac:dyDescent="0.2">
      <c r="A1931" s="9" t="s">
        <v>51</v>
      </c>
      <c r="C1931" t="str">
        <f t="shared" si="60"/>
        <v>"https://www.zeldadungeon.net/maps/totk/tiles/sky/6/42_19.jpg",</v>
      </c>
      <c r="H1931" t="str">
        <f t="shared" si="61"/>
        <v>42_19</v>
      </c>
    </row>
    <row r="1932" spans="1:8" x14ac:dyDescent="0.2">
      <c r="A1932" s="9" t="s">
        <v>51</v>
      </c>
      <c r="C1932" t="str">
        <f t="shared" si="60"/>
        <v>"https://www.zeldadungeon.net/maps/totk/tiles/sky/6/42_20.jpg",</v>
      </c>
      <c r="H1932" t="str">
        <f t="shared" si="61"/>
        <v>42_20</v>
      </c>
    </row>
    <row r="1933" spans="1:8" x14ac:dyDescent="0.2">
      <c r="A1933" s="9" t="s">
        <v>51</v>
      </c>
      <c r="C1933" t="str">
        <f t="shared" si="60"/>
        <v>"https://www.zeldadungeon.net/maps/totk/tiles/sky/6/42_21.jpg",</v>
      </c>
      <c r="H1933" t="str">
        <f t="shared" si="61"/>
        <v>42_21</v>
      </c>
    </row>
    <row r="1934" spans="1:8" x14ac:dyDescent="0.2">
      <c r="A1934" s="9" t="s">
        <v>51</v>
      </c>
      <c r="C1934" t="str">
        <f t="shared" si="60"/>
        <v>"https://www.zeldadungeon.net/maps/totk/tiles/sky/6/42_22.jpg",</v>
      </c>
      <c r="H1934" t="str">
        <f t="shared" si="61"/>
        <v>42_22</v>
      </c>
    </row>
    <row r="1935" spans="1:8" x14ac:dyDescent="0.2">
      <c r="A1935" s="9" t="s">
        <v>51</v>
      </c>
      <c r="C1935" t="str">
        <f t="shared" si="60"/>
        <v>"https://www.zeldadungeon.net/maps/totk/tiles/sky/6/42_23.jpg",</v>
      </c>
      <c r="H1935" t="str">
        <f t="shared" si="61"/>
        <v>42_23</v>
      </c>
    </row>
    <row r="1936" spans="1:8" x14ac:dyDescent="0.2">
      <c r="A1936" s="9" t="s">
        <v>51</v>
      </c>
      <c r="C1936" t="str">
        <f t="shared" si="60"/>
        <v>"https://www.zeldadungeon.net/maps/totk/tiles/sky/6/42_24.jpg",</v>
      </c>
      <c r="H1936" t="str">
        <f t="shared" si="61"/>
        <v>42_24</v>
      </c>
    </row>
    <row r="1937" spans="1:8" x14ac:dyDescent="0.2">
      <c r="A1937" s="9" t="s">
        <v>51</v>
      </c>
      <c r="C1937" t="str">
        <f t="shared" si="60"/>
        <v>"https://www.zeldadungeon.net/maps/totk/tiles/sky/6/42_25.jpg",</v>
      </c>
      <c r="H1937" t="str">
        <f t="shared" si="61"/>
        <v>42_25</v>
      </c>
    </row>
    <row r="1938" spans="1:8" x14ac:dyDescent="0.2">
      <c r="A1938" s="9" t="s">
        <v>51</v>
      </c>
      <c r="C1938" t="str">
        <f t="shared" si="60"/>
        <v>"https://www.zeldadungeon.net/maps/totk/tiles/sky/6/42_26.jpg",</v>
      </c>
      <c r="H1938" t="str">
        <f t="shared" si="61"/>
        <v>42_26</v>
      </c>
    </row>
    <row r="1939" spans="1:8" x14ac:dyDescent="0.2">
      <c r="A1939" s="9" t="s">
        <v>51</v>
      </c>
      <c r="C1939" t="str">
        <f t="shared" si="60"/>
        <v>"https://www.zeldadungeon.net/maps/totk/tiles/sky/6/42_27.jpg",</v>
      </c>
      <c r="H1939" t="str">
        <f t="shared" si="61"/>
        <v>42_27</v>
      </c>
    </row>
    <row r="1940" spans="1:8" x14ac:dyDescent="0.2">
      <c r="A1940" s="9" t="s">
        <v>51</v>
      </c>
      <c r="C1940" t="str">
        <f t="shared" si="60"/>
        <v>"https://www.zeldadungeon.net/maps/totk/tiles/sky/6/42_28.jpg",</v>
      </c>
      <c r="H1940" t="str">
        <f t="shared" si="61"/>
        <v>42_28</v>
      </c>
    </row>
    <row r="1941" spans="1:8" x14ac:dyDescent="0.2">
      <c r="A1941" s="9" t="s">
        <v>51</v>
      </c>
      <c r="C1941" t="str">
        <f t="shared" si="60"/>
        <v>"https://www.zeldadungeon.net/maps/totk/tiles/sky/6/42_29.jpg",</v>
      </c>
      <c r="H1941" t="str">
        <f t="shared" si="61"/>
        <v>42_29</v>
      </c>
    </row>
    <row r="1942" spans="1:8" x14ac:dyDescent="0.2">
      <c r="A1942" s="9" t="s">
        <v>51</v>
      </c>
      <c r="C1942" t="str">
        <f t="shared" si="60"/>
        <v>"https://www.zeldadungeon.net/maps/totk/tiles/sky/6/42_30.jpg",</v>
      </c>
      <c r="H1942" t="str">
        <f t="shared" si="61"/>
        <v>42_30</v>
      </c>
    </row>
    <row r="1943" spans="1:8" x14ac:dyDescent="0.2">
      <c r="A1943" s="9" t="s">
        <v>51</v>
      </c>
      <c r="C1943" t="str">
        <f t="shared" si="60"/>
        <v>"https://www.zeldadungeon.net/maps/totk/tiles/sky/6/42_31.jpg",</v>
      </c>
      <c r="H1943" t="str">
        <f t="shared" si="61"/>
        <v>42_31</v>
      </c>
    </row>
    <row r="1944" spans="1:8" x14ac:dyDescent="0.2">
      <c r="A1944" s="9" t="s">
        <v>51</v>
      </c>
      <c r="C1944" t="str">
        <f t="shared" si="60"/>
        <v>"https://www.zeldadungeon.net/maps/totk/tiles/sky/6/42_32.jpg",</v>
      </c>
      <c r="H1944" t="str">
        <f t="shared" si="61"/>
        <v>42_32</v>
      </c>
    </row>
    <row r="1945" spans="1:8" x14ac:dyDescent="0.2">
      <c r="A1945" s="9" t="s">
        <v>51</v>
      </c>
      <c r="C1945" t="str">
        <f t="shared" si="60"/>
        <v>"https://www.zeldadungeon.net/maps/totk/tiles/sky/6/42_33.jpg",</v>
      </c>
      <c r="H1945" t="str">
        <f t="shared" si="61"/>
        <v>42_33</v>
      </c>
    </row>
    <row r="1946" spans="1:8" x14ac:dyDescent="0.2">
      <c r="A1946" s="9" t="s">
        <v>51</v>
      </c>
      <c r="C1946" t="str">
        <f t="shared" si="60"/>
        <v>"https://www.zeldadungeon.net/maps/totk/tiles/sky/6/42_34.jpg",</v>
      </c>
      <c r="H1946" t="str">
        <f t="shared" si="61"/>
        <v>42_34</v>
      </c>
    </row>
    <row r="1947" spans="1:8" x14ac:dyDescent="0.2">
      <c r="A1947" s="9" t="s">
        <v>51</v>
      </c>
      <c r="C1947" t="str">
        <f t="shared" si="60"/>
        <v>"https://www.zeldadungeon.net/maps/totk/tiles/sky/6/42_35.jpg",</v>
      </c>
      <c r="H1947" t="str">
        <f t="shared" si="61"/>
        <v>42_35</v>
      </c>
    </row>
    <row r="1948" spans="1:8" x14ac:dyDescent="0.2">
      <c r="A1948" s="9" t="s">
        <v>51</v>
      </c>
      <c r="C1948" t="str">
        <f t="shared" si="60"/>
        <v>"https://www.zeldadungeon.net/maps/totk/tiles/sky/6/42_36.jpg",</v>
      </c>
      <c r="H1948" t="str">
        <f t="shared" si="61"/>
        <v>42_36</v>
      </c>
    </row>
    <row r="1949" spans="1:8" x14ac:dyDescent="0.2">
      <c r="A1949" s="9" t="s">
        <v>51</v>
      </c>
      <c r="C1949" t="str">
        <f t="shared" si="60"/>
        <v>"https://www.zeldadungeon.net/maps/totk/tiles/sky/6/42_37.jpg",</v>
      </c>
      <c r="H1949" t="str">
        <f t="shared" si="61"/>
        <v>42_37</v>
      </c>
    </row>
    <row r="1950" spans="1:8" x14ac:dyDescent="0.2">
      <c r="A1950" s="9" t="s">
        <v>51</v>
      </c>
      <c r="C1950" t="str">
        <f t="shared" si="60"/>
        <v>"https://www.zeldadungeon.net/maps/totk/tiles/sky/6/42_38.jpg",</v>
      </c>
      <c r="H1950" t="str">
        <f t="shared" si="61"/>
        <v>42_38</v>
      </c>
    </row>
    <row r="1951" spans="1:8" x14ac:dyDescent="0.2">
      <c r="A1951" s="9" t="s">
        <v>51</v>
      </c>
      <c r="C1951" t="str">
        <f t="shared" si="60"/>
        <v>"https://www.zeldadungeon.net/maps/totk/tiles/sky/6/42_39.jpg",</v>
      </c>
      <c r="H1951" t="str">
        <f t="shared" si="61"/>
        <v>42_39</v>
      </c>
    </row>
    <row r="1952" spans="1:8" x14ac:dyDescent="0.2">
      <c r="A1952" s="9" t="s">
        <v>51</v>
      </c>
      <c r="C1952" t="str">
        <f t="shared" si="60"/>
        <v>"https://www.zeldadungeon.net/maps/totk/tiles/sky/6/42_40.jpg",</v>
      </c>
      <c r="H1952" t="str">
        <f t="shared" si="61"/>
        <v>42_40</v>
      </c>
    </row>
    <row r="1953" spans="1:8" x14ac:dyDescent="0.2">
      <c r="A1953" s="9" t="s">
        <v>51</v>
      </c>
      <c r="C1953" t="str">
        <f t="shared" si="60"/>
        <v>"https://www.zeldadungeon.net/maps/totk/tiles/sky/6/42_41.jpg",</v>
      </c>
      <c r="H1953" t="str">
        <f t="shared" si="61"/>
        <v>42_41</v>
      </c>
    </row>
    <row r="1954" spans="1:8" x14ac:dyDescent="0.2">
      <c r="A1954" s="9" t="s">
        <v>51</v>
      </c>
      <c r="C1954" t="str">
        <f t="shared" si="60"/>
        <v>"https://www.zeldadungeon.net/maps/totk/tiles/sky/6/42_42.jpg",</v>
      </c>
      <c r="H1954" t="str">
        <f t="shared" si="61"/>
        <v>42_42</v>
      </c>
    </row>
    <row r="1955" spans="1:8" x14ac:dyDescent="0.2">
      <c r="A1955" s="9" t="s">
        <v>51</v>
      </c>
      <c r="C1955" t="str">
        <f t="shared" si="60"/>
        <v>"https://www.zeldadungeon.net/maps/totk/tiles/sky/6/42_43.jpg",</v>
      </c>
      <c r="H1955" t="str">
        <f t="shared" si="61"/>
        <v>42_43</v>
      </c>
    </row>
    <row r="1956" spans="1:8" x14ac:dyDescent="0.2">
      <c r="A1956" s="9" t="s">
        <v>51</v>
      </c>
      <c r="C1956" t="str">
        <f t="shared" si="60"/>
        <v>"https://www.zeldadungeon.net/maps/totk/tiles/sky/6/42_44.jpg",</v>
      </c>
      <c r="H1956" t="str">
        <f t="shared" si="61"/>
        <v>42_44</v>
      </c>
    </row>
    <row r="1957" spans="1:8" x14ac:dyDescent="0.2">
      <c r="A1957" s="9" t="s">
        <v>51</v>
      </c>
      <c r="C1957" t="str">
        <f t="shared" si="60"/>
        <v>"https://www.zeldadungeon.net/maps/totk/tiles/sky/6/42_45.jpg",</v>
      </c>
      <c r="H1957" t="str">
        <f t="shared" si="61"/>
        <v>42_45</v>
      </c>
    </row>
    <row r="1958" spans="1:8" x14ac:dyDescent="0.2">
      <c r="A1958" s="9" t="s">
        <v>51</v>
      </c>
      <c r="C1958" t="str">
        <f t="shared" si="60"/>
        <v>"https://www.zeldadungeon.net/maps/totk/tiles/sky/6/42_46.jpg",</v>
      </c>
      <c r="H1958" t="str">
        <f t="shared" si="61"/>
        <v>42_46</v>
      </c>
    </row>
    <row r="1959" spans="1:8" x14ac:dyDescent="0.2">
      <c r="A1959" s="9" t="s">
        <v>51</v>
      </c>
      <c r="C1959" t="str">
        <f t="shared" si="60"/>
        <v>"https://www.zeldadungeon.net/maps/totk/tiles/sky/6/42_47.jpg",</v>
      </c>
      <c r="H1959" t="str">
        <f t="shared" si="61"/>
        <v>42_47</v>
      </c>
    </row>
    <row r="1960" spans="1:8" x14ac:dyDescent="0.2">
      <c r="A1960" s="9" t="s">
        <v>51</v>
      </c>
      <c r="C1960" t="str">
        <f t="shared" si="60"/>
        <v>"https://www.zeldadungeon.net/maps/totk/tiles/sky/6/42_48.jpg",</v>
      </c>
      <c r="H1960" t="str">
        <f t="shared" si="61"/>
        <v>42_48</v>
      </c>
    </row>
    <row r="1961" spans="1:8" x14ac:dyDescent="0.2">
      <c r="A1961" s="9" t="s">
        <v>51</v>
      </c>
      <c r="C1961" t="str">
        <f t="shared" si="60"/>
        <v>"https://www.zeldadungeon.net/maps/totk/tiles/sky/6/42_49.jpg",</v>
      </c>
      <c r="H1961" t="str">
        <f t="shared" si="61"/>
        <v>42_49</v>
      </c>
    </row>
    <row r="1962" spans="1:8" x14ac:dyDescent="0.2">
      <c r="A1962" s="9" t="s">
        <v>51</v>
      </c>
      <c r="C1962" t="str">
        <f t="shared" si="60"/>
        <v>"https://www.zeldadungeon.net/maps/totk/tiles/sky/6/42_50.jpg",</v>
      </c>
      <c r="H1962" t="str">
        <f t="shared" si="61"/>
        <v>42_50</v>
      </c>
    </row>
    <row r="1963" spans="1:8" x14ac:dyDescent="0.2">
      <c r="A1963" s="9" t="s">
        <v>51</v>
      </c>
      <c r="C1963" t="str">
        <f t="shared" si="60"/>
        <v>"https://www.zeldadungeon.net/maps/totk/tiles/sky/6/42_51.jpg",</v>
      </c>
      <c r="H1963" t="str">
        <f t="shared" si="61"/>
        <v>42_51</v>
      </c>
    </row>
    <row r="1964" spans="1:8" x14ac:dyDescent="0.2">
      <c r="A1964" s="9" t="s">
        <v>51</v>
      </c>
      <c r="C1964" t="str">
        <f t="shared" si="60"/>
        <v>"https://www.zeldadungeon.net/maps/totk/tiles/sky/6/42_52.jpg",</v>
      </c>
      <c r="H1964" t="str">
        <f t="shared" si="61"/>
        <v>42_52</v>
      </c>
    </row>
    <row r="1965" spans="1:8" x14ac:dyDescent="0.2">
      <c r="A1965" s="9" t="s">
        <v>51</v>
      </c>
      <c r="C1965" t="str">
        <f t="shared" si="60"/>
        <v>"https://www.zeldadungeon.net/maps/totk/tiles/sky/6/42_53.jpg",</v>
      </c>
      <c r="H1965" t="str">
        <f t="shared" si="61"/>
        <v>42_53</v>
      </c>
    </row>
    <row r="1966" spans="1:8" x14ac:dyDescent="0.2">
      <c r="A1966" s="9" t="s">
        <v>51</v>
      </c>
      <c r="C1966" t="str">
        <f t="shared" si="60"/>
        <v>"https://www.zeldadungeon.net/maps/totk/tiles/sky/6/42_54.jpg",</v>
      </c>
      <c r="H1966" t="str">
        <f t="shared" si="61"/>
        <v>42_54</v>
      </c>
    </row>
    <row r="1967" spans="1:8" x14ac:dyDescent="0.2">
      <c r="A1967" s="9" t="s">
        <v>51</v>
      </c>
      <c r="C1967" t="str">
        <f t="shared" si="60"/>
        <v>"https://www.zeldadungeon.net/maps/totk/tiles/sky/6/42_55.jpg",</v>
      </c>
      <c r="H1967" t="str">
        <f t="shared" si="61"/>
        <v>42_55</v>
      </c>
    </row>
    <row r="1968" spans="1:8" x14ac:dyDescent="0.2">
      <c r="A1968" s="9" t="s">
        <v>51</v>
      </c>
      <c r="C1968" t="str">
        <f t="shared" si="60"/>
        <v>"https://www.zeldadungeon.net/maps/totk/tiles/sky/6/43_8.jpg",</v>
      </c>
      <c r="H1968" t="str">
        <f t="shared" si="61"/>
        <v>43_8</v>
      </c>
    </row>
    <row r="1969" spans="1:8" x14ac:dyDescent="0.2">
      <c r="A1969" s="9" t="s">
        <v>51</v>
      </c>
      <c r="C1969" t="str">
        <f t="shared" si="60"/>
        <v>"https://www.zeldadungeon.net/maps/totk/tiles/sky/6/43_9.jpg",</v>
      </c>
      <c r="H1969" t="str">
        <f t="shared" si="61"/>
        <v>43_9</v>
      </c>
    </row>
    <row r="1970" spans="1:8" x14ac:dyDescent="0.2">
      <c r="A1970" s="9" t="s">
        <v>51</v>
      </c>
      <c r="C1970" t="str">
        <f t="shared" si="60"/>
        <v>"https://www.zeldadungeon.net/maps/totk/tiles/sky/6/43_10.jpg",</v>
      </c>
      <c r="H1970" t="str">
        <f t="shared" si="61"/>
        <v>43_10</v>
      </c>
    </row>
    <row r="1971" spans="1:8" x14ac:dyDescent="0.2">
      <c r="A1971" s="9" t="s">
        <v>51</v>
      </c>
      <c r="C1971" t="str">
        <f t="shared" si="60"/>
        <v>"https://www.zeldadungeon.net/maps/totk/tiles/sky/6/43_11.jpg",</v>
      </c>
      <c r="H1971" t="str">
        <f t="shared" si="61"/>
        <v>43_11</v>
      </c>
    </row>
    <row r="1972" spans="1:8" x14ac:dyDescent="0.2">
      <c r="A1972" s="9" t="s">
        <v>51</v>
      </c>
      <c r="C1972" t="str">
        <f t="shared" si="60"/>
        <v>"https://www.zeldadungeon.net/maps/totk/tiles/sky/6/43_12.jpg",</v>
      </c>
      <c r="H1972" t="str">
        <f t="shared" si="61"/>
        <v>43_12</v>
      </c>
    </row>
    <row r="1973" spans="1:8" x14ac:dyDescent="0.2">
      <c r="A1973" s="9" t="s">
        <v>51</v>
      </c>
      <c r="C1973" t="str">
        <f t="shared" si="60"/>
        <v>"https://www.zeldadungeon.net/maps/totk/tiles/sky/6/43_13.jpg",</v>
      </c>
      <c r="H1973" t="str">
        <f t="shared" si="61"/>
        <v>43_13</v>
      </c>
    </row>
    <row r="1974" spans="1:8" x14ac:dyDescent="0.2">
      <c r="A1974" s="9" t="s">
        <v>51</v>
      </c>
      <c r="C1974" t="str">
        <f t="shared" si="60"/>
        <v>"https://www.zeldadungeon.net/maps/totk/tiles/sky/6/43_14.jpg",</v>
      </c>
      <c r="H1974" t="str">
        <f t="shared" si="61"/>
        <v>43_14</v>
      </c>
    </row>
    <row r="1975" spans="1:8" x14ac:dyDescent="0.2">
      <c r="A1975" s="9" t="s">
        <v>51</v>
      </c>
      <c r="C1975" t="str">
        <f t="shared" si="60"/>
        <v>"https://www.zeldadungeon.net/maps/totk/tiles/sky/6/43_15.jpg",</v>
      </c>
      <c r="H1975" t="str">
        <f t="shared" si="61"/>
        <v>43_15</v>
      </c>
    </row>
    <row r="1976" spans="1:8" x14ac:dyDescent="0.2">
      <c r="A1976" s="9" t="s">
        <v>51</v>
      </c>
      <c r="C1976" t="str">
        <f t="shared" si="60"/>
        <v>"https://www.zeldadungeon.net/maps/totk/tiles/sky/6/43_16.jpg",</v>
      </c>
      <c r="H1976" t="str">
        <f t="shared" si="61"/>
        <v>43_16</v>
      </c>
    </row>
    <row r="1977" spans="1:8" x14ac:dyDescent="0.2">
      <c r="A1977" s="9" t="s">
        <v>51</v>
      </c>
      <c r="C1977" t="str">
        <f t="shared" si="60"/>
        <v>"https://www.zeldadungeon.net/maps/totk/tiles/sky/6/43_17.jpg",</v>
      </c>
      <c r="H1977" t="str">
        <f t="shared" si="61"/>
        <v>43_17</v>
      </c>
    </row>
    <row r="1978" spans="1:8" x14ac:dyDescent="0.2">
      <c r="A1978" s="9" t="s">
        <v>51</v>
      </c>
      <c r="C1978" t="str">
        <f t="shared" si="60"/>
        <v>"https://www.zeldadungeon.net/maps/totk/tiles/sky/6/43_18.jpg",</v>
      </c>
      <c r="H1978" t="str">
        <f t="shared" si="61"/>
        <v>43_18</v>
      </c>
    </row>
    <row r="1979" spans="1:8" x14ac:dyDescent="0.2">
      <c r="A1979" s="9" t="s">
        <v>51</v>
      </c>
      <c r="C1979" t="str">
        <f t="shared" si="60"/>
        <v>"https://www.zeldadungeon.net/maps/totk/tiles/sky/6/43_19.jpg",</v>
      </c>
      <c r="H1979" t="str">
        <f t="shared" si="61"/>
        <v>43_19</v>
      </c>
    </row>
    <row r="1980" spans="1:8" x14ac:dyDescent="0.2">
      <c r="A1980" s="9" t="s">
        <v>51</v>
      </c>
      <c r="C1980" t="str">
        <f t="shared" si="60"/>
        <v>"https://www.zeldadungeon.net/maps/totk/tiles/sky/6/43_20.jpg",</v>
      </c>
      <c r="H1980" t="str">
        <f t="shared" si="61"/>
        <v>43_20</v>
      </c>
    </row>
    <row r="1981" spans="1:8" x14ac:dyDescent="0.2">
      <c r="A1981" s="9" t="s">
        <v>51</v>
      </c>
      <c r="C1981" t="str">
        <f t="shared" si="60"/>
        <v>"https://www.zeldadungeon.net/maps/totk/tiles/sky/6/43_21.jpg",</v>
      </c>
      <c r="H1981" t="str">
        <f t="shared" si="61"/>
        <v>43_21</v>
      </c>
    </row>
    <row r="1982" spans="1:8" x14ac:dyDescent="0.2">
      <c r="A1982" s="9" t="s">
        <v>51</v>
      </c>
      <c r="C1982" t="str">
        <f t="shared" si="60"/>
        <v>"https://www.zeldadungeon.net/maps/totk/tiles/sky/6/43_22.jpg",</v>
      </c>
      <c r="H1982" t="str">
        <f t="shared" si="61"/>
        <v>43_22</v>
      </c>
    </row>
    <row r="1983" spans="1:8" x14ac:dyDescent="0.2">
      <c r="A1983" s="9" t="s">
        <v>51</v>
      </c>
      <c r="C1983" t="str">
        <f t="shared" si="60"/>
        <v>"https://www.zeldadungeon.net/maps/totk/tiles/sky/6/43_23.jpg",</v>
      </c>
      <c r="H1983" t="str">
        <f t="shared" si="61"/>
        <v>43_23</v>
      </c>
    </row>
    <row r="1984" spans="1:8" x14ac:dyDescent="0.2">
      <c r="A1984" s="9" t="s">
        <v>51</v>
      </c>
      <c r="C1984" t="str">
        <f t="shared" si="60"/>
        <v>"https://www.zeldadungeon.net/maps/totk/tiles/sky/6/43_24.jpg",</v>
      </c>
      <c r="H1984" t="str">
        <f t="shared" si="61"/>
        <v>43_24</v>
      </c>
    </row>
    <row r="1985" spans="1:8" x14ac:dyDescent="0.2">
      <c r="A1985" s="9" t="s">
        <v>51</v>
      </c>
      <c r="C1985" t="str">
        <f t="shared" ref="C1985:C2048" si="62">""""&amp;SUBSTITUTE(A1985,"zzz",H1985)&amp;""""&amp;","</f>
        <v>"https://www.zeldadungeon.net/maps/totk/tiles/sky/6/43_25.jpg",</v>
      </c>
      <c r="H1985" t="str">
        <f t="shared" ref="H1985:H2048" si="63">QUOTIENT(ROW(A1985),48)+2&amp;"_"&amp;MOD(ROW(A1985),48)+8</f>
        <v>43_25</v>
      </c>
    </row>
    <row r="1986" spans="1:8" x14ac:dyDescent="0.2">
      <c r="A1986" s="9" t="s">
        <v>51</v>
      </c>
      <c r="C1986" t="str">
        <f t="shared" si="62"/>
        <v>"https://www.zeldadungeon.net/maps/totk/tiles/sky/6/43_26.jpg",</v>
      </c>
      <c r="H1986" t="str">
        <f t="shared" si="63"/>
        <v>43_26</v>
      </c>
    </row>
    <row r="1987" spans="1:8" x14ac:dyDescent="0.2">
      <c r="A1987" s="9" t="s">
        <v>51</v>
      </c>
      <c r="C1987" t="str">
        <f t="shared" si="62"/>
        <v>"https://www.zeldadungeon.net/maps/totk/tiles/sky/6/43_27.jpg",</v>
      </c>
      <c r="H1987" t="str">
        <f t="shared" si="63"/>
        <v>43_27</v>
      </c>
    </row>
    <row r="1988" spans="1:8" x14ac:dyDescent="0.2">
      <c r="A1988" s="9" t="s">
        <v>51</v>
      </c>
      <c r="C1988" t="str">
        <f t="shared" si="62"/>
        <v>"https://www.zeldadungeon.net/maps/totk/tiles/sky/6/43_28.jpg",</v>
      </c>
      <c r="H1988" t="str">
        <f t="shared" si="63"/>
        <v>43_28</v>
      </c>
    </row>
    <row r="1989" spans="1:8" x14ac:dyDescent="0.2">
      <c r="A1989" s="9" t="s">
        <v>51</v>
      </c>
      <c r="C1989" t="str">
        <f t="shared" si="62"/>
        <v>"https://www.zeldadungeon.net/maps/totk/tiles/sky/6/43_29.jpg",</v>
      </c>
      <c r="H1989" t="str">
        <f t="shared" si="63"/>
        <v>43_29</v>
      </c>
    </row>
    <row r="1990" spans="1:8" x14ac:dyDescent="0.2">
      <c r="A1990" s="9" t="s">
        <v>51</v>
      </c>
      <c r="C1990" t="str">
        <f t="shared" si="62"/>
        <v>"https://www.zeldadungeon.net/maps/totk/tiles/sky/6/43_30.jpg",</v>
      </c>
      <c r="H1990" t="str">
        <f t="shared" si="63"/>
        <v>43_30</v>
      </c>
    </row>
    <row r="1991" spans="1:8" x14ac:dyDescent="0.2">
      <c r="A1991" s="9" t="s">
        <v>51</v>
      </c>
      <c r="C1991" t="str">
        <f t="shared" si="62"/>
        <v>"https://www.zeldadungeon.net/maps/totk/tiles/sky/6/43_31.jpg",</v>
      </c>
      <c r="H1991" t="str">
        <f t="shared" si="63"/>
        <v>43_31</v>
      </c>
    </row>
    <row r="1992" spans="1:8" x14ac:dyDescent="0.2">
      <c r="A1992" s="9" t="s">
        <v>51</v>
      </c>
      <c r="C1992" t="str">
        <f t="shared" si="62"/>
        <v>"https://www.zeldadungeon.net/maps/totk/tiles/sky/6/43_32.jpg",</v>
      </c>
      <c r="H1992" t="str">
        <f t="shared" si="63"/>
        <v>43_32</v>
      </c>
    </row>
    <row r="1993" spans="1:8" x14ac:dyDescent="0.2">
      <c r="A1993" s="9" t="s">
        <v>51</v>
      </c>
      <c r="C1993" t="str">
        <f t="shared" si="62"/>
        <v>"https://www.zeldadungeon.net/maps/totk/tiles/sky/6/43_33.jpg",</v>
      </c>
      <c r="H1993" t="str">
        <f t="shared" si="63"/>
        <v>43_33</v>
      </c>
    </row>
    <row r="1994" spans="1:8" x14ac:dyDescent="0.2">
      <c r="A1994" s="9" t="s">
        <v>51</v>
      </c>
      <c r="C1994" t="str">
        <f t="shared" si="62"/>
        <v>"https://www.zeldadungeon.net/maps/totk/tiles/sky/6/43_34.jpg",</v>
      </c>
      <c r="H1994" t="str">
        <f t="shared" si="63"/>
        <v>43_34</v>
      </c>
    </row>
    <row r="1995" spans="1:8" x14ac:dyDescent="0.2">
      <c r="A1995" s="9" t="s">
        <v>51</v>
      </c>
      <c r="C1995" t="str">
        <f t="shared" si="62"/>
        <v>"https://www.zeldadungeon.net/maps/totk/tiles/sky/6/43_35.jpg",</v>
      </c>
      <c r="H1995" t="str">
        <f t="shared" si="63"/>
        <v>43_35</v>
      </c>
    </row>
    <row r="1996" spans="1:8" x14ac:dyDescent="0.2">
      <c r="A1996" s="9" t="s">
        <v>51</v>
      </c>
      <c r="C1996" t="str">
        <f t="shared" si="62"/>
        <v>"https://www.zeldadungeon.net/maps/totk/tiles/sky/6/43_36.jpg",</v>
      </c>
      <c r="H1996" t="str">
        <f t="shared" si="63"/>
        <v>43_36</v>
      </c>
    </row>
    <row r="1997" spans="1:8" x14ac:dyDescent="0.2">
      <c r="A1997" s="9" t="s">
        <v>51</v>
      </c>
      <c r="C1997" t="str">
        <f t="shared" si="62"/>
        <v>"https://www.zeldadungeon.net/maps/totk/tiles/sky/6/43_37.jpg",</v>
      </c>
      <c r="H1997" t="str">
        <f t="shared" si="63"/>
        <v>43_37</v>
      </c>
    </row>
    <row r="1998" spans="1:8" x14ac:dyDescent="0.2">
      <c r="A1998" s="9" t="s">
        <v>51</v>
      </c>
      <c r="C1998" t="str">
        <f t="shared" si="62"/>
        <v>"https://www.zeldadungeon.net/maps/totk/tiles/sky/6/43_38.jpg",</v>
      </c>
      <c r="H1998" t="str">
        <f t="shared" si="63"/>
        <v>43_38</v>
      </c>
    </row>
    <row r="1999" spans="1:8" x14ac:dyDescent="0.2">
      <c r="A1999" s="9" t="s">
        <v>51</v>
      </c>
      <c r="C1999" t="str">
        <f t="shared" si="62"/>
        <v>"https://www.zeldadungeon.net/maps/totk/tiles/sky/6/43_39.jpg",</v>
      </c>
      <c r="H1999" t="str">
        <f t="shared" si="63"/>
        <v>43_39</v>
      </c>
    </row>
    <row r="2000" spans="1:8" x14ac:dyDescent="0.2">
      <c r="A2000" s="9" t="s">
        <v>51</v>
      </c>
      <c r="C2000" t="str">
        <f t="shared" si="62"/>
        <v>"https://www.zeldadungeon.net/maps/totk/tiles/sky/6/43_40.jpg",</v>
      </c>
      <c r="H2000" t="str">
        <f t="shared" si="63"/>
        <v>43_40</v>
      </c>
    </row>
    <row r="2001" spans="1:8" x14ac:dyDescent="0.2">
      <c r="A2001" s="9" t="s">
        <v>51</v>
      </c>
      <c r="C2001" t="str">
        <f t="shared" si="62"/>
        <v>"https://www.zeldadungeon.net/maps/totk/tiles/sky/6/43_41.jpg",</v>
      </c>
      <c r="H2001" t="str">
        <f t="shared" si="63"/>
        <v>43_41</v>
      </c>
    </row>
    <row r="2002" spans="1:8" x14ac:dyDescent="0.2">
      <c r="A2002" s="9" t="s">
        <v>51</v>
      </c>
      <c r="C2002" t="str">
        <f t="shared" si="62"/>
        <v>"https://www.zeldadungeon.net/maps/totk/tiles/sky/6/43_42.jpg",</v>
      </c>
      <c r="H2002" t="str">
        <f t="shared" si="63"/>
        <v>43_42</v>
      </c>
    </row>
    <row r="2003" spans="1:8" x14ac:dyDescent="0.2">
      <c r="A2003" s="9" t="s">
        <v>51</v>
      </c>
      <c r="C2003" t="str">
        <f t="shared" si="62"/>
        <v>"https://www.zeldadungeon.net/maps/totk/tiles/sky/6/43_43.jpg",</v>
      </c>
      <c r="H2003" t="str">
        <f t="shared" si="63"/>
        <v>43_43</v>
      </c>
    </row>
    <row r="2004" spans="1:8" x14ac:dyDescent="0.2">
      <c r="A2004" s="9" t="s">
        <v>51</v>
      </c>
      <c r="C2004" t="str">
        <f t="shared" si="62"/>
        <v>"https://www.zeldadungeon.net/maps/totk/tiles/sky/6/43_44.jpg",</v>
      </c>
      <c r="H2004" t="str">
        <f t="shared" si="63"/>
        <v>43_44</v>
      </c>
    </row>
    <row r="2005" spans="1:8" x14ac:dyDescent="0.2">
      <c r="A2005" s="9" t="s">
        <v>51</v>
      </c>
      <c r="C2005" t="str">
        <f t="shared" si="62"/>
        <v>"https://www.zeldadungeon.net/maps/totk/tiles/sky/6/43_45.jpg",</v>
      </c>
      <c r="H2005" t="str">
        <f t="shared" si="63"/>
        <v>43_45</v>
      </c>
    </row>
    <row r="2006" spans="1:8" x14ac:dyDescent="0.2">
      <c r="A2006" s="9" t="s">
        <v>51</v>
      </c>
      <c r="C2006" t="str">
        <f t="shared" si="62"/>
        <v>"https://www.zeldadungeon.net/maps/totk/tiles/sky/6/43_46.jpg",</v>
      </c>
      <c r="H2006" t="str">
        <f t="shared" si="63"/>
        <v>43_46</v>
      </c>
    </row>
    <row r="2007" spans="1:8" x14ac:dyDescent="0.2">
      <c r="A2007" s="9" t="s">
        <v>51</v>
      </c>
      <c r="C2007" t="str">
        <f t="shared" si="62"/>
        <v>"https://www.zeldadungeon.net/maps/totk/tiles/sky/6/43_47.jpg",</v>
      </c>
      <c r="H2007" t="str">
        <f t="shared" si="63"/>
        <v>43_47</v>
      </c>
    </row>
    <row r="2008" spans="1:8" x14ac:dyDescent="0.2">
      <c r="A2008" s="9" t="s">
        <v>51</v>
      </c>
      <c r="C2008" t="str">
        <f t="shared" si="62"/>
        <v>"https://www.zeldadungeon.net/maps/totk/tiles/sky/6/43_48.jpg",</v>
      </c>
      <c r="H2008" t="str">
        <f t="shared" si="63"/>
        <v>43_48</v>
      </c>
    </row>
    <row r="2009" spans="1:8" x14ac:dyDescent="0.2">
      <c r="A2009" s="9" t="s">
        <v>51</v>
      </c>
      <c r="C2009" t="str">
        <f t="shared" si="62"/>
        <v>"https://www.zeldadungeon.net/maps/totk/tiles/sky/6/43_49.jpg",</v>
      </c>
      <c r="H2009" t="str">
        <f t="shared" si="63"/>
        <v>43_49</v>
      </c>
    </row>
    <row r="2010" spans="1:8" x14ac:dyDescent="0.2">
      <c r="A2010" s="9" t="s">
        <v>51</v>
      </c>
      <c r="C2010" t="str">
        <f t="shared" si="62"/>
        <v>"https://www.zeldadungeon.net/maps/totk/tiles/sky/6/43_50.jpg",</v>
      </c>
      <c r="H2010" t="str">
        <f t="shared" si="63"/>
        <v>43_50</v>
      </c>
    </row>
    <row r="2011" spans="1:8" x14ac:dyDescent="0.2">
      <c r="A2011" s="9" t="s">
        <v>51</v>
      </c>
      <c r="C2011" t="str">
        <f t="shared" si="62"/>
        <v>"https://www.zeldadungeon.net/maps/totk/tiles/sky/6/43_51.jpg",</v>
      </c>
      <c r="H2011" t="str">
        <f t="shared" si="63"/>
        <v>43_51</v>
      </c>
    </row>
    <row r="2012" spans="1:8" x14ac:dyDescent="0.2">
      <c r="A2012" s="9" t="s">
        <v>51</v>
      </c>
      <c r="C2012" t="str">
        <f t="shared" si="62"/>
        <v>"https://www.zeldadungeon.net/maps/totk/tiles/sky/6/43_52.jpg",</v>
      </c>
      <c r="H2012" t="str">
        <f t="shared" si="63"/>
        <v>43_52</v>
      </c>
    </row>
    <row r="2013" spans="1:8" x14ac:dyDescent="0.2">
      <c r="A2013" s="9" t="s">
        <v>51</v>
      </c>
      <c r="C2013" t="str">
        <f t="shared" si="62"/>
        <v>"https://www.zeldadungeon.net/maps/totk/tiles/sky/6/43_53.jpg",</v>
      </c>
      <c r="H2013" t="str">
        <f t="shared" si="63"/>
        <v>43_53</v>
      </c>
    </row>
    <row r="2014" spans="1:8" x14ac:dyDescent="0.2">
      <c r="A2014" s="9" t="s">
        <v>51</v>
      </c>
      <c r="C2014" t="str">
        <f t="shared" si="62"/>
        <v>"https://www.zeldadungeon.net/maps/totk/tiles/sky/6/43_54.jpg",</v>
      </c>
      <c r="H2014" t="str">
        <f t="shared" si="63"/>
        <v>43_54</v>
      </c>
    </row>
    <row r="2015" spans="1:8" x14ac:dyDescent="0.2">
      <c r="A2015" s="9" t="s">
        <v>51</v>
      </c>
      <c r="C2015" t="str">
        <f t="shared" si="62"/>
        <v>"https://www.zeldadungeon.net/maps/totk/tiles/sky/6/43_55.jpg",</v>
      </c>
      <c r="H2015" t="str">
        <f t="shared" si="63"/>
        <v>43_55</v>
      </c>
    </row>
    <row r="2016" spans="1:8" x14ac:dyDescent="0.2">
      <c r="A2016" s="9" t="s">
        <v>51</v>
      </c>
      <c r="C2016" t="str">
        <f t="shared" si="62"/>
        <v>"https://www.zeldadungeon.net/maps/totk/tiles/sky/6/44_8.jpg",</v>
      </c>
      <c r="H2016" t="str">
        <f t="shared" si="63"/>
        <v>44_8</v>
      </c>
    </row>
    <row r="2017" spans="1:8" x14ac:dyDescent="0.2">
      <c r="A2017" s="9" t="s">
        <v>51</v>
      </c>
      <c r="C2017" t="str">
        <f t="shared" si="62"/>
        <v>"https://www.zeldadungeon.net/maps/totk/tiles/sky/6/44_9.jpg",</v>
      </c>
      <c r="H2017" t="str">
        <f t="shared" si="63"/>
        <v>44_9</v>
      </c>
    </row>
    <row r="2018" spans="1:8" x14ac:dyDescent="0.2">
      <c r="A2018" s="9" t="s">
        <v>51</v>
      </c>
      <c r="C2018" t="str">
        <f t="shared" si="62"/>
        <v>"https://www.zeldadungeon.net/maps/totk/tiles/sky/6/44_10.jpg",</v>
      </c>
      <c r="H2018" t="str">
        <f t="shared" si="63"/>
        <v>44_10</v>
      </c>
    </row>
    <row r="2019" spans="1:8" x14ac:dyDescent="0.2">
      <c r="A2019" s="9" t="s">
        <v>51</v>
      </c>
      <c r="C2019" t="str">
        <f t="shared" si="62"/>
        <v>"https://www.zeldadungeon.net/maps/totk/tiles/sky/6/44_11.jpg",</v>
      </c>
      <c r="H2019" t="str">
        <f t="shared" si="63"/>
        <v>44_11</v>
      </c>
    </row>
    <row r="2020" spans="1:8" x14ac:dyDescent="0.2">
      <c r="A2020" s="9" t="s">
        <v>51</v>
      </c>
      <c r="C2020" t="str">
        <f t="shared" si="62"/>
        <v>"https://www.zeldadungeon.net/maps/totk/tiles/sky/6/44_12.jpg",</v>
      </c>
      <c r="H2020" t="str">
        <f t="shared" si="63"/>
        <v>44_12</v>
      </c>
    </row>
    <row r="2021" spans="1:8" x14ac:dyDescent="0.2">
      <c r="A2021" s="9" t="s">
        <v>51</v>
      </c>
      <c r="C2021" t="str">
        <f t="shared" si="62"/>
        <v>"https://www.zeldadungeon.net/maps/totk/tiles/sky/6/44_13.jpg",</v>
      </c>
      <c r="H2021" t="str">
        <f t="shared" si="63"/>
        <v>44_13</v>
      </c>
    </row>
    <row r="2022" spans="1:8" x14ac:dyDescent="0.2">
      <c r="A2022" s="9" t="s">
        <v>51</v>
      </c>
      <c r="C2022" t="str">
        <f t="shared" si="62"/>
        <v>"https://www.zeldadungeon.net/maps/totk/tiles/sky/6/44_14.jpg",</v>
      </c>
      <c r="H2022" t="str">
        <f t="shared" si="63"/>
        <v>44_14</v>
      </c>
    </row>
    <row r="2023" spans="1:8" x14ac:dyDescent="0.2">
      <c r="A2023" s="9" t="s">
        <v>51</v>
      </c>
      <c r="C2023" t="str">
        <f t="shared" si="62"/>
        <v>"https://www.zeldadungeon.net/maps/totk/tiles/sky/6/44_15.jpg",</v>
      </c>
      <c r="H2023" t="str">
        <f t="shared" si="63"/>
        <v>44_15</v>
      </c>
    </row>
    <row r="2024" spans="1:8" x14ac:dyDescent="0.2">
      <c r="A2024" s="9" t="s">
        <v>51</v>
      </c>
      <c r="C2024" t="str">
        <f t="shared" si="62"/>
        <v>"https://www.zeldadungeon.net/maps/totk/tiles/sky/6/44_16.jpg",</v>
      </c>
      <c r="H2024" t="str">
        <f t="shared" si="63"/>
        <v>44_16</v>
      </c>
    </row>
    <row r="2025" spans="1:8" x14ac:dyDescent="0.2">
      <c r="A2025" s="9" t="s">
        <v>51</v>
      </c>
      <c r="C2025" t="str">
        <f t="shared" si="62"/>
        <v>"https://www.zeldadungeon.net/maps/totk/tiles/sky/6/44_17.jpg",</v>
      </c>
      <c r="H2025" t="str">
        <f t="shared" si="63"/>
        <v>44_17</v>
      </c>
    </row>
    <row r="2026" spans="1:8" x14ac:dyDescent="0.2">
      <c r="A2026" s="9" t="s">
        <v>51</v>
      </c>
      <c r="C2026" t="str">
        <f t="shared" si="62"/>
        <v>"https://www.zeldadungeon.net/maps/totk/tiles/sky/6/44_18.jpg",</v>
      </c>
      <c r="H2026" t="str">
        <f t="shared" si="63"/>
        <v>44_18</v>
      </c>
    </row>
    <row r="2027" spans="1:8" x14ac:dyDescent="0.2">
      <c r="A2027" s="9" t="s">
        <v>51</v>
      </c>
      <c r="C2027" t="str">
        <f t="shared" si="62"/>
        <v>"https://www.zeldadungeon.net/maps/totk/tiles/sky/6/44_19.jpg",</v>
      </c>
      <c r="H2027" t="str">
        <f t="shared" si="63"/>
        <v>44_19</v>
      </c>
    </row>
    <row r="2028" spans="1:8" x14ac:dyDescent="0.2">
      <c r="A2028" s="9" t="s">
        <v>51</v>
      </c>
      <c r="C2028" t="str">
        <f t="shared" si="62"/>
        <v>"https://www.zeldadungeon.net/maps/totk/tiles/sky/6/44_20.jpg",</v>
      </c>
      <c r="H2028" t="str">
        <f t="shared" si="63"/>
        <v>44_20</v>
      </c>
    </row>
    <row r="2029" spans="1:8" x14ac:dyDescent="0.2">
      <c r="A2029" s="9" t="s">
        <v>51</v>
      </c>
      <c r="C2029" t="str">
        <f t="shared" si="62"/>
        <v>"https://www.zeldadungeon.net/maps/totk/tiles/sky/6/44_21.jpg",</v>
      </c>
      <c r="H2029" t="str">
        <f t="shared" si="63"/>
        <v>44_21</v>
      </c>
    </row>
    <row r="2030" spans="1:8" x14ac:dyDescent="0.2">
      <c r="A2030" s="9" t="s">
        <v>51</v>
      </c>
      <c r="C2030" t="str">
        <f t="shared" si="62"/>
        <v>"https://www.zeldadungeon.net/maps/totk/tiles/sky/6/44_22.jpg",</v>
      </c>
      <c r="H2030" t="str">
        <f t="shared" si="63"/>
        <v>44_22</v>
      </c>
    </row>
    <row r="2031" spans="1:8" x14ac:dyDescent="0.2">
      <c r="A2031" s="9" t="s">
        <v>51</v>
      </c>
      <c r="C2031" t="str">
        <f t="shared" si="62"/>
        <v>"https://www.zeldadungeon.net/maps/totk/tiles/sky/6/44_23.jpg",</v>
      </c>
      <c r="H2031" t="str">
        <f t="shared" si="63"/>
        <v>44_23</v>
      </c>
    </row>
    <row r="2032" spans="1:8" x14ac:dyDescent="0.2">
      <c r="A2032" s="9" t="s">
        <v>51</v>
      </c>
      <c r="C2032" t="str">
        <f t="shared" si="62"/>
        <v>"https://www.zeldadungeon.net/maps/totk/tiles/sky/6/44_24.jpg",</v>
      </c>
      <c r="H2032" t="str">
        <f t="shared" si="63"/>
        <v>44_24</v>
      </c>
    </row>
    <row r="2033" spans="1:8" x14ac:dyDescent="0.2">
      <c r="A2033" s="9" t="s">
        <v>51</v>
      </c>
      <c r="C2033" t="str">
        <f t="shared" si="62"/>
        <v>"https://www.zeldadungeon.net/maps/totk/tiles/sky/6/44_25.jpg",</v>
      </c>
      <c r="H2033" t="str">
        <f t="shared" si="63"/>
        <v>44_25</v>
      </c>
    </row>
    <row r="2034" spans="1:8" x14ac:dyDescent="0.2">
      <c r="A2034" s="9" t="s">
        <v>51</v>
      </c>
      <c r="C2034" t="str">
        <f t="shared" si="62"/>
        <v>"https://www.zeldadungeon.net/maps/totk/tiles/sky/6/44_26.jpg",</v>
      </c>
      <c r="H2034" t="str">
        <f t="shared" si="63"/>
        <v>44_26</v>
      </c>
    </row>
    <row r="2035" spans="1:8" x14ac:dyDescent="0.2">
      <c r="A2035" s="9" t="s">
        <v>51</v>
      </c>
      <c r="C2035" t="str">
        <f t="shared" si="62"/>
        <v>"https://www.zeldadungeon.net/maps/totk/tiles/sky/6/44_27.jpg",</v>
      </c>
      <c r="H2035" t="str">
        <f t="shared" si="63"/>
        <v>44_27</v>
      </c>
    </row>
    <row r="2036" spans="1:8" x14ac:dyDescent="0.2">
      <c r="A2036" s="9" t="s">
        <v>51</v>
      </c>
      <c r="C2036" t="str">
        <f t="shared" si="62"/>
        <v>"https://www.zeldadungeon.net/maps/totk/tiles/sky/6/44_28.jpg",</v>
      </c>
      <c r="H2036" t="str">
        <f t="shared" si="63"/>
        <v>44_28</v>
      </c>
    </row>
    <row r="2037" spans="1:8" x14ac:dyDescent="0.2">
      <c r="A2037" s="9" t="s">
        <v>51</v>
      </c>
      <c r="C2037" t="str">
        <f t="shared" si="62"/>
        <v>"https://www.zeldadungeon.net/maps/totk/tiles/sky/6/44_29.jpg",</v>
      </c>
      <c r="H2037" t="str">
        <f t="shared" si="63"/>
        <v>44_29</v>
      </c>
    </row>
    <row r="2038" spans="1:8" x14ac:dyDescent="0.2">
      <c r="A2038" s="9" t="s">
        <v>51</v>
      </c>
      <c r="C2038" t="str">
        <f t="shared" si="62"/>
        <v>"https://www.zeldadungeon.net/maps/totk/tiles/sky/6/44_30.jpg",</v>
      </c>
      <c r="H2038" t="str">
        <f t="shared" si="63"/>
        <v>44_30</v>
      </c>
    </row>
    <row r="2039" spans="1:8" x14ac:dyDescent="0.2">
      <c r="A2039" s="9" t="s">
        <v>51</v>
      </c>
      <c r="C2039" t="str">
        <f t="shared" si="62"/>
        <v>"https://www.zeldadungeon.net/maps/totk/tiles/sky/6/44_31.jpg",</v>
      </c>
      <c r="H2039" t="str">
        <f t="shared" si="63"/>
        <v>44_31</v>
      </c>
    </row>
    <row r="2040" spans="1:8" x14ac:dyDescent="0.2">
      <c r="A2040" s="9" t="s">
        <v>51</v>
      </c>
      <c r="C2040" t="str">
        <f t="shared" si="62"/>
        <v>"https://www.zeldadungeon.net/maps/totk/tiles/sky/6/44_32.jpg",</v>
      </c>
      <c r="H2040" t="str">
        <f t="shared" si="63"/>
        <v>44_32</v>
      </c>
    </row>
    <row r="2041" spans="1:8" x14ac:dyDescent="0.2">
      <c r="A2041" s="9" t="s">
        <v>51</v>
      </c>
      <c r="C2041" t="str">
        <f t="shared" si="62"/>
        <v>"https://www.zeldadungeon.net/maps/totk/tiles/sky/6/44_33.jpg",</v>
      </c>
      <c r="H2041" t="str">
        <f t="shared" si="63"/>
        <v>44_33</v>
      </c>
    </row>
    <row r="2042" spans="1:8" x14ac:dyDescent="0.2">
      <c r="A2042" s="9" t="s">
        <v>51</v>
      </c>
      <c r="C2042" t="str">
        <f t="shared" si="62"/>
        <v>"https://www.zeldadungeon.net/maps/totk/tiles/sky/6/44_34.jpg",</v>
      </c>
      <c r="H2042" t="str">
        <f t="shared" si="63"/>
        <v>44_34</v>
      </c>
    </row>
    <row r="2043" spans="1:8" x14ac:dyDescent="0.2">
      <c r="A2043" s="9" t="s">
        <v>51</v>
      </c>
      <c r="C2043" t="str">
        <f t="shared" si="62"/>
        <v>"https://www.zeldadungeon.net/maps/totk/tiles/sky/6/44_35.jpg",</v>
      </c>
      <c r="H2043" t="str">
        <f t="shared" si="63"/>
        <v>44_35</v>
      </c>
    </row>
    <row r="2044" spans="1:8" x14ac:dyDescent="0.2">
      <c r="A2044" s="9" t="s">
        <v>51</v>
      </c>
      <c r="C2044" t="str">
        <f t="shared" si="62"/>
        <v>"https://www.zeldadungeon.net/maps/totk/tiles/sky/6/44_36.jpg",</v>
      </c>
      <c r="H2044" t="str">
        <f t="shared" si="63"/>
        <v>44_36</v>
      </c>
    </row>
    <row r="2045" spans="1:8" x14ac:dyDescent="0.2">
      <c r="A2045" s="9" t="s">
        <v>51</v>
      </c>
      <c r="C2045" t="str">
        <f t="shared" si="62"/>
        <v>"https://www.zeldadungeon.net/maps/totk/tiles/sky/6/44_37.jpg",</v>
      </c>
      <c r="H2045" t="str">
        <f t="shared" si="63"/>
        <v>44_37</v>
      </c>
    </row>
    <row r="2046" spans="1:8" x14ac:dyDescent="0.2">
      <c r="A2046" s="9" t="s">
        <v>51</v>
      </c>
      <c r="C2046" t="str">
        <f t="shared" si="62"/>
        <v>"https://www.zeldadungeon.net/maps/totk/tiles/sky/6/44_38.jpg",</v>
      </c>
      <c r="H2046" t="str">
        <f t="shared" si="63"/>
        <v>44_38</v>
      </c>
    </row>
    <row r="2047" spans="1:8" x14ac:dyDescent="0.2">
      <c r="A2047" s="9" t="s">
        <v>51</v>
      </c>
      <c r="C2047" t="str">
        <f t="shared" si="62"/>
        <v>"https://www.zeldadungeon.net/maps/totk/tiles/sky/6/44_39.jpg",</v>
      </c>
      <c r="H2047" t="str">
        <f t="shared" si="63"/>
        <v>44_39</v>
      </c>
    </row>
    <row r="2048" spans="1:8" x14ac:dyDescent="0.2">
      <c r="A2048" s="9" t="s">
        <v>51</v>
      </c>
      <c r="C2048" t="str">
        <f t="shared" si="62"/>
        <v>"https://www.zeldadungeon.net/maps/totk/tiles/sky/6/44_40.jpg",</v>
      </c>
      <c r="H2048" t="str">
        <f t="shared" si="63"/>
        <v>44_40</v>
      </c>
    </row>
    <row r="2049" spans="1:8" x14ac:dyDescent="0.2">
      <c r="A2049" s="9" t="s">
        <v>51</v>
      </c>
      <c r="C2049" t="str">
        <f t="shared" ref="C2049:C2112" si="64">""""&amp;SUBSTITUTE(A2049,"zzz",H2049)&amp;""""&amp;","</f>
        <v>"https://www.zeldadungeon.net/maps/totk/tiles/sky/6/44_41.jpg",</v>
      </c>
      <c r="H2049" t="str">
        <f t="shared" ref="H2049:H2112" si="65">QUOTIENT(ROW(A2049),48)+2&amp;"_"&amp;MOD(ROW(A2049),48)+8</f>
        <v>44_41</v>
      </c>
    </row>
    <row r="2050" spans="1:8" x14ac:dyDescent="0.2">
      <c r="A2050" s="9" t="s">
        <v>51</v>
      </c>
      <c r="C2050" t="str">
        <f t="shared" si="64"/>
        <v>"https://www.zeldadungeon.net/maps/totk/tiles/sky/6/44_42.jpg",</v>
      </c>
      <c r="H2050" t="str">
        <f t="shared" si="65"/>
        <v>44_42</v>
      </c>
    </row>
    <row r="2051" spans="1:8" x14ac:dyDescent="0.2">
      <c r="A2051" s="9" t="s">
        <v>51</v>
      </c>
      <c r="C2051" t="str">
        <f t="shared" si="64"/>
        <v>"https://www.zeldadungeon.net/maps/totk/tiles/sky/6/44_43.jpg",</v>
      </c>
      <c r="H2051" t="str">
        <f t="shared" si="65"/>
        <v>44_43</v>
      </c>
    </row>
    <row r="2052" spans="1:8" x14ac:dyDescent="0.2">
      <c r="A2052" s="9" t="s">
        <v>51</v>
      </c>
      <c r="C2052" t="str">
        <f t="shared" si="64"/>
        <v>"https://www.zeldadungeon.net/maps/totk/tiles/sky/6/44_44.jpg",</v>
      </c>
      <c r="H2052" t="str">
        <f t="shared" si="65"/>
        <v>44_44</v>
      </c>
    </row>
    <row r="2053" spans="1:8" x14ac:dyDescent="0.2">
      <c r="A2053" s="9" t="s">
        <v>51</v>
      </c>
      <c r="C2053" t="str">
        <f t="shared" si="64"/>
        <v>"https://www.zeldadungeon.net/maps/totk/tiles/sky/6/44_45.jpg",</v>
      </c>
      <c r="H2053" t="str">
        <f t="shared" si="65"/>
        <v>44_45</v>
      </c>
    </row>
    <row r="2054" spans="1:8" x14ac:dyDescent="0.2">
      <c r="A2054" s="9" t="s">
        <v>51</v>
      </c>
      <c r="C2054" t="str">
        <f t="shared" si="64"/>
        <v>"https://www.zeldadungeon.net/maps/totk/tiles/sky/6/44_46.jpg",</v>
      </c>
      <c r="H2054" t="str">
        <f t="shared" si="65"/>
        <v>44_46</v>
      </c>
    </row>
    <row r="2055" spans="1:8" x14ac:dyDescent="0.2">
      <c r="A2055" s="9" t="s">
        <v>51</v>
      </c>
      <c r="C2055" t="str">
        <f t="shared" si="64"/>
        <v>"https://www.zeldadungeon.net/maps/totk/tiles/sky/6/44_47.jpg",</v>
      </c>
      <c r="H2055" t="str">
        <f t="shared" si="65"/>
        <v>44_47</v>
      </c>
    </row>
    <row r="2056" spans="1:8" x14ac:dyDescent="0.2">
      <c r="A2056" s="9" t="s">
        <v>51</v>
      </c>
      <c r="C2056" t="str">
        <f t="shared" si="64"/>
        <v>"https://www.zeldadungeon.net/maps/totk/tiles/sky/6/44_48.jpg",</v>
      </c>
      <c r="H2056" t="str">
        <f t="shared" si="65"/>
        <v>44_48</v>
      </c>
    </row>
    <row r="2057" spans="1:8" x14ac:dyDescent="0.2">
      <c r="A2057" s="9" t="s">
        <v>51</v>
      </c>
      <c r="C2057" t="str">
        <f t="shared" si="64"/>
        <v>"https://www.zeldadungeon.net/maps/totk/tiles/sky/6/44_49.jpg",</v>
      </c>
      <c r="H2057" t="str">
        <f t="shared" si="65"/>
        <v>44_49</v>
      </c>
    </row>
    <row r="2058" spans="1:8" x14ac:dyDescent="0.2">
      <c r="A2058" s="9" t="s">
        <v>51</v>
      </c>
      <c r="C2058" t="str">
        <f t="shared" si="64"/>
        <v>"https://www.zeldadungeon.net/maps/totk/tiles/sky/6/44_50.jpg",</v>
      </c>
      <c r="H2058" t="str">
        <f t="shared" si="65"/>
        <v>44_50</v>
      </c>
    </row>
    <row r="2059" spans="1:8" x14ac:dyDescent="0.2">
      <c r="A2059" s="9" t="s">
        <v>51</v>
      </c>
      <c r="C2059" t="str">
        <f t="shared" si="64"/>
        <v>"https://www.zeldadungeon.net/maps/totk/tiles/sky/6/44_51.jpg",</v>
      </c>
      <c r="H2059" t="str">
        <f t="shared" si="65"/>
        <v>44_51</v>
      </c>
    </row>
    <row r="2060" spans="1:8" x14ac:dyDescent="0.2">
      <c r="A2060" s="9" t="s">
        <v>51</v>
      </c>
      <c r="C2060" t="str">
        <f t="shared" si="64"/>
        <v>"https://www.zeldadungeon.net/maps/totk/tiles/sky/6/44_52.jpg",</v>
      </c>
      <c r="H2060" t="str">
        <f t="shared" si="65"/>
        <v>44_52</v>
      </c>
    </row>
    <row r="2061" spans="1:8" x14ac:dyDescent="0.2">
      <c r="A2061" s="9" t="s">
        <v>51</v>
      </c>
      <c r="C2061" t="str">
        <f t="shared" si="64"/>
        <v>"https://www.zeldadungeon.net/maps/totk/tiles/sky/6/44_53.jpg",</v>
      </c>
      <c r="H2061" t="str">
        <f t="shared" si="65"/>
        <v>44_53</v>
      </c>
    </row>
    <row r="2062" spans="1:8" x14ac:dyDescent="0.2">
      <c r="A2062" s="9" t="s">
        <v>51</v>
      </c>
      <c r="C2062" t="str">
        <f t="shared" si="64"/>
        <v>"https://www.zeldadungeon.net/maps/totk/tiles/sky/6/44_54.jpg",</v>
      </c>
      <c r="H2062" t="str">
        <f t="shared" si="65"/>
        <v>44_54</v>
      </c>
    </row>
    <row r="2063" spans="1:8" x14ac:dyDescent="0.2">
      <c r="A2063" s="9" t="s">
        <v>51</v>
      </c>
      <c r="C2063" t="str">
        <f t="shared" si="64"/>
        <v>"https://www.zeldadungeon.net/maps/totk/tiles/sky/6/44_55.jpg",</v>
      </c>
      <c r="H2063" t="str">
        <f t="shared" si="65"/>
        <v>44_55</v>
      </c>
    </row>
    <row r="2064" spans="1:8" x14ac:dyDescent="0.2">
      <c r="A2064" s="9" t="s">
        <v>51</v>
      </c>
      <c r="C2064" t="str">
        <f t="shared" si="64"/>
        <v>"https://www.zeldadungeon.net/maps/totk/tiles/sky/6/45_8.jpg",</v>
      </c>
      <c r="H2064" t="str">
        <f t="shared" si="65"/>
        <v>45_8</v>
      </c>
    </row>
    <row r="2065" spans="1:8" x14ac:dyDescent="0.2">
      <c r="A2065" s="9" t="s">
        <v>51</v>
      </c>
      <c r="C2065" t="str">
        <f t="shared" si="64"/>
        <v>"https://www.zeldadungeon.net/maps/totk/tiles/sky/6/45_9.jpg",</v>
      </c>
      <c r="H2065" t="str">
        <f t="shared" si="65"/>
        <v>45_9</v>
      </c>
    </row>
    <row r="2066" spans="1:8" x14ac:dyDescent="0.2">
      <c r="A2066" s="9" t="s">
        <v>51</v>
      </c>
      <c r="C2066" t="str">
        <f t="shared" si="64"/>
        <v>"https://www.zeldadungeon.net/maps/totk/tiles/sky/6/45_10.jpg",</v>
      </c>
      <c r="H2066" t="str">
        <f t="shared" si="65"/>
        <v>45_10</v>
      </c>
    </row>
    <row r="2067" spans="1:8" x14ac:dyDescent="0.2">
      <c r="A2067" s="9" t="s">
        <v>51</v>
      </c>
      <c r="C2067" t="str">
        <f t="shared" si="64"/>
        <v>"https://www.zeldadungeon.net/maps/totk/tiles/sky/6/45_11.jpg",</v>
      </c>
      <c r="H2067" t="str">
        <f t="shared" si="65"/>
        <v>45_11</v>
      </c>
    </row>
    <row r="2068" spans="1:8" x14ac:dyDescent="0.2">
      <c r="A2068" s="9" t="s">
        <v>51</v>
      </c>
      <c r="C2068" t="str">
        <f t="shared" si="64"/>
        <v>"https://www.zeldadungeon.net/maps/totk/tiles/sky/6/45_12.jpg",</v>
      </c>
      <c r="H2068" t="str">
        <f t="shared" si="65"/>
        <v>45_12</v>
      </c>
    </row>
    <row r="2069" spans="1:8" x14ac:dyDescent="0.2">
      <c r="A2069" s="9" t="s">
        <v>51</v>
      </c>
      <c r="C2069" t="str">
        <f t="shared" si="64"/>
        <v>"https://www.zeldadungeon.net/maps/totk/tiles/sky/6/45_13.jpg",</v>
      </c>
      <c r="H2069" t="str">
        <f t="shared" si="65"/>
        <v>45_13</v>
      </c>
    </row>
    <row r="2070" spans="1:8" x14ac:dyDescent="0.2">
      <c r="A2070" s="9" t="s">
        <v>51</v>
      </c>
      <c r="C2070" t="str">
        <f t="shared" si="64"/>
        <v>"https://www.zeldadungeon.net/maps/totk/tiles/sky/6/45_14.jpg",</v>
      </c>
      <c r="H2070" t="str">
        <f t="shared" si="65"/>
        <v>45_14</v>
      </c>
    </row>
    <row r="2071" spans="1:8" x14ac:dyDescent="0.2">
      <c r="A2071" s="9" t="s">
        <v>51</v>
      </c>
      <c r="C2071" t="str">
        <f t="shared" si="64"/>
        <v>"https://www.zeldadungeon.net/maps/totk/tiles/sky/6/45_15.jpg",</v>
      </c>
      <c r="H2071" t="str">
        <f t="shared" si="65"/>
        <v>45_15</v>
      </c>
    </row>
    <row r="2072" spans="1:8" x14ac:dyDescent="0.2">
      <c r="A2072" s="9" t="s">
        <v>51</v>
      </c>
      <c r="C2072" t="str">
        <f t="shared" si="64"/>
        <v>"https://www.zeldadungeon.net/maps/totk/tiles/sky/6/45_16.jpg",</v>
      </c>
      <c r="H2072" t="str">
        <f t="shared" si="65"/>
        <v>45_16</v>
      </c>
    </row>
    <row r="2073" spans="1:8" x14ac:dyDescent="0.2">
      <c r="A2073" s="9" t="s">
        <v>51</v>
      </c>
      <c r="C2073" t="str">
        <f t="shared" si="64"/>
        <v>"https://www.zeldadungeon.net/maps/totk/tiles/sky/6/45_17.jpg",</v>
      </c>
      <c r="H2073" t="str">
        <f t="shared" si="65"/>
        <v>45_17</v>
      </c>
    </row>
    <row r="2074" spans="1:8" x14ac:dyDescent="0.2">
      <c r="A2074" s="9" t="s">
        <v>51</v>
      </c>
      <c r="C2074" t="str">
        <f t="shared" si="64"/>
        <v>"https://www.zeldadungeon.net/maps/totk/tiles/sky/6/45_18.jpg",</v>
      </c>
      <c r="H2074" t="str">
        <f t="shared" si="65"/>
        <v>45_18</v>
      </c>
    </row>
    <row r="2075" spans="1:8" x14ac:dyDescent="0.2">
      <c r="A2075" s="9" t="s">
        <v>51</v>
      </c>
      <c r="C2075" t="str">
        <f t="shared" si="64"/>
        <v>"https://www.zeldadungeon.net/maps/totk/tiles/sky/6/45_19.jpg",</v>
      </c>
      <c r="H2075" t="str">
        <f t="shared" si="65"/>
        <v>45_19</v>
      </c>
    </row>
    <row r="2076" spans="1:8" x14ac:dyDescent="0.2">
      <c r="A2076" s="9" t="s">
        <v>51</v>
      </c>
      <c r="C2076" t="str">
        <f t="shared" si="64"/>
        <v>"https://www.zeldadungeon.net/maps/totk/tiles/sky/6/45_20.jpg",</v>
      </c>
      <c r="H2076" t="str">
        <f t="shared" si="65"/>
        <v>45_20</v>
      </c>
    </row>
    <row r="2077" spans="1:8" x14ac:dyDescent="0.2">
      <c r="A2077" s="9" t="s">
        <v>51</v>
      </c>
      <c r="C2077" t="str">
        <f t="shared" si="64"/>
        <v>"https://www.zeldadungeon.net/maps/totk/tiles/sky/6/45_21.jpg",</v>
      </c>
      <c r="H2077" t="str">
        <f t="shared" si="65"/>
        <v>45_21</v>
      </c>
    </row>
    <row r="2078" spans="1:8" x14ac:dyDescent="0.2">
      <c r="A2078" s="9" t="s">
        <v>51</v>
      </c>
      <c r="C2078" t="str">
        <f t="shared" si="64"/>
        <v>"https://www.zeldadungeon.net/maps/totk/tiles/sky/6/45_22.jpg",</v>
      </c>
      <c r="H2078" t="str">
        <f t="shared" si="65"/>
        <v>45_22</v>
      </c>
    </row>
    <row r="2079" spans="1:8" x14ac:dyDescent="0.2">
      <c r="A2079" s="9" t="s">
        <v>51</v>
      </c>
      <c r="C2079" t="str">
        <f t="shared" si="64"/>
        <v>"https://www.zeldadungeon.net/maps/totk/tiles/sky/6/45_23.jpg",</v>
      </c>
      <c r="H2079" t="str">
        <f t="shared" si="65"/>
        <v>45_23</v>
      </c>
    </row>
    <row r="2080" spans="1:8" x14ac:dyDescent="0.2">
      <c r="A2080" s="9" t="s">
        <v>51</v>
      </c>
      <c r="C2080" t="str">
        <f t="shared" si="64"/>
        <v>"https://www.zeldadungeon.net/maps/totk/tiles/sky/6/45_24.jpg",</v>
      </c>
      <c r="H2080" t="str">
        <f t="shared" si="65"/>
        <v>45_24</v>
      </c>
    </row>
    <row r="2081" spans="1:8" x14ac:dyDescent="0.2">
      <c r="A2081" s="9" t="s">
        <v>51</v>
      </c>
      <c r="C2081" t="str">
        <f t="shared" si="64"/>
        <v>"https://www.zeldadungeon.net/maps/totk/tiles/sky/6/45_25.jpg",</v>
      </c>
      <c r="H2081" t="str">
        <f t="shared" si="65"/>
        <v>45_25</v>
      </c>
    </row>
    <row r="2082" spans="1:8" x14ac:dyDescent="0.2">
      <c r="A2082" s="9" t="s">
        <v>51</v>
      </c>
      <c r="C2082" t="str">
        <f t="shared" si="64"/>
        <v>"https://www.zeldadungeon.net/maps/totk/tiles/sky/6/45_26.jpg",</v>
      </c>
      <c r="H2082" t="str">
        <f t="shared" si="65"/>
        <v>45_26</v>
      </c>
    </row>
    <row r="2083" spans="1:8" x14ac:dyDescent="0.2">
      <c r="A2083" s="9" t="s">
        <v>51</v>
      </c>
      <c r="C2083" t="str">
        <f t="shared" si="64"/>
        <v>"https://www.zeldadungeon.net/maps/totk/tiles/sky/6/45_27.jpg",</v>
      </c>
      <c r="H2083" t="str">
        <f t="shared" si="65"/>
        <v>45_27</v>
      </c>
    </row>
    <row r="2084" spans="1:8" x14ac:dyDescent="0.2">
      <c r="A2084" s="9" t="s">
        <v>51</v>
      </c>
      <c r="C2084" t="str">
        <f t="shared" si="64"/>
        <v>"https://www.zeldadungeon.net/maps/totk/tiles/sky/6/45_28.jpg",</v>
      </c>
      <c r="H2084" t="str">
        <f t="shared" si="65"/>
        <v>45_28</v>
      </c>
    </row>
    <row r="2085" spans="1:8" x14ac:dyDescent="0.2">
      <c r="A2085" s="9" t="s">
        <v>51</v>
      </c>
      <c r="C2085" t="str">
        <f t="shared" si="64"/>
        <v>"https://www.zeldadungeon.net/maps/totk/tiles/sky/6/45_29.jpg",</v>
      </c>
      <c r="H2085" t="str">
        <f t="shared" si="65"/>
        <v>45_29</v>
      </c>
    </row>
    <row r="2086" spans="1:8" x14ac:dyDescent="0.2">
      <c r="A2086" s="9" t="s">
        <v>51</v>
      </c>
      <c r="C2086" t="str">
        <f t="shared" si="64"/>
        <v>"https://www.zeldadungeon.net/maps/totk/tiles/sky/6/45_30.jpg",</v>
      </c>
      <c r="H2086" t="str">
        <f t="shared" si="65"/>
        <v>45_30</v>
      </c>
    </row>
    <row r="2087" spans="1:8" x14ac:dyDescent="0.2">
      <c r="A2087" s="9" t="s">
        <v>51</v>
      </c>
      <c r="C2087" t="str">
        <f t="shared" si="64"/>
        <v>"https://www.zeldadungeon.net/maps/totk/tiles/sky/6/45_31.jpg",</v>
      </c>
      <c r="H2087" t="str">
        <f t="shared" si="65"/>
        <v>45_31</v>
      </c>
    </row>
    <row r="2088" spans="1:8" x14ac:dyDescent="0.2">
      <c r="A2088" s="9" t="s">
        <v>51</v>
      </c>
      <c r="C2088" t="str">
        <f t="shared" si="64"/>
        <v>"https://www.zeldadungeon.net/maps/totk/tiles/sky/6/45_32.jpg",</v>
      </c>
      <c r="H2088" t="str">
        <f t="shared" si="65"/>
        <v>45_32</v>
      </c>
    </row>
    <row r="2089" spans="1:8" x14ac:dyDescent="0.2">
      <c r="A2089" s="9" t="s">
        <v>51</v>
      </c>
      <c r="C2089" t="str">
        <f t="shared" si="64"/>
        <v>"https://www.zeldadungeon.net/maps/totk/tiles/sky/6/45_33.jpg",</v>
      </c>
      <c r="H2089" t="str">
        <f t="shared" si="65"/>
        <v>45_33</v>
      </c>
    </row>
    <row r="2090" spans="1:8" x14ac:dyDescent="0.2">
      <c r="A2090" s="9" t="s">
        <v>51</v>
      </c>
      <c r="C2090" t="str">
        <f t="shared" si="64"/>
        <v>"https://www.zeldadungeon.net/maps/totk/tiles/sky/6/45_34.jpg",</v>
      </c>
      <c r="H2090" t="str">
        <f t="shared" si="65"/>
        <v>45_34</v>
      </c>
    </row>
    <row r="2091" spans="1:8" x14ac:dyDescent="0.2">
      <c r="A2091" s="9" t="s">
        <v>51</v>
      </c>
      <c r="C2091" t="str">
        <f t="shared" si="64"/>
        <v>"https://www.zeldadungeon.net/maps/totk/tiles/sky/6/45_35.jpg",</v>
      </c>
      <c r="H2091" t="str">
        <f t="shared" si="65"/>
        <v>45_35</v>
      </c>
    </row>
    <row r="2092" spans="1:8" x14ac:dyDescent="0.2">
      <c r="A2092" s="9" t="s">
        <v>51</v>
      </c>
      <c r="C2092" t="str">
        <f t="shared" si="64"/>
        <v>"https://www.zeldadungeon.net/maps/totk/tiles/sky/6/45_36.jpg",</v>
      </c>
      <c r="H2092" t="str">
        <f t="shared" si="65"/>
        <v>45_36</v>
      </c>
    </row>
    <row r="2093" spans="1:8" x14ac:dyDescent="0.2">
      <c r="A2093" s="9" t="s">
        <v>51</v>
      </c>
      <c r="C2093" t="str">
        <f t="shared" si="64"/>
        <v>"https://www.zeldadungeon.net/maps/totk/tiles/sky/6/45_37.jpg",</v>
      </c>
      <c r="H2093" t="str">
        <f t="shared" si="65"/>
        <v>45_37</v>
      </c>
    </row>
    <row r="2094" spans="1:8" x14ac:dyDescent="0.2">
      <c r="A2094" s="9" t="s">
        <v>51</v>
      </c>
      <c r="C2094" t="str">
        <f t="shared" si="64"/>
        <v>"https://www.zeldadungeon.net/maps/totk/tiles/sky/6/45_38.jpg",</v>
      </c>
      <c r="H2094" t="str">
        <f t="shared" si="65"/>
        <v>45_38</v>
      </c>
    </row>
    <row r="2095" spans="1:8" x14ac:dyDescent="0.2">
      <c r="A2095" s="9" t="s">
        <v>51</v>
      </c>
      <c r="C2095" t="str">
        <f t="shared" si="64"/>
        <v>"https://www.zeldadungeon.net/maps/totk/tiles/sky/6/45_39.jpg",</v>
      </c>
      <c r="H2095" t="str">
        <f t="shared" si="65"/>
        <v>45_39</v>
      </c>
    </row>
    <row r="2096" spans="1:8" x14ac:dyDescent="0.2">
      <c r="A2096" s="9" t="s">
        <v>51</v>
      </c>
      <c r="C2096" t="str">
        <f t="shared" si="64"/>
        <v>"https://www.zeldadungeon.net/maps/totk/tiles/sky/6/45_40.jpg",</v>
      </c>
      <c r="H2096" t="str">
        <f t="shared" si="65"/>
        <v>45_40</v>
      </c>
    </row>
    <row r="2097" spans="1:8" x14ac:dyDescent="0.2">
      <c r="A2097" s="9" t="s">
        <v>51</v>
      </c>
      <c r="C2097" t="str">
        <f t="shared" si="64"/>
        <v>"https://www.zeldadungeon.net/maps/totk/tiles/sky/6/45_41.jpg",</v>
      </c>
      <c r="H2097" t="str">
        <f t="shared" si="65"/>
        <v>45_41</v>
      </c>
    </row>
    <row r="2098" spans="1:8" x14ac:dyDescent="0.2">
      <c r="A2098" s="9" t="s">
        <v>51</v>
      </c>
      <c r="C2098" t="str">
        <f t="shared" si="64"/>
        <v>"https://www.zeldadungeon.net/maps/totk/tiles/sky/6/45_42.jpg",</v>
      </c>
      <c r="H2098" t="str">
        <f t="shared" si="65"/>
        <v>45_42</v>
      </c>
    </row>
    <row r="2099" spans="1:8" x14ac:dyDescent="0.2">
      <c r="A2099" s="9" t="s">
        <v>51</v>
      </c>
      <c r="C2099" t="str">
        <f t="shared" si="64"/>
        <v>"https://www.zeldadungeon.net/maps/totk/tiles/sky/6/45_43.jpg",</v>
      </c>
      <c r="H2099" t="str">
        <f t="shared" si="65"/>
        <v>45_43</v>
      </c>
    </row>
    <row r="2100" spans="1:8" x14ac:dyDescent="0.2">
      <c r="A2100" s="9" t="s">
        <v>51</v>
      </c>
      <c r="C2100" t="str">
        <f t="shared" si="64"/>
        <v>"https://www.zeldadungeon.net/maps/totk/tiles/sky/6/45_44.jpg",</v>
      </c>
      <c r="H2100" t="str">
        <f t="shared" si="65"/>
        <v>45_44</v>
      </c>
    </row>
    <row r="2101" spans="1:8" x14ac:dyDescent="0.2">
      <c r="A2101" s="9" t="s">
        <v>51</v>
      </c>
      <c r="C2101" t="str">
        <f t="shared" si="64"/>
        <v>"https://www.zeldadungeon.net/maps/totk/tiles/sky/6/45_45.jpg",</v>
      </c>
      <c r="H2101" t="str">
        <f t="shared" si="65"/>
        <v>45_45</v>
      </c>
    </row>
    <row r="2102" spans="1:8" x14ac:dyDescent="0.2">
      <c r="A2102" s="9" t="s">
        <v>51</v>
      </c>
      <c r="C2102" t="str">
        <f t="shared" si="64"/>
        <v>"https://www.zeldadungeon.net/maps/totk/tiles/sky/6/45_46.jpg",</v>
      </c>
      <c r="H2102" t="str">
        <f t="shared" si="65"/>
        <v>45_46</v>
      </c>
    </row>
    <row r="2103" spans="1:8" x14ac:dyDescent="0.2">
      <c r="A2103" s="9" t="s">
        <v>51</v>
      </c>
      <c r="C2103" t="str">
        <f t="shared" si="64"/>
        <v>"https://www.zeldadungeon.net/maps/totk/tiles/sky/6/45_47.jpg",</v>
      </c>
      <c r="H2103" t="str">
        <f t="shared" si="65"/>
        <v>45_47</v>
      </c>
    </row>
    <row r="2104" spans="1:8" x14ac:dyDescent="0.2">
      <c r="A2104" s="9" t="s">
        <v>51</v>
      </c>
      <c r="C2104" t="str">
        <f t="shared" si="64"/>
        <v>"https://www.zeldadungeon.net/maps/totk/tiles/sky/6/45_48.jpg",</v>
      </c>
      <c r="H2104" t="str">
        <f t="shared" si="65"/>
        <v>45_48</v>
      </c>
    </row>
    <row r="2105" spans="1:8" x14ac:dyDescent="0.2">
      <c r="A2105" s="9" t="s">
        <v>51</v>
      </c>
      <c r="C2105" t="str">
        <f t="shared" si="64"/>
        <v>"https://www.zeldadungeon.net/maps/totk/tiles/sky/6/45_49.jpg",</v>
      </c>
      <c r="H2105" t="str">
        <f t="shared" si="65"/>
        <v>45_49</v>
      </c>
    </row>
    <row r="2106" spans="1:8" x14ac:dyDescent="0.2">
      <c r="A2106" s="9" t="s">
        <v>51</v>
      </c>
      <c r="C2106" t="str">
        <f t="shared" si="64"/>
        <v>"https://www.zeldadungeon.net/maps/totk/tiles/sky/6/45_50.jpg",</v>
      </c>
      <c r="H2106" t="str">
        <f t="shared" si="65"/>
        <v>45_50</v>
      </c>
    </row>
    <row r="2107" spans="1:8" x14ac:dyDescent="0.2">
      <c r="A2107" s="9" t="s">
        <v>51</v>
      </c>
      <c r="C2107" t="str">
        <f t="shared" si="64"/>
        <v>"https://www.zeldadungeon.net/maps/totk/tiles/sky/6/45_51.jpg",</v>
      </c>
      <c r="H2107" t="str">
        <f t="shared" si="65"/>
        <v>45_51</v>
      </c>
    </row>
    <row r="2108" spans="1:8" x14ac:dyDescent="0.2">
      <c r="A2108" s="9" t="s">
        <v>51</v>
      </c>
      <c r="C2108" t="str">
        <f t="shared" si="64"/>
        <v>"https://www.zeldadungeon.net/maps/totk/tiles/sky/6/45_52.jpg",</v>
      </c>
      <c r="H2108" t="str">
        <f t="shared" si="65"/>
        <v>45_52</v>
      </c>
    </row>
    <row r="2109" spans="1:8" x14ac:dyDescent="0.2">
      <c r="A2109" s="9" t="s">
        <v>51</v>
      </c>
      <c r="C2109" t="str">
        <f t="shared" si="64"/>
        <v>"https://www.zeldadungeon.net/maps/totk/tiles/sky/6/45_53.jpg",</v>
      </c>
      <c r="H2109" t="str">
        <f t="shared" si="65"/>
        <v>45_53</v>
      </c>
    </row>
    <row r="2110" spans="1:8" x14ac:dyDescent="0.2">
      <c r="A2110" s="9" t="s">
        <v>51</v>
      </c>
      <c r="C2110" t="str">
        <f t="shared" si="64"/>
        <v>"https://www.zeldadungeon.net/maps/totk/tiles/sky/6/45_54.jpg",</v>
      </c>
      <c r="H2110" t="str">
        <f t="shared" si="65"/>
        <v>45_54</v>
      </c>
    </row>
    <row r="2111" spans="1:8" x14ac:dyDescent="0.2">
      <c r="A2111" s="9" t="s">
        <v>51</v>
      </c>
      <c r="C2111" t="str">
        <f t="shared" si="64"/>
        <v>"https://www.zeldadungeon.net/maps/totk/tiles/sky/6/45_55.jpg",</v>
      </c>
      <c r="H2111" t="str">
        <f t="shared" si="65"/>
        <v>45_55</v>
      </c>
    </row>
    <row r="2112" spans="1:8" x14ac:dyDescent="0.2">
      <c r="A2112" s="9" t="s">
        <v>51</v>
      </c>
      <c r="C2112" t="str">
        <f t="shared" si="64"/>
        <v>"https://www.zeldadungeon.net/maps/totk/tiles/sky/6/46_8.jpg",</v>
      </c>
      <c r="H2112" t="str">
        <f t="shared" si="65"/>
        <v>46_8</v>
      </c>
    </row>
    <row r="2113" spans="1:8" x14ac:dyDescent="0.2">
      <c r="A2113" s="9" t="s">
        <v>51</v>
      </c>
      <c r="C2113" t="str">
        <f t="shared" ref="C2113:C2176" si="66">""""&amp;SUBSTITUTE(A2113,"zzz",H2113)&amp;""""&amp;","</f>
        <v>"https://www.zeldadungeon.net/maps/totk/tiles/sky/6/46_9.jpg",</v>
      </c>
      <c r="H2113" t="str">
        <f t="shared" ref="H2113:H2176" si="67">QUOTIENT(ROW(A2113),48)+2&amp;"_"&amp;MOD(ROW(A2113),48)+8</f>
        <v>46_9</v>
      </c>
    </row>
    <row r="2114" spans="1:8" x14ac:dyDescent="0.2">
      <c r="A2114" s="9" t="s">
        <v>51</v>
      </c>
      <c r="C2114" t="str">
        <f t="shared" si="66"/>
        <v>"https://www.zeldadungeon.net/maps/totk/tiles/sky/6/46_10.jpg",</v>
      </c>
      <c r="H2114" t="str">
        <f t="shared" si="67"/>
        <v>46_10</v>
      </c>
    </row>
    <row r="2115" spans="1:8" x14ac:dyDescent="0.2">
      <c r="A2115" s="9" t="s">
        <v>51</v>
      </c>
      <c r="C2115" t="str">
        <f t="shared" si="66"/>
        <v>"https://www.zeldadungeon.net/maps/totk/tiles/sky/6/46_11.jpg",</v>
      </c>
      <c r="H2115" t="str">
        <f t="shared" si="67"/>
        <v>46_11</v>
      </c>
    </row>
    <row r="2116" spans="1:8" x14ac:dyDescent="0.2">
      <c r="A2116" s="9" t="s">
        <v>51</v>
      </c>
      <c r="C2116" t="str">
        <f t="shared" si="66"/>
        <v>"https://www.zeldadungeon.net/maps/totk/tiles/sky/6/46_12.jpg",</v>
      </c>
      <c r="H2116" t="str">
        <f t="shared" si="67"/>
        <v>46_12</v>
      </c>
    </row>
    <row r="2117" spans="1:8" x14ac:dyDescent="0.2">
      <c r="A2117" s="9" t="s">
        <v>51</v>
      </c>
      <c r="C2117" t="str">
        <f t="shared" si="66"/>
        <v>"https://www.zeldadungeon.net/maps/totk/tiles/sky/6/46_13.jpg",</v>
      </c>
      <c r="H2117" t="str">
        <f t="shared" si="67"/>
        <v>46_13</v>
      </c>
    </row>
    <row r="2118" spans="1:8" x14ac:dyDescent="0.2">
      <c r="A2118" s="9" t="s">
        <v>51</v>
      </c>
      <c r="C2118" t="str">
        <f t="shared" si="66"/>
        <v>"https://www.zeldadungeon.net/maps/totk/tiles/sky/6/46_14.jpg",</v>
      </c>
      <c r="H2118" t="str">
        <f t="shared" si="67"/>
        <v>46_14</v>
      </c>
    </row>
    <row r="2119" spans="1:8" x14ac:dyDescent="0.2">
      <c r="A2119" s="9" t="s">
        <v>51</v>
      </c>
      <c r="C2119" t="str">
        <f t="shared" si="66"/>
        <v>"https://www.zeldadungeon.net/maps/totk/tiles/sky/6/46_15.jpg",</v>
      </c>
      <c r="H2119" t="str">
        <f t="shared" si="67"/>
        <v>46_15</v>
      </c>
    </row>
    <row r="2120" spans="1:8" x14ac:dyDescent="0.2">
      <c r="A2120" s="9" t="s">
        <v>51</v>
      </c>
      <c r="C2120" t="str">
        <f t="shared" si="66"/>
        <v>"https://www.zeldadungeon.net/maps/totk/tiles/sky/6/46_16.jpg",</v>
      </c>
      <c r="H2120" t="str">
        <f t="shared" si="67"/>
        <v>46_16</v>
      </c>
    </row>
    <row r="2121" spans="1:8" x14ac:dyDescent="0.2">
      <c r="A2121" s="9" t="s">
        <v>51</v>
      </c>
      <c r="C2121" t="str">
        <f t="shared" si="66"/>
        <v>"https://www.zeldadungeon.net/maps/totk/tiles/sky/6/46_17.jpg",</v>
      </c>
      <c r="H2121" t="str">
        <f t="shared" si="67"/>
        <v>46_17</v>
      </c>
    </row>
    <row r="2122" spans="1:8" x14ac:dyDescent="0.2">
      <c r="A2122" s="9" t="s">
        <v>51</v>
      </c>
      <c r="C2122" t="str">
        <f t="shared" si="66"/>
        <v>"https://www.zeldadungeon.net/maps/totk/tiles/sky/6/46_18.jpg",</v>
      </c>
      <c r="H2122" t="str">
        <f t="shared" si="67"/>
        <v>46_18</v>
      </c>
    </row>
    <row r="2123" spans="1:8" x14ac:dyDescent="0.2">
      <c r="A2123" s="9" t="s">
        <v>51</v>
      </c>
      <c r="C2123" t="str">
        <f t="shared" si="66"/>
        <v>"https://www.zeldadungeon.net/maps/totk/tiles/sky/6/46_19.jpg",</v>
      </c>
      <c r="H2123" t="str">
        <f t="shared" si="67"/>
        <v>46_19</v>
      </c>
    </row>
    <row r="2124" spans="1:8" x14ac:dyDescent="0.2">
      <c r="A2124" s="9" t="s">
        <v>51</v>
      </c>
      <c r="C2124" t="str">
        <f t="shared" si="66"/>
        <v>"https://www.zeldadungeon.net/maps/totk/tiles/sky/6/46_20.jpg",</v>
      </c>
      <c r="H2124" t="str">
        <f t="shared" si="67"/>
        <v>46_20</v>
      </c>
    </row>
    <row r="2125" spans="1:8" x14ac:dyDescent="0.2">
      <c r="A2125" s="9" t="s">
        <v>51</v>
      </c>
      <c r="C2125" t="str">
        <f t="shared" si="66"/>
        <v>"https://www.zeldadungeon.net/maps/totk/tiles/sky/6/46_21.jpg",</v>
      </c>
      <c r="H2125" t="str">
        <f t="shared" si="67"/>
        <v>46_21</v>
      </c>
    </row>
    <row r="2126" spans="1:8" x14ac:dyDescent="0.2">
      <c r="A2126" s="9" t="s">
        <v>51</v>
      </c>
      <c r="C2126" t="str">
        <f t="shared" si="66"/>
        <v>"https://www.zeldadungeon.net/maps/totk/tiles/sky/6/46_22.jpg",</v>
      </c>
      <c r="H2126" t="str">
        <f t="shared" si="67"/>
        <v>46_22</v>
      </c>
    </row>
    <row r="2127" spans="1:8" x14ac:dyDescent="0.2">
      <c r="A2127" s="9" t="s">
        <v>51</v>
      </c>
      <c r="C2127" t="str">
        <f t="shared" si="66"/>
        <v>"https://www.zeldadungeon.net/maps/totk/tiles/sky/6/46_23.jpg",</v>
      </c>
      <c r="H2127" t="str">
        <f t="shared" si="67"/>
        <v>46_23</v>
      </c>
    </row>
    <row r="2128" spans="1:8" x14ac:dyDescent="0.2">
      <c r="A2128" s="9" t="s">
        <v>51</v>
      </c>
      <c r="C2128" t="str">
        <f t="shared" si="66"/>
        <v>"https://www.zeldadungeon.net/maps/totk/tiles/sky/6/46_24.jpg",</v>
      </c>
      <c r="H2128" t="str">
        <f t="shared" si="67"/>
        <v>46_24</v>
      </c>
    </row>
    <row r="2129" spans="1:8" x14ac:dyDescent="0.2">
      <c r="A2129" s="9" t="s">
        <v>51</v>
      </c>
      <c r="C2129" t="str">
        <f t="shared" si="66"/>
        <v>"https://www.zeldadungeon.net/maps/totk/tiles/sky/6/46_25.jpg",</v>
      </c>
      <c r="H2129" t="str">
        <f t="shared" si="67"/>
        <v>46_25</v>
      </c>
    </row>
    <row r="2130" spans="1:8" x14ac:dyDescent="0.2">
      <c r="A2130" s="9" t="s">
        <v>51</v>
      </c>
      <c r="C2130" t="str">
        <f t="shared" si="66"/>
        <v>"https://www.zeldadungeon.net/maps/totk/tiles/sky/6/46_26.jpg",</v>
      </c>
      <c r="H2130" t="str">
        <f t="shared" si="67"/>
        <v>46_26</v>
      </c>
    </row>
    <row r="2131" spans="1:8" x14ac:dyDescent="0.2">
      <c r="A2131" s="9" t="s">
        <v>51</v>
      </c>
      <c r="C2131" t="str">
        <f t="shared" si="66"/>
        <v>"https://www.zeldadungeon.net/maps/totk/tiles/sky/6/46_27.jpg",</v>
      </c>
      <c r="H2131" t="str">
        <f t="shared" si="67"/>
        <v>46_27</v>
      </c>
    </row>
    <row r="2132" spans="1:8" x14ac:dyDescent="0.2">
      <c r="A2132" s="9" t="s">
        <v>51</v>
      </c>
      <c r="C2132" t="str">
        <f t="shared" si="66"/>
        <v>"https://www.zeldadungeon.net/maps/totk/tiles/sky/6/46_28.jpg",</v>
      </c>
      <c r="H2132" t="str">
        <f t="shared" si="67"/>
        <v>46_28</v>
      </c>
    </row>
    <row r="2133" spans="1:8" x14ac:dyDescent="0.2">
      <c r="A2133" s="9" t="s">
        <v>51</v>
      </c>
      <c r="C2133" t="str">
        <f t="shared" si="66"/>
        <v>"https://www.zeldadungeon.net/maps/totk/tiles/sky/6/46_29.jpg",</v>
      </c>
      <c r="H2133" t="str">
        <f t="shared" si="67"/>
        <v>46_29</v>
      </c>
    </row>
    <row r="2134" spans="1:8" x14ac:dyDescent="0.2">
      <c r="A2134" s="9" t="s">
        <v>51</v>
      </c>
      <c r="C2134" t="str">
        <f t="shared" si="66"/>
        <v>"https://www.zeldadungeon.net/maps/totk/tiles/sky/6/46_30.jpg",</v>
      </c>
      <c r="H2134" t="str">
        <f t="shared" si="67"/>
        <v>46_30</v>
      </c>
    </row>
    <row r="2135" spans="1:8" x14ac:dyDescent="0.2">
      <c r="A2135" s="9" t="s">
        <v>51</v>
      </c>
      <c r="C2135" t="str">
        <f t="shared" si="66"/>
        <v>"https://www.zeldadungeon.net/maps/totk/tiles/sky/6/46_31.jpg",</v>
      </c>
      <c r="H2135" t="str">
        <f t="shared" si="67"/>
        <v>46_31</v>
      </c>
    </row>
    <row r="2136" spans="1:8" x14ac:dyDescent="0.2">
      <c r="A2136" s="9" t="s">
        <v>51</v>
      </c>
      <c r="C2136" t="str">
        <f t="shared" si="66"/>
        <v>"https://www.zeldadungeon.net/maps/totk/tiles/sky/6/46_32.jpg",</v>
      </c>
      <c r="H2136" t="str">
        <f t="shared" si="67"/>
        <v>46_32</v>
      </c>
    </row>
    <row r="2137" spans="1:8" x14ac:dyDescent="0.2">
      <c r="A2137" s="9" t="s">
        <v>51</v>
      </c>
      <c r="C2137" t="str">
        <f t="shared" si="66"/>
        <v>"https://www.zeldadungeon.net/maps/totk/tiles/sky/6/46_33.jpg",</v>
      </c>
      <c r="H2137" t="str">
        <f t="shared" si="67"/>
        <v>46_33</v>
      </c>
    </row>
    <row r="2138" spans="1:8" x14ac:dyDescent="0.2">
      <c r="A2138" s="9" t="s">
        <v>51</v>
      </c>
      <c r="C2138" t="str">
        <f t="shared" si="66"/>
        <v>"https://www.zeldadungeon.net/maps/totk/tiles/sky/6/46_34.jpg",</v>
      </c>
      <c r="H2138" t="str">
        <f t="shared" si="67"/>
        <v>46_34</v>
      </c>
    </row>
    <row r="2139" spans="1:8" x14ac:dyDescent="0.2">
      <c r="A2139" s="9" t="s">
        <v>51</v>
      </c>
      <c r="C2139" t="str">
        <f t="shared" si="66"/>
        <v>"https://www.zeldadungeon.net/maps/totk/tiles/sky/6/46_35.jpg",</v>
      </c>
      <c r="H2139" t="str">
        <f t="shared" si="67"/>
        <v>46_35</v>
      </c>
    </row>
    <row r="2140" spans="1:8" x14ac:dyDescent="0.2">
      <c r="A2140" s="9" t="s">
        <v>51</v>
      </c>
      <c r="C2140" t="str">
        <f t="shared" si="66"/>
        <v>"https://www.zeldadungeon.net/maps/totk/tiles/sky/6/46_36.jpg",</v>
      </c>
      <c r="H2140" t="str">
        <f t="shared" si="67"/>
        <v>46_36</v>
      </c>
    </row>
    <row r="2141" spans="1:8" x14ac:dyDescent="0.2">
      <c r="A2141" s="9" t="s">
        <v>51</v>
      </c>
      <c r="C2141" t="str">
        <f t="shared" si="66"/>
        <v>"https://www.zeldadungeon.net/maps/totk/tiles/sky/6/46_37.jpg",</v>
      </c>
      <c r="H2141" t="str">
        <f t="shared" si="67"/>
        <v>46_37</v>
      </c>
    </row>
    <row r="2142" spans="1:8" x14ac:dyDescent="0.2">
      <c r="A2142" s="9" t="s">
        <v>51</v>
      </c>
      <c r="C2142" t="str">
        <f t="shared" si="66"/>
        <v>"https://www.zeldadungeon.net/maps/totk/tiles/sky/6/46_38.jpg",</v>
      </c>
      <c r="H2142" t="str">
        <f t="shared" si="67"/>
        <v>46_38</v>
      </c>
    </row>
    <row r="2143" spans="1:8" x14ac:dyDescent="0.2">
      <c r="A2143" s="9" t="s">
        <v>51</v>
      </c>
      <c r="C2143" t="str">
        <f t="shared" si="66"/>
        <v>"https://www.zeldadungeon.net/maps/totk/tiles/sky/6/46_39.jpg",</v>
      </c>
      <c r="H2143" t="str">
        <f t="shared" si="67"/>
        <v>46_39</v>
      </c>
    </row>
    <row r="2144" spans="1:8" x14ac:dyDescent="0.2">
      <c r="A2144" s="9" t="s">
        <v>51</v>
      </c>
      <c r="C2144" t="str">
        <f t="shared" si="66"/>
        <v>"https://www.zeldadungeon.net/maps/totk/tiles/sky/6/46_40.jpg",</v>
      </c>
      <c r="H2144" t="str">
        <f t="shared" si="67"/>
        <v>46_40</v>
      </c>
    </row>
    <row r="2145" spans="1:8" x14ac:dyDescent="0.2">
      <c r="A2145" s="9" t="s">
        <v>51</v>
      </c>
      <c r="C2145" t="str">
        <f t="shared" si="66"/>
        <v>"https://www.zeldadungeon.net/maps/totk/tiles/sky/6/46_41.jpg",</v>
      </c>
      <c r="H2145" t="str">
        <f t="shared" si="67"/>
        <v>46_41</v>
      </c>
    </row>
    <row r="2146" spans="1:8" x14ac:dyDescent="0.2">
      <c r="A2146" s="9" t="s">
        <v>51</v>
      </c>
      <c r="C2146" t="str">
        <f t="shared" si="66"/>
        <v>"https://www.zeldadungeon.net/maps/totk/tiles/sky/6/46_42.jpg",</v>
      </c>
      <c r="H2146" t="str">
        <f t="shared" si="67"/>
        <v>46_42</v>
      </c>
    </row>
    <row r="2147" spans="1:8" x14ac:dyDescent="0.2">
      <c r="A2147" s="9" t="s">
        <v>51</v>
      </c>
      <c r="C2147" t="str">
        <f t="shared" si="66"/>
        <v>"https://www.zeldadungeon.net/maps/totk/tiles/sky/6/46_43.jpg",</v>
      </c>
      <c r="H2147" t="str">
        <f t="shared" si="67"/>
        <v>46_43</v>
      </c>
    </row>
    <row r="2148" spans="1:8" x14ac:dyDescent="0.2">
      <c r="A2148" s="9" t="s">
        <v>51</v>
      </c>
      <c r="C2148" t="str">
        <f t="shared" si="66"/>
        <v>"https://www.zeldadungeon.net/maps/totk/tiles/sky/6/46_44.jpg",</v>
      </c>
      <c r="H2148" t="str">
        <f t="shared" si="67"/>
        <v>46_44</v>
      </c>
    </row>
    <row r="2149" spans="1:8" x14ac:dyDescent="0.2">
      <c r="A2149" s="9" t="s">
        <v>51</v>
      </c>
      <c r="C2149" t="str">
        <f t="shared" si="66"/>
        <v>"https://www.zeldadungeon.net/maps/totk/tiles/sky/6/46_45.jpg",</v>
      </c>
      <c r="H2149" t="str">
        <f t="shared" si="67"/>
        <v>46_45</v>
      </c>
    </row>
    <row r="2150" spans="1:8" x14ac:dyDescent="0.2">
      <c r="A2150" s="9" t="s">
        <v>51</v>
      </c>
      <c r="C2150" t="str">
        <f t="shared" si="66"/>
        <v>"https://www.zeldadungeon.net/maps/totk/tiles/sky/6/46_46.jpg",</v>
      </c>
      <c r="H2150" t="str">
        <f t="shared" si="67"/>
        <v>46_46</v>
      </c>
    </row>
    <row r="2151" spans="1:8" x14ac:dyDescent="0.2">
      <c r="A2151" s="9" t="s">
        <v>51</v>
      </c>
      <c r="C2151" t="str">
        <f t="shared" si="66"/>
        <v>"https://www.zeldadungeon.net/maps/totk/tiles/sky/6/46_47.jpg",</v>
      </c>
      <c r="H2151" t="str">
        <f t="shared" si="67"/>
        <v>46_47</v>
      </c>
    </row>
    <row r="2152" spans="1:8" x14ac:dyDescent="0.2">
      <c r="A2152" s="9" t="s">
        <v>51</v>
      </c>
      <c r="C2152" t="str">
        <f t="shared" si="66"/>
        <v>"https://www.zeldadungeon.net/maps/totk/tiles/sky/6/46_48.jpg",</v>
      </c>
      <c r="H2152" t="str">
        <f t="shared" si="67"/>
        <v>46_48</v>
      </c>
    </row>
    <row r="2153" spans="1:8" x14ac:dyDescent="0.2">
      <c r="A2153" s="9" t="s">
        <v>51</v>
      </c>
      <c r="C2153" t="str">
        <f t="shared" si="66"/>
        <v>"https://www.zeldadungeon.net/maps/totk/tiles/sky/6/46_49.jpg",</v>
      </c>
      <c r="H2153" t="str">
        <f t="shared" si="67"/>
        <v>46_49</v>
      </c>
    </row>
    <row r="2154" spans="1:8" x14ac:dyDescent="0.2">
      <c r="A2154" s="9" t="s">
        <v>51</v>
      </c>
      <c r="C2154" t="str">
        <f t="shared" si="66"/>
        <v>"https://www.zeldadungeon.net/maps/totk/tiles/sky/6/46_50.jpg",</v>
      </c>
      <c r="H2154" t="str">
        <f t="shared" si="67"/>
        <v>46_50</v>
      </c>
    </row>
    <row r="2155" spans="1:8" x14ac:dyDescent="0.2">
      <c r="A2155" s="9" t="s">
        <v>51</v>
      </c>
      <c r="C2155" t="str">
        <f t="shared" si="66"/>
        <v>"https://www.zeldadungeon.net/maps/totk/tiles/sky/6/46_51.jpg",</v>
      </c>
      <c r="H2155" t="str">
        <f t="shared" si="67"/>
        <v>46_51</v>
      </c>
    </row>
    <row r="2156" spans="1:8" x14ac:dyDescent="0.2">
      <c r="A2156" s="9" t="s">
        <v>51</v>
      </c>
      <c r="C2156" t="str">
        <f t="shared" si="66"/>
        <v>"https://www.zeldadungeon.net/maps/totk/tiles/sky/6/46_52.jpg",</v>
      </c>
      <c r="H2156" t="str">
        <f t="shared" si="67"/>
        <v>46_52</v>
      </c>
    </row>
    <row r="2157" spans="1:8" x14ac:dyDescent="0.2">
      <c r="A2157" s="9" t="s">
        <v>51</v>
      </c>
      <c r="C2157" t="str">
        <f t="shared" si="66"/>
        <v>"https://www.zeldadungeon.net/maps/totk/tiles/sky/6/46_53.jpg",</v>
      </c>
      <c r="H2157" t="str">
        <f t="shared" si="67"/>
        <v>46_53</v>
      </c>
    </row>
    <row r="2158" spans="1:8" x14ac:dyDescent="0.2">
      <c r="A2158" s="9" t="s">
        <v>51</v>
      </c>
      <c r="C2158" t="str">
        <f t="shared" si="66"/>
        <v>"https://www.zeldadungeon.net/maps/totk/tiles/sky/6/46_54.jpg",</v>
      </c>
      <c r="H2158" t="str">
        <f t="shared" si="67"/>
        <v>46_54</v>
      </c>
    </row>
    <row r="2159" spans="1:8" x14ac:dyDescent="0.2">
      <c r="A2159" s="9" t="s">
        <v>51</v>
      </c>
      <c r="C2159" t="str">
        <f t="shared" si="66"/>
        <v>"https://www.zeldadungeon.net/maps/totk/tiles/sky/6/46_55.jpg",</v>
      </c>
      <c r="H2159" t="str">
        <f t="shared" si="67"/>
        <v>46_55</v>
      </c>
    </row>
    <row r="2160" spans="1:8" x14ac:dyDescent="0.2">
      <c r="A2160" s="9" t="s">
        <v>51</v>
      </c>
      <c r="C2160" t="str">
        <f t="shared" si="66"/>
        <v>"https://www.zeldadungeon.net/maps/totk/tiles/sky/6/47_8.jpg",</v>
      </c>
      <c r="H2160" t="str">
        <f t="shared" si="67"/>
        <v>47_8</v>
      </c>
    </row>
    <row r="2161" spans="1:8" x14ac:dyDescent="0.2">
      <c r="A2161" s="9" t="s">
        <v>51</v>
      </c>
      <c r="C2161" t="str">
        <f t="shared" si="66"/>
        <v>"https://www.zeldadungeon.net/maps/totk/tiles/sky/6/47_9.jpg",</v>
      </c>
      <c r="H2161" t="str">
        <f t="shared" si="67"/>
        <v>47_9</v>
      </c>
    </row>
    <row r="2162" spans="1:8" x14ac:dyDescent="0.2">
      <c r="A2162" s="9" t="s">
        <v>51</v>
      </c>
      <c r="C2162" t="str">
        <f t="shared" si="66"/>
        <v>"https://www.zeldadungeon.net/maps/totk/tiles/sky/6/47_10.jpg",</v>
      </c>
      <c r="H2162" t="str">
        <f t="shared" si="67"/>
        <v>47_10</v>
      </c>
    </row>
    <row r="2163" spans="1:8" x14ac:dyDescent="0.2">
      <c r="A2163" s="9" t="s">
        <v>51</v>
      </c>
      <c r="C2163" t="str">
        <f t="shared" si="66"/>
        <v>"https://www.zeldadungeon.net/maps/totk/tiles/sky/6/47_11.jpg",</v>
      </c>
      <c r="H2163" t="str">
        <f t="shared" si="67"/>
        <v>47_11</v>
      </c>
    </row>
    <row r="2164" spans="1:8" x14ac:dyDescent="0.2">
      <c r="A2164" s="9" t="s">
        <v>51</v>
      </c>
      <c r="C2164" t="str">
        <f t="shared" si="66"/>
        <v>"https://www.zeldadungeon.net/maps/totk/tiles/sky/6/47_12.jpg",</v>
      </c>
      <c r="H2164" t="str">
        <f t="shared" si="67"/>
        <v>47_12</v>
      </c>
    </row>
    <row r="2165" spans="1:8" x14ac:dyDescent="0.2">
      <c r="A2165" s="9" t="s">
        <v>51</v>
      </c>
      <c r="C2165" t="str">
        <f t="shared" si="66"/>
        <v>"https://www.zeldadungeon.net/maps/totk/tiles/sky/6/47_13.jpg",</v>
      </c>
      <c r="H2165" t="str">
        <f t="shared" si="67"/>
        <v>47_13</v>
      </c>
    </row>
    <row r="2166" spans="1:8" x14ac:dyDescent="0.2">
      <c r="A2166" s="9" t="s">
        <v>51</v>
      </c>
      <c r="C2166" t="str">
        <f t="shared" si="66"/>
        <v>"https://www.zeldadungeon.net/maps/totk/tiles/sky/6/47_14.jpg",</v>
      </c>
      <c r="H2166" t="str">
        <f t="shared" si="67"/>
        <v>47_14</v>
      </c>
    </row>
    <row r="2167" spans="1:8" x14ac:dyDescent="0.2">
      <c r="A2167" s="9" t="s">
        <v>51</v>
      </c>
      <c r="C2167" t="str">
        <f t="shared" si="66"/>
        <v>"https://www.zeldadungeon.net/maps/totk/tiles/sky/6/47_15.jpg",</v>
      </c>
      <c r="H2167" t="str">
        <f t="shared" si="67"/>
        <v>47_15</v>
      </c>
    </row>
    <row r="2168" spans="1:8" x14ac:dyDescent="0.2">
      <c r="A2168" s="9" t="s">
        <v>51</v>
      </c>
      <c r="C2168" t="str">
        <f t="shared" si="66"/>
        <v>"https://www.zeldadungeon.net/maps/totk/tiles/sky/6/47_16.jpg",</v>
      </c>
      <c r="H2168" t="str">
        <f t="shared" si="67"/>
        <v>47_16</v>
      </c>
    </row>
    <row r="2169" spans="1:8" x14ac:dyDescent="0.2">
      <c r="A2169" s="9" t="s">
        <v>51</v>
      </c>
      <c r="C2169" t="str">
        <f t="shared" si="66"/>
        <v>"https://www.zeldadungeon.net/maps/totk/tiles/sky/6/47_17.jpg",</v>
      </c>
      <c r="H2169" t="str">
        <f t="shared" si="67"/>
        <v>47_17</v>
      </c>
    </row>
    <row r="2170" spans="1:8" x14ac:dyDescent="0.2">
      <c r="A2170" s="9" t="s">
        <v>51</v>
      </c>
      <c r="C2170" t="str">
        <f t="shared" si="66"/>
        <v>"https://www.zeldadungeon.net/maps/totk/tiles/sky/6/47_18.jpg",</v>
      </c>
      <c r="H2170" t="str">
        <f t="shared" si="67"/>
        <v>47_18</v>
      </c>
    </row>
    <row r="2171" spans="1:8" x14ac:dyDescent="0.2">
      <c r="A2171" s="9" t="s">
        <v>51</v>
      </c>
      <c r="C2171" t="str">
        <f t="shared" si="66"/>
        <v>"https://www.zeldadungeon.net/maps/totk/tiles/sky/6/47_19.jpg",</v>
      </c>
      <c r="H2171" t="str">
        <f t="shared" si="67"/>
        <v>47_19</v>
      </c>
    </row>
    <row r="2172" spans="1:8" x14ac:dyDescent="0.2">
      <c r="A2172" s="9" t="s">
        <v>51</v>
      </c>
      <c r="C2172" t="str">
        <f t="shared" si="66"/>
        <v>"https://www.zeldadungeon.net/maps/totk/tiles/sky/6/47_20.jpg",</v>
      </c>
      <c r="H2172" t="str">
        <f t="shared" si="67"/>
        <v>47_20</v>
      </c>
    </row>
    <row r="2173" spans="1:8" x14ac:dyDescent="0.2">
      <c r="A2173" s="9" t="s">
        <v>51</v>
      </c>
      <c r="C2173" t="str">
        <f t="shared" si="66"/>
        <v>"https://www.zeldadungeon.net/maps/totk/tiles/sky/6/47_21.jpg",</v>
      </c>
      <c r="H2173" t="str">
        <f t="shared" si="67"/>
        <v>47_21</v>
      </c>
    </row>
    <row r="2174" spans="1:8" x14ac:dyDescent="0.2">
      <c r="A2174" s="9" t="s">
        <v>51</v>
      </c>
      <c r="C2174" t="str">
        <f t="shared" si="66"/>
        <v>"https://www.zeldadungeon.net/maps/totk/tiles/sky/6/47_22.jpg",</v>
      </c>
      <c r="H2174" t="str">
        <f t="shared" si="67"/>
        <v>47_22</v>
      </c>
    </row>
    <row r="2175" spans="1:8" x14ac:dyDescent="0.2">
      <c r="A2175" s="9" t="s">
        <v>51</v>
      </c>
      <c r="C2175" t="str">
        <f t="shared" si="66"/>
        <v>"https://www.zeldadungeon.net/maps/totk/tiles/sky/6/47_23.jpg",</v>
      </c>
      <c r="H2175" t="str">
        <f t="shared" si="67"/>
        <v>47_23</v>
      </c>
    </row>
    <row r="2176" spans="1:8" x14ac:dyDescent="0.2">
      <c r="A2176" s="9" t="s">
        <v>51</v>
      </c>
      <c r="C2176" t="str">
        <f t="shared" si="66"/>
        <v>"https://www.zeldadungeon.net/maps/totk/tiles/sky/6/47_24.jpg",</v>
      </c>
      <c r="H2176" t="str">
        <f t="shared" si="67"/>
        <v>47_24</v>
      </c>
    </row>
    <row r="2177" spans="1:8" x14ac:dyDescent="0.2">
      <c r="A2177" s="9" t="s">
        <v>51</v>
      </c>
      <c r="C2177" t="str">
        <f t="shared" ref="C2177:C2240" si="68">""""&amp;SUBSTITUTE(A2177,"zzz",H2177)&amp;""""&amp;","</f>
        <v>"https://www.zeldadungeon.net/maps/totk/tiles/sky/6/47_25.jpg",</v>
      </c>
      <c r="H2177" t="str">
        <f t="shared" ref="H2177:H2240" si="69">QUOTIENT(ROW(A2177),48)+2&amp;"_"&amp;MOD(ROW(A2177),48)+8</f>
        <v>47_25</v>
      </c>
    </row>
    <row r="2178" spans="1:8" x14ac:dyDescent="0.2">
      <c r="A2178" s="9" t="s">
        <v>51</v>
      </c>
      <c r="C2178" t="str">
        <f t="shared" si="68"/>
        <v>"https://www.zeldadungeon.net/maps/totk/tiles/sky/6/47_26.jpg",</v>
      </c>
      <c r="H2178" t="str">
        <f t="shared" si="69"/>
        <v>47_26</v>
      </c>
    </row>
    <row r="2179" spans="1:8" x14ac:dyDescent="0.2">
      <c r="A2179" s="9" t="s">
        <v>51</v>
      </c>
      <c r="C2179" t="str">
        <f t="shared" si="68"/>
        <v>"https://www.zeldadungeon.net/maps/totk/tiles/sky/6/47_27.jpg",</v>
      </c>
      <c r="H2179" t="str">
        <f t="shared" si="69"/>
        <v>47_27</v>
      </c>
    </row>
    <row r="2180" spans="1:8" x14ac:dyDescent="0.2">
      <c r="A2180" s="9" t="s">
        <v>51</v>
      </c>
      <c r="C2180" t="str">
        <f t="shared" si="68"/>
        <v>"https://www.zeldadungeon.net/maps/totk/tiles/sky/6/47_28.jpg",</v>
      </c>
      <c r="H2180" t="str">
        <f t="shared" si="69"/>
        <v>47_28</v>
      </c>
    </row>
    <row r="2181" spans="1:8" x14ac:dyDescent="0.2">
      <c r="A2181" s="9" t="s">
        <v>51</v>
      </c>
      <c r="C2181" t="str">
        <f t="shared" si="68"/>
        <v>"https://www.zeldadungeon.net/maps/totk/tiles/sky/6/47_29.jpg",</v>
      </c>
      <c r="H2181" t="str">
        <f t="shared" si="69"/>
        <v>47_29</v>
      </c>
    </row>
    <row r="2182" spans="1:8" x14ac:dyDescent="0.2">
      <c r="A2182" s="9" t="s">
        <v>51</v>
      </c>
      <c r="C2182" t="str">
        <f t="shared" si="68"/>
        <v>"https://www.zeldadungeon.net/maps/totk/tiles/sky/6/47_30.jpg",</v>
      </c>
      <c r="H2182" t="str">
        <f t="shared" si="69"/>
        <v>47_30</v>
      </c>
    </row>
    <row r="2183" spans="1:8" x14ac:dyDescent="0.2">
      <c r="A2183" s="9" t="s">
        <v>51</v>
      </c>
      <c r="C2183" t="str">
        <f t="shared" si="68"/>
        <v>"https://www.zeldadungeon.net/maps/totk/tiles/sky/6/47_31.jpg",</v>
      </c>
      <c r="H2183" t="str">
        <f t="shared" si="69"/>
        <v>47_31</v>
      </c>
    </row>
    <row r="2184" spans="1:8" x14ac:dyDescent="0.2">
      <c r="A2184" s="9" t="s">
        <v>51</v>
      </c>
      <c r="C2184" t="str">
        <f t="shared" si="68"/>
        <v>"https://www.zeldadungeon.net/maps/totk/tiles/sky/6/47_32.jpg",</v>
      </c>
      <c r="H2184" t="str">
        <f t="shared" si="69"/>
        <v>47_32</v>
      </c>
    </row>
    <row r="2185" spans="1:8" x14ac:dyDescent="0.2">
      <c r="A2185" s="9" t="s">
        <v>51</v>
      </c>
      <c r="C2185" t="str">
        <f t="shared" si="68"/>
        <v>"https://www.zeldadungeon.net/maps/totk/tiles/sky/6/47_33.jpg",</v>
      </c>
      <c r="H2185" t="str">
        <f t="shared" si="69"/>
        <v>47_33</v>
      </c>
    </row>
    <row r="2186" spans="1:8" x14ac:dyDescent="0.2">
      <c r="A2186" s="9" t="s">
        <v>51</v>
      </c>
      <c r="C2186" t="str">
        <f t="shared" si="68"/>
        <v>"https://www.zeldadungeon.net/maps/totk/tiles/sky/6/47_34.jpg",</v>
      </c>
      <c r="H2186" t="str">
        <f t="shared" si="69"/>
        <v>47_34</v>
      </c>
    </row>
    <row r="2187" spans="1:8" x14ac:dyDescent="0.2">
      <c r="A2187" s="9" t="s">
        <v>51</v>
      </c>
      <c r="C2187" t="str">
        <f t="shared" si="68"/>
        <v>"https://www.zeldadungeon.net/maps/totk/tiles/sky/6/47_35.jpg",</v>
      </c>
      <c r="H2187" t="str">
        <f t="shared" si="69"/>
        <v>47_35</v>
      </c>
    </row>
    <row r="2188" spans="1:8" x14ac:dyDescent="0.2">
      <c r="A2188" s="9" t="s">
        <v>51</v>
      </c>
      <c r="C2188" t="str">
        <f t="shared" si="68"/>
        <v>"https://www.zeldadungeon.net/maps/totk/tiles/sky/6/47_36.jpg",</v>
      </c>
      <c r="H2188" t="str">
        <f t="shared" si="69"/>
        <v>47_36</v>
      </c>
    </row>
    <row r="2189" spans="1:8" x14ac:dyDescent="0.2">
      <c r="A2189" s="9" t="s">
        <v>51</v>
      </c>
      <c r="C2189" t="str">
        <f t="shared" si="68"/>
        <v>"https://www.zeldadungeon.net/maps/totk/tiles/sky/6/47_37.jpg",</v>
      </c>
      <c r="H2189" t="str">
        <f t="shared" si="69"/>
        <v>47_37</v>
      </c>
    </row>
    <row r="2190" spans="1:8" x14ac:dyDescent="0.2">
      <c r="A2190" s="9" t="s">
        <v>51</v>
      </c>
      <c r="C2190" t="str">
        <f t="shared" si="68"/>
        <v>"https://www.zeldadungeon.net/maps/totk/tiles/sky/6/47_38.jpg",</v>
      </c>
      <c r="H2190" t="str">
        <f t="shared" si="69"/>
        <v>47_38</v>
      </c>
    </row>
    <row r="2191" spans="1:8" x14ac:dyDescent="0.2">
      <c r="A2191" s="9" t="s">
        <v>51</v>
      </c>
      <c r="C2191" t="str">
        <f t="shared" si="68"/>
        <v>"https://www.zeldadungeon.net/maps/totk/tiles/sky/6/47_39.jpg",</v>
      </c>
      <c r="H2191" t="str">
        <f t="shared" si="69"/>
        <v>47_39</v>
      </c>
    </row>
    <row r="2192" spans="1:8" x14ac:dyDescent="0.2">
      <c r="A2192" s="9" t="s">
        <v>51</v>
      </c>
      <c r="C2192" t="str">
        <f t="shared" si="68"/>
        <v>"https://www.zeldadungeon.net/maps/totk/tiles/sky/6/47_40.jpg",</v>
      </c>
      <c r="H2192" t="str">
        <f t="shared" si="69"/>
        <v>47_40</v>
      </c>
    </row>
    <row r="2193" spans="1:8" x14ac:dyDescent="0.2">
      <c r="A2193" s="9" t="s">
        <v>51</v>
      </c>
      <c r="C2193" t="str">
        <f t="shared" si="68"/>
        <v>"https://www.zeldadungeon.net/maps/totk/tiles/sky/6/47_41.jpg",</v>
      </c>
      <c r="H2193" t="str">
        <f t="shared" si="69"/>
        <v>47_41</v>
      </c>
    </row>
    <row r="2194" spans="1:8" x14ac:dyDescent="0.2">
      <c r="A2194" s="9" t="s">
        <v>51</v>
      </c>
      <c r="C2194" t="str">
        <f t="shared" si="68"/>
        <v>"https://www.zeldadungeon.net/maps/totk/tiles/sky/6/47_42.jpg",</v>
      </c>
      <c r="H2194" t="str">
        <f t="shared" si="69"/>
        <v>47_42</v>
      </c>
    </row>
    <row r="2195" spans="1:8" x14ac:dyDescent="0.2">
      <c r="A2195" s="9" t="s">
        <v>51</v>
      </c>
      <c r="C2195" t="str">
        <f t="shared" si="68"/>
        <v>"https://www.zeldadungeon.net/maps/totk/tiles/sky/6/47_43.jpg",</v>
      </c>
      <c r="H2195" t="str">
        <f t="shared" si="69"/>
        <v>47_43</v>
      </c>
    </row>
    <row r="2196" spans="1:8" x14ac:dyDescent="0.2">
      <c r="A2196" s="9" t="s">
        <v>51</v>
      </c>
      <c r="C2196" t="str">
        <f t="shared" si="68"/>
        <v>"https://www.zeldadungeon.net/maps/totk/tiles/sky/6/47_44.jpg",</v>
      </c>
      <c r="H2196" t="str">
        <f t="shared" si="69"/>
        <v>47_44</v>
      </c>
    </row>
    <row r="2197" spans="1:8" x14ac:dyDescent="0.2">
      <c r="A2197" s="9" t="s">
        <v>51</v>
      </c>
      <c r="C2197" t="str">
        <f t="shared" si="68"/>
        <v>"https://www.zeldadungeon.net/maps/totk/tiles/sky/6/47_45.jpg",</v>
      </c>
      <c r="H2197" t="str">
        <f t="shared" si="69"/>
        <v>47_45</v>
      </c>
    </row>
    <row r="2198" spans="1:8" x14ac:dyDescent="0.2">
      <c r="A2198" s="9" t="s">
        <v>51</v>
      </c>
      <c r="C2198" t="str">
        <f t="shared" si="68"/>
        <v>"https://www.zeldadungeon.net/maps/totk/tiles/sky/6/47_46.jpg",</v>
      </c>
      <c r="H2198" t="str">
        <f t="shared" si="69"/>
        <v>47_46</v>
      </c>
    </row>
    <row r="2199" spans="1:8" x14ac:dyDescent="0.2">
      <c r="A2199" s="9" t="s">
        <v>51</v>
      </c>
      <c r="C2199" t="str">
        <f t="shared" si="68"/>
        <v>"https://www.zeldadungeon.net/maps/totk/tiles/sky/6/47_47.jpg",</v>
      </c>
      <c r="H2199" t="str">
        <f t="shared" si="69"/>
        <v>47_47</v>
      </c>
    </row>
    <row r="2200" spans="1:8" x14ac:dyDescent="0.2">
      <c r="A2200" s="9" t="s">
        <v>51</v>
      </c>
      <c r="C2200" t="str">
        <f t="shared" si="68"/>
        <v>"https://www.zeldadungeon.net/maps/totk/tiles/sky/6/47_48.jpg",</v>
      </c>
      <c r="H2200" t="str">
        <f t="shared" si="69"/>
        <v>47_48</v>
      </c>
    </row>
    <row r="2201" spans="1:8" x14ac:dyDescent="0.2">
      <c r="A2201" s="9" t="s">
        <v>51</v>
      </c>
      <c r="C2201" t="str">
        <f t="shared" si="68"/>
        <v>"https://www.zeldadungeon.net/maps/totk/tiles/sky/6/47_49.jpg",</v>
      </c>
      <c r="H2201" t="str">
        <f t="shared" si="69"/>
        <v>47_49</v>
      </c>
    </row>
    <row r="2202" spans="1:8" x14ac:dyDescent="0.2">
      <c r="A2202" s="9" t="s">
        <v>51</v>
      </c>
      <c r="C2202" t="str">
        <f t="shared" si="68"/>
        <v>"https://www.zeldadungeon.net/maps/totk/tiles/sky/6/47_50.jpg",</v>
      </c>
      <c r="H2202" t="str">
        <f t="shared" si="69"/>
        <v>47_50</v>
      </c>
    </row>
    <row r="2203" spans="1:8" x14ac:dyDescent="0.2">
      <c r="A2203" s="9" t="s">
        <v>51</v>
      </c>
      <c r="C2203" t="str">
        <f t="shared" si="68"/>
        <v>"https://www.zeldadungeon.net/maps/totk/tiles/sky/6/47_51.jpg",</v>
      </c>
      <c r="H2203" t="str">
        <f t="shared" si="69"/>
        <v>47_51</v>
      </c>
    </row>
    <row r="2204" spans="1:8" x14ac:dyDescent="0.2">
      <c r="A2204" s="9" t="s">
        <v>51</v>
      </c>
      <c r="C2204" t="str">
        <f t="shared" si="68"/>
        <v>"https://www.zeldadungeon.net/maps/totk/tiles/sky/6/47_52.jpg",</v>
      </c>
      <c r="H2204" t="str">
        <f t="shared" si="69"/>
        <v>47_52</v>
      </c>
    </row>
    <row r="2205" spans="1:8" x14ac:dyDescent="0.2">
      <c r="A2205" s="9" t="s">
        <v>51</v>
      </c>
      <c r="C2205" t="str">
        <f t="shared" si="68"/>
        <v>"https://www.zeldadungeon.net/maps/totk/tiles/sky/6/47_53.jpg",</v>
      </c>
      <c r="H2205" t="str">
        <f t="shared" si="69"/>
        <v>47_53</v>
      </c>
    </row>
    <row r="2206" spans="1:8" x14ac:dyDescent="0.2">
      <c r="A2206" s="9" t="s">
        <v>51</v>
      </c>
      <c r="C2206" t="str">
        <f t="shared" si="68"/>
        <v>"https://www.zeldadungeon.net/maps/totk/tiles/sky/6/47_54.jpg",</v>
      </c>
      <c r="H2206" t="str">
        <f t="shared" si="69"/>
        <v>47_54</v>
      </c>
    </row>
    <row r="2207" spans="1:8" x14ac:dyDescent="0.2">
      <c r="A2207" s="9" t="s">
        <v>51</v>
      </c>
      <c r="C2207" t="str">
        <f t="shared" si="68"/>
        <v>"https://www.zeldadungeon.net/maps/totk/tiles/sky/6/47_55.jpg",</v>
      </c>
      <c r="H2207" t="str">
        <f t="shared" si="69"/>
        <v>47_55</v>
      </c>
    </row>
    <row r="2208" spans="1:8" x14ac:dyDescent="0.2">
      <c r="A2208" s="9" t="s">
        <v>51</v>
      </c>
      <c r="C2208" t="str">
        <f t="shared" si="68"/>
        <v>"https://www.zeldadungeon.net/maps/totk/tiles/sky/6/48_8.jpg",</v>
      </c>
      <c r="H2208" t="str">
        <f t="shared" si="69"/>
        <v>48_8</v>
      </c>
    </row>
    <row r="2209" spans="1:8" x14ac:dyDescent="0.2">
      <c r="A2209" s="9" t="s">
        <v>51</v>
      </c>
      <c r="C2209" t="str">
        <f t="shared" si="68"/>
        <v>"https://www.zeldadungeon.net/maps/totk/tiles/sky/6/48_9.jpg",</v>
      </c>
      <c r="H2209" t="str">
        <f t="shared" si="69"/>
        <v>48_9</v>
      </c>
    </row>
    <row r="2210" spans="1:8" x14ac:dyDescent="0.2">
      <c r="A2210" s="9" t="s">
        <v>51</v>
      </c>
      <c r="C2210" t="str">
        <f t="shared" si="68"/>
        <v>"https://www.zeldadungeon.net/maps/totk/tiles/sky/6/48_10.jpg",</v>
      </c>
      <c r="H2210" t="str">
        <f t="shared" si="69"/>
        <v>48_10</v>
      </c>
    </row>
    <row r="2211" spans="1:8" x14ac:dyDescent="0.2">
      <c r="A2211" s="9" t="s">
        <v>51</v>
      </c>
      <c r="C2211" t="str">
        <f t="shared" si="68"/>
        <v>"https://www.zeldadungeon.net/maps/totk/tiles/sky/6/48_11.jpg",</v>
      </c>
      <c r="H2211" t="str">
        <f t="shared" si="69"/>
        <v>48_11</v>
      </c>
    </row>
    <row r="2212" spans="1:8" x14ac:dyDescent="0.2">
      <c r="A2212" s="9" t="s">
        <v>51</v>
      </c>
      <c r="C2212" t="str">
        <f t="shared" si="68"/>
        <v>"https://www.zeldadungeon.net/maps/totk/tiles/sky/6/48_12.jpg",</v>
      </c>
      <c r="H2212" t="str">
        <f t="shared" si="69"/>
        <v>48_12</v>
      </c>
    </row>
    <row r="2213" spans="1:8" x14ac:dyDescent="0.2">
      <c r="A2213" s="9" t="s">
        <v>51</v>
      </c>
      <c r="C2213" t="str">
        <f t="shared" si="68"/>
        <v>"https://www.zeldadungeon.net/maps/totk/tiles/sky/6/48_13.jpg",</v>
      </c>
      <c r="H2213" t="str">
        <f t="shared" si="69"/>
        <v>48_13</v>
      </c>
    </row>
    <row r="2214" spans="1:8" x14ac:dyDescent="0.2">
      <c r="A2214" s="9" t="s">
        <v>51</v>
      </c>
      <c r="C2214" t="str">
        <f t="shared" si="68"/>
        <v>"https://www.zeldadungeon.net/maps/totk/tiles/sky/6/48_14.jpg",</v>
      </c>
      <c r="H2214" t="str">
        <f t="shared" si="69"/>
        <v>48_14</v>
      </c>
    </row>
    <row r="2215" spans="1:8" x14ac:dyDescent="0.2">
      <c r="A2215" s="9" t="s">
        <v>51</v>
      </c>
      <c r="C2215" t="str">
        <f t="shared" si="68"/>
        <v>"https://www.zeldadungeon.net/maps/totk/tiles/sky/6/48_15.jpg",</v>
      </c>
      <c r="H2215" t="str">
        <f t="shared" si="69"/>
        <v>48_15</v>
      </c>
    </row>
    <row r="2216" spans="1:8" x14ac:dyDescent="0.2">
      <c r="A2216" s="9" t="s">
        <v>51</v>
      </c>
      <c r="C2216" t="str">
        <f t="shared" si="68"/>
        <v>"https://www.zeldadungeon.net/maps/totk/tiles/sky/6/48_16.jpg",</v>
      </c>
      <c r="H2216" t="str">
        <f t="shared" si="69"/>
        <v>48_16</v>
      </c>
    </row>
    <row r="2217" spans="1:8" x14ac:dyDescent="0.2">
      <c r="A2217" s="9" t="s">
        <v>51</v>
      </c>
      <c r="C2217" t="str">
        <f t="shared" si="68"/>
        <v>"https://www.zeldadungeon.net/maps/totk/tiles/sky/6/48_17.jpg",</v>
      </c>
      <c r="H2217" t="str">
        <f t="shared" si="69"/>
        <v>48_17</v>
      </c>
    </row>
    <row r="2218" spans="1:8" x14ac:dyDescent="0.2">
      <c r="A2218" s="9" t="s">
        <v>51</v>
      </c>
      <c r="C2218" t="str">
        <f t="shared" si="68"/>
        <v>"https://www.zeldadungeon.net/maps/totk/tiles/sky/6/48_18.jpg",</v>
      </c>
      <c r="H2218" t="str">
        <f t="shared" si="69"/>
        <v>48_18</v>
      </c>
    </row>
    <row r="2219" spans="1:8" x14ac:dyDescent="0.2">
      <c r="A2219" s="9" t="s">
        <v>51</v>
      </c>
      <c r="C2219" t="str">
        <f t="shared" si="68"/>
        <v>"https://www.zeldadungeon.net/maps/totk/tiles/sky/6/48_19.jpg",</v>
      </c>
      <c r="H2219" t="str">
        <f t="shared" si="69"/>
        <v>48_19</v>
      </c>
    </row>
    <row r="2220" spans="1:8" x14ac:dyDescent="0.2">
      <c r="A2220" s="9" t="s">
        <v>51</v>
      </c>
      <c r="C2220" t="str">
        <f t="shared" si="68"/>
        <v>"https://www.zeldadungeon.net/maps/totk/tiles/sky/6/48_20.jpg",</v>
      </c>
      <c r="H2220" t="str">
        <f t="shared" si="69"/>
        <v>48_20</v>
      </c>
    </row>
    <row r="2221" spans="1:8" x14ac:dyDescent="0.2">
      <c r="A2221" s="9" t="s">
        <v>51</v>
      </c>
      <c r="C2221" t="str">
        <f t="shared" si="68"/>
        <v>"https://www.zeldadungeon.net/maps/totk/tiles/sky/6/48_21.jpg",</v>
      </c>
      <c r="H2221" t="str">
        <f t="shared" si="69"/>
        <v>48_21</v>
      </c>
    </row>
    <row r="2222" spans="1:8" x14ac:dyDescent="0.2">
      <c r="A2222" s="9" t="s">
        <v>51</v>
      </c>
      <c r="C2222" t="str">
        <f t="shared" si="68"/>
        <v>"https://www.zeldadungeon.net/maps/totk/tiles/sky/6/48_22.jpg",</v>
      </c>
      <c r="H2222" t="str">
        <f t="shared" si="69"/>
        <v>48_22</v>
      </c>
    </row>
    <row r="2223" spans="1:8" x14ac:dyDescent="0.2">
      <c r="A2223" s="9" t="s">
        <v>51</v>
      </c>
      <c r="C2223" t="str">
        <f t="shared" si="68"/>
        <v>"https://www.zeldadungeon.net/maps/totk/tiles/sky/6/48_23.jpg",</v>
      </c>
      <c r="H2223" t="str">
        <f t="shared" si="69"/>
        <v>48_23</v>
      </c>
    </row>
    <row r="2224" spans="1:8" x14ac:dyDescent="0.2">
      <c r="A2224" s="9" t="s">
        <v>51</v>
      </c>
      <c r="C2224" t="str">
        <f t="shared" si="68"/>
        <v>"https://www.zeldadungeon.net/maps/totk/tiles/sky/6/48_24.jpg",</v>
      </c>
      <c r="H2224" t="str">
        <f t="shared" si="69"/>
        <v>48_24</v>
      </c>
    </row>
    <row r="2225" spans="1:8" x14ac:dyDescent="0.2">
      <c r="A2225" s="9" t="s">
        <v>51</v>
      </c>
      <c r="C2225" t="str">
        <f t="shared" si="68"/>
        <v>"https://www.zeldadungeon.net/maps/totk/tiles/sky/6/48_25.jpg",</v>
      </c>
      <c r="H2225" t="str">
        <f t="shared" si="69"/>
        <v>48_25</v>
      </c>
    </row>
    <row r="2226" spans="1:8" x14ac:dyDescent="0.2">
      <c r="A2226" s="9" t="s">
        <v>51</v>
      </c>
      <c r="C2226" t="str">
        <f t="shared" si="68"/>
        <v>"https://www.zeldadungeon.net/maps/totk/tiles/sky/6/48_26.jpg",</v>
      </c>
      <c r="H2226" t="str">
        <f t="shared" si="69"/>
        <v>48_26</v>
      </c>
    </row>
    <row r="2227" spans="1:8" x14ac:dyDescent="0.2">
      <c r="A2227" s="9" t="s">
        <v>51</v>
      </c>
      <c r="C2227" t="str">
        <f t="shared" si="68"/>
        <v>"https://www.zeldadungeon.net/maps/totk/tiles/sky/6/48_27.jpg",</v>
      </c>
      <c r="H2227" t="str">
        <f t="shared" si="69"/>
        <v>48_27</v>
      </c>
    </row>
    <row r="2228" spans="1:8" x14ac:dyDescent="0.2">
      <c r="A2228" s="9" t="s">
        <v>51</v>
      </c>
      <c r="C2228" t="str">
        <f t="shared" si="68"/>
        <v>"https://www.zeldadungeon.net/maps/totk/tiles/sky/6/48_28.jpg",</v>
      </c>
      <c r="H2228" t="str">
        <f t="shared" si="69"/>
        <v>48_28</v>
      </c>
    </row>
    <row r="2229" spans="1:8" x14ac:dyDescent="0.2">
      <c r="A2229" s="9" t="s">
        <v>51</v>
      </c>
      <c r="C2229" t="str">
        <f t="shared" si="68"/>
        <v>"https://www.zeldadungeon.net/maps/totk/tiles/sky/6/48_29.jpg",</v>
      </c>
      <c r="H2229" t="str">
        <f t="shared" si="69"/>
        <v>48_29</v>
      </c>
    </row>
    <row r="2230" spans="1:8" x14ac:dyDescent="0.2">
      <c r="A2230" s="9" t="s">
        <v>51</v>
      </c>
      <c r="C2230" t="str">
        <f t="shared" si="68"/>
        <v>"https://www.zeldadungeon.net/maps/totk/tiles/sky/6/48_30.jpg",</v>
      </c>
      <c r="H2230" t="str">
        <f t="shared" si="69"/>
        <v>48_30</v>
      </c>
    </row>
    <row r="2231" spans="1:8" x14ac:dyDescent="0.2">
      <c r="A2231" s="9" t="s">
        <v>51</v>
      </c>
      <c r="C2231" t="str">
        <f t="shared" si="68"/>
        <v>"https://www.zeldadungeon.net/maps/totk/tiles/sky/6/48_31.jpg",</v>
      </c>
      <c r="H2231" t="str">
        <f t="shared" si="69"/>
        <v>48_31</v>
      </c>
    </row>
    <row r="2232" spans="1:8" x14ac:dyDescent="0.2">
      <c r="A2232" s="9" t="s">
        <v>51</v>
      </c>
      <c r="C2232" t="str">
        <f t="shared" si="68"/>
        <v>"https://www.zeldadungeon.net/maps/totk/tiles/sky/6/48_32.jpg",</v>
      </c>
      <c r="H2232" t="str">
        <f t="shared" si="69"/>
        <v>48_32</v>
      </c>
    </row>
    <row r="2233" spans="1:8" x14ac:dyDescent="0.2">
      <c r="A2233" s="9" t="s">
        <v>51</v>
      </c>
      <c r="C2233" t="str">
        <f t="shared" si="68"/>
        <v>"https://www.zeldadungeon.net/maps/totk/tiles/sky/6/48_33.jpg",</v>
      </c>
      <c r="H2233" t="str">
        <f t="shared" si="69"/>
        <v>48_33</v>
      </c>
    </row>
    <row r="2234" spans="1:8" x14ac:dyDescent="0.2">
      <c r="A2234" s="9" t="s">
        <v>51</v>
      </c>
      <c r="C2234" t="str">
        <f t="shared" si="68"/>
        <v>"https://www.zeldadungeon.net/maps/totk/tiles/sky/6/48_34.jpg",</v>
      </c>
      <c r="H2234" t="str">
        <f t="shared" si="69"/>
        <v>48_34</v>
      </c>
    </row>
    <row r="2235" spans="1:8" x14ac:dyDescent="0.2">
      <c r="A2235" s="9" t="s">
        <v>51</v>
      </c>
      <c r="C2235" t="str">
        <f t="shared" si="68"/>
        <v>"https://www.zeldadungeon.net/maps/totk/tiles/sky/6/48_35.jpg",</v>
      </c>
      <c r="H2235" t="str">
        <f t="shared" si="69"/>
        <v>48_35</v>
      </c>
    </row>
    <row r="2236" spans="1:8" x14ac:dyDescent="0.2">
      <c r="A2236" s="9" t="s">
        <v>51</v>
      </c>
      <c r="C2236" t="str">
        <f t="shared" si="68"/>
        <v>"https://www.zeldadungeon.net/maps/totk/tiles/sky/6/48_36.jpg",</v>
      </c>
      <c r="H2236" t="str">
        <f t="shared" si="69"/>
        <v>48_36</v>
      </c>
    </row>
    <row r="2237" spans="1:8" x14ac:dyDescent="0.2">
      <c r="A2237" s="9" t="s">
        <v>51</v>
      </c>
      <c r="C2237" t="str">
        <f t="shared" si="68"/>
        <v>"https://www.zeldadungeon.net/maps/totk/tiles/sky/6/48_37.jpg",</v>
      </c>
      <c r="H2237" t="str">
        <f t="shared" si="69"/>
        <v>48_37</v>
      </c>
    </row>
    <row r="2238" spans="1:8" x14ac:dyDescent="0.2">
      <c r="A2238" s="9" t="s">
        <v>51</v>
      </c>
      <c r="C2238" t="str">
        <f t="shared" si="68"/>
        <v>"https://www.zeldadungeon.net/maps/totk/tiles/sky/6/48_38.jpg",</v>
      </c>
      <c r="H2238" t="str">
        <f t="shared" si="69"/>
        <v>48_38</v>
      </c>
    </row>
    <row r="2239" spans="1:8" x14ac:dyDescent="0.2">
      <c r="A2239" s="9" t="s">
        <v>51</v>
      </c>
      <c r="C2239" t="str">
        <f t="shared" si="68"/>
        <v>"https://www.zeldadungeon.net/maps/totk/tiles/sky/6/48_39.jpg",</v>
      </c>
      <c r="H2239" t="str">
        <f t="shared" si="69"/>
        <v>48_39</v>
      </c>
    </row>
    <row r="2240" spans="1:8" x14ac:dyDescent="0.2">
      <c r="A2240" s="9" t="s">
        <v>51</v>
      </c>
      <c r="C2240" t="str">
        <f t="shared" si="68"/>
        <v>"https://www.zeldadungeon.net/maps/totk/tiles/sky/6/48_40.jpg",</v>
      </c>
      <c r="H2240" t="str">
        <f t="shared" si="69"/>
        <v>48_40</v>
      </c>
    </row>
    <row r="2241" spans="1:8" x14ac:dyDescent="0.2">
      <c r="A2241" s="9" t="s">
        <v>51</v>
      </c>
      <c r="C2241" t="str">
        <f t="shared" ref="C2241:C2304" si="70">""""&amp;SUBSTITUTE(A2241,"zzz",H2241)&amp;""""&amp;","</f>
        <v>"https://www.zeldadungeon.net/maps/totk/tiles/sky/6/48_41.jpg",</v>
      </c>
      <c r="H2241" t="str">
        <f t="shared" ref="H2241:H2304" si="71">QUOTIENT(ROW(A2241),48)+2&amp;"_"&amp;MOD(ROW(A2241),48)+8</f>
        <v>48_41</v>
      </c>
    </row>
    <row r="2242" spans="1:8" x14ac:dyDescent="0.2">
      <c r="A2242" s="9" t="s">
        <v>51</v>
      </c>
      <c r="C2242" t="str">
        <f t="shared" si="70"/>
        <v>"https://www.zeldadungeon.net/maps/totk/tiles/sky/6/48_42.jpg",</v>
      </c>
      <c r="H2242" t="str">
        <f t="shared" si="71"/>
        <v>48_42</v>
      </c>
    </row>
    <row r="2243" spans="1:8" x14ac:dyDescent="0.2">
      <c r="A2243" s="9" t="s">
        <v>51</v>
      </c>
      <c r="C2243" t="str">
        <f t="shared" si="70"/>
        <v>"https://www.zeldadungeon.net/maps/totk/tiles/sky/6/48_43.jpg",</v>
      </c>
      <c r="H2243" t="str">
        <f t="shared" si="71"/>
        <v>48_43</v>
      </c>
    </row>
    <row r="2244" spans="1:8" x14ac:dyDescent="0.2">
      <c r="A2244" s="9" t="s">
        <v>51</v>
      </c>
      <c r="C2244" t="str">
        <f t="shared" si="70"/>
        <v>"https://www.zeldadungeon.net/maps/totk/tiles/sky/6/48_44.jpg",</v>
      </c>
      <c r="H2244" t="str">
        <f t="shared" si="71"/>
        <v>48_44</v>
      </c>
    </row>
    <row r="2245" spans="1:8" x14ac:dyDescent="0.2">
      <c r="A2245" s="9" t="s">
        <v>51</v>
      </c>
      <c r="C2245" t="str">
        <f t="shared" si="70"/>
        <v>"https://www.zeldadungeon.net/maps/totk/tiles/sky/6/48_45.jpg",</v>
      </c>
      <c r="H2245" t="str">
        <f t="shared" si="71"/>
        <v>48_45</v>
      </c>
    </row>
    <row r="2246" spans="1:8" x14ac:dyDescent="0.2">
      <c r="A2246" s="9" t="s">
        <v>51</v>
      </c>
      <c r="C2246" t="str">
        <f t="shared" si="70"/>
        <v>"https://www.zeldadungeon.net/maps/totk/tiles/sky/6/48_46.jpg",</v>
      </c>
      <c r="H2246" t="str">
        <f t="shared" si="71"/>
        <v>48_46</v>
      </c>
    </row>
    <row r="2247" spans="1:8" x14ac:dyDescent="0.2">
      <c r="A2247" s="9" t="s">
        <v>51</v>
      </c>
      <c r="C2247" t="str">
        <f t="shared" si="70"/>
        <v>"https://www.zeldadungeon.net/maps/totk/tiles/sky/6/48_47.jpg",</v>
      </c>
      <c r="H2247" t="str">
        <f t="shared" si="71"/>
        <v>48_47</v>
      </c>
    </row>
    <row r="2248" spans="1:8" x14ac:dyDescent="0.2">
      <c r="A2248" s="9" t="s">
        <v>51</v>
      </c>
      <c r="C2248" t="str">
        <f t="shared" si="70"/>
        <v>"https://www.zeldadungeon.net/maps/totk/tiles/sky/6/48_48.jpg",</v>
      </c>
      <c r="H2248" t="str">
        <f t="shared" si="71"/>
        <v>48_48</v>
      </c>
    </row>
    <row r="2249" spans="1:8" x14ac:dyDescent="0.2">
      <c r="A2249" s="9" t="s">
        <v>51</v>
      </c>
      <c r="C2249" t="str">
        <f t="shared" si="70"/>
        <v>"https://www.zeldadungeon.net/maps/totk/tiles/sky/6/48_49.jpg",</v>
      </c>
      <c r="H2249" t="str">
        <f t="shared" si="71"/>
        <v>48_49</v>
      </c>
    </row>
    <row r="2250" spans="1:8" x14ac:dyDescent="0.2">
      <c r="A2250" s="9" t="s">
        <v>51</v>
      </c>
      <c r="C2250" t="str">
        <f t="shared" si="70"/>
        <v>"https://www.zeldadungeon.net/maps/totk/tiles/sky/6/48_50.jpg",</v>
      </c>
      <c r="H2250" t="str">
        <f t="shared" si="71"/>
        <v>48_50</v>
      </c>
    </row>
    <row r="2251" spans="1:8" x14ac:dyDescent="0.2">
      <c r="A2251" s="9" t="s">
        <v>51</v>
      </c>
      <c r="C2251" t="str">
        <f t="shared" si="70"/>
        <v>"https://www.zeldadungeon.net/maps/totk/tiles/sky/6/48_51.jpg",</v>
      </c>
      <c r="H2251" t="str">
        <f t="shared" si="71"/>
        <v>48_51</v>
      </c>
    </row>
    <row r="2252" spans="1:8" x14ac:dyDescent="0.2">
      <c r="A2252" s="9" t="s">
        <v>51</v>
      </c>
      <c r="C2252" t="str">
        <f t="shared" si="70"/>
        <v>"https://www.zeldadungeon.net/maps/totk/tiles/sky/6/48_52.jpg",</v>
      </c>
      <c r="H2252" t="str">
        <f t="shared" si="71"/>
        <v>48_52</v>
      </c>
    </row>
    <row r="2253" spans="1:8" x14ac:dyDescent="0.2">
      <c r="A2253" s="9" t="s">
        <v>51</v>
      </c>
      <c r="C2253" t="str">
        <f t="shared" si="70"/>
        <v>"https://www.zeldadungeon.net/maps/totk/tiles/sky/6/48_53.jpg",</v>
      </c>
      <c r="H2253" t="str">
        <f t="shared" si="71"/>
        <v>48_53</v>
      </c>
    </row>
    <row r="2254" spans="1:8" x14ac:dyDescent="0.2">
      <c r="A2254" s="9" t="s">
        <v>51</v>
      </c>
      <c r="C2254" t="str">
        <f t="shared" si="70"/>
        <v>"https://www.zeldadungeon.net/maps/totk/tiles/sky/6/48_54.jpg",</v>
      </c>
      <c r="H2254" t="str">
        <f t="shared" si="71"/>
        <v>48_54</v>
      </c>
    </row>
    <row r="2255" spans="1:8" x14ac:dyDescent="0.2">
      <c r="A2255" s="9" t="s">
        <v>51</v>
      </c>
      <c r="C2255" t="str">
        <f t="shared" si="70"/>
        <v>"https://www.zeldadungeon.net/maps/totk/tiles/sky/6/48_55.jpg",</v>
      </c>
      <c r="H2255" t="str">
        <f t="shared" si="71"/>
        <v>48_55</v>
      </c>
    </row>
    <row r="2256" spans="1:8" x14ac:dyDescent="0.2">
      <c r="A2256" s="9" t="s">
        <v>51</v>
      </c>
      <c r="C2256" t="str">
        <f t="shared" si="70"/>
        <v>"https://www.zeldadungeon.net/maps/totk/tiles/sky/6/49_8.jpg",</v>
      </c>
      <c r="H2256" t="str">
        <f t="shared" si="71"/>
        <v>49_8</v>
      </c>
    </row>
    <row r="2257" spans="1:8" x14ac:dyDescent="0.2">
      <c r="A2257" s="9" t="s">
        <v>51</v>
      </c>
      <c r="C2257" t="str">
        <f t="shared" si="70"/>
        <v>"https://www.zeldadungeon.net/maps/totk/tiles/sky/6/49_9.jpg",</v>
      </c>
      <c r="H2257" t="str">
        <f t="shared" si="71"/>
        <v>49_9</v>
      </c>
    </row>
    <row r="2258" spans="1:8" x14ac:dyDescent="0.2">
      <c r="A2258" s="9" t="s">
        <v>51</v>
      </c>
      <c r="C2258" t="str">
        <f t="shared" si="70"/>
        <v>"https://www.zeldadungeon.net/maps/totk/tiles/sky/6/49_10.jpg",</v>
      </c>
      <c r="H2258" t="str">
        <f t="shared" si="71"/>
        <v>49_10</v>
      </c>
    </row>
    <row r="2259" spans="1:8" x14ac:dyDescent="0.2">
      <c r="A2259" s="9" t="s">
        <v>51</v>
      </c>
      <c r="C2259" t="str">
        <f t="shared" si="70"/>
        <v>"https://www.zeldadungeon.net/maps/totk/tiles/sky/6/49_11.jpg",</v>
      </c>
      <c r="H2259" t="str">
        <f t="shared" si="71"/>
        <v>49_11</v>
      </c>
    </row>
    <row r="2260" spans="1:8" x14ac:dyDescent="0.2">
      <c r="A2260" s="9" t="s">
        <v>51</v>
      </c>
      <c r="C2260" t="str">
        <f t="shared" si="70"/>
        <v>"https://www.zeldadungeon.net/maps/totk/tiles/sky/6/49_12.jpg",</v>
      </c>
      <c r="H2260" t="str">
        <f t="shared" si="71"/>
        <v>49_12</v>
      </c>
    </row>
    <row r="2261" spans="1:8" x14ac:dyDescent="0.2">
      <c r="A2261" s="9" t="s">
        <v>51</v>
      </c>
      <c r="C2261" t="str">
        <f t="shared" si="70"/>
        <v>"https://www.zeldadungeon.net/maps/totk/tiles/sky/6/49_13.jpg",</v>
      </c>
      <c r="H2261" t="str">
        <f t="shared" si="71"/>
        <v>49_13</v>
      </c>
    </row>
    <row r="2262" spans="1:8" x14ac:dyDescent="0.2">
      <c r="A2262" s="9" t="s">
        <v>51</v>
      </c>
      <c r="C2262" t="str">
        <f t="shared" si="70"/>
        <v>"https://www.zeldadungeon.net/maps/totk/tiles/sky/6/49_14.jpg",</v>
      </c>
      <c r="H2262" t="str">
        <f t="shared" si="71"/>
        <v>49_14</v>
      </c>
    </row>
    <row r="2263" spans="1:8" x14ac:dyDescent="0.2">
      <c r="A2263" s="9" t="s">
        <v>51</v>
      </c>
      <c r="C2263" t="str">
        <f t="shared" si="70"/>
        <v>"https://www.zeldadungeon.net/maps/totk/tiles/sky/6/49_15.jpg",</v>
      </c>
      <c r="H2263" t="str">
        <f t="shared" si="71"/>
        <v>49_15</v>
      </c>
    </row>
    <row r="2264" spans="1:8" x14ac:dyDescent="0.2">
      <c r="A2264" s="9" t="s">
        <v>51</v>
      </c>
      <c r="C2264" t="str">
        <f t="shared" si="70"/>
        <v>"https://www.zeldadungeon.net/maps/totk/tiles/sky/6/49_16.jpg",</v>
      </c>
      <c r="H2264" t="str">
        <f t="shared" si="71"/>
        <v>49_16</v>
      </c>
    </row>
    <row r="2265" spans="1:8" x14ac:dyDescent="0.2">
      <c r="A2265" s="9" t="s">
        <v>51</v>
      </c>
      <c r="C2265" t="str">
        <f t="shared" si="70"/>
        <v>"https://www.zeldadungeon.net/maps/totk/tiles/sky/6/49_17.jpg",</v>
      </c>
      <c r="H2265" t="str">
        <f t="shared" si="71"/>
        <v>49_17</v>
      </c>
    </row>
    <row r="2266" spans="1:8" x14ac:dyDescent="0.2">
      <c r="A2266" s="9" t="s">
        <v>51</v>
      </c>
      <c r="C2266" t="str">
        <f t="shared" si="70"/>
        <v>"https://www.zeldadungeon.net/maps/totk/tiles/sky/6/49_18.jpg",</v>
      </c>
      <c r="H2266" t="str">
        <f t="shared" si="71"/>
        <v>49_18</v>
      </c>
    </row>
    <row r="2267" spans="1:8" x14ac:dyDescent="0.2">
      <c r="A2267" s="9" t="s">
        <v>51</v>
      </c>
      <c r="C2267" t="str">
        <f t="shared" si="70"/>
        <v>"https://www.zeldadungeon.net/maps/totk/tiles/sky/6/49_19.jpg",</v>
      </c>
      <c r="H2267" t="str">
        <f t="shared" si="71"/>
        <v>49_19</v>
      </c>
    </row>
    <row r="2268" spans="1:8" x14ac:dyDescent="0.2">
      <c r="A2268" s="9" t="s">
        <v>51</v>
      </c>
      <c r="C2268" t="str">
        <f t="shared" si="70"/>
        <v>"https://www.zeldadungeon.net/maps/totk/tiles/sky/6/49_20.jpg",</v>
      </c>
      <c r="H2268" t="str">
        <f t="shared" si="71"/>
        <v>49_20</v>
      </c>
    </row>
    <row r="2269" spans="1:8" x14ac:dyDescent="0.2">
      <c r="A2269" s="9" t="s">
        <v>51</v>
      </c>
      <c r="C2269" t="str">
        <f t="shared" si="70"/>
        <v>"https://www.zeldadungeon.net/maps/totk/tiles/sky/6/49_21.jpg",</v>
      </c>
      <c r="H2269" t="str">
        <f t="shared" si="71"/>
        <v>49_21</v>
      </c>
    </row>
    <row r="2270" spans="1:8" x14ac:dyDescent="0.2">
      <c r="A2270" s="9" t="s">
        <v>51</v>
      </c>
      <c r="C2270" t="str">
        <f t="shared" si="70"/>
        <v>"https://www.zeldadungeon.net/maps/totk/tiles/sky/6/49_22.jpg",</v>
      </c>
      <c r="H2270" t="str">
        <f t="shared" si="71"/>
        <v>49_22</v>
      </c>
    </row>
    <row r="2271" spans="1:8" x14ac:dyDescent="0.2">
      <c r="A2271" s="9" t="s">
        <v>51</v>
      </c>
      <c r="C2271" t="str">
        <f t="shared" si="70"/>
        <v>"https://www.zeldadungeon.net/maps/totk/tiles/sky/6/49_23.jpg",</v>
      </c>
      <c r="H2271" t="str">
        <f t="shared" si="71"/>
        <v>49_23</v>
      </c>
    </row>
    <row r="2272" spans="1:8" x14ac:dyDescent="0.2">
      <c r="A2272" s="9" t="s">
        <v>51</v>
      </c>
      <c r="C2272" t="str">
        <f t="shared" si="70"/>
        <v>"https://www.zeldadungeon.net/maps/totk/tiles/sky/6/49_24.jpg",</v>
      </c>
      <c r="H2272" t="str">
        <f t="shared" si="71"/>
        <v>49_24</v>
      </c>
    </row>
    <row r="2273" spans="1:8" x14ac:dyDescent="0.2">
      <c r="A2273" s="9" t="s">
        <v>51</v>
      </c>
      <c r="C2273" t="str">
        <f t="shared" si="70"/>
        <v>"https://www.zeldadungeon.net/maps/totk/tiles/sky/6/49_25.jpg",</v>
      </c>
      <c r="H2273" t="str">
        <f t="shared" si="71"/>
        <v>49_25</v>
      </c>
    </row>
    <row r="2274" spans="1:8" x14ac:dyDescent="0.2">
      <c r="A2274" s="9" t="s">
        <v>51</v>
      </c>
      <c r="C2274" t="str">
        <f t="shared" si="70"/>
        <v>"https://www.zeldadungeon.net/maps/totk/tiles/sky/6/49_26.jpg",</v>
      </c>
      <c r="H2274" t="str">
        <f t="shared" si="71"/>
        <v>49_26</v>
      </c>
    </row>
    <row r="2275" spans="1:8" x14ac:dyDescent="0.2">
      <c r="A2275" s="9" t="s">
        <v>51</v>
      </c>
      <c r="C2275" t="str">
        <f t="shared" si="70"/>
        <v>"https://www.zeldadungeon.net/maps/totk/tiles/sky/6/49_27.jpg",</v>
      </c>
      <c r="H2275" t="str">
        <f t="shared" si="71"/>
        <v>49_27</v>
      </c>
    </row>
    <row r="2276" spans="1:8" x14ac:dyDescent="0.2">
      <c r="A2276" s="9" t="s">
        <v>51</v>
      </c>
      <c r="C2276" t="str">
        <f t="shared" si="70"/>
        <v>"https://www.zeldadungeon.net/maps/totk/tiles/sky/6/49_28.jpg",</v>
      </c>
      <c r="H2276" t="str">
        <f t="shared" si="71"/>
        <v>49_28</v>
      </c>
    </row>
    <row r="2277" spans="1:8" x14ac:dyDescent="0.2">
      <c r="A2277" s="9" t="s">
        <v>51</v>
      </c>
      <c r="C2277" t="str">
        <f t="shared" si="70"/>
        <v>"https://www.zeldadungeon.net/maps/totk/tiles/sky/6/49_29.jpg",</v>
      </c>
      <c r="H2277" t="str">
        <f t="shared" si="71"/>
        <v>49_29</v>
      </c>
    </row>
    <row r="2278" spans="1:8" x14ac:dyDescent="0.2">
      <c r="A2278" s="9" t="s">
        <v>51</v>
      </c>
      <c r="C2278" t="str">
        <f t="shared" si="70"/>
        <v>"https://www.zeldadungeon.net/maps/totk/tiles/sky/6/49_30.jpg",</v>
      </c>
      <c r="H2278" t="str">
        <f t="shared" si="71"/>
        <v>49_30</v>
      </c>
    </row>
    <row r="2279" spans="1:8" x14ac:dyDescent="0.2">
      <c r="A2279" s="9" t="s">
        <v>51</v>
      </c>
      <c r="C2279" t="str">
        <f t="shared" si="70"/>
        <v>"https://www.zeldadungeon.net/maps/totk/tiles/sky/6/49_31.jpg",</v>
      </c>
      <c r="H2279" t="str">
        <f t="shared" si="71"/>
        <v>49_31</v>
      </c>
    </row>
    <row r="2280" spans="1:8" x14ac:dyDescent="0.2">
      <c r="A2280" s="9" t="s">
        <v>51</v>
      </c>
      <c r="C2280" t="str">
        <f t="shared" si="70"/>
        <v>"https://www.zeldadungeon.net/maps/totk/tiles/sky/6/49_32.jpg",</v>
      </c>
      <c r="H2280" t="str">
        <f t="shared" si="71"/>
        <v>49_32</v>
      </c>
    </row>
    <row r="2281" spans="1:8" x14ac:dyDescent="0.2">
      <c r="A2281" s="9" t="s">
        <v>51</v>
      </c>
      <c r="C2281" t="str">
        <f t="shared" si="70"/>
        <v>"https://www.zeldadungeon.net/maps/totk/tiles/sky/6/49_33.jpg",</v>
      </c>
      <c r="H2281" t="str">
        <f t="shared" si="71"/>
        <v>49_33</v>
      </c>
    </row>
    <row r="2282" spans="1:8" x14ac:dyDescent="0.2">
      <c r="A2282" s="9" t="s">
        <v>51</v>
      </c>
      <c r="C2282" t="str">
        <f t="shared" si="70"/>
        <v>"https://www.zeldadungeon.net/maps/totk/tiles/sky/6/49_34.jpg",</v>
      </c>
      <c r="H2282" t="str">
        <f t="shared" si="71"/>
        <v>49_34</v>
      </c>
    </row>
    <row r="2283" spans="1:8" x14ac:dyDescent="0.2">
      <c r="A2283" s="9" t="s">
        <v>51</v>
      </c>
      <c r="C2283" t="str">
        <f t="shared" si="70"/>
        <v>"https://www.zeldadungeon.net/maps/totk/tiles/sky/6/49_35.jpg",</v>
      </c>
      <c r="H2283" t="str">
        <f t="shared" si="71"/>
        <v>49_35</v>
      </c>
    </row>
    <row r="2284" spans="1:8" x14ac:dyDescent="0.2">
      <c r="A2284" s="9" t="s">
        <v>51</v>
      </c>
      <c r="C2284" t="str">
        <f t="shared" si="70"/>
        <v>"https://www.zeldadungeon.net/maps/totk/tiles/sky/6/49_36.jpg",</v>
      </c>
      <c r="H2284" t="str">
        <f t="shared" si="71"/>
        <v>49_36</v>
      </c>
    </row>
    <row r="2285" spans="1:8" x14ac:dyDescent="0.2">
      <c r="A2285" s="9" t="s">
        <v>51</v>
      </c>
      <c r="C2285" t="str">
        <f t="shared" si="70"/>
        <v>"https://www.zeldadungeon.net/maps/totk/tiles/sky/6/49_37.jpg",</v>
      </c>
      <c r="H2285" t="str">
        <f t="shared" si="71"/>
        <v>49_37</v>
      </c>
    </row>
    <row r="2286" spans="1:8" x14ac:dyDescent="0.2">
      <c r="A2286" s="9" t="s">
        <v>51</v>
      </c>
      <c r="C2286" t="str">
        <f t="shared" si="70"/>
        <v>"https://www.zeldadungeon.net/maps/totk/tiles/sky/6/49_38.jpg",</v>
      </c>
      <c r="H2286" t="str">
        <f t="shared" si="71"/>
        <v>49_38</v>
      </c>
    </row>
    <row r="2287" spans="1:8" x14ac:dyDescent="0.2">
      <c r="A2287" s="9" t="s">
        <v>51</v>
      </c>
      <c r="C2287" t="str">
        <f t="shared" si="70"/>
        <v>"https://www.zeldadungeon.net/maps/totk/tiles/sky/6/49_39.jpg",</v>
      </c>
      <c r="H2287" t="str">
        <f t="shared" si="71"/>
        <v>49_39</v>
      </c>
    </row>
    <row r="2288" spans="1:8" x14ac:dyDescent="0.2">
      <c r="A2288" s="9" t="s">
        <v>51</v>
      </c>
      <c r="C2288" t="str">
        <f t="shared" si="70"/>
        <v>"https://www.zeldadungeon.net/maps/totk/tiles/sky/6/49_40.jpg",</v>
      </c>
      <c r="H2288" t="str">
        <f t="shared" si="71"/>
        <v>49_40</v>
      </c>
    </row>
    <row r="2289" spans="1:8" x14ac:dyDescent="0.2">
      <c r="A2289" s="9" t="s">
        <v>51</v>
      </c>
      <c r="C2289" t="str">
        <f t="shared" si="70"/>
        <v>"https://www.zeldadungeon.net/maps/totk/tiles/sky/6/49_41.jpg",</v>
      </c>
      <c r="H2289" t="str">
        <f t="shared" si="71"/>
        <v>49_41</v>
      </c>
    </row>
    <row r="2290" spans="1:8" x14ac:dyDescent="0.2">
      <c r="A2290" s="9" t="s">
        <v>51</v>
      </c>
      <c r="C2290" t="str">
        <f t="shared" si="70"/>
        <v>"https://www.zeldadungeon.net/maps/totk/tiles/sky/6/49_42.jpg",</v>
      </c>
      <c r="H2290" t="str">
        <f t="shared" si="71"/>
        <v>49_42</v>
      </c>
    </row>
    <row r="2291" spans="1:8" x14ac:dyDescent="0.2">
      <c r="A2291" s="9" t="s">
        <v>51</v>
      </c>
      <c r="C2291" t="str">
        <f t="shared" si="70"/>
        <v>"https://www.zeldadungeon.net/maps/totk/tiles/sky/6/49_43.jpg",</v>
      </c>
      <c r="H2291" t="str">
        <f t="shared" si="71"/>
        <v>49_43</v>
      </c>
    </row>
    <row r="2292" spans="1:8" x14ac:dyDescent="0.2">
      <c r="A2292" s="9" t="s">
        <v>51</v>
      </c>
      <c r="C2292" t="str">
        <f t="shared" si="70"/>
        <v>"https://www.zeldadungeon.net/maps/totk/tiles/sky/6/49_44.jpg",</v>
      </c>
      <c r="H2292" t="str">
        <f t="shared" si="71"/>
        <v>49_44</v>
      </c>
    </row>
    <row r="2293" spans="1:8" x14ac:dyDescent="0.2">
      <c r="A2293" s="9" t="s">
        <v>51</v>
      </c>
      <c r="C2293" t="str">
        <f t="shared" si="70"/>
        <v>"https://www.zeldadungeon.net/maps/totk/tiles/sky/6/49_45.jpg",</v>
      </c>
      <c r="H2293" t="str">
        <f t="shared" si="71"/>
        <v>49_45</v>
      </c>
    </row>
    <row r="2294" spans="1:8" x14ac:dyDescent="0.2">
      <c r="A2294" s="9" t="s">
        <v>51</v>
      </c>
      <c r="C2294" t="str">
        <f t="shared" si="70"/>
        <v>"https://www.zeldadungeon.net/maps/totk/tiles/sky/6/49_46.jpg",</v>
      </c>
      <c r="H2294" t="str">
        <f t="shared" si="71"/>
        <v>49_46</v>
      </c>
    </row>
    <row r="2295" spans="1:8" x14ac:dyDescent="0.2">
      <c r="A2295" s="9" t="s">
        <v>51</v>
      </c>
      <c r="C2295" t="str">
        <f t="shared" si="70"/>
        <v>"https://www.zeldadungeon.net/maps/totk/tiles/sky/6/49_47.jpg",</v>
      </c>
      <c r="H2295" t="str">
        <f t="shared" si="71"/>
        <v>49_47</v>
      </c>
    </row>
    <row r="2296" spans="1:8" x14ac:dyDescent="0.2">
      <c r="A2296" s="9" t="s">
        <v>51</v>
      </c>
      <c r="C2296" t="str">
        <f t="shared" si="70"/>
        <v>"https://www.zeldadungeon.net/maps/totk/tiles/sky/6/49_48.jpg",</v>
      </c>
      <c r="H2296" t="str">
        <f t="shared" si="71"/>
        <v>49_48</v>
      </c>
    </row>
    <row r="2297" spans="1:8" x14ac:dyDescent="0.2">
      <c r="A2297" s="9" t="s">
        <v>51</v>
      </c>
      <c r="C2297" t="str">
        <f t="shared" si="70"/>
        <v>"https://www.zeldadungeon.net/maps/totk/tiles/sky/6/49_49.jpg",</v>
      </c>
      <c r="H2297" t="str">
        <f t="shared" si="71"/>
        <v>49_49</v>
      </c>
    </row>
    <row r="2298" spans="1:8" x14ac:dyDescent="0.2">
      <c r="A2298" s="9" t="s">
        <v>51</v>
      </c>
      <c r="C2298" t="str">
        <f t="shared" si="70"/>
        <v>"https://www.zeldadungeon.net/maps/totk/tiles/sky/6/49_50.jpg",</v>
      </c>
      <c r="H2298" t="str">
        <f t="shared" si="71"/>
        <v>49_50</v>
      </c>
    </row>
    <row r="2299" spans="1:8" x14ac:dyDescent="0.2">
      <c r="A2299" s="9" t="s">
        <v>51</v>
      </c>
      <c r="C2299" t="str">
        <f t="shared" si="70"/>
        <v>"https://www.zeldadungeon.net/maps/totk/tiles/sky/6/49_51.jpg",</v>
      </c>
      <c r="H2299" t="str">
        <f t="shared" si="71"/>
        <v>49_51</v>
      </c>
    </row>
    <row r="2300" spans="1:8" x14ac:dyDescent="0.2">
      <c r="A2300" s="9" t="s">
        <v>51</v>
      </c>
      <c r="C2300" t="str">
        <f t="shared" si="70"/>
        <v>"https://www.zeldadungeon.net/maps/totk/tiles/sky/6/49_52.jpg",</v>
      </c>
      <c r="H2300" t="str">
        <f t="shared" si="71"/>
        <v>49_52</v>
      </c>
    </row>
    <row r="2301" spans="1:8" x14ac:dyDescent="0.2">
      <c r="A2301" s="9" t="s">
        <v>51</v>
      </c>
      <c r="C2301" t="str">
        <f t="shared" si="70"/>
        <v>"https://www.zeldadungeon.net/maps/totk/tiles/sky/6/49_53.jpg",</v>
      </c>
      <c r="H2301" t="str">
        <f t="shared" si="71"/>
        <v>49_53</v>
      </c>
    </row>
    <row r="2302" spans="1:8" x14ac:dyDescent="0.2">
      <c r="A2302" s="9" t="s">
        <v>51</v>
      </c>
      <c r="C2302" t="str">
        <f t="shared" si="70"/>
        <v>"https://www.zeldadungeon.net/maps/totk/tiles/sky/6/49_54.jpg",</v>
      </c>
      <c r="H2302" t="str">
        <f t="shared" si="71"/>
        <v>49_54</v>
      </c>
    </row>
    <row r="2303" spans="1:8" x14ac:dyDescent="0.2">
      <c r="A2303" s="9" t="s">
        <v>51</v>
      </c>
      <c r="C2303" t="str">
        <f t="shared" si="70"/>
        <v>"https://www.zeldadungeon.net/maps/totk/tiles/sky/6/49_55.jpg",</v>
      </c>
      <c r="H2303" t="str">
        <f t="shared" si="71"/>
        <v>49_55</v>
      </c>
    </row>
    <row r="2304" spans="1:8" x14ac:dyDescent="0.2">
      <c r="A2304" s="9" t="s">
        <v>51</v>
      </c>
      <c r="C2304" t="str">
        <f t="shared" si="70"/>
        <v>"https://www.zeldadungeon.net/maps/totk/tiles/sky/6/50_8.jpg",</v>
      </c>
      <c r="H2304" t="str">
        <f t="shared" si="71"/>
        <v>50_8</v>
      </c>
    </row>
    <row r="2305" spans="1:8" x14ac:dyDescent="0.2">
      <c r="A2305" s="9" t="s">
        <v>51</v>
      </c>
      <c r="C2305" t="str">
        <f t="shared" ref="C2305:C2368" si="72">""""&amp;SUBSTITUTE(A2305,"zzz",H2305)&amp;""""&amp;","</f>
        <v>"https://www.zeldadungeon.net/maps/totk/tiles/sky/6/50_9.jpg",</v>
      </c>
      <c r="H2305" t="str">
        <f t="shared" ref="H2305:H2368" si="73">QUOTIENT(ROW(A2305),48)+2&amp;"_"&amp;MOD(ROW(A2305),48)+8</f>
        <v>50_9</v>
      </c>
    </row>
    <row r="2306" spans="1:8" x14ac:dyDescent="0.2">
      <c r="A2306" s="9" t="s">
        <v>51</v>
      </c>
      <c r="C2306" t="str">
        <f t="shared" si="72"/>
        <v>"https://www.zeldadungeon.net/maps/totk/tiles/sky/6/50_10.jpg",</v>
      </c>
      <c r="H2306" t="str">
        <f t="shared" si="73"/>
        <v>50_10</v>
      </c>
    </row>
    <row r="2307" spans="1:8" x14ac:dyDescent="0.2">
      <c r="A2307" s="9" t="s">
        <v>51</v>
      </c>
      <c r="C2307" t="str">
        <f t="shared" si="72"/>
        <v>"https://www.zeldadungeon.net/maps/totk/tiles/sky/6/50_11.jpg",</v>
      </c>
      <c r="H2307" t="str">
        <f t="shared" si="73"/>
        <v>50_11</v>
      </c>
    </row>
    <row r="2308" spans="1:8" x14ac:dyDescent="0.2">
      <c r="A2308" s="9" t="s">
        <v>51</v>
      </c>
      <c r="C2308" t="str">
        <f t="shared" si="72"/>
        <v>"https://www.zeldadungeon.net/maps/totk/tiles/sky/6/50_12.jpg",</v>
      </c>
      <c r="H2308" t="str">
        <f t="shared" si="73"/>
        <v>50_12</v>
      </c>
    </row>
    <row r="2309" spans="1:8" x14ac:dyDescent="0.2">
      <c r="A2309" s="9" t="s">
        <v>51</v>
      </c>
      <c r="C2309" t="str">
        <f t="shared" si="72"/>
        <v>"https://www.zeldadungeon.net/maps/totk/tiles/sky/6/50_13.jpg",</v>
      </c>
      <c r="H2309" t="str">
        <f t="shared" si="73"/>
        <v>50_13</v>
      </c>
    </row>
    <row r="2310" spans="1:8" x14ac:dyDescent="0.2">
      <c r="A2310" s="9" t="s">
        <v>51</v>
      </c>
      <c r="C2310" t="str">
        <f t="shared" si="72"/>
        <v>"https://www.zeldadungeon.net/maps/totk/tiles/sky/6/50_14.jpg",</v>
      </c>
      <c r="H2310" t="str">
        <f t="shared" si="73"/>
        <v>50_14</v>
      </c>
    </row>
    <row r="2311" spans="1:8" x14ac:dyDescent="0.2">
      <c r="A2311" s="9" t="s">
        <v>51</v>
      </c>
      <c r="C2311" t="str">
        <f t="shared" si="72"/>
        <v>"https://www.zeldadungeon.net/maps/totk/tiles/sky/6/50_15.jpg",</v>
      </c>
      <c r="H2311" t="str">
        <f t="shared" si="73"/>
        <v>50_15</v>
      </c>
    </row>
    <row r="2312" spans="1:8" x14ac:dyDescent="0.2">
      <c r="A2312" s="9" t="s">
        <v>51</v>
      </c>
      <c r="C2312" t="str">
        <f t="shared" si="72"/>
        <v>"https://www.zeldadungeon.net/maps/totk/tiles/sky/6/50_16.jpg",</v>
      </c>
      <c r="H2312" t="str">
        <f t="shared" si="73"/>
        <v>50_16</v>
      </c>
    </row>
    <row r="2313" spans="1:8" x14ac:dyDescent="0.2">
      <c r="A2313" s="9" t="s">
        <v>51</v>
      </c>
      <c r="C2313" t="str">
        <f t="shared" si="72"/>
        <v>"https://www.zeldadungeon.net/maps/totk/tiles/sky/6/50_17.jpg",</v>
      </c>
      <c r="H2313" t="str">
        <f t="shared" si="73"/>
        <v>50_17</v>
      </c>
    </row>
    <row r="2314" spans="1:8" x14ac:dyDescent="0.2">
      <c r="A2314" s="9" t="s">
        <v>51</v>
      </c>
      <c r="C2314" t="str">
        <f t="shared" si="72"/>
        <v>"https://www.zeldadungeon.net/maps/totk/tiles/sky/6/50_18.jpg",</v>
      </c>
      <c r="H2314" t="str">
        <f t="shared" si="73"/>
        <v>50_18</v>
      </c>
    </row>
    <row r="2315" spans="1:8" x14ac:dyDescent="0.2">
      <c r="A2315" s="9" t="s">
        <v>51</v>
      </c>
      <c r="C2315" t="str">
        <f t="shared" si="72"/>
        <v>"https://www.zeldadungeon.net/maps/totk/tiles/sky/6/50_19.jpg",</v>
      </c>
      <c r="H2315" t="str">
        <f t="shared" si="73"/>
        <v>50_19</v>
      </c>
    </row>
    <row r="2316" spans="1:8" x14ac:dyDescent="0.2">
      <c r="A2316" s="9" t="s">
        <v>51</v>
      </c>
      <c r="C2316" t="str">
        <f t="shared" si="72"/>
        <v>"https://www.zeldadungeon.net/maps/totk/tiles/sky/6/50_20.jpg",</v>
      </c>
      <c r="H2316" t="str">
        <f t="shared" si="73"/>
        <v>50_20</v>
      </c>
    </row>
    <row r="2317" spans="1:8" x14ac:dyDescent="0.2">
      <c r="A2317" s="9" t="s">
        <v>51</v>
      </c>
      <c r="C2317" t="str">
        <f t="shared" si="72"/>
        <v>"https://www.zeldadungeon.net/maps/totk/tiles/sky/6/50_21.jpg",</v>
      </c>
      <c r="H2317" t="str">
        <f t="shared" si="73"/>
        <v>50_21</v>
      </c>
    </row>
    <row r="2318" spans="1:8" x14ac:dyDescent="0.2">
      <c r="A2318" s="9" t="s">
        <v>51</v>
      </c>
      <c r="C2318" t="str">
        <f t="shared" si="72"/>
        <v>"https://www.zeldadungeon.net/maps/totk/tiles/sky/6/50_22.jpg",</v>
      </c>
      <c r="H2318" t="str">
        <f t="shared" si="73"/>
        <v>50_22</v>
      </c>
    </row>
    <row r="2319" spans="1:8" x14ac:dyDescent="0.2">
      <c r="A2319" s="9" t="s">
        <v>51</v>
      </c>
      <c r="C2319" t="str">
        <f t="shared" si="72"/>
        <v>"https://www.zeldadungeon.net/maps/totk/tiles/sky/6/50_23.jpg",</v>
      </c>
      <c r="H2319" t="str">
        <f t="shared" si="73"/>
        <v>50_23</v>
      </c>
    </row>
    <row r="2320" spans="1:8" x14ac:dyDescent="0.2">
      <c r="A2320" s="9" t="s">
        <v>51</v>
      </c>
      <c r="C2320" t="str">
        <f t="shared" si="72"/>
        <v>"https://www.zeldadungeon.net/maps/totk/tiles/sky/6/50_24.jpg",</v>
      </c>
      <c r="H2320" t="str">
        <f t="shared" si="73"/>
        <v>50_24</v>
      </c>
    </row>
    <row r="2321" spans="1:8" x14ac:dyDescent="0.2">
      <c r="A2321" s="9" t="s">
        <v>51</v>
      </c>
      <c r="C2321" t="str">
        <f t="shared" si="72"/>
        <v>"https://www.zeldadungeon.net/maps/totk/tiles/sky/6/50_25.jpg",</v>
      </c>
      <c r="H2321" t="str">
        <f t="shared" si="73"/>
        <v>50_25</v>
      </c>
    </row>
    <row r="2322" spans="1:8" x14ac:dyDescent="0.2">
      <c r="A2322" s="9" t="s">
        <v>51</v>
      </c>
      <c r="C2322" t="str">
        <f t="shared" si="72"/>
        <v>"https://www.zeldadungeon.net/maps/totk/tiles/sky/6/50_26.jpg",</v>
      </c>
      <c r="H2322" t="str">
        <f t="shared" si="73"/>
        <v>50_26</v>
      </c>
    </row>
    <row r="2323" spans="1:8" x14ac:dyDescent="0.2">
      <c r="A2323" s="9" t="s">
        <v>51</v>
      </c>
      <c r="C2323" t="str">
        <f t="shared" si="72"/>
        <v>"https://www.zeldadungeon.net/maps/totk/tiles/sky/6/50_27.jpg",</v>
      </c>
      <c r="H2323" t="str">
        <f t="shared" si="73"/>
        <v>50_27</v>
      </c>
    </row>
    <row r="2324" spans="1:8" x14ac:dyDescent="0.2">
      <c r="A2324" s="9" t="s">
        <v>51</v>
      </c>
      <c r="C2324" t="str">
        <f t="shared" si="72"/>
        <v>"https://www.zeldadungeon.net/maps/totk/tiles/sky/6/50_28.jpg",</v>
      </c>
      <c r="H2324" t="str">
        <f t="shared" si="73"/>
        <v>50_28</v>
      </c>
    </row>
    <row r="2325" spans="1:8" x14ac:dyDescent="0.2">
      <c r="A2325" s="9" t="s">
        <v>51</v>
      </c>
      <c r="C2325" t="str">
        <f t="shared" si="72"/>
        <v>"https://www.zeldadungeon.net/maps/totk/tiles/sky/6/50_29.jpg",</v>
      </c>
      <c r="H2325" t="str">
        <f t="shared" si="73"/>
        <v>50_29</v>
      </c>
    </row>
    <row r="2326" spans="1:8" x14ac:dyDescent="0.2">
      <c r="A2326" s="9" t="s">
        <v>51</v>
      </c>
      <c r="C2326" t="str">
        <f t="shared" si="72"/>
        <v>"https://www.zeldadungeon.net/maps/totk/tiles/sky/6/50_30.jpg",</v>
      </c>
      <c r="H2326" t="str">
        <f t="shared" si="73"/>
        <v>50_30</v>
      </c>
    </row>
    <row r="2327" spans="1:8" x14ac:dyDescent="0.2">
      <c r="A2327" s="9" t="s">
        <v>51</v>
      </c>
      <c r="C2327" t="str">
        <f t="shared" si="72"/>
        <v>"https://www.zeldadungeon.net/maps/totk/tiles/sky/6/50_31.jpg",</v>
      </c>
      <c r="H2327" t="str">
        <f t="shared" si="73"/>
        <v>50_31</v>
      </c>
    </row>
    <row r="2328" spans="1:8" x14ac:dyDescent="0.2">
      <c r="A2328" s="9" t="s">
        <v>51</v>
      </c>
      <c r="C2328" t="str">
        <f t="shared" si="72"/>
        <v>"https://www.zeldadungeon.net/maps/totk/tiles/sky/6/50_32.jpg",</v>
      </c>
      <c r="H2328" t="str">
        <f t="shared" si="73"/>
        <v>50_32</v>
      </c>
    </row>
    <row r="2329" spans="1:8" x14ac:dyDescent="0.2">
      <c r="A2329" s="9" t="s">
        <v>51</v>
      </c>
      <c r="C2329" t="str">
        <f t="shared" si="72"/>
        <v>"https://www.zeldadungeon.net/maps/totk/tiles/sky/6/50_33.jpg",</v>
      </c>
      <c r="H2329" t="str">
        <f t="shared" si="73"/>
        <v>50_33</v>
      </c>
    </row>
    <row r="2330" spans="1:8" x14ac:dyDescent="0.2">
      <c r="A2330" s="9" t="s">
        <v>51</v>
      </c>
      <c r="C2330" t="str">
        <f t="shared" si="72"/>
        <v>"https://www.zeldadungeon.net/maps/totk/tiles/sky/6/50_34.jpg",</v>
      </c>
      <c r="H2330" t="str">
        <f t="shared" si="73"/>
        <v>50_34</v>
      </c>
    </row>
    <row r="2331" spans="1:8" x14ac:dyDescent="0.2">
      <c r="A2331" s="9" t="s">
        <v>51</v>
      </c>
      <c r="C2331" t="str">
        <f t="shared" si="72"/>
        <v>"https://www.zeldadungeon.net/maps/totk/tiles/sky/6/50_35.jpg",</v>
      </c>
      <c r="H2331" t="str">
        <f t="shared" si="73"/>
        <v>50_35</v>
      </c>
    </row>
    <row r="2332" spans="1:8" x14ac:dyDescent="0.2">
      <c r="A2332" s="9" t="s">
        <v>51</v>
      </c>
      <c r="C2332" t="str">
        <f t="shared" si="72"/>
        <v>"https://www.zeldadungeon.net/maps/totk/tiles/sky/6/50_36.jpg",</v>
      </c>
      <c r="H2332" t="str">
        <f t="shared" si="73"/>
        <v>50_36</v>
      </c>
    </row>
    <row r="2333" spans="1:8" x14ac:dyDescent="0.2">
      <c r="A2333" s="9" t="s">
        <v>51</v>
      </c>
      <c r="C2333" t="str">
        <f t="shared" si="72"/>
        <v>"https://www.zeldadungeon.net/maps/totk/tiles/sky/6/50_37.jpg",</v>
      </c>
      <c r="H2333" t="str">
        <f t="shared" si="73"/>
        <v>50_37</v>
      </c>
    </row>
    <row r="2334" spans="1:8" x14ac:dyDescent="0.2">
      <c r="A2334" s="9" t="s">
        <v>51</v>
      </c>
      <c r="C2334" t="str">
        <f t="shared" si="72"/>
        <v>"https://www.zeldadungeon.net/maps/totk/tiles/sky/6/50_38.jpg",</v>
      </c>
      <c r="H2334" t="str">
        <f t="shared" si="73"/>
        <v>50_38</v>
      </c>
    </row>
    <row r="2335" spans="1:8" x14ac:dyDescent="0.2">
      <c r="A2335" s="9" t="s">
        <v>51</v>
      </c>
      <c r="C2335" t="str">
        <f t="shared" si="72"/>
        <v>"https://www.zeldadungeon.net/maps/totk/tiles/sky/6/50_39.jpg",</v>
      </c>
      <c r="H2335" t="str">
        <f t="shared" si="73"/>
        <v>50_39</v>
      </c>
    </row>
    <row r="2336" spans="1:8" x14ac:dyDescent="0.2">
      <c r="A2336" s="9" t="s">
        <v>51</v>
      </c>
      <c r="C2336" t="str">
        <f t="shared" si="72"/>
        <v>"https://www.zeldadungeon.net/maps/totk/tiles/sky/6/50_40.jpg",</v>
      </c>
      <c r="H2336" t="str">
        <f t="shared" si="73"/>
        <v>50_40</v>
      </c>
    </row>
    <row r="2337" spans="1:8" x14ac:dyDescent="0.2">
      <c r="A2337" s="9" t="s">
        <v>51</v>
      </c>
      <c r="C2337" t="str">
        <f t="shared" si="72"/>
        <v>"https://www.zeldadungeon.net/maps/totk/tiles/sky/6/50_41.jpg",</v>
      </c>
      <c r="H2337" t="str">
        <f t="shared" si="73"/>
        <v>50_41</v>
      </c>
    </row>
    <row r="2338" spans="1:8" x14ac:dyDescent="0.2">
      <c r="A2338" s="9" t="s">
        <v>51</v>
      </c>
      <c r="C2338" t="str">
        <f t="shared" si="72"/>
        <v>"https://www.zeldadungeon.net/maps/totk/tiles/sky/6/50_42.jpg",</v>
      </c>
      <c r="H2338" t="str">
        <f t="shared" si="73"/>
        <v>50_42</v>
      </c>
    </row>
    <row r="2339" spans="1:8" x14ac:dyDescent="0.2">
      <c r="A2339" s="9" t="s">
        <v>51</v>
      </c>
      <c r="C2339" t="str">
        <f t="shared" si="72"/>
        <v>"https://www.zeldadungeon.net/maps/totk/tiles/sky/6/50_43.jpg",</v>
      </c>
      <c r="H2339" t="str">
        <f t="shared" si="73"/>
        <v>50_43</v>
      </c>
    </row>
    <row r="2340" spans="1:8" x14ac:dyDescent="0.2">
      <c r="A2340" s="9" t="s">
        <v>51</v>
      </c>
      <c r="C2340" t="str">
        <f t="shared" si="72"/>
        <v>"https://www.zeldadungeon.net/maps/totk/tiles/sky/6/50_44.jpg",</v>
      </c>
      <c r="H2340" t="str">
        <f t="shared" si="73"/>
        <v>50_44</v>
      </c>
    </row>
    <row r="2341" spans="1:8" x14ac:dyDescent="0.2">
      <c r="A2341" s="9" t="s">
        <v>51</v>
      </c>
      <c r="C2341" t="str">
        <f t="shared" si="72"/>
        <v>"https://www.zeldadungeon.net/maps/totk/tiles/sky/6/50_45.jpg",</v>
      </c>
      <c r="H2341" t="str">
        <f t="shared" si="73"/>
        <v>50_45</v>
      </c>
    </row>
    <row r="2342" spans="1:8" x14ac:dyDescent="0.2">
      <c r="A2342" s="9" t="s">
        <v>51</v>
      </c>
      <c r="C2342" t="str">
        <f t="shared" si="72"/>
        <v>"https://www.zeldadungeon.net/maps/totk/tiles/sky/6/50_46.jpg",</v>
      </c>
      <c r="H2342" t="str">
        <f t="shared" si="73"/>
        <v>50_46</v>
      </c>
    </row>
    <row r="2343" spans="1:8" x14ac:dyDescent="0.2">
      <c r="A2343" s="9" t="s">
        <v>51</v>
      </c>
      <c r="C2343" t="str">
        <f t="shared" si="72"/>
        <v>"https://www.zeldadungeon.net/maps/totk/tiles/sky/6/50_47.jpg",</v>
      </c>
      <c r="H2343" t="str">
        <f t="shared" si="73"/>
        <v>50_47</v>
      </c>
    </row>
    <row r="2344" spans="1:8" x14ac:dyDescent="0.2">
      <c r="A2344" s="9" t="s">
        <v>51</v>
      </c>
      <c r="C2344" t="str">
        <f t="shared" si="72"/>
        <v>"https://www.zeldadungeon.net/maps/totk/tiles/sky/6/50_48.jpg",</v>
      </c>
      <c r="H2344" t="str">
        <f t="shared" si="73"/>
        <v>50_48</v>
      </c>
    </row>
    <row r="2345" spans="1:8" x14ac:dyDescent="0.2">
      <c r="A2345" s="9" t="s">
        <v>51</v>
      </c>
      <c r="C2345" t="str">
        <f t="shared" si="72"/>
        <v>"https://www.zeldadungeon.net/maps/totk/tiles/sky/6/50_49.jpg",</v>
      </c>
      <c r="H2345" t="str">
        <f t="shared" si="73"/>
        <v>50_49</v>
      </c>
    </row>
    <row r="2346" spans="1:8" x14ac:dyDescent="0.2">
      <c r="A2346" s="9" t="s">
        <v>51</v>
      </c>
      <c r="C2346" t="str">
        <f t="shared" si="72"/>
        <v>"https://www.zeldadungeon.net/maps/totk/tiles/sky/6/50_50.jpg",</v>
      </c>
      <c r="H2346" t="str">
        <f t="shared" si="73"/>
        <v>50_50</v>
      </c>
    </row>
    <row r="2347" spans="1:8" x14ac:dyDescent="0.2">
      <c r="A2347" s="9" t="s">
        <v>51</v>
      </c>
      <c r="C2347" t="str">
        <f t="shared" si="72"/>
        <v>"https://www.zeldadungeon.net/maps/totk/tiles/sky/6/50_51.jpg",</v>
      </c>
      <c r="H2347" t="str">
        <f t="shared" si="73"/>
        <v>50_51</v>
      </c>
    </row>
    <row r="2348" spans="1:8" x14ac:dyDescent="0.2">
      <c r="A2348" s="9" t="s">
        <v>51</v>
      </c>
      <c r="C2348" t="str">
        <f t="shared" si="72"/>
        <v>"https://www.zeldadungeon.net/maps/totk/tiles/sky/6/50_52.jpg",</v>
      </c>
      <c r="H2348" t="str">
        <f t="shared" si="73"/>
        <v>50_52</v>
      </c>
    </row>
    <row r="2349" spans="1:8" x14ac:dyDescent="0.2">
      <c r="A2349" s="9" t="s">
        <v>51</v>
      </c>
      <c r="C2349" t="str">
        <f t="shared" si="72"/>
        <v>"https://www.zeldadungeon.net/maps/totk/tiles/sky/6/50_53.jpg",</v>
      </c>
      <c r="H2349" t="str">
        <f t="shared" si="73"/>
        <v>50_53</v>
      </c>
    </row>
    <row r="2350" spans="1:8" x14ac:dyDescent="0.2">
      <c r="A2350" s="9" t="s">
        <v>51</v>
      </c>
      <c r="C2350" t="str">
        <f t="shared" si="72"/>
        <v>"https://www.zeldadungeon.net/maps/totk/tiles/sky/6/50_54.jpg",</v>
      </c>
      <c r="H2350" t="str">
        <f t="shared" si="73"/>
        <v>50_54</v>
      </c>
    </row>
    <row r="2351" spans="1:8" x14ac:dyDescent="0.2">
      <c r="A2351" s="9" t="s">
        <v>51</v>
      </c>
      <c r="C2351" t="str">
        <f t="shared" si="72"/>
        <v>"https://www.zeldadungeon.net/maps/totk/tiles/sky/6/50_55.jpg",</v>
      </c>
      <c r="H2351" t="str">
        <f t="shared" si="73"/>
        <v>50_55</v>
      </c>
    </row>
    <row r="2352" spans="1:8" x14ac:dyDescent="0.2">
      <c r="A2352" s="9" t="s">
        <v>51</v>
      </c>
      <c r="C2352" t="str">
        <f t="shared" si="72"/>
        <v>"https://www.zeldadungeon.net/maps/totk/tiles/sky/6/51_8.jpg",</v>
      </c>
      <c r="H2352" t="str">
        <f t="shared" si="73"/>
        <v>51_8</v>
      </c>
    </row>
    <row r="2353" spans="1:8" x14ac:dyDescent="0.2">
      <c r="A2353" s="9" t="s">
        <v>51</v>
      </c>
      <c r="C2353" t="str">
        <f t="shared" si="72"/>
        <v>"https://www.zeldadungeon.net/maps/totk/tiles/sky/6/51_9.jpg",</v>
      </c>
      <c r="H2353" t="str">
        <f t="shared" si="73"/>
        <v>51_9</v>
      </c>
    </row>
    <row r="2354" spans="1:8" x14ac:dyDescent="0.2">
      <c r="A2354" s="9" t="s">
        <v>51</v>
      </c>
      <c r="C2354" t="str">
        <f t="shared" si="72"/>
        <v>"https://www.zeldadungeon.net/maps/totk/tiles/sky/6/51_10.jpg",</v>
      </c>
      <c r="H2354" t="str">
        <f t="shared" si="73"/>
        <v>51_10</v>
      </c>
    </row>
    <row r="2355" spans="1:8" x14ac:dyDescent="0.2">
      <c r="A2355" s="9" t="s">
        <v>51</v>
      </c>
      <c r="C2355" t="str">
        <f t="shared" si="72"/>
        <v>"https://www.zeldadungeon.net/maps/totk/tiles/sky/6/51_11.jpg",</v>
      </c>
      <c r="H2355" t="str">
        <f t="shared" si="73"/>
        <v>51_11</v>
      </c>
    </row>
    <row r="2356" spans="1:8" x14ac:dyDescent="0.2">
      <c r="A2356" s="9" t="s">
        <v>51</v>
      </c>
      <c r="C2356" t="str">
        <f t="shared" si="72"/>
        <v>"https://www.zeldadungeon.net/maps/totk/tiles/sky/6/51_12.jpg",</v>
      </c>
      <c r="H2356" t="str">
        <f t="shared" si="73"/>
        <v>51_12</v>
      </c>
    </row>
    <row r="2357" spans="1:8" x14ac:dyDescent="0.2">
      <c r="A2357" s="9" t="s">
        <v>51</v>
      </c>
      <c r="C2357" t="str">
        <f t="shared" si="72"/>
        <v>"https://www.zeldadungeon.net/maps/totk/tiles/sky/6/51_13.jpg",</v>
      </c>
      <c r="H2357" t="str">
        <f t="shared" si="73"/>
        <v>51_13</v>
      </c>
    </row>
    <row r="2358" spans="1:8" x14ac:dyDescent="0.2">
      <c r="A2358" s="9" t="s">
        <v>51</v>
      </c>
      <c r="C2358" t="str">
        <f t="shared" si="72"/>
        <v>"https://www.zeldadungeon.net/maps/totk/tiles/sky/6/51_14.jpg",</v>
      </c>
      <c r="H2358" t="str">
        <f t="shared" si="73"/>
        <v>51_14</v>
      </c>
    </row>
    <row r="2359" spans="1:8" x14ac:dyDescent="0.2">
      <c r="A2359" s="9" t="s">
        <v>51</v>
      </c>
      <c r="C2359" t="str">
        <f t="shared" si="72"/>
        <v>"https://www.zeldadungeon.net/maps/totk/tiles/sky/6/51_15.jpg",</v>
      </c>
      <c r="H2359" t="str">
        <f t="shared" si="73"/>
        <v>51_15</v>
      </c>
    </row>
    <row r="2360" spans="1:8" x14ac:dyDescent="0.2">
      <c r="A2360" s="9" t="s">
        <v>51</v>
      </c>
      <c r="C2360" t="str">
        <f t="shared" si="72"/>
        <v>"https://www.zeldadungeon.net/maps/totk/tiles/sky/6/51_16.jpg",</v>
      </c>
      <c r="H2360" t="str">
        <f t="shared" si="73"/>
        <v>51_16</v>
      </c>
    </row>
    <row r="2361" spans="1:8" x14ac:dyDescent="0.2">
      <c r="A2361" s="9" t="s">
        <v>51</v>
      </c>
      <c r="C2361" t="str">
        <f t="shared" si="72"/>
        <v>"https://www.zeldadungeon.net/maps/totk/tiles/sky/6/51_17.jpg",</v>
      </c>
      <c r="H2361" t="str">
        <f t="shared" si="73"/>
        <v>51_17</v>
      </c>
    </row>
    <row r="2362" spans="1:8" x14ac:dyDescent="0.2">
      <c r="A2362" s="9" t="s">
        <v>51</v>
      </c>
      <c r="C2362" t="str">
        <f t="shared" si="72"/>
        <v>"https://www.zeldadungeon.net/maps/totk/tiles/sky/6/51_18.jpg",</v>
      </c>
      <c r="H2362" t="str">
        <f t="shared" si="73"/>
        <v>51_18</v>
      </c>
    </row>
    <row r="2363" spans="1:8" x14ac:dyDescent="0.2">
      <c r="A2363" s="9" t="s">
        <v>51</v>
      </c>
      <c r="C2363" t="str">
        <f t="shared" si="72"/>
        <v>"https://www.zeldadungeon.net/maps/totk/tiles/sky/6/51_19.jpg",</v>
      </c>
      <c r="H2363" t="str">
        <f t="shared" si="73"/>
        <v>51_19</v>
      </c>
    </row>
    <row r="2364" spans="1:8" x14ac:dyDescent="0.2">
      <c r="A2364" s="9" t="s">
        <v>51</v>
      </c>
      <c r="C2364" t="str">
        <f t="shared" si="72"/>
        <v>"https://www.zeldadungeon.net/maps/totk/tiles/sky/6/51_20.jpg",</v>
      </c>
      <c r="H2364" t="str">
        <f t="shared" si="73"/>
        <v>51_20</v>
      </c>
    </row>
    <row r="2365" spans="1:8" x14ac:dyDescent="0.2">
      <c r="A2365" s="9" t="s">
        <v>51</v>
      </c>
      <c r="C2365" t="str">
        <f t="shared" si="72"/>
        <v>"https://www.zeldadungeon.net/maps/totk/tiles/sky/6/51_21.jpg",</v>
      </c>
      <c r="H2365" t="str">
        <f t="shared" si="73"/>
        <v>51_21</v>
      </c>
    </row>
    <row r="2366" spans="1:8" x14ac:dyDescent="0.2">
      <c r="A2366" s="9" t="s">
        <v>51</v>
      </c>
      <c r="C2366" t="str">
        <f t="shared" si="72"/>
        <v>"https://www.zeldadungeon.net/maps/totk/tiles/sky/6/51_22.jpg",</v>
      </c>
      <c r="H2366" t="str">
        <f t="shared" si="73"/>
        <v>51_22</v>
      </c>
    </row>
    <row r="2367" spans="1:8" x14ac:dyDescent="0.2">
      <c r="A2367" s="9" t="s">
        <v>51</v>
      </c>
      <c r="C2367" t="str">
        <f t="shared" si="72"/>
        <v>"https://www.zeldadungeon.net/maps/totk/tiles/sky/6/51_23.jpg",</v>
      </c>
      <c r="H2367" t="str">
        <f t="shared" si="73"/>
        <v>51_23</v>
      </c>
    </row>
    <row r="2368" spans="1:8" x14ac:dyDescent="0.2">
      <c r="A2368" s="9" t="s">
        <v>51</v>
      </c>
      <c r="C2368" t="str">
        <f t="shared" si="72"/>
        <v>"https://www.zeldadungeon.net/maps/totk/tiles/sky/6/51_24.jpg",</v>
      </c>
      <c r="H2368" t="str">
        <f t="shared" si="73"/>
        <v>51_24</v>
      </c>
    </row>
    <row r="2369" spans="1:8" x14ac:dyDescent="0.2">
      <c r="A2369" s="9" t="s">
        <v>51</v>
      </c>
      <c r="C2369" t="str">
        <f t="shared" ref="C2369:C2432" si="74">""""&amp;SUBSTITUTE(A2369,"zzz",H2369)&amp;""""&amp;","</f>
        <v>"https://www.zeldadungeon.net/maps/totk/tiles/sky/6/51_25.jpg",</v>
      </c>
      <c r="H2369" t="str">
        <f t="shared" ref="H2369:H2432" si="75">QUOTIENT(ROW(A2369),48)+2&amp;"_"&amp;MOD(ROW(A2369),48)+8</f>
        <v>51_25</v>
      </c>
    </row>
    <row r="2370" spans="1:8" x14ac:dyDescent="0.2">
      <c r="A2370" s="9" t="s">
        <v>51</v>
      </c>
      <c r="C2370" t="str">
        <f t="shared" si="74"/>
        <v>"https://www.zeldadungeon.net/maps/totk/tiles/sky/6/51_26.jpg",</v>
      </c>
      <c r="H2370" t="str">
        <f t="shared" si="75"/>
        <v>51_26</v>
      </c>
    </row>
    <row r="2371" spans="1:8" x14ac:dyDescent="0.2">
      <c r="A2371" s="9" t="s">
        <v>51</v>
      </c>
      <c r="C2371" t="str">
        <f t="shared" si="74"/>
        <v>"https://www.zeldadungeon.net/maps/totk/tiles/sky/6/51_27.jpg",</v>
      </c>
      <c r="H2371" t="str">
        <f t="shared" si="75"/>
        <v>51_27</v>
      </c>
    </row>
    <row r="2372" spans="1:8" x14ac:dyDescent="0.2">
      <c r="A2372" s="9" t="s">
        <v>51</v>
      </c>
      <c r="C2372" t="str">
        <f t="shared" si="74"/>
        <v>"https://www.zeldadungeon.net/maps/totk/tiles/sky/6/51_28.jpg",</v>
      </c>
      <c r="H2372" t="str">
        <f t="shared" si="75"/>
        <v>51_28</v>
      </c>
    </row>
    <row r="2373" spans="1:8" x14ac:dyDescent="0.2">
      <c r="A2373" s="9" t="s">
        <v>51</v>
      </c>
      <c r="C2373" t="str">
        <f t="shared" si="74"/>
        <v>"https://www.zeldadungeon.net/maps/totk/tiles/sky/6/51_29.jpg",</v>
      </c>
      <c r="H2373" t="str">
        <f t="shared" si="75"/>
        <v>51_29</v>
      </c>
    </row>
    <row r="2374" spans="1:8" x14ac:dyDescent="0.2">
      <c r="A2374" s="9" t="s">
        <v>51</v>
      </c>
      <c r="C2374" t="str">
        <f t="shared" si="74"/>
        <v>"https://www.zeldadungeon.net/maps/totk/tiles/sky/6/51_30.jpg",</v>
      </c>
      <c r="H2374" t="str">
        <f t="shared" si="75"/>
        <v>51_30</v>
      </c>
    </row>
    <row r="2375" spans="1:8" x14ac:dyDescent="0.2">
      <c r="A2375" s="9" t="s">
        <v>51</v>
      </c>
      <c r="C2375" t="str">
        <f t="shared" si="74"/>
        <v>"https://www.zeldadungeon.net/maps/totk/tiles/sky/6/51_31.jpg",</v>
      </c>
      <c r="H2375" t="str">
        <f t="shared" si="75"/>
        <v>51_31</v>
      </c>
    </row>
    <row r="2376" spans="1:8" x14ac:dyDescent="0.2">
      <c r="A2376" s="9" t="s">
        <v>51</v>
      </c>
      <c r="C2376" t="str">
        <f t="shared" si="74"/>
        <v>"https://www.zeldadungeon.net/maps/totk/tiles/sky/6/51_32.jpg",</v>
      </c>
      <c r="H2376" t="str">
        <f t="shared" si="75"/>
        <v>51_32</v>
      </c>
    </row>
    <row r="2377" spans="1:8" x14ac:dyDescent="0.2">
      <c r="A2377" s="9" t="s">
        <v>51</v>
      </c>
      <c r="C2377" t="str">
        <f t="shared" si="74"/>
        <v>"https://www.zeldadungeon.net/maps/totk/tiles/sky/6/51_33.jpg",</v>
      </c>
      <c r="H2377" t="str">
        <f t="shared" si="75"/>
        <v>51_33</v>
      </c>
    </row>
    <row r="2378" spans="1:8" x14ac:dyDescent="0.2">
      <c r="A2378" s="9" t="s">
        <v>51</v>
      </c>
      <c r="C2378" t="str">
        <f t="shared" si="74"/>
        <v>"https://www.zeldadungeon.net/maps/totk/tiles/sky/6/51_34.jpg",</v>
      </c>
      <c r="H2378" t="str">
        <f t="shared" si="75"/>
        <v>51_34</v>
      </c>
    </row>
    <row r="2379" spans="1:8" x14ac:dyDescent="0.2">
      <c r="A2379" s="9" t="s">
        <v>51</v>
      </c>
      <c r="C2379" t="str">
        <f t="shared" si="74"/>
        <v>"https://www.zeldadungeon.net/maps/totk/tiles/sky/6/51_35.jpg",</v>
      </c>
      <c r="H2379" t="str">
        <f t="shared" si="75"/>
        <v>51_35</v>
      </c>
    </row>
    <row r="2380" spans="1:8" x14ac:dyDescent="0.2">
      <c r="A2380" s="9" t="s">
        <v>51</v>
      </c>
      <c r="C2380" t="str">
        <f t="shared" si="74"/>
        <v>"https://www.zeldadungeon.net/maps/totk/tiles/sky/6/51_36.jpg",</v>
      </c>
      <c r="H2380" t="str">
        <f t="shared" si="75"/>
        <v>51_36</v>
      </c>
    </row>
    <row r="2381" spans="1:8" x14ac:dyDescent="0.2">
      <c r="A2381" s="9" t="s">
        <v>51</v>
      </c>
      <c r="C2381" t="str">
        <f t="shared" si="74"/>
        <v>"https://www.zeldadungeon.net/maps/totk/tiles/sky/6/51_37.jpg",</v>
      </c>
      <c r="H2381" t="str">
        <f t="shared" si="75"/>
        <v>51_37</v>
      </c>
    </row>
    <row r="2382" spans="1:8" x14ac:dyDescent="0.2">
      <c r="A2382" s="9" t="s">
        <v>51</v>
      </c>
      <c r="C2382" t="str">
        <f t="shared" si="74"/>
        <v>"https://www.zeldadungeon.net/maps/totk/tiles/sky/6/51_38.jpg",</v>
      </c>
      <c r="H2382" t="str">
        <f t="shared" si="75"/>
        <v>51_38</v>
      </c>
    </row>
    <row r="2383" spans="1:8" x14ac:dyDescent="0.2">
      <c r="A2383" s="9" t="s">
        <v>51</v>
      </c>
      <c r="C2383" t="str">
        <f t="shared" si="74"/>
        <v>"https://www.zeldadungeon.net/maps/totk/tiles/sky/6/51_39.jpg",</v>
      </c>
      <c r="H2383" t="str">
        <f t="shared" si="75"/>
        <v>51_39</v>
      </c>
    </row>
    <row r="2384" spans="1:8" x14ac:dyDescent="0.2">
      <c r="A2384" s="9" t="s">
        <v>51</v>
      </c>
      <c r="C2384" t="str">
        <f t="shared" si="74"/>
        <v>"https://www.zeldadungeon.net/maps/totk/tiles/sky/6/51_40.jpg",</v>
      </c>
      <c r="H2384" t="str">
        <f t="shared" si="75"/>
        <v>51_40</v>
      </c>
    </row>
    <row r="2385" spans="1:8" x14ac:dyDescent="0.2">
      <c r="A2385" s="9" t="s">
        <v>51</v>
      </c>
      <c r="C2385" t="str">
        <f t="shared" si="74"/>
        <v>"https://www.zeldadungeon.net/maps/totk/tiles/sky/6/51_41.jpg",</v>
      </c>
      <c r="H2385" t="str">
        <f t="shared" si="75"/>
        <v>51_41</v>
      </c>
    </row>
    <row r="2386" spans="1:8" x14ac:dyDescent="0.2">
      <c r="A2386" s="9" t="s">
        <v>51</v>
      </c>
      <c r="C2386" t="str">
        <f t="shared" si="74"/>
        <v>"https://www.zeldadungeon.net/maps/totk/tiles/sky/6/51_42.jpg",</v>
      </c>
      <c r="H2386" t="str">
        <f t="shared" si="75"/>
        <v>51_42</v>
      </c>
    </row>
    <row r="2387" spans="1:8" x14ac:dyDescent="0.2">
      <c r="A2387" s="9" t="s">
        <v>51</v>
      </c>
      <c r="C2387" t="str">
        <f t="shared" si="74"/>
        <v>"https://www.zeldadungeon.net/maps/totk/tiles/sky/6/51_43.jpg",</v>
      </c>
      <c r="H2387" t="str">
        <f t="shared" si="75"/>
        <v>51_43</v>
      </c>
    </row>
    <row r="2388" spans="1:8" x14ac:dyDescent="0.2">
      <c r="A2388" s="9" t="s">
        <v>51</v>
      </c>
      <c r="C2388" t="str">
        <f t="shared" si="74"/>
        <v>"https://www.zeldadungeon.net/maps/totk/tiles/sky/6/51_44.jpg",</v>
      </c>
      <c r="H2388" t="str">
        <f t="shared" si="75"/>
        <v>51_44</v>
      </c>
    </row>
    <row r="2389" spans="1:8" x14ac:dyDescent="0.2">
      <c r="A2389" s="9" t="s">
        <v>51</v>
      </c>
      <c r="C2389" t="str">
        <f t="shared" si="74"/>
        <v>"https://www.zeldadungeon.net/maps/totk/tiles/sky/6/51_45.jpg",</v>
      </c>
      <c r="H2389" t="str">
        <f t="shared" si="75"/>
        <v>51_45</v>
      </c>
    </row>
    <row r="2390" spans="1:8" x14ac:dyDescent="0.2">
      <c r="A2390" s="9" t="s">
        <v>51</v>
      </c>
      <c r="C2390" t="str">
        <f t="shared" si="74"/>
        <v>"https://www.zeldadungeon.net/maps/totk/tiles/sky/6/51_46.jpg",</v>
      </c>
      <c r="H2390" t="str">
        <f t="shared" si="75"/>
        <v>51_46</v>
      </c>
    </row>
    <row r="2391" spans="1:8" x14ac:dyDescent="0.2">
      <c r="A2391" s="9" t="s">
        <v>51</v>
      </c>
      <c r="C2391" t="str">
        <f t="shared" si="74"/>
        <v>"https://www.zeldadungeon.net/maps/totk/tiles/sky/6/51_47.jpg",</v>
      </c>
      <c r="H2391" t="str">
        <f t="shared" si="75"/>
        <v>51_47</v>
      </c>
    </row>
    <row r="2392" spans="1:8" x14ac:dyDescent="0.2">
      <c r="A2392" s="9" t="s">
        <v>51</v>
      </c>
      <c r="C2392" t="str">
        <f t="shared" si="74"/>
        <v>"https://www.zeldadungeon.net/maps/totk/tiles/sky/6/51_48.jpg",</v>
      </c>
      <c r="H2392" t="str">
        <f t="shared" si="75"/>
        <v>51_48</v>
      </c>
    </row>
    <row r="2393" spans="1:8" x14ac:dyDescent="0.2">
      <c r="A2393" s="9" t="s">
        <v>51</v>
      </c>
      <c r="C2393" t="str">
        <f t="shared" si="74"/>
        <v>"https://www.zeldadungeon.net/maps/totk/tiles/sky/6/51_49.jpg",</v>
      </c>
      <c r="H2393" t="str">
        <f t="shared" si="75"/>
        <v>51_49</v>
      </c>
    </row>
    <row r="2394" spans="1:8" x14ac:dyDescent="0.2">
      <c r="A2394" s="9" t="s">
        <v>51</v>
      </c>
      <c r="C2394" t="str">
        <f t="shared" si="74"/>
        <v>"https://www.zeldadungeon.net/maps/totk/tiles/sky/6/51_50.jpg",</v>
      </c>
      <c r="H2394" t="str">
        <f t="shared" si="75"/>
        <v>51_50</v>
      </c>
    </row>
    <row r="2395" spans="1:8" x14ac:dyDescent="0.2">
      <c r="A2395" s="9" t="s">
        <v>51</v>
      </c>
      <c r="C2395" t="str">
        <f t="shared" si="74"/>
        <v>"https://www.zeldadungeon.net/maps/totk/tiles/sky/6/51_51.jpg",</v>
      </c>
      <c r="H2395" t="str">
        <f t="shared" si="75"/>
        <v>51_51</v>
      </c>
    </row>
    <row r="2396" spans="1:8" x14ac:dyDescent="0.2">
      <c r="A2396" s="9" t="s">
        <v>51</v>
      </c>
      <c r="C2396" t="str">
        <f t="shared" si="74"/>
        <v>"https://www.zeldadungeon.net/maps/totk/tiles/sky/6/51_52.jpg",</v>
      </c>
      <c r="H2396" t="str">
        <f t="shared" si="75"/>
        <v>51_52</v>
      </c>
    </row>
    <row r="2397" spans="1:8" x14ac:dyDescent="0.2">
      <c r="A2397" s="9" t="s">
        <v>51</v>
      </c>
      <c r="C2397" t="str">
        <f t="shared" si="74"/>
        <v>"https://www.zeldadungeon.net/maps/totk/tiles/sky/6/51_53.jpg",</v>
      </c>
      <c r="H2397" t="str">
        <f t="shared" si="75"/>
        <v>51_53</v>
      </c>
    </row>
    <row r="2398" spans="1:8" x14ac:dyDescent="0.2">
      <c r="A2398" s="9" t="s">
        <v>51</v>
      </c>
      <c r="C2398" t="str">
        <f t="shared" si="74"/>
        <v>"https://www.zeldadungeon.net/maps/totk/tiles/sky/6/51_54.jpg",</v>
      </c>
      <c r="H2398" t="str">
        <f t="shared" si="75"/>
        <v>51_54</v>
      </c>
    </row>
    <row r="2399" spans="1:8" x14ac:dyDescent="0.2">
      <c r="A2399" s="9" t="s">
        <v>51</v>
      </c>
      <c r="C2399" t="str">
        <f t="shared" si="74"/>
        <v>"https://www.zeldadungeon.net/maps/totk/tiles/sky/6/51_55.jpg",</v>
      </c>
      <c r="H2399" t="str">
        <f t="shared" si="75"/>
        <v>51_55</v>
      </c>
    </row>
    <row r="2400" spans="1:8" x14ac:dyDescent="0.2">
      <c r="A2400" s="9" t="s">
        <v>51</v>
      </c>
      <c r="C2400" t="str">
        <f t="shared" si="74"/>
        <v>"https://www.zeldadungeon.net/maps/totk/tiles/sky/6/52_8.jpg",</v>
      </c>
      <c r="H2400" t="str">
        <f t="shared" si="75"/>
        <v>52_8</v>
      </c>
    </row>
    <row r="2401" spans="1:8" x14ac:dyDescent="0.2">
      <c r="A2401" s="9" t="s">
        <v>51</v>
      </c>
      <c r="C2401" t="str">
        <f t="shared" si="74"/>
        <v>"https://www.zeldadungeon.net/maps/totk/tiles/sky/6/52_9.jpg",</v>
      </c>
      <c r="H2401" t="str">
        <f t="shared" si="75"/>
        <v>52_9</v>
      </c>
    </row>
    <row r="2402" spans="1:8" x14ac:dyDescent="0.2">
      <c r="A2402" s="9" t="s">
        <v>51</v>
      </c>
      <c r="C2402" t="str">
        <f t="shared" si="74"/>
        <v>"https://www.zeldadungeon.net/maps/totk/tiles/sky/6/52_10.jpg",</v>
      </c>
      <c r="H2402" t="str">
        <f t="shared" si="75"/>
        <v>52_10</v>
      </c>
    </row>
    <row r="2403" spans="1:8" x14ac:dyDescent="0.2">
      <c r="A2403" s="9" t="s">
        <v>51</v>
      </c>
      <c r="C2403" t="str">
        <f t="shared" si="74"/>
        <v>"https://www.zeldadungeon.net/maps/totk/tiles/sky/6/52_11.jpg",</v>
      </c>
      <c r="H2403" t="str">
        <f t="shared" si="75"/>
        <v>52_11</v>
      </c>
    </row>
    <row r="2404" spans="1:8" x14ac:dyDescent="0.2">
      <c r="A2404" s="9" t="s">
        <v>51</v>
      </c>
      <c r="C2404" t="str">
        <f t="shared" si="74"/>
        <v>"https://www.zeldadungeon.net/maps/totk/tiles/sky/6/52_12.jpg",</v>
      </c>
      <c r="H2404" t="str">
        <f t="shared" si="75"/>
        <v>52_12</v>
      </c>
    </row>
    <row r="2405" spans="1:8" x14ac:dyDescent="0.2">
      <c r="A2405" s="9" t="s">
        <v>51</v>
      </c>
      <c r="C2405" t="str">
        <f t="shared" si="74"/>
        <v>"https://www.zeldadungeon.net/maps/totk/tiles/sky/6/52_13.jpg",</v>
      </c>
      <c r="H2405" t="str">
        <f t="shared" si="75"/>
        <v>52_13</v>
      </c>
    </row>
    <row r="2406" spans="1:8" x14ac:dyDescent="0.2">
      <c r="A2406" s="9" t="s">
        <v>51</v>
      </c>
      <c r="C2406" t="str">
        <f t="shared" si="74"/>
        <v>"https://www.zeldadungeon.net/maps/totk/tiles/sky/6/52_14.jpg",</v>
      </c>
      <c r="H2406" t="str">
        <f t="shared" si="75"/>
        <v>52_14</v>
      </c>
    </row>
    <row r="2407" spans="1:8" x14ac:dyDescent="0.2">
      <c r="A2407" s="9" t="s">
        <v>51</v>
      </c>
      <c r="C2407" t="str">
        <f t="shared" si="74"/>
        <v>"https://www.zeldadungeon.net/maps/totk/tiles/sky/6/52_15.jpg",</v>
      </c>
      <c r="H2407" t="str">
        <f t="shared" si="75"/>
        <v>52_15</v>
      </c>
    </row>
    <row r="2408" spans="1:8" x14ac:dyDescent="0.2">
      <c r="A2408" s="9" t="s">
        <v>51</v>
      </c>
      <c r="C2408" t="str">
        <f t="shared" si="74"/>
        <v>"https://www.zeldadungeon.net/maps/totk/tiles/sky/6/52_16.jpg",</v>
      </c>
      <c r="H2408" t="str">
        <f t="shared" si="75"/>
        <v>52_16</v>
      </c>
    </row>
    <row r="2409" spans="1:8" x14ac:dyDescent="0.2">
      <c r="A2409" s="9" t="s">
        <v>51</v>
      </c>
      <c r="C2409" t="str">
        <f t="shared" si="74"/>
        <v>"https://www.zeldadungeon.net/maps/totk/tiles/sky/6/52_17.jpg",</v>
      </c>
      <c r="H2409" t="str">
        <f t="shared" si="75"/>
        <v>52_17</v>
      </c>
    </row>
    <row r="2410" spans="1:8" x14ac:dyDescent="0.2">
      <c r="A2410" s="9" t="s">
        <v>51</v>
      </c>
      <c r="C2410" t="str">
        <f t="shared" si="74"/>
        <v>"https://www.zeldadungeon.net/maps/totk/tiles/sky/6/52_18.jpg",</v>
      </c>
      <c r="H2410" t="str">
        <f t="shared" si="75"/>
        <v>52_18</v>
      </c>
    </row>
    <row r="2411" spans="1:8" x14ac:dyDescent="0.2">
      <c r="A2411" s="9" t="s">
        <v>51</v>
      </c>
      <c r="C2411" t="str">
        <f t="shared" si="74"/>
        <v>"https://www.zeldadungeon.net/maps/totk/tiles/sky/6/52_19.jpg",</v>
      </c>
      <c r="H2411" t="str">
        <f t="shared" si="75"/>
        <v>52_19</v>
      </c>
    </row>
    <row r="2412" spans="1:8" x14ac:dyDescent="0.2">
      <c r="A2412" s="9" t="s">
        <v>51</v>
      </c>
      <c r="C2412" t="str">
        <f t="shared" si="74"/>
        <v>"https://www.zeldadungeon.net/maps/totk/tiles/sky/6/52_20.jpg",</v>
      </c>
      <c r="H2412" t="str">
        <f t="shared" si="75"/>
        <v>52_20</v>
      </c>
    </row>
    <row r="2413" spans="1:8" x14ac:dyDescent="0.2">
      <c r="A2413" s="9" t="s">
        <v>51</v>
      </c>
      <c r="C2413" t="str">
        <f t="shared" si="74"/>
        <v>"https://www.zeldadungeon.net/maps/totk/tiles/sky/6/52_21.jpg",</v>
      </c>
      <c r="H2413" t="str">
        <f t="shared" si="75"/>
        <v>52_21</v>
      </c>
    </row>
    <row r="2414" spans="1:8" x14ac:dyDescent="0.2">
      <c r="A2414" s="9" t="s">
        <v>51</v>
      </c>
      <c r="C2414" t="str">
        <f t="shared" si="74"/>
        <v>"https://www.zeldadungeon.net/maps/totk/tiles/sky/6/52_22.jpg",</v>
      </c>
      <c r="H2414" t="str">
        <f t="shared" si="75"/>
        <v>52_22</v>
      </c>
    </row>
    <row r="2415" spans="1:8" x14ac:dyDescent="0.2">
      <c r="A2415" s="9" t="s">
        <v>51</v>
      </c>
      <c r="C2415" t="str">
        <f t="shared" si="74"/>
        <v>"https://www.zeldadungeon.net/maps/totk/tiles/sky/6/52_23.jpg",</v>
      </c>
      <c r="H2415" t="str">
        <f t="shared" si="75"/>
        <v>52_23</v>
      </c>
    </row>
    <row r="2416" spans="1:8" x14ac:dyDescent="0.2">
      <c r="A2416" s="9" t="s">
        <v>51</v>
      </c>
      <c r="C2416" t="str">
        <f t="shared" si="74"/>
        <v>"https://www.zeldadungeon.net/maps/totk/tiles/sky/6/52_24.jpg",</v>
      </c>
      <c r="H2416" t="str">
        <f t="shared" si="75"/>
        <v>52_24</v>
      </c>
    </row>
    <row r="2417" spans="1:8" x14ac:dyDescent="0.2">
      <c r="A2417" s="9" t="s">
        <v>51</v>
      </c>
      <c r="C2417" t="str">
        <f t="shared" si="74"/>
        <v>"https://www.zeldadungeon.net/maps/totk/tiles/sky/6/52_25.jpg",</v>
      </c>
      <c r="H2417" t="str">
        <f t="shared" si="75"/>
        <v>52_25</v>
      </c>
    </row>
    <row r="2418" spans="1:8" x14ac:dyDescent="0.2">
      <c r="A2418" s="9" t="s">
        <v>51</v>
      </c>
      <c r="C2418" t="str">
        <f t="shared" si="74"/>
        <v>"https://www.zeldadungeon.net/maps/totk/tiles/sky/6/52_26.jpg",</v>
      </c>
      <c r="H2418" t="str">
        <f t="shared" si="75"/>
        <v>52_26</v>
      </c>
    </row>
    <row r="2419" spans="1:8" x14ac:dyDescent="0.2">
      <c r="A2419" s="9" t="s">
        <v>51</v>
      </c>
      <c r="C2419" t="str">
        <f t="shared" si="74"/>
        <v>"https://www.zeldadungeon.net/maps/totk/tiles/sky/6/52_27.jpg",</v>
      </c>
      <c r="H2419" t="str">
        <f t="shared" si="75"/>
        <v>52_27</v>
      </c>
    </row>
    <row r="2420" spans="1:8" x14ac:dyDescent="0.2">
      <c r="A2420" s="9" t="s">
        <v>51</v>
      </c>
      <c r="C2420" t="str">
        <f t="shared" si="74"/>
        <v>"https://www.zeldadungeon.net/maps/totk/tiles/sky/6/52_28.jpg",</v>
      </c>
      <c r="H2420" t="str">
        <f t="shared" si="75"/>
        <v>52_28</v>
      </c>
    </row>
    <row r="2421" spans="1:8" x14ac:dyDescent="0.2">
      <c r="A2421" s="9" t="s">
        <v>51</v>
      </c>
      <c r="C2421" t="str">
        <f t="shared" si="74"/>
        <v>"https://www.zeldadungeon.net/maps/totk/tiles/sky/6/52_29.jpg",</v>
      </c>
      <c r="H2421" t="str">
        <f t="shared" si="75"/>
        <v>52_29</v>
      </c>
    </row>
    <row r="2422" spans="1:8" x14ac:dyDescent="0.2">
      <c r="A2422" s="9" t="s">
        <v>51</v>
      </c>
      <c r="C2422" t="str">
        <f t="shared" si="74"/>
        <v>"https://www.zeldadungeon.net/maps/totk/tiles/sky/6/52_30.jpg",</v>
      </c>
      <c r="H2422" t="str">
        <f t="shared" si="75"/>
        <v>52_30</v>
      </c>
    </row>
    <row r="2423" spans="1:8" x14ac:dyDescent="0.2">
      <c r="A2423" s="9" t="s">
        <v>51</v>
      </c>
      <c r="C2423" t="str">
        <f t="shared" si="74"/>
        <v>"https://www.zeldadungeon.net/maps/totk/tiles/sky/6/52_31.jpg",</v>
      </c>
      <c r="H2423" t="str">
        <f t="shared" si="75"/>
        <v>52_31</v>
      </c>
    </row>
    <row r="2424" spans="1:8" x14ac:dyDescent="0.2">
      <c r="A2424" s="9" t="s">
        <v>51</v>
      </c>
      <c r="C2424" t="str">
        <f t="shared" si="74"/>
        <v>"https://www.zeldadungeon.net/maps/totk/tiles/sky/6/52_32.jpg",</v>
      </c>
      <c r="H2424" t="str">
        <f t="shared" si="75"/>
        <v>52_32</v>
      </c>
    </row>
    <row r="2425" spans="1:8" x14ac:dyDescent="0.2">
      <c r="A2425" s="9" t="s">
        <v>51</v>
      </c>
      <c r="C2425" t="str">
        <f t="shared" si="74"/>
        <v>"https://www.zeldadungeon.net/maps/totk/tiles/sky/6/52_33.jpg",</v>
      </c>
      <c r="H2425" t="str">
        <f t="shared" si="75"/>
        <v>52_33</v>
      </c>
    </row>
    <row r="2426" spans="1:8" x14ac:dyDescent="0.2">
      <c r="A2426" s="9" t="s">
        <v>51</v>
      </c>
      <c r="C2426" t="str">
        <f t="shared" si="74"/>
        <v>"https://www.zeldadungeon.net/maps/totk/tiles/sky/6/52_34.jpg",</v>
      </c>
      <c r="H2426" t="str">
        <f t="shared" si="75"/>
        <v>52_34</v>
      </c>
    </row>
    <row r="2427" spans="1:8" x14ac:dyDescent="0.2">
      <c r="A2427" s="9" t="s">
        <v>51</v>
      </c>
      <c r="C2427" t="str">
        <f t="shared" si="74"/>
        <v>"https://www.zeldadungeon.net/maps/totk/tiles/sky/6/52_35.jpg",</v>
      </c>
      <c r="H2427" t="str">
        <f t="shared" si="75"/>
        <v>52_35</v>
      </c>
    </row>
    <row r="2428" spans="1:8" x14ac:dyDescent="0.2">
      <c r="A2428" s="9" t="s">
        <v>51</v>
      </c>
      <c r="C2428" t="str">
        <f t="shared" si="74"/>
        <v>"https://www.zeldadungeon.net/maps/totk/tiles/sky/6/52_36.jpg",</v>
      </c>
      <c r="H2428" t="str">
        <f t="shared" si="75"/>
        <v>52_36</v>
      </c>
    </row>
    <row r="2429" spans="1:8" x14ac:dyDescent="0.2">
      <c r="A2429" s="9" t="s">
        <v>51</v>
      </c>
      <c r="C2429" t="str">
        <f t="shared" si="74"/>
        <v>"https://www.zeldadungeon.net/maps/totk/tiles/sky/6/52_37.jpg",</v>
      </c>
      <c r="H2429" t="str">
        <f t="shared" si="75"/>
        <v>52_37</v>
      </c>
    </row>
    <row r="2430" spans="1:8" x14ac:dyDescent="0.2">
      <c r="A2430" s="9" t="s">
        <v>51</v>
      </c>
      <c r="C2430" t="str">
        <f t="shared" si="74"/>
        <v>"https://www.zeldadungeon.net/maps/totk/tiles/sky/6/52_38.jpg",</v>
      </c>
      <c r="H2430" t="str">
        <f t="shared" si="75"/>
        <v>52_38</v>
      </c>
    </row>
    <row r="2431" spans="1:8" x14ac:dyDescent="0.2">
      <c r="A2431" s="9" t="s">
        <v>51</v>
      </c>
      <c r="C2431" t="str">
        <f t="shared" si="74"/>
        <v>"https://www.zeldadungeon.net/maps/totk/tiles/sky/6/52_39.jpg",</v>
      </c>
      <c r="H2431" t="str">
        <f t="shared" si="75"/>
        <v>52_39</v>
      </c>
    </row>
    <row r="2432" spans="1:8" x14ac:dyDescent="0.2">
      <c r="A2432" s="9" t="s">
        <v>51</v>
      </c>
      <c r="C2432" t="str">
        <f t="shared" si="74"/>
        <v>"https://www.zeldadungeon.net/maps/totk/tiles/sky/6/52_40.jpg",</v>
      </c>
      <c r="H2432" t="str">
        <f t="shared" si="75"/>
        <v>52_40</v>
      </c>
    </row>
    <row r="2433" spans="1:8" x14ac:dyDescent="0.2">
      <c r="A2433" s="9" t="s">
        <v>51</v>
      </c>
      <c r="C2433" t="str">
        <f t="shared" ref="C2433:C2496" si="76">""""&amp;SUBSTITUTE(A2433,"zzz",H2433)&amp;""""&amp;","</f>
        <v>"https://www.zeldadungeon.net/maps/totk/tiles/sky/6/52_41.jpg",</v>
      </c>
      <c r="H2433" t="str">
        <f t="shared" ref="H2433:H2496" si="77">QUOTIENT(ROW(A2433),48)+2&amp;"_"&amp;MOD(ROW(A2433),48)+8</f>
        <v>52_41</v>
      </c>
    </row>
    <row r="2434" spans="1:8" x14ac:dyDescent="0.2">
      <c r="A2434" s="9" t="s">
        <v>51</v>
      </c>
      <c r="C2434" t="str">
        <f t="shared" si="76"/>
        <v>"https://www.zeldadungeon.net/maps/totk/tiles/sky/6/52_42.jpg",</v>
      </c>
      <c r="H2434" t="str">
        <f t="shared" si="77"/>
        <v>52_42</v>
      </c>
    </row>
    <row r="2435" spans="1:8" x14ac:dyDescent="0.2">
      <c r="A2435" s="9" t="s">
        <v>51</v>
      </c>
      <c r="C2435" t="str">
        <f t="shared" si="76"/>
        <v>"https://www.zeldadungeon.net/maps/totk/tiles/sky/6/52_43.jpg",</v>
      </c>
      <c r="H2435" t="str">
        <f t="shared" si="77"/>
        <v>52_43</v>
      </c>
    </row>
    <row r="2436" spans="1:8" x14ac:dyDescent="0.2">
      <c r="A2436" s="9" t="s">
        <v>51</v>
      </c>
      <c r="C2436" t="str">
        <f t="shared" si="76"/>
        <v>"https://www.zeldadungeon.net/maps/totk/tiles/sky/6/52_44.jpg",</v>
      </c>
      <c r="H2436" t="str">
        <f t="shared" si="77"/>
        <v>52_44</v>
      </c>
    </row>
    <row r="2437" spans="1:8" x14ac:dyDescent="0.2">
      <c r="A2437" s="9" t="s">
        <v>51</v>
      </c>
      <c r="C2437" t="str">
        <f t="shared" si="76"/>
        <v>"https://www.zeldadungeon.net/maps/totk/tiles/sky/6/52_45.jpg",</v>
      </c>
      <c r="H2437" t="str">
        <f t="shared" si="77"/>
        <v>52_45</v>
      </c>
    </row>
    <row r="2438" spans="1:8" x14ac:dyDescent="0.2">
      <c r="A2438" s="9" t="s">
        <v>51</v>
      </c>
      <c r="C2438" t="str">
        <f t="shared" si="76"/>
        <v>"https://www.zeldadungeon.net/maps/totk/tiles/sky/6/52_46.jpg",</v>
      </c>
      <c r="H2438" t="str">
        <f t="shared" si="77"/>
        <v>52_46</v>
      </c>
    </row>
    <row r="2439" spans="1:8" x14ac:dyDescent="0.2">
      <c r="A2439" s="9" t="s">
        <v>51</v>
      </c>
      <c r="C2439" t="str">
        <f t="shared" si="76"/>
        <v>"https://www.zeldadungeon.net/maps/totk/tiles/sky/6/52_47.jpg",</v>
      </c>
      <c r="H2439" t="str">
        <f t="shared" si="77"/>
        <v>52_47</v>
      </c>
    </row>
    <row r="2440" spans="1:8" x14ac:dyDescent="0.2">
      <c r="A2440" s="9" t="s">
        <v>51</v>
      </c>
      <c r="C2440" t="str">
        <f t="shared" si="76"/>
        <v>"https://www.zeldadungeon.net/maps/totk/tiles/sky/6/52_48.jpg",</v>
      </c>
      <c r="H2440" t="str">
        <f t="shared" si="77"/>
        <v>52_48</v>
      </c>
    </row>
    <row r="2441" spans="1:8" x14ac:dyDescent="0.2">
      <c r="A2441" s="9" t="s">
        <v>51</v>
      </c>
      <c r="C2441" t="str">
        <f t="shared" si="76"/>
        <v>"https://www.zeldadungeon.net/maps/totk/tiles/sky/6/52_49.jpg",</v>
      </c>
      <c r="H2441" t="str">
        <f t="shared" si="77"/>
        <v>52_49</v>
      </c>
    </row>
    <row r="2442" spans="1:8" x14ac:dyDescent="0.2">
      <c r="A2442" s="9" t="s">
        <v>51</v>
      </c>
      <c r="C2442" t="str">
        <f t="shared" si="76"/>
        <v>"https://www.zeldadungeon.net/maps/totk/tiles/sky/6/52_50.jpg",</v>
      </c>
      <c r="H2442" t="str">
        <f t="shared" si="77"/>
        <v>52_50</v>
      </c>
    </row>
    <row r="2443" spans="1:8" x14ac:dyDescent="0.2">
      <c r="A2443" s="9" t="s">
        <v>51</v>
      </c>
      <c r="C2443" t="str">
        <f t="shared" si="76"/>
        <v>"https://www.zeldadungeon.net/maps/totk/tiles/sky/6/52_51.jpg",</v>
      </c>
      <c r="H2443" t="str">
        <f t="shared" si="77"/>
        <v>52_51</v>
      </c>
    </row>
    <row r="2444" spans="1:8" x14ac:dyDescent="0.2">
      <c r="A2444" s="9" t="s">
        <v>51</v>
      </c>
      <c r="C2444" t="str">
        <f t="shared" si="76"/>
        <v>"https://www.zeldadungeon.net/maps/totk/tiles/sky/6/52_52.jpg",</v>
      </c>
      <c r="H2444" t="str">
        <f t="shared" si="77"/>
        <v>52_52</v>
      </c>
    </row>
    <row r="2445" spans="1:8" x14ac:dyDescent="0.2">
      <c r="A2445" s="9" t="s">
        <v>51</v>
      </c>
      <c r="C2445" t="str">
        <f t="shared" si="76"/>
        <v>"https://www.zeldadungeon.net/maps/totk/tiles/sky/6/52_53.jpg",</v>
      </c>
      <c r="H2445" t="str">
        <f t="shared" si="77"/>
        <v>52_53</v>
      </c>
    </row>
    <row r="2446" spans="1:8" x14ac:dyDescent="0.2">
      <c r="A2446" s="9" t="s">
        <v>51</v>
      </c>
      <c r="C2446" t="str">
        <f t="shared" si="76"/>
        <v>"https://www.zeldadungeon.net/maps/totk/tiles/sky/6/52_54.jpg",</v>
      </c>
      <c r="H2446" t="str">
        <f t="shared" si="77"/>
        <v>52_54</v>
      </c>
    </row>
    <row r="2447" spans="1:8" x14ac:dyDescent="0.2">
      <c r="A2447" s="9" t="s">
        <v>51</v>
      </c>
      <c r="C2447" t="str">
        <f t="shared" si="76"/>
        <v>"https://www.zeldadungeon.net/maps/totk/tiles/sky/6/52_55.jpg",</v>
      </c>
      <c r="H2447" t="str">
        <f t="shared" si="77"/>
        <v>52_55</v>
      </c>
    </row>
    <row r="2448" spans="1:8" x14ac:dyDescent="0.2">
      <c r="A2448" s="9" t="s">
        <v>51</v>
      </c>
      <c r="C2448" t="str">
        <f t="shared" si="76"/>
        <v>"https://www.zeldadungeon.net/maps/totk/tiles/sky/6/53_8.jpg",</v>
      </c>
      <c r="H2448" t="str">
        <f t="shared" si="77"/>
        <v>53_8</v>
      </c>
    </row>
    <row r="2449" spans="1:8" x14ac:dyDescent="0.2">
      <c r="A2449" s="9" t="s">
        <v>51</v>
      </c>
      <c r="C2449" t="str">
        <f t="shared" si="76"/>
        <v>"https://www.zeldadungeon.net/maps/totk/tiles/sky/6/53_9.jpg",</v>
      </c>
      <c r="H2449" t="str">
        <f t="shared" si="77"/>
        <v>53_9</v>
      </c>
    </row>
    <row r="2450" spans="1:8" x14ac:dyDescent="0.2">
      <c r="A2450" s="9" t="s">
        <v>51</v>
      </c>
      <c r="C2450" t="str">
        <f t="shared" si="76"/>
        <v>"https://www.zeldadungeon.net/maps/totk/tiles/sky/6/53_10.jpg",</v>
      </c>
      <c r="H2450" t="str">
        <f t="shared" si="77"/>
        <v>53_10</v>
      </c>
    </row>
    <row r="2451" spans="1:8" x14ac:dyDescent="0.2">
      <c r="A2451" s="9" t="s">
        <v>51</v>
      </c>
      <c r="C2451" t="str">
        <f t="shared" si="76"/>
        <v>"https://www.zeldadungeon.net/maps/totk/tiles/sky/6/53_11.jpg",</v>
      </c>
      <c r="H2451" t="str">
        <f t="shared" si="77"/>
        <v>53_11</v>
      </c>
    </row>
    <row r="2452" spans="1:8" x14ac:dyDescent="0.2">
      <c r="A2452" s="9" t="s">
        <v>51</v>
      </c>
      <c r="C2452" t="str">
        <f t="shared" si="76"/>
        <v>"https://www.zeldadungeon.net/maps/totk/tiles/sky/6/53_12.jpg",</v>
      </c>
      <c r="H2452" t="str">
        <f t="shared" si="77"/>
        <v>53_12</v>
      </c>
    </row>
    <row r="2453" spans="1:8" x14ac:dyDescent="0.2">
      <c r="A2453" s="9" t="s">
        <v>51</v>
      </c>
      <c r="C2453" t="str">
        <f t="shared" si="76"/>
        <v>"https://www.zeldadungeon.net/maps/totk/tiles/sky/6/53_13.jpg",</v>
      </c>
      <c r="H2453" t="str">
        <f t="shared" si="77"/>
        <v>53_13</v>
      </c>
    </row>
    <row r="2454" spans="1:8" x14ac:dyDescent="0.2">
      <c r="A2454" s="9" t="s">
        <v>51</v>
      </c>
      <c r="C2454" t="str">
        <f t="shared" si="76"/>
        <v>"https://www.zeldadungeon.net/maps/totk/tiles/sky/6/53_14.jpg",</v>
      </c>
      <c r="H2454" t="str">
        <f t="shared" si="77"/>
        <v>53_14</v>
      </c>
    </row>
    <row r="2455" spans="1:8" x14ac:dyDescent="0.2">
      <c r="A2455" s="9" t="s">
        <v>51</v>
      </c>
      <c r="C2455" t="str">
        <f t="shared" si="76"/>
        <v>"https://www.zeldadungeon.net/maps/totk/tiles/sky/6/53_15.jpg",</v>
      </c>
      <c r="H2455" t="str">
        <f t="shared" si="77"/>
        <v>53_15</v>
      </c>
    </row>
    <row r="2456" spans="1:8" x14ac:dyDescent="0.2">
      <c r="A2456" s="9" t="s">
        <v>51</v>
      </c>
      <c r="C2456" t="str">
        <f t="shared" si="76"/>
        <v>"https://www.zeldadungeon.net/maps/totk/tiles/sky/6/53_16.jpg",</v>
      </c>
      <c r="H2456" t="str">
        <f t="shared" si="77"/>
        <v>53_16</v>
      </c>
    </row>
    <row r="2457" spans="1:8" x14ac:dyDescent="0.2">
      <c r="A2457" s="9" t="s">
        <v>51</v>
      </c>
      <c r="C2457" t="str">
        <f t="shared" si="76"/>
        <v>"https://www.zeldadungeon.net/maps/totk/tiles/sky/6/53_17.jpg",</v>
      </c>
      <c r="H2457" t="str">
        <f t="shared" si="77"/>
        <v>53_17</v>
      </c>
    </row>
    <row r="2458" spans="1:8" x14ac:dyDescent="0.2">
      <c r="A2458" s="9" t="s">
        <v>51</v>
      </c>
      <c r="C2458" t="str">
        <f t="shared" si="76"/>
        <v>"https://www.zeldadungeon.net/maps/totk/tiles/sky/6/53_18.jpg",</v>
      </c>
      <c r="H2458" t="str">
        <f t="shared" si="77"/>
        <v>53_18</v>
      </c>
    </row>
    <row r="2459" spans="1:8" x14ac:dyDescent="0.2">
      <c r="A2459" s="9" t="s">
        <v>51</v>
      </c>
      <c r="C2459" t="str">
        <f t="shared" si="76"/>
        <v>"https://www.zeldadungeon.net/maps/totk/tiles/sky/6/53_19.jpg",</v>
      </c>
      <c r="H2459" t="str">
        <f t="shared" si="77"/>
        <v>53_19</v>
      </c>
    </row>
    <row r="2460" spans="1:8" x14ac:dyDescent="0.2">
      <c r="A2460" s="9" t="s">
        <v>51</v>
      </c>
      <c r="C2460" t="str">
        <f t="shared" si="76"/>
        <v>"https://www.zeldadungeon.net/maps/totk/tiles/sky/6/53_20.jpg",</v>
      </c>
      <c r="H2460" t="str">
        <f t="shared" si="77"/>
        <v>53_20</v>
      </c>
    </row>
    <row r="2461" spans="1:8" x14ac:dyDescent="0.2">
      <c r="A2461" s="9" t="s">
        <v>51</v>
      </c>
      <c r="C2461" t="str">
        <f t="shared" si="76"/>
        <v>"https://www.zeldadungeon.net/maps/totk/tiles/sky/6/53_21.jpg",</v>
      </c>
      <c r="H2461" t="str">
        <f t="shared" si="77"/>
        <v>53_21</v>
      </c>
    </row>
    <row r="2462" spans="1:8" x14ac:dyDescent="0.2">
      <c r="A2462" s="9" t="s">
        <v>51</v>
      </c>
      <c r="C2462" t="str">
        <f t="shared" si="76"/>
        <v>"https://www.zeldadungeon.net/maps/totk/tiles/sky/6/53_22.jpg",</v>
      </c>
      <c r="H2462" t="str">
        <f t="shared" si="77"/>
        <v>53_22</v>
      </c>
    </row>
    <row r="2463" spans="1:8" x14ac:dyDescent="0.2">
      <c r="A2463" s="9" t="s">
        <v>51</v>
      </c>
      <c r="C2463" t="str">
        <f t="shared" si="76"/>
        <v>"https://www.zeldadungeon.net/maps/totk/tiles/sky/6/53_23.jpg",</v>
      </c>
      <c r="H2463" t="str">
        <f t="shared" si="77"/>
        <v>53_23</v>
      </c>
    </row>
    <row r="2464" spans="1:8" x14ac:dyDescent="0.2">
      <c r="A2464" s="9" t="s">
        <v>51</v>
      </c>
      <c r="C2464" t="str">
        <f t="shared" si="76"/>
        <v>"https://www.zeldadungeon.net/maps/totk/tiles/sky/6/53_24.jpg",</v>
      </c>
      <c r="H2464" t="str">
        <f t="shared" si="77"/>
        <v>53_24</v>
      </c>
    </row>
    <row r="2465" spans="1:8" x14ac:dyDescent="0.2">
      <c r="A2465" s="9" t="s">
        <v>51</v>
      </c>
      <c r="C2465" t="str">
        <f t="shared" si="76"/>
        <v>"https://www.zeldadungeon.net/maps/totk/tiles/sky/6/53_25.jpg",</v>
      </c>
      <c r="H2465" t="str">
        <f t="shared" si="77"/>
        <v>53_25</v>
      </c>
    </row>
    <row r="2466" spans="1:8" x14ac:dyDescent="0.2">
      <c r="A2466" s="9" t="s">
        <v>51</v>
      </c>
      <c r="C2466" t="str">
        <f t="shared" si="76"/>
        <v>"https://www.zeldadungeon.net/maps/totk/tiles/sky/6/53_26.jpg",</v>
      </c>
      <c r="H2466" t="str">
        <f t="shared" si="77"/>
        <v>53_26</v>
      </c>
    </row>
    <row r="2467" spans="1:8" x14ac:dyDescent="0.2">
      <c r="A2467" s="9" t="s">
        <v>51</v>
      </c>
      <c r="C2467" t="str">
        <f t="shared" si="76"/>
        <v>"https://www.zeldadungeon.net/maps/totk/tiles/sky/6/53_27.jpg",</v>
      </c>
      <c r="H2467" t="str">
        <f t="shared" si="77"/>
        <v>53_27</v>
      </c>
    </row>
    <row r="2468" spans="1:8" x14ac:dyDescent="0.2">
      <c r="A2468" s="9" t="s">
        <v>51</v>
      </c>
      <c r="C2468" t="str">
        <f t="shared" si="76"/>
        <v>"https://www.zeldadungeon.net/maps/totk/tiles/sky/6/53_28.jpg",</v>
      </c>
      <c r="H2468" t="str">
        <f t="shared" si="77"/>
        <v>53_28</v>
      </c>
    </row>
    <row r="2469" spans="1:8" x14ac:dyDescent="0.2">
      <c r="A2469" s="9" t="s">
        <v>51</v>
      </c>
      <c r="C2469" t="str">
        <f t="shared" si="76"/>
        <v>"https://www.zeldadungeon.net/maps/totk/tiles/sky/6/53_29.jpg",</v>
      </c>
      <c r="H2469" t="str">
        <f t="shared" si="77"/>
        <v>53_29</v>
      </c>
    </row>
    <row r="2470" spans="1:8" x14ac:dyDescent="0.2">
      <c r="A2470" s="9" t="s">
        <v>51</v>
      </c>
      <c r="C2470" t="str">
        <f t="shared" si="76"/>
        <v>"https://www.zeldadungeon.net/maps/totk/tiles/sky/6/53_30.jpg",</v>
      </c>
      <c r="H2470" t="str">
        <f t="shared" si="77"/>
        <v>53_30</v>
      </c>
    </row>
    <row r="2471" spans="1:8" x14ac:dyDescent="0.2">
      <c r="A2471" s="9" t="s">
        <v>51</v>
      </c>
      <c r="C2471" t="str">
        <f t="shared" si="76"/>
        <v>"https://www.zeldadungeon.net/maps/totk/tiles/sky/6/53_31.jpg",</v>
      </c>
      <c r="H2471" t="str">
        <f t="shared" si="77"/>
        <v>53_31</v>
      </c>
    </row>
    <row r="2472" spans="1:8" x14ac:dyDescent="0.2">
      <c r="A2472" s="9" t="s">
        <v>51</v>
      </c>
      <c r="C2472" t="str">
        <f t="shared" si="76"/>
        <v>"https://www.zeldadungeon.net/maps/totk/tiles/sky/6/53_32.jpg",</v>
      </c>
      <c r="H2472" t="str">
        <f t="shared" si="77"/>
        <v>53_32</v>
      </c>
    </row>
    <row r="2473" spans="1:8" x14ac:dyDescent="0.2">
      <c r="A2473" s="9" t="s">
        <v>51</v>
      </c>
      <c r="C2473" t="str">
        <f t="shared" si="76"/>
        <v>"https://www.zeldadungeon.net/maps/totk/tiles/sky/6/53_33.jpg",</v>
      </c>
      <c r="H2473" t="str">
        <f t="shared" si="77"/>
        <v>53_33</v>
      </c>
    </row>
    <row r="2474" spans="1:8" x14ac:dyDescent="0.2">
      <c r="A2474" s="9" t="s">
        <v>51</v>
      </c>
      <c r="C2474" t="str">
        <f t="shared" si="76"/>
        <v>"https://www.zeldadungeon.net/maps/totk/tiles/sky/6/53_34.jpg",</v>
      </c>
      <c r="H2474" t="str">
        <f t="shared" si="77"/>
        <v>53_34</v>
      </c>
    </row>
    <row r="2475" spans="1:8" x14ac:dyDescent="0.2">
      <c r="A2475" s="9" t="s">
        <v>51</v>
      </c>
      <c r="C2475" t="str">
        <f t="shared" si="76"/>
        <v>"https://www.zeldadungeon.net/maps/totk/tiles/sky/6/53_35.jpg",</v>
      </c>
      <c r="H2475" t="str">
        <f t="shared" si="77"/>
        <v>53_35</v>
      </c>
    </row>
    <row r="2476" spans="1:8" x14ac:dyDescent="0.2">
      <c r="A2476" s="9" t="s">
        <v>51</v>
      </c>
      <c r="C2476" t="str">
        <f t="shared" si="76"/>
        <v>"https://www.zeldadungeon.net/maps/totk/tiles/sky/6/53_36.jpg",</v>
      </c>
      <c r="H2476" t="str">
        <f t="shared" si="77"/>
        <v>53_36</v>
      </c>
    </row>
    <row r="2477" spans="1:8" x14ac:dyDescent="0.2">
      <c r="A2477" s="9" t="s">
        <v>51</v>
      </c>
      <c r="C2477" t="str">
        <f t="shared" si="76"/>
        <v>"https://www.zeldadungeon.net/maps/totk/tiles/sky/6/53_37.jpg",</v>
      </c>
      <c r="H2477" t="str">
        <f t="shared" si="77"/>
        <v>53_37</v>
      </c>
    </row>
    <row r="2478" spans="1:8" x14ac:dyDescent="0.2">
      <c r="A2478" s="9" t="s">
        <v>51</v>
      </c>
      <c r="C2478" t="str">
        <f t="shared" si="76"/>
        <v>"https://www.zeldadungeon.net/maps/totk/tiles/sky/6/53_38.jpg",</v>
      </c>
      <c r="H2478" t="str">
        <f t="shared" si="77"/>
        <v>53_38</v>
      </c>
    </row>
    <row r="2479" spans="1:8" x14ac:dyDescent="0.2">
      <c r="A2479" s="9" t="s">
        <v>51</v>
      </c>
      <c r="C2479" t="str">
        <f t="shared" si="76"/>
        <v>"https://www.zeldadungeon.net/maps/totk/tiles/sky/6/53_39.jpg",</v>
      </c>
      <c r="H2479" t="str">
        <f t="shared" si="77"/>
        <v>53_39</v>
      </c>
    </row>
    <row r="2480" spans="1:8" x14ac:dyDescent="0.2">
      <c r="A2480" s="9" t="s">
        <v>51</v>
      </c>
      <c r="C2480" t="str">
        <f t="shared" si="76"/>
        <v>"https://www.zeldadungeon.net/maps/totk/tiles/sky/6/53_40.jpg",</v>
      </c>
      <c r="H2480" t="str">
        <f t="shared" si="77"/>
        <v>53_40</v>
      </c>
    </row>
    <row r="2481" spans="1:8" x14ac:dyDescent="0.2">
      <c r="A2481" s="9" t="s">
        <v>51</v>
      </c>
      <c r="C2481" t="str">
        <f t="shared" si="76"/>
        <v>"https://www.zeldadungeon.net/maps/totk/tiles/sky/6/53_41.jpg",</v>
      </c>
      <c r="H2481" t="str">
        <f t="shared" si="77"/>
        <v>53_41</v>
      </c>
    </row>
    <row r="2482" spans="1:8" x14ac:dyDescent="0.2">
      <c r="A2482" s="9" t="s">
        <v>51</v>
      </c>
      <c r="C2482" t="str">
        <f t="shared" si="76"/>
        <v>"https://www.zeldadungeon.net/maps/totk/tiles/sky/6/53_42.jpg",</v>
      </c>
      <c r="H2482" t="str">
        <f t="shared" si="77"/>
        <v>53_42</v>
      </c>
    </row>
    <row r="2483" spans="1:8" x14ac:dyDescent="0.2">
      <c r="A2483" s="9" t="s">
        <v>51</v>
      </c>
      <c r="C2483" t="str">
        <f t="shared" si="76"/>
        <v>"https://www.zeldadungeon.net/maps/totk/tiles/sky/6/53_43.jpg",</v>
      </c>
      <c r="H2483" t="str">
        <f t="shared" si="77"/>
        <v>53_43</v>
      </c>
    </row>
    <row r="2484" spans="1:8" x14ac:dyDescent="0.2">
      <c r="A2484" s="9" t="s">
        <v>51</v>
      </c>
      <c r="C2484" t="str">
        <f t="shared" si="76"/>
        <v>"https://www.zeldadungeon.net/maps/totk/tiles/sky/6/53_44.jpg",</v>
      </c>
      <c r="H2484" t="str">
        <f t="shared" si="77"/>
        <v>53_44</v>
      </c>
    </row>
    <row r="2485" spans="1:8" x14ac:dyDescent="0.2">
      <c r="A2485" s="9" t="s">
        <v>51</v>
      </c>
      <c r="C2485" t="str">
        <f t="shared" si="76"/>
        <v>"https://www.zeldadungeon.net/maps/totk/tiles/sky/6/53_45.jpg",</v>
      </c>
      <c r="H2485" t="str">
        <f t="shared" si="77"/>
        <v>53_45</v>
      </c>
    </row>
    <row r="2486" spans="1:8" x14ac:dyDescent="0.2">
      <c r="A2486" s="9" t="s">
        <v>51</v>
      </c>
      <c r="C2486" t="str">
        <f t="shared" si="76"/>
        <v>"https://www.zeldadungeon.net/maps/totk/tiles/sky/6/53_46.jpg",</v>
      </c>
      <c r="H2486" t="str">
        <f t="shared" si="77"/>
        <v>53_46</v>
      </c>
    </row>
    <row r="2487" spans="1:8" x14ac:dyDescent="0.2">
      <c r="A2487" s="9" t="s">
        <v>51</v>
      </c>
      <c r="C2487" t="str">
        <f t="shared" si="76"/>
        <v>"https://www.zeldadungeon.net/maps/totk/tiles/sky/6/53_47.jpg",</v>
      </c>
      <c r="H2487" t="str">
        <f t="shared" si="77"/>
        <v>53_47</v>
      </c>
    </row>
    <row r="2488" spans="1:8" x14ac:dyDescent="0.2">
      <c r="A2488" s="9" t="s">
        <v>51</v>
      </c>
      <c r="C2488" t="str">
        <f t="shared" si="76"/>
        <v>"https://www.zeldadungeon.net/maps/totk/tiles/sky/6/53_48.jpg",</v>
      </c>
      <c r="H2488" t="str">
        <f t="shared" si="77"/>
        <v>53_48</v>
      </c>
    </row>
    <row r="2489" spans="1:8" x14ac:dyDescent="0.2">
      <c r="A2489" s="9" t="s">
        <v>51</v>
      </c>
      <c r="C2489" t="str">
        <f t="shared" si="76"/>
        <v>"https://www.zeldadungeon.net/maps/totk/tiles/sky/6/53_49.jpg",</v>
      </c>
      <c r="H2489" t="str">
        <f t="shared" si="77"/>
        <v>53_49</v>
      </c>
    </row>
    <row r="2490" spans="1:8" x14ac:dyDescent="0.2">
      <c r="A2490" s="9" t="s">
        <v>51</v>
      </c>
      <c r="C2490" t="str">
        <f t="shared" si="76"/>
        <v>"https://www.zeldadungeon.net/maps/totk/tiles/sky/6/53_50.jpg",</v>
      </c>
      <c r="H2490" t="str">
        <f t="shared" si="77"/>
        <v>53_50</v>
      </c>
    </row>
    <row r="2491" spans="1:8" x14ac:dyDescent="0.2">
      <c r="A2491" s="9" t="s">
        <v>51</v>
      </c>
      <c r="C2491" t="str">
        <f t="shared" si="76"/>
        <v>"https://www.zeldadungeon.net/maps/totk/tiles/sky/6/53_51.jpg",</v>
      </c>
      <c r="H2491" t="str">
        <f t="shared" si="77"/>
        <v>53_51</v>
      </c>
    </row>
    <row r="2492" spans="1:8" x14ac:dyDescent="0.2">
      <c r="A2492" s="9" t="s">
        <v>51</v>
      </c>
      <c r="C2492" t="str">
        <f t="shared" si="76"/>
        <v>"https://www.zeldadungeon.net/maps/totk/tiles/sky/6/53_52.jpg",</v>
      </c>
      <c r="H2492" t="str">
        <f t="shared" si="77"/>
        <v>53_52</v>
      </c>
    </row>
    <row r="2493" spans="1:8" x14ac:dyDescent="0.2">
      <c r="A2493" s="9" t="s">
        <v>51</v>
      </c>
      <c r="C2493" t="str">
        <f t="shared" si="76"/>
        <v>"https://www.zeldadungeon.net/maps/totk/tiles/sky/6/53_53.jpg",</v>
      </c>
      <c r="H2493" t="str">
        <f t="shared" si="77"/>
        <v>53_53</v>
      </c>
    </row>
    <row r="2494" spans="1:8" x14ac:dyDescent="0.2">
      <c r="A2494" s="9" t="s">
        <v>51</v>
      </c>
      <c r="C2494" t="str">
        <f t="shared" si="76"/>
        <v>"https://www.zeldadungeon.net/maps/totk/tiles/sky/6/53_54.jpg",</v>
      </c>
      <c r="H2494" t="str">
        <f t="shared" si="77"/>
        <v>53_54</v>
      </c>
    </row>
    <row r="2495" spans="1:8" x14ac:dyDescent="0.2">
      <c r="A2495" s="9" t="s">
        <v>51</v>
      </c>
      <c r="C2495" t="str">
        <f t="shared" si="76"/>
        <v>"https://www.zeldadungeon.net/maps/totk/tiles/sky/6/53_55.jpg",</v>
      </c>
      <c r="H2495" t="str">
        <f t="shared" si="77"/>
        <v>53_55</v>
      </c>
    </row>
    <row r="2496" spans="1:8" x14ac:dyDescent="0.2">
      <c r="A2496" s="9" t="s">
        <v>51</v>
      </c>
      <c r="C2496" t="str">
        <f t="shared" si="76"/>
        <v>"https://www.zeldadungeon.net/maps/totk/tiles/sky/6/54_8.jpg",</v>
      </c>
      <c r="H2496" t="str">
        <f t="shared" si="77"/>
        <v>54_8</v>
      </c>
    </row>
    <row r="2497" spans="1:8" x14ac:dyDescent="0.2">
      <c r="A2497" s="9" t="s">
        <v>51</v>
      </c>
      <c r="C2497" t="str">
        <f t="shared" ref="C2497:C2560" si="78">""""&amp;SUBSTITUTE(A2497,"zzz",H2497)&amp;""""&amp;","</f>
        <v>"https://www.zeldadungeon.net/maps/totk/tiles/sky/6/54_9.jpg",</v>
      </c>
      <c r="H2497" t="str">
        <f t="shared" ref="H2497:H2560" si="79">QUOTIENT(ROW(A2497),48)+2&amp;"_"&amp;MOD(ROW(A2497),48)+8</f>
        <v>54_9</v>
      </c>
    </row>
    <row r="2498" spans="1:8" x14ac:dyDescent="0.2">
      <c r="A2498" s="9" t="s">
        <v>51</v>
      </c>
      <c r="C2498" t="str">
        <f t="shared" si="78"/>
        <v>"https://www.zeldadungeon.net/maps/totk/tiles/sky/6/54_10.jpg",</v>
      </c>
      <c r="H2498" t="str">
        <f t="shared" si="79"/>
        <v>54_10</v>
      </c>
    </row>
    <row r="2499" spans="1:8" x14ac:dyDescent="0.2">
      <c r="A2499" s="9" t="s">
        <v>51</v>
      </c>
      <c r="C2499" t="str">
        <f t="shared" si="78"/>
        <v>"https://www.zeldadungeon.net/maps/totk/tiles/sky/6/54_11.jpg",</v>
      </c>
      <c r="H2499" t="str">
        <f t="shared" si="79"/>
        <v>54_11</v>
      </c>
    </row>
    <row r="2500" spans="1:8" x14ac:dyDescent="0.2">
      <c r="A2500" s="9" t="s">
        <v>51</v>
      </c>
      <c r="C2500" t="str">
        <f t="shared" si="78"/>
        <v>"https://www.zeldadungeon.net/maps/totk/tiles/sky/6/54_12.jpg",</v>
      </c>
      <c r="H2500" t="str">
        <f t="shared" si="79"/>
        <v>54_12</v>
      </c>
    </row>
    <row r="2501" spans="1:8" x14ac:dyDescent="0.2">
      <c r="A2501" s="9" t="s">
        <v>51</v>
      </c>
      <c r="C2501" t="str">
        <f t="shared" si="78"/>
        <v>"https://www.zeldadungeon.net/maps/totk/tiles/sky/6/54_13.jpg",</v>
      </c>
      <c r="H2501" t="str">
        <f t="shared" si="79"/>
        <v>54_13</v>
      </c>
    </row>
    <row r="2502" spans="1:8" x14ac:dyDescent="0.2">
      <c r="A2502" s="9" t="s">
        <v>51</v>
      </c>
      <c r="C2502" t="str">
        <f t="shared" si="78"/>
        <v>"https://www.zeldadungeon.net/maps/totk/tiles/sky/6/54_14.jpg",</v>
      </c>
      <c r="H2502" t="str">
        <f t="shared" si="79"/>
        <v>54_14</v>
      </c>
    </row>
    <row r="2503" spans="1:8" x14ac:dyDescent="0.2">
      <c r="A2503" s="9" t="s">
        <v>51</v>
      </c>
      <c r="C2503" t="str">
        <f t="shared" si="78"/>
        <v>"https://www.zeldadungeon.net/maps/totk/tiles/sky/6/54_15.jpg",</v>
      </c>
      <c r="H2503" t="str">
        <f t="shared" si="79"/>
        <v>54_15</v>
      </c>
    </row>
    <row r="2504" spans="1:8" x14ac:dyDescent="0.2">
      <c r="A2504" s="9" t="s">
        <v>51</v>
      </c>
      <c r="C2504" t="str">
        <f t="shared" si="78"/>
        <v>"https://www.zeldadungeon.net/maps/totk/tiles/sky/6/54_16.jpg",</v>
      </c>
      <c r="H2504" t="str">
        <f t="shared" si="79"/>
        <v>54_16</v>
      </c>
    </row>
    <row r="2505" spans="1:8" x14ac:dyDescent="0.2">
      <c r="A2505" s="9" t="s">
        <v>51</v>
      </c>
      <c r="C2505" t="str">
        <f t="shared" si="78"/>
        <v>"https://www.zeldadungeon.net/maps/totk/tiles/sky/6/54_17.jpg",</v>
      </c>
      <c r="H2505" t="str">
        <f t="shared" si="79"/>
        <v>54_17</v>
      </c>
    </row>
    <row r="2506" spans="1:8" x14ac:dyDescent="0.2">
      <c r="A2506" s="9" t="s">
        <v>51</v>
      </c>
      <c r="C2506" t="str">
        <f t="shared" si="78"/>
        <v>"https://www.zeldadungeon.net/maps/totk/tiles/sky/6/54_18.jpg",</v>
      </c>
      <c r="H2506" t="str">
        <f t="shared" si="79"/>
        <v>54_18</v>
      </c>
    </row>
    <row r="2507" spans="1:8" x14ac:dyDescent="0.2">
      <c r="A2507" s="9" t="s">
        <v>51</v>
      </c>
      <c r="C2507" t="str">
        <f t="shared" si="78"/>
        <v>"https://www.zeldadungeon.net/maps/totk/tiles/sky/6/54_19.jpg",</v>
      </c>
      <c r="H2507" t="str">
        <f t="shared" si="79"/>
        <v>54_19</v>
      </c>
    </row>
    <row r="2508" spans="1:8" x14ac:dyDescent="0.2">
      <c r="A2508" s="9" t="s">
        <v>51</v>
      </c>
      <c r="C2508" t="str">
        <f t="shared" si="78"/>
        <v>"https://www.zeldadungeon.net/maps/totk/tiles/sky/6/54_20.jpg",</v>
      </c>
      <c r="H2508" t="str">
        <f t="shared" si="79"/>
        <v>54_20</v>
      </c>
    </row>
    <row r="2509" spans="1:8" x14ac:dyDescent="0.2">
      <c r="A2509" s="9" t="s">
        <v>51</v>
      </c>
      <c r="C2509" t="str">
        <f t="shared" si="78"/>
        <v>"https://www.zeldadungeon.net/maps/totk/tiles/sky/6/54_21.jpg",</v>
      </c>
      <c r="H2509" t="str">
        <f t="shared" si="79"/>
        <v>54_21</v>
      </c>
    </row>
    <row r="2510" spans="1:8" x14ac:dyDescent="0.2">
      <c r="A2510" s="9" t="s">
        <v>51</v>
      </c>
      <c r="C2510" t="str">
        <f t="shared" si="78"/>
        <v>"https://www.zeldadungeon.net/maps/totk/tiles/sky/6/54_22.jpg",</v>
      </c>
      <c r="H2510" t="str">
        <f t="shared" si="79"/>
        <v>54_22</v>
      </c>
    </row>
    <row r="2511" spans="1:8" x14ac:dyDescent="0.2">
      <c r="A2511" s="9" t="s">
        <v>51</v>
      </c>
      <c r="C2511" t="str">
        <f t="shared" si="78"/>
        <v>"https://www.zeldadungeon.net/maps/totk/tiles/sky/6/54_23.jpg",</v>
      </c>
      <c r="H2511" t="str">
        <f t="shared" si="79"/>
        <v>54_23</v>
      </c>
    </row>
    <row r="2512" spans="1:8" x14ac:dyDescent="0.2">
      <c r="A2512" s="9" t="s">
        <v>51</v>
      </c>
      <c r="C2512" t="str">
        <f t="shared" si="78"/>
        <v>"https://www.zeldadungeon.net/maps/totk/tiles/sky/6/54_24.jpg",</v>
      </c>
      <c r="H2512" t="str">
        <f t="shared" si="79"/>
        <v>54_24</v>
      </c>
    </row>
    <row r="2513" spans="1:8" x14ac:dyDescent="0.2">
      <c r="A2513" s="9" t="s">
        <v>51</v>
      </c>
      <c r="C2513" t="str">
        <f t="shared" si="78"/>
        <v>"https://www.zeldadungeon.net/maps/totk/tiles/sky/6/54_25.jpg",</v>
      </c>
      <c r="H2513" t="str">
        <f t="shared" si="79"/>
        <v>54_25</v>
      </c>
    </row>
    <row r="2514" spans="1:8" x14ac:dyDescent="0.2">
      <c r="A2514" s="9" t="s">
        <v>51</v>
      </c>
      <c r="C2514" t="str">
        <f t="shared" si="78"/>
        <v>"https://www.zeldadungeon.net/maps/totk/tiles/sky/6/54_26.jpg",</v>
      </c>
      <c r="H2514" t="str">
        <f t="shared" si="79"/>
        <v>54_26</v>
      </c>
    </row>
    <row r="2515" spans="1:8" x14ac:dyDescent="0.2">
      <c r="A2515" s="9" t="s">
        <v>51</v>
      </c>
      <c r="C2515" t="str">
        <f t="shared" si="78"/>
        <v>"https://www.zeldadungeon.net/maps/totk/tiles/sky/6/54_27.jpg",</v>
      </c>
      <c r="H2515" t="str">
        <f t="shared" si="79"/>
        <v>54_27</v>
      </c>
    </row>
    <row r="2516" spans="1:8" x14ac:dyDescent="0.2">
      <c r="A2516" s="9" t="s">
        <v>51</v>
      </c>
      <c r="C2516" t="str">
        <f t="shared" si="78"/>
        <v>"https://www.zeldadungeon.net/maps/totk/tiles/sky/6/54_28.jpg",</v>
      </c>
      <c r="H2516" t="str">
        <f t="shared" si="79"/>
        <v>54_28</v>
      </c>
    </row>
    <row r="2517" spans="1:8" x14ac:dyDescent="0.2">
      <c r="A2517" s="9" t="s">
        <v>51</v>
      </c>
      <c r="C2517" t="str">
        <f t="shared" si="78"/>
        <v>"https://www.zeldadungeon.net/maps/totk/tiles/sky/6/54_29.jpg",</v>
      </c>
      <c r="H2517" t="str">
        <f t="shared" si="79"/>
        <v>54_29</v>
      </c>
    </row>
    <row r="2518" spans="1:8" x14ac:dyDescent="0.2">
      <c r="A2518" s="9" t="s">
        <v>51</v>
      </c>
      <c r="C2518" t="str">
        <f t="shared" si="78"/>
        <v>"https://www.zeldadungeon.net/maps/totk/tiles/sky/6/54_30.jpg",</v>
      </c>
      <c r="H2518" t="str">
        <f t="shared" si="79"/>
        <v>54_30</v>
      </c>
    </row>
    <row r="2519" spans="1:8" x14ac:dyDescent="0.2">
      <c r="A2519" s="9" t="s">
        <v>51</v>
      </c>
      <c r="C2519" t="str">
        <f t="shared" si="78"/>
        <v>"https://www.zeldadungeon.net/maps/totk/tiles/sky/6/54_31.jpg",</v>
      </c>
      <c r="H2519" t="str">
        <f t="shared" si="79"/>
        <v>54_31</v>
      </c>
    </row>
    <row r="2520" spans="1:8" x14ac:dyDescent="0.2">
      <c r="A2520" s="9" t="s">
        <v>51</v>
      </c>
      <c r="C2520" t="str">
        <f t="shared" si="78"/>
        <v>"https://www.zeldadungeon.net/maps/totk/tiles/sky/6/54_32.jpg",</v>
      </c>
      <c r="H2520" t="str">
        <f t="shared" si="79"/>
        <v>54_32</v>
      </c>
    </row>
    <row r="2521" spans="1:8" x14ac:dyDescent="0.2">
      <c r="A2521" s="9" t="s">
        <v>51</v>
      </c>
      <c r="C2521" t="str">
        <f t="shared" si="78"/>
        <v>"https://www.zeldadungeon.net/maps/totk/tiles/sky/6/54_33.jpg",</v>
      </c>
      <c r="H2521" t="str">
        <f t="shared" si="79"/>
        <v>54_33</v>
      </c>
    </row>
    <row r="2522" spans="1:8" x14ac:dyDescent="0.2">
      <c r="A2522" s="9" t="s">
        <v>51</v>
      </c>
      <c r="C2522" t="str">
        <f t="shared" si="78"/>
        <v>"https://www.zeldadungeon.net/maps/totk/tiles/sky/6/54_34.jpg",</v>
      </c>
      <c r="H2522" t="str">
        <f t="shared" si="79"/>
        <v>54_34</v>
      </c>
    </row>
    <row r="2523" spans="1:8" x14ac:dyDescent="0.2">
      <c r="A2523" s="9" t="s">
        <v>51</v>
      </c>
      <c r="C2523" t="str">
        <f t="shared" si="78"/>
        <v>"https://www.zeldadungeon.net/maps/totk/tiles/sky/6/54_35.jpg",</v>
      </c>
      <c r="H2523" t="str">
        <f t="shared" si="79"/>
        <v>54_35</v>
      </c>
    </row>
    <row r="2524" spans="1:8" x14ac:dyDescent="0.2">
      <c r="A2524" s="9" t="s">
        <v>51</v>
      </c>
      <c r="C2524" t="str">
        <f t="shared" si="78"/>
        <v>"https://www.zeldadungeon.net/maps/totk/tiles/sky/6/54_36.jpg",</v>
      </c>
      <c r="H2524" t="str">
        <f t="shared" si="79"/>
        <v>54_36</v>
      </c>
    </row>
    <row r="2525" spans="1:8" x14ac:dyDescent="0.2">
      <c r="A2525" s="9" t="s">
        <v>51</v>
      </c>
      <c r="C2525" t="str">
        <f t="shared" si="78"/>
        <v>"https://www.zeldadungeon.net/maps/totk/tiles/sky/6/54_37.jpg",</v>
      </c>
      <c r="H2525" t="str">
        <f t="shared" si="79"/>
        <v>54_37</v>
      </c>
    </row>
    <row r="2526" spans="1:8" x14ac:dyDescent="0.2">
      <c r="A2526" s="9" t="s">
        <v>51</v>
      </c>
      <c r="C2526" t="str">
        <f t="shared" si="78"/>
        <v>"https://www.zeldadungeon.net/maps/totk/tiles/sky/6/54_38.jpg",</v>
      </c>
      <c r="H2526" t="str">
        <f t="shared" si="79"/>
        <v>54_38</v>
      </c>
    </row>
    <row r="2527" spans="1:8" x14ac:dyDescent="0.2">
      <c r="A2527" s="9" t="s">
        <v>51</v>
      </c>
      <c r="C2527" t="str">
        <f t="shared" si="78"/>
        <v>"https://www.zeldadungeon.net/maps/totk/tiles/sky/6/54_39.jpg",</v>
      </c>
      <c r="H2527" t="str">
        <f t="shared" si="79"/>
        <v>54_39</v>
      </c>
    </row>
    <row r="2528" spans="1:8" x14ac:dyDescent="0.2">
      <c r="A2528" s="9" t="s">
        <v>51</v>
      </c>
      <c r="C2528" t="str">
        <f t="shared" si="78"/>
        <v>"https://www.zeldadungeon.net/maps/totk/tiles/sky/6/54_40.jpg",</v>
      </c>
      <c r="H2528" t="str">
        <f t="shared" si="79"/>
        <v>54_40</v>
      </c>
    </row>
    <row r="2529" spans="1:8" x14ac:dyDescent="0.2">
      <c r="A2529" s="9" t="s">
        <v>51</v>
      </c>
      <c r="C2529" t="str">
        <f t="shared" si="78"/>
        <v>"https://www.zeldadungeon.net/maps/totk/tiles/sky/6/54_41.jpg",</v>
      </c>
      <c r="H2529" t="str">
        <f t="shared" si="79"/>
        <v>54_41</v>
      </c>
    </row>
    <row r="2530" spans="1:8" x14ac:dyDescent="0.2">
      <c r="A2530" s="9" t="s">
        <v>51</v>
      </c>
      <c r="C2530" t="str">
        <f t="shared" si="78"/>
        <v>"https://www.zeldadungeon.net/maps/totk/tiles/sky/6/54_42.jpg",</v>
      </c>
      <c r="H2530" t="str">
        <f t="shared" si="79"/>
        <v>54_42</v>
      </c>
    </row>
    <row r="2531" spans="1:8" x14ac:dyDescent="0.2">
      <c r="A2531" s="9" t="s">
        <v>51</v>
      </c>
      <c r="C2531" t="str">
        <f t="shared" si="78"/>
        <v>"https://www.zeldadungeon.net/maps/totk/tiles/sky/6/54_43.jpg",</v>
      </c>
      <c r="H2531" t="str">
        <f t="shared" si="79"/>
        <v>54_43</v>
      </c>
    </row>
    <row r="2532" spans="1:8" x14ac:dyDescent="0.2">
      <c r="A2532" s="9" t="s">
        <v>51</v>
      </c>
      <c r="C2532" t="str">
        <f t="shared" si="78"/>
        <v>"https://www.zeldadungeon.net/maps/totk/tiles/sky/6/54_44.jpg",</v>
      </c>
      <c r="H2532" t="str">
        <f t="shared" si="79"/>
        <v>54_44</v>
      </c>
    </row>
    <row r="2533" spans="1:8" x14ac:dyDescent="0.2">
      <c r="A2533" s="9" t="s">
        <v>51</v>
      </c>
      <c r="C2533" t="str">
        <f t="shared" si="78"/>
        <v>"https://www.zeldadungeon.net/maps/totk/tiles/sky/6/54_45.jpg",</v>
      </c>
      <c r="H2533" t="str">
        <f t="shared" si="79"/>
        <v>54_45</v>
      </c>
    </row>
    <row r="2534" spans="1:8" x14ac:dyDescent="0.2">
      <c r="A2534" s="9" t="s">
        <v>51</v>
      </c>
      <c r="C2534" t="str">
        <f t="shared" si="78"/>
        <v>"https://www.zeldadungeon.net/maps/totk/tiles/sky/6/54_46.jpg",</v>
      </c>
      <c r="H2534" t="str">
        <f t="shared" si="79"/>
        <v>54_46</v>
      </c>
    </row>
    <row r="2535" spans="1:8" x14ac:dyDescent="0.2">
      <c r="A2535" s="9" t="s">
        <v>51</v>
      </c>
      <c r="C2535" t="str">
        <f t="shared" si="78"/>
        <v>"https://www.zeldadungeon.net/maps/totk/tiles/sky/6/54_47.jpg",</v>
      </c>
      <c r="H2535" t="str">
        <f t="shared" si="79"/>
        <v>54_47</v>
      </c>
    </row>
    <row r="2536" spans="1:8" x14ac:dyDescent="0.2">
      <c r="A2536" s="9" t="s">
        <v>51</v>
      </c>
      <c r="C2536" t="str">
        <f t="shared" si="78"/>
        <v>"https://www.zeldadungeon.net/maps/totk/tiles/sky/6/54_48.jpg",</v>
      </c>
      <c r="H2536" t="str">
        <f t="shared" si="79"/>
        <v>54_48</v>
      </c>
    </row>
    <row r="2537" spans="1:8" x14ac:dyDescent="0.2">
      <c r="A2537" s="9" t="s">
        <v>51</v>
      </c>
      <c r="C2537" t="str">
        <f t="shared" si="78"/>
        <v>"https://www.zeldadungeon.net/maps/totk/tiles/sky/6/54_49.jpg",</v>
      </c>
      <c r="H2537" t="str">
        <f t="shared" si="79"/>
        <v>54_49</v>
      </c>
    </row>
    <row r="2538" spans="1:8" x14ac:dyDescent="0.2">
      <c r="A2538" s="9" t="s">
        <v>51</v>
      </c>
      <c r="C2538" t="str">
        <f t="shared" si="78"/>
        <v>"https://www.zeldadungeon.net/maps/totk/tiles/sky/6/54_50.jpg",</v>
      </c>
      <c r="H2538" t="str">
        <f t="shared" si="79"/>
        <v>54_50</v>
      </c>
    </row>
    <row r="2539" spans="1:8" x14ac:dyDescent="0.2">
      <c r="A2539" s="9" t="s">
        <v>51</v>
      </c>
      <c r="C2539" t="str">
        <f t="shared" si="78"/>
        <v>"https://www.zeldadungeon.net/maps/totk/tiles/sky/6/54_51.jpg",</v>
      </c>
      <c r="H2539" t="str">
        <f t="shared" si="79"/>
        <v>54_51</v>
      </c>
    </row>
    <row r="2540" spans="1:8" x14ac:dyDescent="0.2">
      <c r="A2540" s="9" t="s">
        <v>51</v>
      </c>
      <c r="C2540" t="str">
        <f t="shared" si="78"/>
        <v>"https://www.zeldadungeon.net/maps/totk/tiles/sky/6/54_52.jpg",</v>
      </c>
      <c r="H2540" t="str">
        <f t="shared" si="79"/>
        <v>54_52</v>
      </c>
    </row>
    <row r="2541" spans="1:8" x14ac:dyDescent="0.2">
      <c r="A2541" s="9" t="s">
        <v>51</v>
      </c>
      <c r="C2541" t="str">
        <f t="shared" si="78"/>
        <v>"https://www.zeldadungeon.net/maps/totk/tiles/sky/6/54_53.jpg",</v>
      </c>
      <c r="H2541" t="str">
        <f t="shared" si="79"/>
        <v>54_53</v>
      </c>
    </row>
    <row r="2542" spans="1:8" x14ac:dyDescent="0.2">
      <c r="A2542" s="9" t="s">
        <v>51</v>
      </c>
      <c r="C2542" t="str">
        <f t="shared" si="78"/>
        <v>"https://www.zeldadungeon.net/maps/totk/tiles/sky/6/54_54.jpg",</v>
      </c>
      <c r="H2542" t="str">
        <f t="shared" si="79"/>
        <v>54_54</v>
      </c>
    </row>
    <row r="2543" spans="1:8" x14ac:dyDescent="0.2">
      <c r="A2543" s="9" t="s">
        <v>51</v>
      </c>
      <c r="C2543" t="str">
        <f t="shared" si="78"/>
        <v>"https://www.zeldadungeon.net/maps/totk/tiles/sky/6/54_55.jpg",</v>
      </c>
      <c r="H2543" t="str">
        <f t="shared" si="79"/>
        <v>54_55</v>
      </c>
    </row>
    <row r="2544" spans="1:8" x14ac:dyDescent="0.2">
      <c r="A2544" s="9" t="s">
        <v>51</v>
      </c>
      <c r="C2544" t="str">
        <f t="shared" si="78"/>
        <v>"https://www.zeldadungeon.net/maps/totk/tiles/sky/6/55_8.jpg",</v>
      </c>
      <c r="H2544" t="str">
        <f t="shared" si="79"/>
        <v>55_8</v>
      </c>
    </row>
    <row r="2545" spans="1:8" x14ac:dyDescent="0.2">
      <c r="A2545" s="9" t="s">
        <v>51</v>
      </c>
      <c r="C2545" t="str">
        <f t="shared" si="78"/>
        <v>"https://www.zeldadungeon.net/maps/totk/tiles/sky/6/55_9.jpg",</v>
      </c>
      <c r="H2545" t="str">
        <f t="shared" si="79"/>
        <v>55_9</v>
      </c>
    </row>
    <row r="2546" spans="1:8" x14ac:dyDescent="0.2">
      <c r="A2546" s="9" t="s">
        <v>51</v>
      </c>
      <c r="C2546" t="str">
        <f t="shared" si="78"/>
        <v>"https://www.zeldadungeon.net/maps/totk/tiles/sky/6/55_10.jpg",</v>
      </c>
      <c r="H2546" t="str">
        <f t="shared" si="79"/>
        <v>55_10</v>
      </c>
    </row>
    <row r="2547" spans="1:8" x14ac:dyDescent="0.2">
      <c r="A2547" s="9" t="s">
        <v>51</v>
      </c>
      <c r="C2547" t="str">
        <f t="shared" si="78"/>
        <v>"https://www.zeldadungeon.net/maps/totk/tiles/sky/6/55_11.jpg",</v>
      </c>
      <c r="H2547" t="str">
        <f t="shared" si="79"/>
        <v>55_11</v>
      </c>
    </row>
    <row r="2548" spans="1:8" x14ac:dyDescent="0.2">
      <c r="A2548" s="9" t="s">
        <v>51</v>
      </c>
      <c r="C2548" t="str">
        <f t="shared" si="78"/>
        <v>"https://www.zeldadungeon.net/maps/totk/tiles/sky/6/55_12.jpg",</v>
      </c>
      <c r="H2548" t="str">
        <f t="shared" si="79"/>
        <v>55_12</v>
      </c>
    </row>
    <row r="2549" spans="1:8" x14ac:dyDescent="0.2">
      <c r="A2549" s="9" t="s">
        <v>51</v>
      </c>
      <c r="C2549" t="str">
        <f t="shared" si="78"/>
        <v>"https://www.zeldadungeon.net/maps/totk/tiles/sky/6/55_13.jpg",</v>
      </c>
      <c r="H2549" t="str">
        <f t="shared" si="79"/>
        <v>55_13</v>
      </c>
    </row>
    <row r="2550" spans="1:8" x14ac:dyDescent="0.2">
      <c r="A2550" s="9" t="s">
        <v>51</v>
      </c>
      <c r="C2550" t="str">
        <f t="shared" si="78"/>
        <v>"https://www.zeldadungeon.net/maps/totk/tiles/sky/6/55_14.jpg",</v>
      </c>
      <c r="H2550" t="str">
        <f t="shared" si="79"/>
        <v>55_14</v>
      </c>
    </row>
    <row r="2551" spans="1:8" x14ac:dyDescent="0.2">
      <c r="A2551" s="9" t="s">
        <v>51</v>
      </c>
      <c r="C2551" t="str">
        <f t="shared" si="78"/>
        <v>"https://www.zeldadungeon.net/maps/totk/tiles/sky/6/55_15.jpg",</v>
      </c>
      <c r="H2551" t="str">
        <f t="shared" si="79"/>
        <v>55_15</v>
      </c>
    </row>
    <row r="2552" spans="1:8" x14ac:dyDescent="0.2">
      <c r="A2552" s="9" t="s">
        <v>51</v>
      </c>
      <c r="C2552" t="str">
        <f t="shared" si="78"/>
        <v>"https://www.zeldadungeon.net/maps/totk/tiles/sky/6/55_16.jpg",</v>
      </c>
      <c r="H2552" t="str">
        <f t="shared" si="79"/>
        <v>55_16</v>
      </c>
    </row>
    <row r="2553" spans="1:8" x14ac:dyDescent="0.2">
      <c r="A2553" s="9" t="s">
        <v>51</v>
      </c>
      <c r="C2553" t="str">
        <f t="shared" si="78"/>
        <v>"https://www.zeldadungeon.net/maps/totk/tiles/sky/6/55_17.jpg",</v>
      </c>
      <c r="H2553" t="str">
        <f t="shared" si="79"/>
        <v>55_17</v>
      </c>
    </row>
    <row r="2554" spans="1:8" x14ac:dyDescent="0.2">
      <c r="A2554" s="9" t="s">
        <v>51</v>
      </c>
      <c r="C2554" t="str">
        <f t="shared" si="78"/>
        <v>"https://www.zeldadungeon.net/maps/totk/tiles/sky/6/55_18.jpg",</v>
      </c>
      <c r="H2554" t="str">
        <f t="shared" si="79"/>
        <v>55_18</v>
      </c>
    </row>
    <row r="2555" spans="1:8" x14ac:dyDescent="0.2">
      <c r="A2555" s="9" t="s">
        <v>51</v>
      </c>
      <c r="C2555" t="str">
        <f t="shared" si="78"/>
        <v>"https://www.zeldadungeon.net/maps/totk/tiles/sky/6/55_19.jpg",</v>
      </c>
      <c r="H2555" t="str">
        <f t="shared" si="79"/>
        <v>55_19</v>
      </c>
    </row>
    <row r="2556" spans="1:8" x14ac:dyDescent="0.2">
      <c r="A2556" s="9" t="s">
        <v>51</v>
      </c>
      <c r="C2556" t="str">
        <f t="shared" si="78"/>
        <v>"https://www.zeldadungeon.net/maps/totk/tiles/sky/6/55_20.jpg",</v>
      </c>
      <c r="H2556" t="str">
        <f t="shared" si="79"/>
        <v>55_20</v>
      </c>
    </row>
    <row r="2557" spans="1:8" x14ac:dyDescent="0.2">
      <c r="A2557" s="9" t="s">
        <v>51</v>
      </c>
      <c r="C2557" t="str">
        <f t="shared" si="78"/>
        <v>"https://www.zeldadungeon.net/maps/totk/tiles/sky/6/55_21.jpg",</v>
      </c>
      <c r="H2557" t="str">
        <f t="shared" si="79"/>
        <v>55_21</v>
      </c>
    </row>
    <row r="2558" spans="1:8" x14ac:dyDescent="0.2">
      <c r="A2558" s="9" t="s">
        <v>51</v>
      </c>
      <c r="C2558" t="str">
        <f t="shared" si="78"/>
        <v>"https://www.zeldadungeon.net/maps/totk/tiles/sky/6/55_22.jpg",</v>
      </c>
      <c r="H2558" t="str">
        <f t="shared" si="79"/>
        <v>55_22</v>
      </c>
    </row>
    <row r="2559" spans="1:8" x14ac:dyDescent="0.2">
      <c r="A2559" s="9" t="s">
        <v>51</v>
      </c>
      <c r="C2559" t="str">
        <f t="shared" si="78"/>
        <v>"https://www.zeldadungeon.net/maps/totk/tiles/sky/6/55_23.jpg",</v>
      </c>
      <c r="H2559" t="str">
        <f t="shared" si="79"/>
        <v>55_23</v>
      </c>
    </row>
    <row r="2560" spans="1:8" x14ac:dyDescent="0.2">
      <c r="A2560" s="9" t="s">
        <v>51</v>
      </c>
      <c r="C2560" t="str">
        <f t="shared" si="78"/>
        <v>"https://www.zeldadungeon.net/maps/totk/tiles/sky/6/55_24.jpg",</v>
      </c>
      <c r="H2560" t="str">
        <f t="shared" si="79"/>
        <v>55_24</v>
      </c>
    </row>
    <row r="2561" spans="1:8" x14ac:dyDescent="0.2">
      <c r="A2561" s="9" t="s">
        <v>51</v>
      </c>
      <c r="C2561" t="str">
        <f t="shared" ref="C2561:C2624" si="80">""""&amp;SUBSTITUTE(A2561,"zzz",H2561)&amp;""""&amp;","</f>
        <v>"https://www.zeldadungeon.net/maps/totk/tiles/sky/6/55_25.jpg",</v>
      </c>
      <c r="H2561" t="str">
        <f t="shared" ref="H2561:H2624" si="81">QUOTIENT(ROW(A2561),48)+2&amp;"_"&amp;MOD(ROW(A2561),48)+8</f>
        <v>55_25</v>
      </c>
    </row>
    <row r="2562" spans="1:8" x14ac:dyDescent="0.2">
      <c r="A2562" s="9" t="s">
        <v>51</v>
      </c>
      <c r="C2562" t="str">
        <f t="shared" si="80"/>
        <v>"https://www.zeldadungeon.net/maps/totk/tiles/sky/6/55_26.jpg",</v>
      </c>
      <c r="H2562" t="str">
        <f t="shared" si="81"/>
        <v>55_26</v>
      </c>
    </row>
    <row r="2563" spans="1:8" x14ac:dyDescent="0.2">
      <c r="A2563" s="9" t="s">
        <v>51</v>
      </c>
      <c r="C2563" t="str">
        <f t="shared" si="80"/>
        <v>"https://www.zeldadungeon.net/maps/totk/tiles/sky/6/55_27.jpg",</v>
      </c>
      <c r="H2563" t="str">
        <f t="shared" si="81"/>
        <v>55_27</v>
      </c>
    </row>
    <row r="2564" spans="1:8" x14ac:dyDescent="0.2">
      <c r="A2564" s="9" t="s">
        <v>51</v>
      </c>
      <c r="C2564" t="str">
        <f t="shared" si="80"/>
        <v>"https://www.zeldadungeon.net/maps/totk/tiles/sky/6/55_28.jpg",</v>
      </c>
      <c r="H2564" t="str">
        <f t="shared" si="81"/>
        <v>55_28</v>
      </c>
    </row>
    <row r="2565" spans="1:8" x14ac:dyDescent="0.2">
      <c r="A2565" s="9" t="s">
        <v>51</v>
      </c>
      <c r="C2565" t="str">
        <f t="shared" si="80"/>
        <v>"https://www.zeldadungeon.net/maps/totk/tiles/sky/6/55_29.jpg",</v>
      </c>
      <c r="H2565" t="str">
        <f t="shared" si="81"/>
        <v>55_29</v>
      </c>
    </row>
    <row r="2566" spans="1:8" x14ac:dyDescent="0.2">
      <c r="A2566" s="9" t="s">
        <v>51</v>
      </c>
      <c r="C2566" t="str">
        <f t="shared" si="80"/>
        <v>"https://www.zeldadungeon.net/maps/totk/tiles/sky/6/55_30.jpg",</v>
      </c>
      <c r="H2566" t="str">
        <f t="shared" si="81"/>
        <v>55_30</v>
      </c>
    </row>
    <row r="2567" spans="1:8" x14ac:dyDescent="0.2">
      <c r="A2567" s="9" t="s">
        <v>51</v>
      </c>
      <c r="C2567" t="str">
        <f t="shared" si="80"/>
        <v>"https://www.zeldadungeon.net/maps/totk/tiles/sky/6/55_31.jpg",</v>
      </c>
      <c r="H2567" t="str">
        <f t="shared" si="81"/>
        <v>55_31</v>
      </c>
    </row>
    <row r="2568" spans="1:8" x14ac:dyDescent="0.2">
      <c r="A2568" s="9" t="s">
        <v>51</v>
      </c>
      <c r="C2568" t="str">
        <f t="shared" si="80"/>
        <v>"https://www.zeldadungeon.net/maps/totk/tiles/sky/6/55_32.jpg",</v>
      </c>
      <c r="H2568" t="str">
        <f t="shared" si="81"/>
        <v>55_32</v>
      </c>
    </row>
    <row r="2569" spans="1:8" x14ac:dyDescent="0.2">
      <c r="A2569" s="9" t="s">
        <v>51</v>
      </c>
      <c r="C2569" t="str">
        <f t="shared" si="80"/>
        <v>"https://www.zeldadungeon.net/maps/totk/tiles/sky/6/55_33.jpg",</v>
      </c>
      <c r="H2569" t="str">
        <f t="shared" si="81"/>
        <v>55_33</v>
      </c>
    </row>
    <row r="2570" spans="1:8" x14ac:dyDescent="0.2">
      <c r="A2570" s="9" t="s">
        <v>51</v>
      </c>
      <c r="C2570" t="str">
        <f t="shared" si="80"/>
        <v>"https://www.zeldadungeon.net/maps/totk/tiles/sky/6/55_34.jpg",</v>
      </c>
      <c r="H2570" t="str">
        <f t="shared" si="81"/>
        <v>55_34</v>
      </c>
    </row>
    <row r="2571" spans="1:8" x14ac:dyDescent="0.2">
      <c r="A2571" s="9" t="s">
        <v>51</v>
      </c>
      <c r="C2571" t="str">
        <f t="shared" si="80"/>
        <v>"https://www.zeldadungeon.net/maps/totk/tiles/sky/6/55_35.jpg",</v>
      </c>
      <c r="H2571" t="str">
        <f t="shared" si="81"/>
        <v>55_35</v>
      </c>
    </row>
    <row r="2572" spans="1:8" x14ac:dyDescent="0.2">
      <c r="A2572" s="9" t="s">
        <v>51</v>
      </c>
      <c r="C2572" t="str">
        <f t="shared" si="80"/>
        <v>"https://www.zeldadungeon.net/maps/totk/tiles/sky/6/55_36.jpg",</v>
      </c>
      <c r="H2572" t="str">
        <f t="shared" si="81"/>
        <v>55_36</v>
      </c>
    </row>
    <row r="2573" spans="1:8" x14ac:dyDescent="0.2">
      <c r="A2573" s="9" t="s">
        <v>51</v>
      </c>
      <c r="C2573" t="str">
        <f t="shared" si="80"/>
        <v>"https://www.zeldadungeon.net/maps/totk/tiles/sky/6/55_37.jpg",</v>
      </c>
      <c r="H2573" t="str">
        <f t="shared" si="81"/>
        <v>55_37</v>
      </c>
    </row>
    <row r="2574" spans="1:8" x14ac:dyDescent="0.2">
      <c r="A2574" s="9" t="s">
        <v>51</v>
      </c>
      <c r="C2574" t="str">
        <f t="shared" si="80"/>
        <v>"https://www.zeldadungeon.net/maps/totk/tiles/sky/6/55_38.jpg",</v>
      </c>
      <c r="H2574" t="str">
        <f t="shared" si="81"/>
        <v>55_38</v>
      </c>
    </row>
    <row r="2575" spans="1:8" x14ac:dyDescent="0.2">
      <c r="A2575" s="9" t="s">
        <v>51</v>
      </c>
      <c r="C2575" t="str">
        <f t="shared" si="80"/>
        <v>"https://www.zeldadungeon.net/maps/totk/tiles/sky/6/55_39.jpg",</v>
      </c>
      <c r="H2575" t="str">
        <f t="shared" si="81"/>
        <v>55_39</v>
      </c>
    </row>
    <row r="2576" spans="1:8" x14ac:dyDescent="0.2">
      <c r="A2576" s="9" t="s">
        <v>51</v>
      </c>
      <c r="C2576" t="str">
        <f t="shared" si="80"/>
        <v>"https://www.zeldadungeon.net/maps/totk/tiles/sky/6/55_40.jpg",</v>
      </c>
      <c r="H2576" t="str">
        <f t="shared" si="81"/>
        <v>55_40</v>
      </c>
    </row>
    <row r="2577" spans="1:8" x14ac:dyDescent="0.2">
      <c r="A2577" s="9" t="s">
        <v>51</v>
      </c>
      <c r="C2577" t="str">
        <f t="shared" si="80"/>
        <v>"https://www.zeldadungeon.net/maps/totk/tiles/sky/6/55_41.jpg",</v>
      </c>
      <c r="H2577" t="str">
        <f t="shared" si="81"/>
        <v>55_41</v>
      </c>
    </row>
    <row r="2578" spans="1:8" x14ac:dyDescent="0.2">
      <c r="A2578" s="9" t="s">
        <v>51</v>
      </c>
      <c r="C2578" t="str">
        <f t="shared" si="80"/>
        <v>"https://www.zeldadungeon.net/maps/totk/tiles/sky/6/55_42.jpg",</v>
      </c>
      <c r="H2578" t="str">
        <f t="shared" si="81"/>
        <v>55_42</v>
      </c>
    </row>
    <row r="2579" spans="1:8" x14ac:dyDescent="0.2">
      <c r="A2579" s="9" t="s">
        <v>51</v>
      </c>
      <c r="C2579" t="str">
        <f t="shared" si="80"/>
        <v>"https://www.zeldadungeon.net/maps/totk/tiles/sky/6/55_43.jpg",</v>
      </c>
      <c r="H2579" t="str">
        <f t="shared" si="81"/>
        <v>55_43</v>
      </c>
    </row>
    <row r="2580" spans="1:8" x14ac:dyDescent="0.2">
      <c r="A2580" s="9" t="s">
        <v>51</v>
      </c>
      <c r="C2580" t="str">
        <f t="shared" si="80"/>
        <v>"https://www.zeldadungeon.net/maps/totk/tiles/sky/6/55_44.jpg",</v>
      </c>
      <c r="H2580" t="str">
        <f t="shared" si="81"/>
        <v>55_44</v>
      </c>
    </row>
    <row r="2581" spans="1:8" x14ac:dyDescent="0.2">
      <c r="A2581" s="9" t="s">
        <v>51</v>
      </c>
      <c r="C2581" t="str">
        <f t="shared" si="80"/>
        <v>"https://www.zeldadungeon.net/maps/totk/tiles/sky/6/55_45.jpg",</v>
      </c>
      <c r="H2581" t="str">
        <f t="shared" si="81"/>
        <v>55_45</v>
      </c>
    </row>
    <row r="2582" spans="1:8" x14ac:dyDescent="0.2">
      <c r="A2582" s="9" t="s">
        <v>51</v>
      </c>
      <c r="C2582" t="str">
        <f t="shared" si="80"/>
        <v>"https://www.zeldadungeon.net/maps/totk/tiles/sky/6/55_46.jpg",</v>
      </c>
      <c r="H2582" t="str">
        <f t="shared" si="81"/>
        <v>55_46</v>
      </c>
    </row>
    <row r="2583" spans="1:8" x14ac:dyDescent="0.2">
      <c r="A2583" s="9" t="s">
        <v>51</v>
      </c>
      <c r="C2583" t="str">
        <f t="shared" si="80"/>
        <v>"https://www.zeldadungeon.net/maps/totk/tiles/sky/6/55_47.jpg",</v>
      </c>
      <c r="H2583" t="str">
        <f t="shared" si="81"/>
        <v>55_47</v>
      </c>
    </row>
    <row r="2584" spans="1:8" x14ac:dyDescent="0.2">
      <c r="A2584" s="9" t="s">
        <v>51</v>
      </c>
      <c r="C2584" t="str">
        <f t="shared" si="80"/>
        <v>"https://www.zeldadungeon.net/maps/totk/tiles/sky/6/55_48.jpg",</v>
      </c>
      <c r="H2584" t="str">
        <f t="shared" si="81"/>
        <v>55_48</v>
      </c>
    </row>
    <row r="2585" spans="1:8" x14ac:dyDescent="0.2">
      <c r="A2585" s="9" t="s">
        <v>51</v>
      </c>
      <c r="C2585" t="str">
        <f t="shared" si="80"/>
        <v>"https://www.zeldadungeon.net/maps/totk/tiles/sky/6/55_49.jpg",</v>
      </c>
      <c r="H2585" t="str">
        <f t="shared" si="81"/>
        <v>55_49</v>
      </c>
    </row>
    <row r="2586" spans="1:8" x14ac:dyDescent="0.2">
      <c r="A2586" s="9" t="s">
        <v>51</v>
      </c>
      <c r="C2586" t="str">
        <f t="shared" si="80"/>
        <v>"https://www.zeldadungeon.net/maps/totk/tiles/sky/6/55_50.jpg",</v>
      </c>
      <c r="H2586" t="str">
        <f t="shared" si="81"/>
        <v>55_50</v>
      </c>
    </row>
    <row r="2587" spans="1:8" x14ac:dyDescent="0.2">
      <c r="A2587" s="9" t="s">
        <v>51</v>
      </c>
      <c r="C2587" t="str">
        <f t="shared" si="80"/>
        <v>"https://www.zeldadungeon.net/maps/totk/tiles/sky/6/55_51.jpg",</v>
      </c>
      <c r="H2587" t="str">
        <f t="shared" si="81"/>
        <v>55_51</v>
      </c>
    </row>
    <row r="2588" spans="1:8" x14ac:dyDescent="0.2">
      <c r="A2588" s="9" t="s">
        <v>51</v>
      </c>
      <c r="C2588" t="str">
        <f t="shared" si="80"/>
        <v>"https://www.zeldadungeon.net/maps/totk/tiles/sky/6/55_52.jpg",</v>
      </c>
      <c r="H2588" t="str">
        <f t="shared" si="81"/>
        <v>55_52</v>
      </c>
    </row>
    <row r="2589" spans="1:8" x14ac:dyDescent="0.2">
      <c r="A2589" s="9" t="s">
        <v>51</v>
      </c>
      <c r="C2589" t="str">
        <f t="shared" si="80"/>
        <v>"https://www.zeldadungeon.net/maps/totk/tiles/sky/6/55_53.jpg",</v>
      </c>
      <c r="H2589" t="str">
        <f t="shared" si="81"/>
        <v>55_53</v>
      </c>
    </row>
    <row r="2590" spans="1:8" x14ac:dyDescent="0.2">
      <c r="A2590" s="9" t="s">
        <v>51</v>
      </c>
      <c r="C2590" t="str">
        <f t="shared" si="80"/>
        <v>"https://www.zeldadungeon.net/maps/totk/tiles/sky/6/55_54.jpg",</v>
      </c>
      <c r="H2590" t="str">
        <f t="shared" si="81"/>
        <v>55_54</v>
      </c>
    </row>
    <row r="2591" spans="1:8" x14ac:dyDescent="0.2">
      <c r="A2591" s="9" t="s">
        <v>51</v>
      </c>
      <c r="C2591" t="str">
        <f t="shared" si="80"/>
        <v>"https://www.zeldadungeon.net/maps/totk/tiles/sky/6/55_55.jpg",</v>
      </c>
      <c r="H2591" t="str">
        <f t="shared" si="81"/>
        <v>55_55</v>
      </c>
    </row>
    <row r="2592" spans="1:8" x14ac:dyDescent="0.2">
      <c r="A2592" s="9" t="s">
        <v>51</v>
      </c>
      <c r="C2592" t="str">
        <f t="shared" si="80"/>
        <v>"https://www.zeldadungeon.net/maps/totk/tiles/sky/6/56_8.jpg",</v>
      </c>
      <c r="H2592" t="str">
        <f t="shared" si="81"/>
        <v>56_8</v>
      </c>
    </row>
    <row r="2593" spans="1:8" x14ac:dyDescent="0.2">
      <c r="A2593" s="9" t="s">
        <v>51</v>
      </c>
      <c r="C2593" t="str">
        <f t="shared" si="80"/>
        <v>"https://www.zeldadungeon.net/maps/totk/tiles/sky/6/56_9.jpg",</v>
      </c>
      <c r="H2593" t="str">
        <f t="shared" si="81"/>
        <v>56_9</v>
      </c>
    </row>
    <row r="2594" spans="1:8" x14ac:dyDescent="0.2">
      <c r="A2594" s="9" t="s">
        <v>51</v>
      </c>
      <c r="C2594" t="str">
        <f t="shared" si="80"/>
        <v>"https://www.zeldadungeon.net/maps/totk/tiles/sky/6/56_10.jpg",</v>
      </c>
      <c r="H2594" t="str">
        <f t="shared" si="81"/>
        <v>56_10</v>
      </c>
    </row>
    <row r="2595" spans="1:8" x14ac:dyDescent="0.2">
      <c r="A2595" s="9" t="s">
        <v>51</v>
      </c>
      <c r="C2595" t="str">
        <f t="shared" si="80"/>
        <v>"https://www.zeldadungeon.net/maps/totk/tiles/sky/6/56_11.jpg",</v>
      </c>
      <c r="H2595" t="str">
        <f t="shared" si="81"/>
        <v>56_11</v>
      </c>
    </row>
    <row r="2596" spans="1:8" x14ac:dyDescent="0.2">
      <c r="A2596" s="9" t="s">
        <v>51</v>
      </c>
      <c r="C2596" t="str">
        <f t="shared" si="80"/>
        <v>"https://www.zeldadungeon.net/maps/totk/tiles/sky/6/56_12.jpg",</v>
      </c>
      <c r="H2596" t="str">
        <f t="shared" si="81"/>
        <v>56_12</v>
      </c>
    </row>
    <row r="2597" spans="1:8" x14ac:dyDescent="0.2">
      <c r="A2597" s="9" t="s">
        <v>51</v>
      </c>
      <c r="C2597" t="str">
        <f t="shared" si="80"/>
        <v>"https://www.zeldadungeon.net/maps/totk/tiles/sky/6/56_13.jpg",</v>
      </c>
      <c r="H2597" t="str">
        <f t="shared" si="81"/>
        <v>56_13</v>
      </c>
    </row>
    <row r="2598" spans="1:8" x14ac:dyDescent="0.2">
      <c r="A2598" s="9" t="s">
        <v>51</v>
      </c>
      <c r="C2598" t="str">
        <f t="shared" si="80"/>
        <v>"https://www.zeldadungeon.net/maps/totk/tiles/sky/6/56_14.jpg",</v>
      </c>
      <c r="H2598" t="str">
        <f t="shared" si="81"/>
        <v>56_14</v>
      </c>
    </row>
    <row r="2599" spans="1:8" x14ac:dyDescent="0.2">
      <c r="A2599" s="9" t="s">
        <v>51</v>
      </c>
      <c r="C2599" t="str">
        <f t="shared" si="80"/>
        <v>"https://www.zeldadungeon.net/maps/totk/tiles/sky/6/56_15.jpg",</v>
      </c>
      <c r="H2599" t="str">
        <f t="shared" si="81"/>
        <v>56_15</v>
      </c>
    </row>
    <row r="2600" spans="1:8" x14ac:dyDescent="0.2">
      <c r="A2600" s="9" t="s">
        <v>51</v>
      </c>
      <c r="C2600" t="str">
        <f t="shared" si="80"/>
        <v>"https://www.zeldadungeon.net/maps/totk/tiles/sky/6/56_16.jpg",</v>
      </c>
      <c r="H2600" t="str">
        <f t="shared" si="81"/>
        <v>56_16</v>
      </c>
    </row>
    <row r="2601" spans="1:8" x14ac:dyDescent="0.2">
      <c r="A2601" s="9" t="s">
        <v>51</v>
      </c>
      <c r="C2601" t="str">
        <f t="shared" si="80"/>
        <v>"https://www.zeldadungeon.net/maps/totk/tiles/sky/6/56_17.jpg",</v>
      </c>
      <c r="H2601" t="str">
        <f t="shared" si="81"/>
        <v>56_17</v>
      </c>
    </row>
    <row r="2602" spans="1:8" x14ac:dyDescent="0.2">
      <c r="A2602" s="9" t="s">
        <v>51</v>
      </c>
      <c r="C2602" t="str">
        <f t="shared" si="80"/>
        <v>"https://www.zeldadungeon.net/maps/totk/tiles/sky/6/56_18.jpg",</v>
      </c>
      <c r="H2602" t="str">
        <f t="shared" si="81"/>
        <v>56_18</v>
      </c>
    </row>
    <row r="2603" spans="1:8" x14ac:dyDescent="0.2">
      <c r="A2603" s="9" t="s">
        <v>51</v>
      </c>
      <c r="C2603" t="str">
        <f t="shared" si="80"/>
        <v>"https://www.zeldadungeon.net/maps/totk/tiles/sky/6/56_19.jpg",</v>
      </c>
      <c r="H2603" t="str">
        <f t="shared" si="81"/>
        <v>56_19</v>
      </c>
    </row>
    <row r="2604" spans="1:8" x14ac:dyDescent="0.2">
      <c r="A2604" s="9" t="s">
        <v>51</v>
      </c>
      <c r="C2604" t="str">
        <f t="shared" si="80"/>
        <v>"https://www.zeldadungeon.net/maps/totk/tiles/sky/6/56_20.jpg",</v>
      </c>
      <c r="H2604" t="str">
        <f t="shared" si="81"/>
        <v>56_20</v>
      </c>
    </row>
    <row r="2605" spans="1:8" x14ac:dyDescent="0.2">
      <c r="A2605" s="9" t="s">
        <v>51</v>
      </c>
      <c r="C2605" t="str">
        <f t="shared" si="80"/>
        <v>"https://www.zeldadungeon.net/maps/totk/tiles/sky/6/56_21.jpg",</v>
      </c>
      <c r="H2605" t="str">
        <f t="shared" si="81"/>
        <v>56_21</v>
      </c>
    </row>
    <row r="2606" spans="1:8" x14ac:dyDescent="0.2">
      <c r="A2606" s="9" t="s">
        <v>51</v>
      </c>
      <c r="C2606" t="str">
        <f t="shared" si="80"/>
        <v>"https://www.zeldadungeon.net/maps/totk/tiles/sky/6/56_22.jpg",</v>
      </c>
      <c r="H2606" t="str">
        <f t="shared" si="81"/>
        <v>56_22</v>
      </c>
    </row>
    <row r="2607" spans="1:8" x14ac:dyDescent="0.2">
      <c r="A2607" s="9" t="s">
        <v>51</v>
      </c>
      <c r="C2607" t="str">
        <f t="shared" si="80"/>
        <v>"https://www.zeldadungeon.net/maps/totk/tiles/sky/6/56_23.jpg",</v>
      </c>
      <c r="H2607" t="str">
        <f t="shared" si="81"/>
        <v>56_23</v>
      </c>
    </row>
    <row r="2608" spans="1:8" x14ac:dyDescent="0.2">
      <c r="A2608" s="9" t="s">
        <v>51</v>
      </c>
      <c r="C2608" t="str">
        <f t="shared" si="80"/>
        <v>"https://www.zeldadungeon.net/maps/totk/tiles/sky/6/56_24.jpg",</v>
      </c>
      <c r="H2608" t="str">
        <f t="shared" si="81"/>
        <v>56_24</v>
      </c>
    </row>
    <row r="2609" spans="1:8" x14ac:dyDescent="0.2">
      <c r="A2609" s="9" t="s">
        <v>51</v>
      </c>
      <c r="C2609" t="str">
        <f t="shared" si="80"/>
        <v>"https://www.zeldadungeon.net/maps/totk/tiles/sky/6/56_25.jpg",</v>
      </c>
      <c r="H2609" t="str">
        <f t="shared" si="81"/>
        <v>56_25</v>
      </c>
    </row>
    <row r="2610" spans="1:8" x14ac:dyDescent="0.2">
      <c r="A2610" s="9" t="s">
        <v>51</v>
      </c>
      <c r="C2610" t="str">
        <f t="shared" si="80"/>
        <v>"https://www.zeldadungeon.net/maps/totk/tiles/sky/6/56_26.jpg",</v>
      </c>
      <c r="H2610" t="str">
        <f t="shared" si="81"/>
        <v>56_26</v>
      </c>
    </row>
    <row r="2611" spans="1:8" x14ac:dyDescent="0.2">
      <c r="A2611" s="9" t="s">
        <v>51</v>
      </c>
      <c r="C2611" t="str">
        <f t="shared" si="80"/>
        <v>"https://www.zeldadungeon.net/maps/totk/tiles/sky/6/56_27.jpg",</v>
      </c>
      <c r="H2611" t="str">
        <f t="shared" si="81"/>
        <v>56_27</v>
      </c>
    </row>
    <row r="2612" spans="1:8" x14ac:dyDescent="0.2">
      <c r="A2612" s="9" t="s">
        <v>51</v>
      </c>
      <c r="C2612" t="str">
        <f t="shared" si="80"/>
        <v>"https://www.zeldadungeon.net/maps/totk/tiles/sky/6/56_28.jpg",</v>
      </c>
      <c r="H2612" t="str">
        <f t="shared" si="81"/>
        <v>56_28</v>
      </c>
    </row>
    <row r="2613" spans="1:8" x14ac:dyDescent="0.2">
      <c r="A2613" s="9" t="s">
        <v>51</v>
      </c>
      <c r="C2613" t="str">
        <f t="shared" si="80"/>
        <v>"https://www.zeldadungeon.net/maps/totk/tiles/sky/6/56_29.jpg",</v>
      </c>
      <c r="H2613" t="str">
        <f t="shared" si="81"/>
        <v>56_29</v>
      </c>
    </row>
    <row r="2614" spans="1:8" x14ac:dyDescent="0.2">
      <c r="A2614" s="9" t="s">
        <v>51</v>
      </c>
      <c r="C2614" t="str">
        <f t="shared" si="80"/>
        <v>"https://www.zeldadungeon.net/maps/totk/tiles/sky/6/56_30.jpg",</v>
      </c>
      <c r="H2614" t="str">
        <f t="shared" si="81"/>
        <v>56_30</v>
      </c>
    </row>
    <row r="2615" spans="1:8" x14ac:dyDescent="0.2">
      <c r="A2615" s="9" t="s">
        <v>51</v>
      </c>
      <c r="C2615" t="str">
        <f t="shared" si="80"/>
        <v>"https://www.zeldadungeon.net/maps/totk/tiles/sky/6/56_31.jpg",</v>
      </c>
      <c r="H2615" t="str">
        <f t="shared" si="81"/>
        <v>56_31</v>
      </c>
    </row>
    <row r="2616" spans="1:8" x14ac:dyDescent="0.2">
      <c r="A2616" s="9" t="s">
        <v>51</v>
      </c>
      <c r="C2616" t="str">
        <f t="shared" si="80"/>
        <v>"https://www.zeldadungeon.net/maps/totk/tiles/sky/6/56_32.jpg",</v>
      </c>
      <c r="H2616" t="str">
        <f t="shared" si="81"/>
        <v>56_32</v>
      </c>
    </row>
    <row r="2617" spans="1:8" x14ac:dyDescent="0.2">
      <c r="A2617" s="9" t="s">
        <v>51</v>
      </c>
      <c r="C2617" t="str">
        <f t="shared" si="80"/>
        <v>"https://www.zeldadungeon.net/maps/totk/tiles/sky/6/56_33.jpg",</v>
      </c>
      <c r="H2617" t="str">
        <f t="shared" si="81"/>
        <v>56_33</v>
      </c>
    </row>
    <row r="2618" spans="1:8" x14ac:dyDescent="0.2">
      <c r="A2618" s="9" t="s">
        <v>51</v>
      </c>
      <c r="C2618" t="str">
        <f t="shared" si="80"/>
        <v>"https://www.zeldadungeon.net/maps/totk/tiles/sky/6/56_34.jpg",</v>
      </c>
      <c r="H2618" t="str">
        <f t="shared" si="81"/>
        <v>56_34</v>
      </c>
    </row>
    <row r="2619" spans="1:8" x14ac:dyDescent="0.2">
      <c r="A2619" s="9" t="s">
        <v>51</v>
      </c>
      <c r="C2619" t="str">
        <f t="shared" si="80"/>
        <v>"https://www.zeldadungeon.net/maps/totk/tiles/sky/6/56_35.jpg",</v>
      </c>
      <c r="H2619" t="str">
        <f t="shared" si="81"/>
        <v>56_35</v>
      </c>
    </row>
    <row r="2620" spans="1:8" x14ac:dyDescent="0.2">
      <c r="A2620" s="9" t="s">
        <v>51</v>
      </c>
      <c r="C2620" t="str">
        <f t="shared" si="80"/>
        <v>"https://www.zeldadungeon.net/maps/totk/tiles/sky/6/56_36.jpg",</v>
      </c>
      <c r="H2620" t="str">
        <f t="shared" si="81"/>
        <v>56_36</v>
      </c>
    </row>
    <row r="2621" spans="1:8" x14ac:dyDescent="0.2">
      <c r="A2621" s="9" t="s">
        <v>51</v>
      </c>
      <c r="C2621" t="str">
        <f t="shared" si="80"/>
        <v>"https://www.zeldadungeon.net/maps/totk/tiles/sky/6/56_37.jpg",</v>
      </c>
      <c r="H2621" t="str">
        <f t="shared" si="81"/>
        <v>56_37</v>
      </c>
    </row>
    <row r="2622" spans="1:8" x14ac:dyDescent="0.2">
      <c r="A2622" s="9" t="s">
        <v>51</v>
      </c>
      <c r="C2622" t="str">
        <f t="shared" si="80"/>
        <v>"https://www.zeldadungeon.net/maps/totk/tiles/sky/6/56_38.jpg",</v>
      </c>
      <c r="H2622" t="str">
        <f t="shared" si="81"/>
        <v>56_38</v>
      </c>
    </row>
    <row r="2623" spans="1:8" x14ac:dyDescent="0.2">
      <c r="A2623" s="9" t="s">
        <v>51</v>
      </c>
      <c r="C2623" t="str">
        <f t="shared" si="80"/>
        <v>"https://www.zeldadungeon.net/maps/totk/tiles/sky/6/56_39.jpg",</v>
      </c>
      <c r="H2623" t="str">
        <f t="shared" si="81"/>
        <v>56_39</v>
      </c>
    </row>
    <row r="2624" spans="1:8" x14ac:dyDescent="0.2">
      <c r="A2624" s="9" t="s">
        <v>51</v>
      </c>
      <c r="C2624" t="str">
        <f t="shared" si="80"/>
        <v>"https://www.zeldadungeon.net/maps/totk/tiles/sky/6/56_40.jpg",</v>
      </c>
      <c r="H2624" t="str">
        <f t="shared" si="81"/>
        <v>56_40</v>
      </c>
    </row>
    <row r="2625" spans="1:8" x14ac:dyDescent="0.2">
      <c r="A2625" s="9" t="s">
        <v>51</v>
      </c>
      <c r="C2625" t="str">
        <f t="shared" ref="C2625:C2688" si="82">""""&amp;SUBSTITUTE(A2625,"zzz",H2625)&amp;""""&amp;","</f>
        <v>"https://www.zeldadungeon.net/maps/totk/tiles/sky/6/56_41.jpg",</v>
      </c>
      <c r="H2625" t="str">
        <f t="shared" ref="H2625:H2688" si="83">QUOTIENT(ROW(A2625),48)+2&amp;"_"&amp;MOD(ROW(A2625),48)+8</f>
        <v>56_41</v>
      </c>
    </row>
    <row r="2626" spans="1:8" x14ac:dyDescent="0.2">
      <c r="A2626" s="9" t="s">
        <v>51</v>
      </c>
      <c r="C2626" t="str">
        <f t="shared" si="82"/>
        <v>"https://www.zeldadungeon.net/maps/totk/tiles/sky/6/56_42.jpg",</v>
      </c>
      <c r="H2626" t="str">
        <f t="shared" si="83"/>
        <v>56_42</v>
      </c>
    </row>
    <row r="2627" spans="1:8" x14ac:dyDescent="0.2">
      <c r="A2627" s="9" t="s">
        <v>51</v>
      </c>
      <c r="C2627" t="str">
        <f t="shared" si="82"/>
        <v>"https://www.zeldadungeon.net/maps/totk/tiles/sky/6/56_43.jpg",</v>
      </c>
      <c r="H2627" t="str">
        <f t="shared" si="83"/>
        <v>56_43</v>
      </c>
    </row>
    <row r="2628" spans="1:8" x14ac:dyDescent="0.2">
      <c r="A2628" s="9" t="s">
        <v>51</v>
      </c>
      <c r="C2628" t="str">
        <f t="shared" si="82"/>
        <v>"https://www.zeldadungeon.net/maps/totk/tiles/sky/6/56_44.jpg",</v>
      </c>
      <c r="H2628" t="str">
        <f t="shared" si="83"/>
        <v>56_44</v>
      </c>
    </row>
    <row r="2629" spans="1:8" x14ac:dyDescent="0.2">
      <c r="A2629" s="9" t="s">
        <v>51</v>
      </c>
      <c r="C2629" t="str">
        <f t="shared" si="82"/>
        <v>"https://www.zeldadungeon.net/maps/totk/tiles/sky/6/56_45.jpg",</v>
      </c>
      <c r="H2629" t="str">
        <f t="shared" si="83"/>
        <v>56_45</v>
      </c>
    </row>
    <row r="2630" spans="1:8" x14ac:dyDescent="0.2">
      <c r="A2630" s="9" t="s">
        <v>51</v>
      </c>
      <c r="C2630" t="str">
        <f t="shared" si="82"/>
        <v>"https://www.zeldadungeon.net/maps/totk/tiles/sky/6/56_46.jpg",</v>
      </c>
      <c r="H2630" t="str">
        <f t="shared" si="83"/>
        <v>56_46</v>
      </c>
    </row>
    <row r="2631" spans="1:8" x14ac:dyDescent="0.2">
      <c r="A2631" s="9" t="s">
        <v>51</v>
      </c>
      <c r="C2631" t="str">
        <f t="shared" si="82"/>
        <v>"https://www.zeldadungeon.net/maps/totk/tiles/sky/6/56_47.jpg",</v>
      </c>
      <c r="H2631" t="str">
        <f t="shared" si="83"/>
        <v>56_47</v>
      </c>
    </row>
    <row r="2632" spans="1:8" x14ac:dyDescent="0.2">
      <c r="A2632" s="9" t="s">
        <v>51</v>
      </c>
      <c r="C2632" t="str">
        <f t="shared" si="82"/>
        <v>"https://www.zeldadungeon.net/maps/totk/tiles/sky/6/56_48.jpg",</v>
      </c>
      <c r="H2632" t="str">
        <f t="shared" si="83"/>
        <v>56_48</v>
      </c>
    </row>
    <row r="2633" spans="1:8" x14ac:dyDescent="0.2">
      <c r="A2633" s="9" t="s">
        <v>51</v>
      </c>
      <c r="C2633" t="str">
        <f t="shared" si="82"/>
        <v>"https://www.zeldadungeon.net/maps/totk/tiles/sky/6/56_49.jpg",</v>
      </c>
      <c r="H2633" t="str">
        <f t="shared" si="83"/>
        <v>56_49</v>
      </c>
    </row>
    <row r="2634" spans="1:8" x14ac:dyDescent="0.2">
      <c r="A2634" s="9" t="s">
        <v>51</v>
      </c>
      <c r="C2634" t="str">
        <f t="shared" si="82"/>
        <v>"https://www.zeldadungeon.net/maps/totk/tiles/sky/6/56_50.jpg",</v>
      </c>
      <c r="H2634" t="str">
        <f t="shared" si="83"/>
        <v>56_50</v>
      </c>
    </row>
    <row r="2635" spans="1:8" x14ac:dyDescent="0.2">
      <c r="A2635" s="9" t="s">
        <v>51</v>
      </c>
      <c r="C2635" t="str">
        <f t="shared" si="82"/>
        <v>"https://www.zeldadungeon.net/maps/totk/tiles/sky/6/56_51.jpg",</v>
      </c>
      <c r="H2635" t="str">
        <f t="shared" si="83"/>
        <v>56_51</v>
      </c>
    </row>
    <row r="2636" spans="1:8" x14ac:dyDescent="0.2">
      <c r="A2636" s="9" t="s">
        <v>51</v>
      </c>
      <c r="C2636" t="str">
        <f t="shared" si="82"/>
        <v>"https://www.zeldadungeon.net/maps/totk/tiles/sky/6/56_52.jpg",</v>
      </c>
      <c r="H2636" t="str">
        <f t="shared" si="83"/>
        <v>56_52</v>
      </c>
    </row>
    <row r="2637" spans="1:8" x14ac:dyDescent="0.2">
      <c r="A2637" s="9" t="s">
        <v>51</v>
      </c>
      <c r="C2637" t="str">
        <f t="shared" si="82"/>
        <v>"https://www.zeldadungeon.net/maps/totk/tiles/sky/6/56_53.jpg",</v>
      </c>
      <c r="H2637" t="str">
        <f t="shared" si="83"/>
        <v>56_53</v>
      </c>
    </row>
    <row r="2638" spans="1:8" x14ac:dyDescent="0.2">
      <c r="A2638" s="9" t="s">
        <v>51</v>
      </c>
      <c r="C2638" t="str">
        <f t="shared" si="82"/>
        <v>"https://www.zeldadungeon.net/maps/totk/tiles/sky/6/56_54.jpg",</v>
      </c>
      <c r="H2638" t="str">
        <f t="shared" si="83"/>
        <v>56_54</v>
      </c>
    </row>
    <row r="2639" spans="1:8" x14ac:dyDescent="0.2">
      <c r="A2639" s="9" t="s">
        <v>51</v>
      </c>
      <c r="C2639" t="str">
        <f t="shared" si="82"/>
        <v>"https://www.zeldadungeon.net/maps/totk/tiles/sky/6/56_55.jpg",</v>
      </c>
      <c r="H2639" t="str">
        <f t="shared" si="83"/>
        <v>56_55</v>
      </c>
    </row>
    <row r="2640" spans="1:8" x14ac:dyDescent="0.2">
      <c r="A2640" s="9" t="s">
        <v>51</v>
      </c>
      <c r="C2640" t="str">
        <f t="shared" si="82"/>
        <v>"https://www.zeldadungeon.net/maps/totk/tiles/sky/6/57_8.jpg",</v>
      </c>
      <c r="H2640" t="str">
        <f t="shared" si="83"/>
        <v>57_8</v>
      </c>
    </row>
    <row r="2641" spans="1:8" x14ac:dyDescent="0.2">
      <c r="A2641" s="9" t="s">
        <v>51</v>
      </c>
      <c r="C2641" t="str">
        <f t="shared" si="82"/>
        <v>"https://www.zeldadungeon.net/maps/totk/tiles/sky/6/57_9.jpg",</v>
      </c>
      <c r="H2641" t="str">
        <f t="shared" si="83"/>
        <v>57_9</v>
      </c>
    </row>
    <row r="2642" spans="1:8" x14ac:dyDescent="0.2">
      <c r="A2642" s="9" t="s">
        <v>51</v>
      </c>
      <c r="C2642" t="str">
        <f t="shared" si="82"/>
        <v>"https://www.zeldadungeon.net/maps/totk/tiles/sky/6/57_10.jpg",</v>
      </c>
      <c r="H2642" t="str">
        <f t="shared" si="83"/>
        <v>57_10</v>
      </c>
    </row>
    <row r="2643" spans="1:8" x14ac:dyDescent="0.2">
      <c r="A2643" s="9" t="s">
        <v>51</v>
      </c>
      <c r="C2643" t="str">
        <f t="shared" si="82"/>
        <v>"https://www.zeldadungeon.net/maps/totk/tiles/sky/6/57_11.jpg",</v>
      </c>
      <c r="H2643" t="str">
        <f t="shared" si="83"/>
        <v>57_11</v>
      </c>
    </row>
    <row r="2644" spans="1:8" x14ac:dyDescent="0.2">
      <c r="A2644" s="9" t="s">
        <v>51</v>
      </c>
      <c r="C2644" t="str">
        <f t="shared" si="82"/>
        <v>"https://www.zeldadungeon.net/maps/totk/tiles/sky/6/57_12.jpg",</v>
      </c>
      <c r="H2644" t="str">
        <f t="shared" si="83"/>
        <v>57_12</v>
      </c>
    </row>
    <row r="2645" spans="1:8" x14ac:dyDescent="0.2">
      <c r="A2645" s="9" t="s">
        <v>51</v>
      </c>
      <c r="C2645" t="str">
        <f t="shared" si="82"/>
        <v>"https://www.zeldadungeon.net/maps/totk/tiles/sky/6/57_13.jpg",</v>
      </c>
      <c r="H2645" t="str">
        <f t="shared" si="83"/>
        <v>57_13</v>
      </c>
    </row>
    <row r="2646" spans="1:8" x14ac:dyDescent="0.2">
      <c r="A2646" s="9" t="s">
        <v>51</v>
      </c>
      <c r="C2646" t="str">
        <f t="shared" si="82"/>
        <v>"https://www.zeldadungeon.net/maps/totk/tiles/sky/6/57_14.jpg",</v>
      </c>
      <c r="H2646" t="str">
        <f t="shared" si="83"/>
        <v>57_14</v>
      </c>
    </row>
    <row r="2647" spans="1:8" x14ac:dyDescent="0.2">
      <c r="A2647" s="9" t="s">
        <v>51</v>
      </c>
      <c r="C2647" t="str">
        <f t="shared" si="82"/>
        <v>"https://www.zeldadungeon.net/maps/totk/tiles/sky/6/57_15.jpg",</v>
      </c>
      <c r="H2647" t="str">
        <f t="shared" si="83"/>
        <v>57_15</v>
      </c>
    </row>
    <row r="2648" spans="1:8" x14ac:dyDescent="0.2">
      <c r="A2648" s="9" t="s">
        <v>51</v>
      </c>
      <c r="C2648" t="str">
        <f t="shared" si="82"/>
        <v>"https://www.zeldadungeon.net/maps/totk/tiles/sky/6/57_16.jpg",</v>
      </c>
      <c r="H2648" t="str">
        <f t="shared" si="83"/>
        <v>57_16</v>
      </c>
    </row>
    <row r="2649" spans="1:8" x14ac:dyDescent="0.2">
      <c r="A2649" s="9" t="s">
        <v>51</v>
      </c>
      <c r="C2649" t="str">
        <f t="shared" si="82"/>
        <v>"https://www.zeldadungeon.net/maps/totk/tiles/sky/6/57_17.jpg",</v>
      </c>
      <c r="H2649" t="str">
        <f t="shared" si="83"/>
        <v>57_17</v>
      </c>
    </row>
    <row r="2650" spans="1:8" x14ac:dyDescent="0.2">
      <c r="A2650" s="9" t="s">
        <v>51</v>
      </c>
      <c r="C2650" t="str">
        <f t="shared" si="82"/>
        <v>"https://www.zeldadungeon.net/maps/totk/tiles/sky/6/57_18.jpg",</v>
      </c>
      <c r="H2650" t="str">
        <f t="shared" si="83"/>
        <v>57_18</v>
      </c>
    </row>
    <row r="2651" spans="1:8" x14ac:dyDescent="0.2">
      <c r="A2651" s="9" t="s">
        <v>51</v>
      </c>
      <c r="C2651" t="str">
        <f t="shared" si="82"/>
        <v>"https://www.zeldadungeon.net/maps/totk/tiles/sky/6/57_19.jpg",</v>
      </c>
      <c r="H2651" t="str">
        <f t="shared" si="83"/>
        <v>57_19</v>
      </c>
    </row>
    <row r="2652" spans="1:8" x14ac:dyDescent="0.2">
      <c r="A2652" s="9" t="s">
        <v>51</v>
      </c>
      <c r="C2652" t="str">
        <f t="shared" si="82"/>
        <v>"https://www.zeldadungeon.net/maps/totk/tiles/sky/6/57_20.jpg",</v>
      </c>
      <c r="H2652" t="str">
        <f t="shared" si="83"/>
        <v>57_20</v>
      </c>
    </row>
    <row r="2653" spans="1:8" x14ac:dyDescent="0.2">
      <c r="A2653" s="9" t="s">
        <v>51</v>
      </c>
      <c r="C2653" t="str">
        <f t="shared" si="82"/>
        <v>"https://www.zeldadungeon.net/maps/totk/tiles/sky/6/57_21.jpg",</v>
      </c>
      <c r="H2653" t="str">
        <f t="shared" si="83"/>
        <v>57_21</v>
      </c>
    </row>
    <row r="2654" spans="1:8" x14ac:dyDescent="0.2">
      <c r="A2654" s="9" t="s">
        <v>51</v>
      </c>
      <c r="C2654" t="str">
        <f t="shared" si="82"/>
        <v>"https://www.zeldadungeon.net/maps/totk/tiles/sky/6/57_22.jpg",</v>
      </c>
      <c r="H2654" t="str">
        <f t="shared" si="83"/>
        <v>57_22</v>
      </c>
    </row>
    <row r="2655" spans="1:8" x14ac:dyDescent="0.2">
      <c r="A2655" s="9" t="s">
        <v>51</v>
      </c>
      <c r="C2655" t="str">
        <f t="shared" si="82"/>
        <v>"https://www.zeldadungeon.net/maps/totk/tiles/sky/6/57_23.jpg",</v>
      </c>
      <c r="H2655" t="str">
        <f t="shared" si="83"/>
        <v>57_23</v>
      </c>
    </row>
    <row r="2656" spans="1:8" x14ac:dyDescent="0.2">
      <c r="A2656" s="9" t="s">
        <v>51</v>
      </c>
      <c r="C2656" t="str">
        <f t="shared" si="82"/>
        <v>"https://www.zeldadungeon.net/maps/totk/tiles/sky/6/57_24.jpg",</v>
      </c>
      <c r="H2656" t="str">
        <f t="shared" si="83"/>
        <v>57_24</v>
      </c>
    </row>
    <row r="2657" spans="1:8" x14ac:dyDescent="0.2">
      <c r="A2657" s="9" t="s">
        <v>51</v>
      </c>
      <c r="C2657" t="str">
        <f t="shared" si="82"/>
        <v>"https://www.zeldadungeon.net/maps/totk/tiles/sky/6/57_25.jpg",</v>
      </c>
      <c r="H2657" t="str">
        <f t="shared" si="83"/>
        <v>57_25</v>
      </c>
    </row>
    <row r="2658" spans="1:8" x14ac:dyDescent="0.2">
      <c r="A2658" s="9" t="s">
        <v>51</v>
      </c>
      <c r="C2658" t="str">
        <f t="shared" si="82"/>
        <v>"https://www.zeldadungeon.net/maps/totk/tiles/sky/6/57_26.jpg",</v>
      </c>
      <c r="H2658" t="str">
        <f t="shared" si="83"/>
        <v>57_26</v>
      </c>
    </row>
    <row r="2659" spans="1:8" x14ac:dyDescent="0.2">
      <c r="A2659" s="9" t="s">
        <v>51</v>
      </c>
      <c r="C2659" t="str">
        <f t="shared" si="82"/>
        <v>"https://www.zeldadungeon.net/maps/totk/tiles/sky/6/57_27.jpg",</v>
      </c>
      <c r="H2659" t="str">
        <f t="shared" si="83"/>
        <v>57_27</v>
      </c>
    </row>
    <row r="2660" spans="1:8" x14ac:dyDescent="0.2">
      <c r="A2660" s="9" t="s">
        <v>51</v>
      </c>
      <c r="C2660" t="str">
        <f t="shared" si="82"/>
        <v>"https://www.zeldadungeon.net/maps/totk/tiles/sky/6/57_28.jpg",</v>
      </c>
      <c r="H2660" t="str">
        <f t="shared" si="83"/>
        <v>57_28</v>
      </c>
    </row>
    <row r="2661" spans="1:8" x14ac:dyDescent="0.2">
      <c r="A2661" s="9" t="s">
        <v>51</v>
      </c>
      <c r="C2661" t="str">
        <f t="shared" si="82"/>
        <v>"https://www.zeldadungeon.net/maps/totk/tiles/sky/6/57_29.jpg",</v>
      </c>
      <c r="H2661" t="str">
        <f t="shared" si="83"/>
        <v>57_29</v>
      </c>
    </row>
    <row r="2662" spans="1:8" x14ac:dyDescent="0.2">
      <c r="A2662" s="9" t="s">
        <v>51</v>
      </c>
      <c r="C2662" t="str">
        <f t="shared" si="82"/>
        <v>"https://www.zeldadungeon.net/maps/totk/tiles/sky/6/57_30.jpg",</v>
      </c>
      <c r="H2662" t="str">
        <f t="shared" si="83"/>
        <v>57_30</v>
      </c>
    </row>
    <row r="2663" spans="1:8" x14ac:dyDescent="0.2">
      <c r="A2663" s="9" t="s">
        <v>51</v>
      </c>
      <c r="C2663" t="str">
        <f t="shared" si="82"/>
        <v>"https://www.zeldadungeon.net/maps/totk/tiles/sky/6/57_31.jpg",</v>
      </c>
      <c r="H2663" t="str">
        <f t="shared" si="83"/>
        <v>57_31</v>
      </c>
    </row>
    <row r="2664" spans="1:8" x14ac:dyDescent="0.2">
      <c r="A2664" s="9" t="s">
        <v>51</v>
      </c>
      <c r="C2664" t="str">
        <f t="shared" si="82"/>
        <v>"https://www.zeldadungeon.net/maps/totk/tiles/sky/6/57_32.jpg",</v>
      </c>
      <c r="H2664" t="str">
        <f t="shared" si="83"/>
        <v>57_32</v>
      </c>
    </row>
    <row r="2665" spans="1:8" x14ac:dyDescent="0.2">
      <c r="A2665" s="9" t="s">
        <v>51</v>
      </c>
      <c r="C2665" t="str">
        <f t="shared" si="82"/>
        <v>"https://www.zeldadungeon.net/maps/totk/tiles/sky/6/57_33.jpg",</v>
      </c>
      <c r="H2665" t="str">
        <f t="shared" si="83"/>
        <v>57_33</v>
      </c>
    </row>
    <row r="2666" spans="1:8" x14ac:dyDescent="0.2">
      <c r="A2666" s="9" t="s">
        <v>51</v>
      </c>
      <c r="C2666" t="str">
        <f t="shared" si="82"/>
        <v>"https://www.zeldadungeon.net/maps/totk/tiles/sky/6/57_34.jpg",</v>
      </c>
      <c r="H2666" t="str">
        <f t="shared" si="83"/>
        <v>57_34</v>
      </c>
    </row>
    <row r="2667" spans="1:8" x14ac:dyDescent="0.2">
      <c r="A2667" s="9" t="s">
        <v>51</v>
      </c>
      <c r="C2667" t="str">
        <f t="shared" si="82"/>
        <v>"https://www.zeldadungeon.net/maps/totk/tiles/sky/6/57_35.jpg",</v>
      </c>
      <c r="H2667" t="str">
        <f t="shared" si="83"/>
        <v>57_35</v>
      </c>
    </row>
    <row r="2668" spans="1:8" x14ac:dyDescent="0.2">
      <c r="A2668" s="9" t="s">
        <v>51</v>
      </c>
      <c r="C2668" t="str">
        <f t="shared" si="82"/>
        <v>"https://www.zeldadungeon.net/maps/totk/tiles/sky/6/57_36.jpg",</v>
      </c>
      <c r="H2668" t="str">
        <f t="shared" si="83"/>
        <v>57_36</v>
      </c>
    </row>
    <row r="2669" spans="1:8" x14ac:dyDescent="0.2">
      <c r="A2669" s="9" t="s">
        <v>51</v>
      </c>
      <c r="C2669" t="str">
        <f t="shared" si="82"/>
        <v>"https://www.zeldadungeon.net/maps/totk/tiles/sky/6/57_37.jpg",</v>
      </c>
      <c r="H2669" t="str">
        <f t="shared" si="83"/>
        <v>57_37</v>
      </c>
    </row>
    <row r="2670" spans="1:8" x14ac:dyDescent="0.2">
      <c r="A2670" s="9" t="s">
        <v>51</v>
      </c>
      <c r="C2670" t="str">
        <f t="shared" si="82"/>
        <v>"https://www.zeldadungeon.net/maps/totk/tiles/sky/6/57_38.jpg",</v>
      </c>
      <c r="H2670" t="str">
        <f t="shared" si="83"/>
        <v>57_38</v>
      </c>
    </row>
    <row r="2671" spans="1:8" x14ac:dyDescent="0.2">
      <c r="A2671" s="9" t="s">
        <v>51</v>
      </c>
      <c r="C2671" t="str">
        <f t="shared" si="82"/>
        <v>"https://www.zeldadungeon.net/maps/totk/tiles/sky/6/57_39.jpg",</v>
      </c>
      <c r="H2671" t="str">
        <f t="shared" si="83"/>
        <v>57_39</v>
      </c>
    </row>
    <row r="2672" spans="1:8" x14ac:dyDescent="0.2">
      <c r="A2672" s="9" t="s">
        <v>51</v>
      </c>
      <c r="C2672" t="str">
        <f t="shared" si="82"/>
        <v>"https://www.zeldadungeon.net/maps/totk/tiles/sky/6/57_40.jpg",</v>
      </c>
      <c r="H2672" t="str">
        <f t="shared" si="83"/>
        <v>57_40</v>
      </c>
    </row>
    <row r="2673" spans="1:8" x14ac:dyDescent="0.2">
      <c r="A2673" s="9" t="s">
        <v>51</v>
      </c>
      <c r="C2673" t="str">
        <f t="shared" si="82"/>
        <v>"https://www.zeldadungeon.net/maps/totk/tiles/sky/6/57_41.jpg",</v>
      </c>
      <c r="H2673" t="str">
        <f t="shared" si="83"/>
        <v>57_41</v>
      </c>
    </row>
    <row r="2674" spans="1:8" x14ac:dyDescent="0.2">
      <c r="A2674" s="9" t="s">
        <v>51</v>
      </c>
      <c r="C2674" t="str">
        <f t="shared" si="82"/>
        <v>"https://www.zeldadungeon.net/maps/totk/tiles/sky/6/57_42.jpg",</v>
      </c>
      <c r="H2674" t="str">
        <f t="shared" si="83"/>
        <v>57_42</v>
      </c>
    </row>
    <row r="2675" spans="1:8" x14ac:dyDescent="0.2">
      <c r="A2675" s="9" t="s">
        <v>51</v>
      </c>
      <c r="C2675" t="str">
        <f t="shared" si="82"/>
        <v>"https://www.zeldadungeon.net/maps/totk/tiles/sky/6/57_43.jpg",</v>
      </c>
      <c r="H2675" t="str">
        <f t="shared" si="83"/>
        <v>57_43</v>
      </c>
    </row>
    <row r="2676" spans="1:8" x14ac:dyDescent="0.2">
      <c r="A2676" s="9" t="s">
        <v>51</v>
      </c>
      <c r="C2676" t="str">
        <f t="shared" si="82"/>
        <v>"https://www.zeldadungeon.net/maps/totk/tiles/sky/6/57_44.jpg",</v>
      </c>
      <c r="H2676" t="str">
        <f t="shared" si="83"/>
        <v>57_44</v>
      </c>
    </row>
    <row r="2677" spans="1:8" x14ac:dyDescent="0.2">
      <c r="A2677" s="9" t="s">
        <v>51</v>
      </c>
      <c r="C2677" t="str">
        <f t="shared" si="82"/>
        <v>"https://www.zeldadungeon.net/maps/totk/tiles/sky/6/57_45.jpg",</v>
      </c>
      <c r="H2677" t="str">
        <f t="shared" si="83"/>
        <v>57_45</v>
      </c>
    </row>
    <row r="2678" spans="1:8" x14ac:dyDescent="0.2">
      <c r="A2678" s="9" t="s">
        <v>51</v>
      </c>
      <c r="C2678" t="str">
        <f t="shared" si="82"/>
        <v>"https://www.zeldadungeon.net/maps/totk/tiles/sky/6/57_46.jpg",</v>
      </c>
      <c r="H2678" t="str">
        <f t="shared" si="83"/>
        <v>57_46</v>
      </c>
    </row>
    <row r="2679" spans="1:8" x14ac:dyDescent="0.2">
      <c r="A2679" s="9" t="s">
        <v>51</v>
      </c>
      <c r="C2679" t="str">
        <f t="shared" si="82"/>
        <v>"https://www.zeldadungeon.net/maps/totk/tiles/sky/6/57_47.jpg",</v>
      </c>
      <c r="H2679" t="str">
        <f t="shared" si="83"/>
        <v>57_47</v>
      </c>
    </row>
    <row r="2680" spans="1:8" x14ac:dyDescent="0.2">
      <c r="A2680" s="9" t="s">
        <v>51</v>
      </c>
      <c r="C2680" t="str">
        <f t="shared" si="82"/>
        <v>"https://www.zeldadungeon.net/maps/totk/tiles/sky/6/57_48.jpg",</v>
      </c>
      <c r="H2680" t="str">
        <f t="shared" si="83"/>
        <v>57_48</v>
      </c>
    </row>
    <row r="2681" spans="1:8" x14ac:dyDescent="0.2">
      <c r="A2681" s="9" t="s">
        <v>51</v>
      </c>
      <c r="C2681" t="str">
        <f t="shared" si="82"/>
        <v>"https://www.zeldadungeon.net/maps/totk/tiles/sky/6/57_49.jpg",</v>
      </c>
      <c r="H2681" t="str">
        <f t="shared" si="83"/>
        <v>57_49</v>
      </c>
    </row>
    <row r="2682" spans="1:8" x14ac:dyDescent="0.2">
      <c r="A2682" s="9" t="s">
        <v>51</v>
      </c>
      <c r="C2682" t="str">
        <f t="shared" si="82"/>
        <v>"https://www.zeldadungeon.net/maps/totk/tiles/sky/6/57_50.jpg",</v>
      </c>
      <c r="H2682" t="str">
        <f t="shared" si="83"/>
        <v>57_50</v>
      </c>
    </row>
    <row r="2683" spans="1:8" x14ac:dyDescent="0.2">
      <c r="A2683" s="9" t="s">
        <v>51</v>
      </c>
      <c r="C2683" t="str">
        <f t="shared" si="82"/>
        <v>"https://www.zeldadungeon.net/maps/totk/tiles/sky/6/57_51.jpg",</v>
      </c>
      <c r="H2683" t="str">
        <f t="shared" si="83"/>
        <v>57_51</v>
      </c>
    </row>
    <row r="2684" spans="1:8" x14ac:dyDescent="0.2">
      <c r="A2684" s="9" t="s">
        <v>51</v>
      </c>
      <c r="C2684" t="str">
        <f t="shared" si="82"/>
        <v>"https://www.zeldadungeon.net/maps/totk/tiles/sky/6/57_52.jpg",</v>
      </c>
      <c r="H2684" t="str">
        <f t="shared" si="83"/>
        <v>57_52</v>
      </c>
    </row>
    <row r="2685" spans="1:8" x14ac:dyDescent="0.2">
      <c r="A2685" s="9" t="s">
        <v>51</v>
      </c>
      <c r="C2685" t="str">
        <f t="shared" si="82"/>
        <v>"https://www.zeldadungeon.net/maps/totk/tiles/sky/6/57_53.jpg",</v>
      </c>
      <c r="H2685" t="str">
        <f t="shared" si="83"/>
        <v>57_53</v>
      </c>
    </row>
    <row r="2686" spans="1:8" x14ac:dyDescent="0.2">
      <c r="A2686" s="9" t="s">
        <v>51</v>
      </c>
      <c r="C2686" t="str">
        <f t="shared" si="82"/>
        <v>"https://www.zeldadungeon.net/maps/totk/tiles/sky/6/57_54.jpg",</v>
      </c>
      <c r="H2686" t="str">
        <f t="shared" si="83"/>
        <v>57_54</v>
      </c>
    </row>
    <row r="2687" spans="1:8" x14ac:dyDescent="0.2">
      <c r="A2687" s="9" t="s">
        <v>51</v>
      </c>
      <c r="C2687" t="str">
        <f t="shared" si="82"/>
        <v>"https://www.zeldadungeon.net/maps/totk/tiles/sky/6/57_55.jpg",</v>
      </c>
      <c r="H2687" t="str">
        <f t="shared" si="83"/>
        <v>57_55</v>
      </c>
    </row>
    <row r="2688" spans="1:8" x14ac:dyDescent="0.2">
      <c r="A2688" s="9" t="s">
        <v>51</v>
      </c>
      <c r="C2688" t="str">
        <f t="shared" si="82"/>
        <v>"https://www.zeldadungeon.net/maps/totk/tiles/sky/6/58_8.jpg",</v>
      </c>
      <c r="H2688" t="str">
        <f t="shared" si="83"/>
        <v>58_8</v>
      </c>
    </row>
    <row r="2689" spans="1:8" x14ac:dyDescent="0.2">
      <c r="A2689" s="9" t="s">
        <v>51</v>
      </c>
      <c r="C2689" t="str">
        <f t="shared" ref="C2689:C2752" si="84">""""&amp;SUBSTITUTE(A2689,"zzz",H2689)&amp;""""&amp;","</f>
        <v>"https://www.zeldadungeon.net/maps/totk/tiles/sky/6/58_9.jpg",</v>
      </c>
      <c r="H2689" t="str">
        <f t="shared" ref="H2689:H2752" si="85">QUOTIENT(ROW(A2689),48)+2&amp;"_"&amp;MOD(ROW(A2689),48)+8</f>
        <v>58_9</v>
      </c>
    </row>
    <row r="2690" spans="1:8" x14ac:dyDescent="0.2">
      <c r="A2690" s="9" t="s">
        <v>51</v>
      </c>
      <c r="C2690" t="str">
        <f t="shared" si="84"/>
        <v>"https://www.zeldadungeon.net/maps/totk/tiles/sky/6/58_10.jpg",</v>
      </c>
      <c r="H2690" t="str">
        <f t="shared" si="85"/>
        <v>58_10</v>
      </c>
    </row>
    <row r="2691" spans="1:8" x14ac:dyDescent="0.2">
      <c r="A2691" s="9" t="s">
        <v>51</v>
      </c>
      <c r="C2691" t="str">
        <f t="shared" si="84"/>
        <v>"https://www.zeldadungeon.net/maps/totk/tiles/sky/6/58_11.jpg",</v>
      </c>
      <c r="H2691" t="str">
        <f t="shared" si="85"/>
        <v>58_11</v>
      </c>
    </row>
    <row r="2692" spans="1:8" x14ac:dyDescent="0.2">
      <c r="A2692" s="9" t="s">
        <v>51</v>
      </c>
      <c r="C2692" t="str">
        <f t="shared" si="84"/>
        <v>"https://www.zeldadungeon.net/maps/totk/tiles/sky/6/58_12.jpg",</v>
      </c>
      <c r="H2692" t="str">
        <f t="shared" si="85"/>
        <v>58_12</v>
      </c>
    </row>
    <row r="2693" spans="1:8" x14ac:dyDescent="0.2">
      <c r="A2693" s="9" t="s">
        <v>51</v>
      </c>
      <c r="C2693" t="str">
        <f t="shared" si="84"/>
        <v>"https://www.zeldadungeon.net/maps/totk/tiles/sky/6/58_13.jpg",</v>
      </c>
      <c r="H2693" t="str">
        <f t="shared" si="85"/>
        <v>58_13</v>
      </c>
    </row>
    <row r="2694" spans="1:8" x14ac:dyDescent="0.2">
      <c r="A2694" s="9" t="s">
        <v>51</v>
      </c>
      <c r="C2694" t="str">
        <f t="shared" si="84"/>
        <v>"https://www.zeldadungeon.net/maps/totk/tiles/sky/6/58_14.jpg",</v>
      </c>
      <c r="H2694" t="str">
        <f t="shared" si="85"/>
        <v>58_14</v>
      </c>
    </row>
    <row r="2695" spans="1:8" x14ac:dyDescent="0.2">
      <c r="A2695" s="9" t="s">
        <v>51</v>
      </c>
      <c r="C2695" t="str">
        <f t="shared" si="84"/>
        <v>"https://www.zeldadungeon.net/maps/totk/tiles/sky/6/58_15.jpg",</v>
      </c>
      <c r="H2695" t="str">
        <f t="shared" si="85"/>
        <v>58_15</v>
      </c>
    </row>
    <row r="2696" spans="1:8" x14ac:dyDescent="0.2">
      <c r="A2696" s="9" t="s">
        <v>51</v>
      </c>
      <c r="C2696" t="str">
        <f t="shared" si="84"/>
        <v>"https://www.zeldadungeon.net/maps/totk/tiles/sky/6/58_16.jpg",</v>
      </c>
      <c r="H2696" t="str">
        <f t="shared" si="85"/>
        <v>58_16</v>
      </c>
    </row>
    <row r="2697" spans="1:8" x14ac:dyDescent="0.2">
      <c r="A2697" s="9" t="s">
        <v>51</v>
      </c>
      <c r="C2697" t="str">
        <f t="shared" si="84"/>
        <v>"https://www.zeldadungeon.net/maps/totk/tiles/sky/6/58_17.jpg",</v>
      </c>
      <c r="H2697" t="str">
        <f t="shared" si="85"/>
        <v>58_17</v>
      </c>
    </row>
    <row r="2698" spans="1:8" x14ac:dyDescent="0.2">
      <c r="A2698" s="9" t="s">
        <v>51</v>
      </c>
      <c r="C2698" t="str">
        <f t="shared" si="84"/>
        <v>"https://www.zeldadungeon.net/maps/totk/tiles/sky/6/58_18.jpg",</v>
      </c>
      <c r="H2698" t="str">
        <f t="shared" si="85"/>
        <v>58_18</v>
      </c>
    </row>
    <row r="2699" spans="1:8" x14ac:dyDescent="0.2">
      <c r="A2699" s="9" t="s">
        <v>51</v>
      </c>
      <c r="C2699" t="str">
        <f t="shared" si="84"/>
        <v>"https://www.zeldadungeon.net/maps/totk/tiles/sky/6/58_19.jpg",</v>
      </c>
      <c r="H2699" t="str">
        <f t="shared" si="85"/>
        <v>58_19</v>
      </c>
    </row>
    <row r="2700" spans="1:8" x14ac:dyDescent="0.2">
      <c r="A2700" s="9" t="s">
        <v>51</v>
      </c>
      <c r="C2700" t="str">
        <f t="shared" si="84"/>
        <v>"https://www.zeldadungeon.net/maps/totk/tiles/sky/6/58_20.jpg",</v>
      </c>
      <c r="H2700" t="str">
        <f t="shared" si="85"/>
        <v>58_20</v>
      </c>
    </row>
    <row r="2701" spans="1:8" x14ac:dyDescent="0.2">
      <c r="A2701" s="9" t="s">
        <v>51</v>
      </c>
      <c r="C2701" t="str">
        <f t="shared" si="84"/>
        <v>"https://www.zeldadungeon.net/maps/totk/tiles/sky/6/58_21.jpg",</v>
      </c>
      <c r="H2701" t="str">
        <f t="shared" si="85"/>
        <v>58_21</v>
      </c>
    </row>
    <row r="2702" spans="1:8" x14ac:dyDescent="0.2">
      <c r="A2702" s="9" t="s">
        <v>51</v>
      </c>
      <c r="C2702" t="str">
        <f t="shared" si="84"/>
        <v>"https://www.zeldadungeon.net/maps/totk/tiles/sky/6/58_22.jpg",</v>
      </c>
      <c r="H2702" t="str">
        <f t="shared" si="85"/>
        <v>58_22</v>
      </c>
    </row>
    <row r="2703" spans="1:8" x14ac:dyDescent="0.2">
      <c r="A2703" s="9" t="s">
        <v>51</v>
      </c>
      <c r="C2703" t="str">
        <f t="shared" si="84"/>
        <v>"https://www.zeldadungeon.net/maps/totk/tiles/sky/6/58_23.jpg",</v>
      </c>
      <c r="H2703" t="str">
        <f t="shared" si="85"/>
        <v>58_23</v>
      </c>
    </row>
    <row r="2704" spans="1:8" x14ac:dyDescent="0.2">
      <c r="A2704" s="9" t="s">
        <v>51</v>
      </c>
      <c r="C2704" t="str">
        <f t="shared" si="84"/>
        <v>"https://www.zeldadungeon.net/maps/totk/tiles/sky/6/58_24.jpg",</v>
      </c>
      <c r="H2704" t="str">
        <f t="shared" si="85"/>
        <v>58_24</v>
      </c>
    </row>
    <row r="2705" spans="1:8" x14ac:dyDescent="0.2">
      <c r="A2705" s="9" t="s">
        <v>51</v>
      </c>
      <c r="C2705" t="str">
        <f t="shared" si="84"/>
        <v>"https://www.zeldadungeon.net/maps/totk/tiles/sky/6/58_25.jpg",</v>
      </c>
      <c r="H2705" t="str">
        <f t="shared" si="85"/>
        <v>58_25</v>
      </c>
    </row>
    <row r="2706" spans="1:8" x14ac:dyDescent="0.2">
      <c r="A2706" s="9" t="s">
        <v>51</v>
      </c>
      <c r="C2706" t="str">
        <f t="shared" si="84"/>
        <v>"https://www.zeldadungeon.net/maps/totk/tiles/sky/6/58_26.jpg",</v>
      </c>
      <c r="H2706" t="str">
        <f t="shared" si="85"/>
        <v>58_26</v>
      </c>
    </row>
    <row r="2707" spans="1:8" x14ac:dyDescent="0.2">
      <c r="A2707" s="9" t="s">
        <v>51</v>
      </c>
      <c r="C2707" t="str">
        <f t="shared" si="84"/>
        <v>"https://www.zeldadungeon.net/maps/totk/tiles/sky/6/58_27.jpg",</v>
      </c>
      <c r="H2707" t="str">
        <f t="shared" si="85"/>
        <v>58_27</v>
      </c>
    </row>
    <row r="2708" spans="1:8" x14ac:dyDescent="0.2">
      <c r="A2708" s="9" t="s">
        <v>51</v>
      </c>
      <c r="C2708" t="str">
        <f t="shared" si="84"/>
        <v>"https://www.zeldadungeon.net/maps/totk/tiles/sky/6/58_28.jpg",</v>
      </c>
      <c r="H2708" t="str">
        <f t="shared" si="85"/>
        <v>58_28</v>
      </c>
    </row>
    <row r="2709" spans="1:8" x14ac:dyDescent="0.2">
      <c r="A2709" s="9" t="s">
        <v>51</v>
      </c>
      <c r="C2709" t="str">
        <f t="shared" si="84"/>
        <v>"https://www.zeldadungeon.net/maps/totk/tiles/sky/6/58_29.jpg",</v>
      </c>
      <c r="H2709" t="str">
        <f t="shared" si="85"/>
        <v>58_29</v>
      </c>
    </row>
    <row r="2710" spans="1:8" x14ac:dyDescent="0.2">
      <c r="A2710" s="9" t="s">
        <v>51</v>
      </c>
      <c r="C2710" t="str">
        <f t="shared" si="84"/>
        <v>"https://www.zeldadungeon.net/maps/totk/tiles/sky/6/58_30.jpg",</v>
      </c>
      <c r="H2710" t="str">
        <f t="shared" si="85"/>
        <v>58_30</v>
      </c>
    </row>
    <row r="2711" spans="1:8" x14ac:dyDescent="0.2">
      <c r="A2711" s="9" t="s">
        <v>51</v>
      </c>
      <c r="C2711" t="str">
        <f t="shared" si="84"/>
        <v>"https://www.zeldadungeon.net/maps/totk/tiles/sky/6/58_31.jpg",</v>
      </c>
      <c r="H2711" t="str">
        <f t="shared" si="85"/>
        <v>58_31</v>
      </c>
    </row>
    <row r="2712" spans="1:8" x14ac:dyDescent="0.2">
      <c r="A2712" s="9" t="s">
        <v>51</v>
      </c>
      <c r="C2712" t="str">
        <f t="shared" si="84"/>
        <v>"https://www.zeldadungeon.net/maps/totk/tiles/sky/6/58_32.jpg",</v>
      </c>
      <c r="H2712" t="str">
        <f t="shared" si="85"/>
        <v>58_32</v>
      </c>
    </row>
    <row r="2713" spans="1:8" x14ac:dyDescent="0.2">
      <c r="A2713" s="9" t="s">
        <v>51</v>
      </c>
      <c r="C2713" t="str">
        <f t="shared" si="84"/>
        <v>"https://www.zeldadungeon.net/maps/totk/tiles/sky/6/58_33.jpg",</v>
      </c>
      <c r="H2713" t="str">
        <f t="shared" si="85"/>
        <v>58_33</v>
      </c>
    </row>
    <row r="2714" spans="1:8" x14ac:dyDescent="0.2">
      <c r="A2714" s="9" t="s">
        <v>51</v>
      </c>
      <c r="C2714" t="str">
        <f t="shared" si="84"/>
        <v>"https://www.zeldadungeon.net/maps/totk/tiles/sky/6/58_34.jpg",</v>
      </c>
      <c r="H2714" t="str">
        <f t="shared" si="85"/>
        <v>58_34</v>
      </c>
    </row>
    <row r="2715" spans="1:8" x14ac:dyDescent="0.2">
      <c r="A2715" s="9" t="s">
        <v>51</v>
      </c>
      <c r="C2715" t="str">
        <f t="shared" si="84"/>
        <v>"https://www.zeldadungeon.net/maps/totk/tiles/sky/6/58_35.jpg",</v>
      </c>
      <c r="H2715" t="str">
        <f t="shared" si="85"/>
        <v>58_35</v>
      </c>
    </row>
    <row r="2716" spans="1:8" x14ac:dyDescent="0.2">
      <c r="A2716" s="9" t="s">
        <v>51</v>
      </c>
      <c r="C2716" t="str">
        <f t="shared" si="84"/>
        <v>"https://www.zeldadungeon.net/maps/totk/tiles/sky/6/58_36.jpg",</v>
      </c>
      <c r="H2716" t="str">
        <f t="shared" si="85"/>
        <v>58_36</v>
      </c>
    </row>
    <row r="2717" spans="1:8" x14ac:dyDescent="0.2">
      <c r="A2717" s="9" t="s">
        <v>51</v>
      </c>
      <c r="C2717" t="str">
        <f t="shared" si="84"/>
        <v>"https://www.zeldadungeon.net/maps/totk/tiles/sky/6/58_37.jpg",</v>
      </c>
      <c r="H2717" t="str">
        <f t="shared" si="85"/>
        <v>58_37</v>
      </c>
    </row>
    <row r="2718" spans="1:8" x14ac:dyDescent="0.2">
      <c r="A2718" s="9" t="s">
        <v>51</v>
      </c>
      <c r="C2718" t="str">
        <f t="shared" si="84"/>
        <v>"https://www.zeldadungeon.net/maps/totk/tiles/sky/6/58_38.jpg",</v>
      </c>
      <c r="H2718" t="str">
        <f t="shared" si="85"/>
        <v>58_38</v>
      </c>
    </row>
    <row r="2719" spans="1:8" x14ac:dyDescent="0.2">
      <c r="A2719" s="9" t="s">
        <v>51</v>
      </c>
      <c r="C2719" t="str">
        <f t="shared" si="84"/>
        <v>"https://www.zeldadungeon.net/maps/totk/tiles/sky/6/58_39.jpg",</v>
      </c>
      <c r="H2719" t="str">
        <f t="shared" si="85"/>
        <v>58_39</v>
      </c>
    </row>
    <row r="2720" spans="1:8" x14ac:dyDescent="0.2">
      <c r="A2720" s="9" t="s">
        <v>51</v>
      </c>
      <c r="C2720" t="str">
        <f t="shared" si="84"/>
        <v>"https://www.zeldadungeon.net/maps/totk/tiles/sky/6/58_40.jpg",</v>
      </c>
      <c r="H2720" t="str">
        <f t="shared" si="85"/>
        <v>58_40</v>
      </c>
    </row>
    <row r="2721" spans="1:8" x14ac:dyDescent="0.2">
      <c r="A2721" s="9" t="s">
        <v>51</v>
      </c>
      <c r="C2721" t="str">
        <f t="shared" si="84"/>
        <v>"https://www.zeldadungeon.net/maps/totk/tiles/sky/6/58_41.jpg",</v>
      </c>
      <c r="H2721" t="str">
        <f t="shared" si="85"/>
        <v>58_41</v>
      </c>
    </row>
    <row r="2722" spans="1:8" x14ac:dyDescent="0.2">
      <c r="A2722" s="9" t="s">
        <v>51</v>
      </c>
      <c r="C2722" t="str">
        <f t="shared" si="84"/>
        <v>"https://www.zeldadungeon.net/maps/totk/tiles/sky/6/58_42.jpg",</v>
      </c>
      <c r="H2722" t="str">
        <f t="shared" si="85"/>
        <v>58_42</v>
      </c>
    </row>
    <row r="2723" spans="1:8" x14ac:dyDescent="0.2">
      <c r="A2723" s="9" t="s">
        <v>51</v>
      </c>
      <c r="C2723" t="str">
        <f t="shared" si="84"/>
        <v>"https://www.zeldadungeon.net/maps/totk/tiles/sky/6/58_43.jpg",</v>
      </c>
      <c r="H2723" t="str">
        <f t="shared" si="85"/>
        <v>58_43</v>
      </c>
    </row>
    <row r="2724" spans="1:8" x14ac:dyDescent="0.2">
      <c r="A2724" s="9" t="s">
        <v>51</v>
      </c>
      <c r="C2724" t="str">
        <f t="shared" si="84"/>
        <v>"https://www.zeldadungeon.net/maps/totk/tiles/sky/6/58_44.jpg",</v>
      </c>
      <c r="H2724" t="str">
        <f t="shared" si="85"/>
        <v>58_44</v>
      </c>
    </row>
    <row r="2725" spans="1:8" x14ac:dyDescent="0.2">
      <c r="A2725" s="9" t="s">
        <v>51</v>
      </c>
      <c r="C2725" t="str">
        <f t="shared" si="84"/>
        <v>"https://www.zeldadungeon.net/maps/totk/tiles/sky/6/58_45.jpg",</v>
      </c>
      <c r="H2725" t="str">
        <f t="shared" si="85"/>
        <v>58_45</v>
      </c>
    </row>
    <row r="2726" spans="1:8" x14ac:dyDescent="0.2">
      <c r="A2726" s="9" t="s">
        <v>51</v>
      </c>
      <c r="C2726" t="str">
        <f t="shared" si="84"/>
        <v>"https://www.zeldadungeon.net/maps/totk/tiles/sky/6/58_46.jpg",</v>
      </c>
      <c r="H2726" t="str">
        <f t="shared" si="85"/>
        <v>58_46</v>
      </c>
    </row>
    <row r="2727" spans="1:8" x14ac:dyDescent="0.2">
      <c r="A2727" s="9" t="s">
        <v>51</v>
      </c>
      <c r="C2727" t="str">
        <f t="shared" si="84"/>
        <v>"https://www.zeldadungeon.net/maps/totk/tiles/sky/6/58_47.jpg",</v>
      </c>
      <c r="H2727" t="str">
        <f t="shared" si="85"/>
        <v>58_47</v>
      </c>
    </row>
    <row r="2728" spans="1:8" x14ac:dyDescent="0.2">
      <c r="A2728" s="9" t="s">
        <v>51</v>
      </c>
      <c r="C2728" t="str">
        <f t="shared" si="84"/>
        <v>"https://www.zeldadungeon.net/maps/totk/tiles/sky/6/58_48.jpg",</v>
      </c>
      <c r="H2728" t="str">
        <f t="shared" si="85"/>
        <v>58_48</v>
      </c>
    </row>
    <row r="2729" spans="1:8" x14ac:dyDescent="0.2">
      <c r="A2729" s="9" t="s">
        <v>51</v>
      </c>
      <c r="C2729" t="str">
        <f t="shared" si="84"/>
        <v>"https://www.zeldadungeon.net/maps/totk/tiles/sky/6/58_49.jpg",</v>
      </c>
      <c r="H2729" t="str">
        <f t="shared" si="85"/>
        <v>58_49</v>
      </c>
    </row>
    <row r="2730" spans="1:8" x14ac:dyDescent="0.2">
      <c r="A2730" s="9" t="s">
        <v>51</v>
      </c>
      <c r="C2730" t="str">
        <f t="shared" si="84"/>
        <v>"https://www.zeldadungeon.net/maps/totk/tiles/sky/6/58_50.jpg",</v>
      </c>
      <c r="H2730" t="str">
        <f t="shared" si="85"/>
        <v>58_50</v>
      </c>
    </row>
    <row r="2731" spans="1:8" x14ac:dyDescent="0.2">
      <c r="A2731" s="9" t="s">
        <v>51</v>
      </c>
      <c r="C2731" t="str">
        <f t="shared" si="84"/>
        <v>"https://www.zeldadungeon.net/maps/totk/tiles/sky/6/58_51.jpg",</v>
      </c>
      <c r="H2731" t="str">
        <f t="shared" si="85"/>
        <v>58_51</v>
      </c>
    </row>
    <row r="2732" spans="1:8" x14ac:dyDescent="0.2">
      <c r="A2732" s="9" t="s">
        <v>51</v>
      </c>
      <c r="C2732" t="str">
        <f t="shared" si="84"/>
        <v>"https://www.zeldadungeon.net/maps/totk/tiles/sky/6/58_52.jpg",</v>
      </c>
      <c r="H2732" t="str">
        <f t="shared" si="85"/>
        <v>58_52</v>
      </c>
    </row>
    <row r="2733" spans="1:8" x14ac:dyDescent="0.2">
      <c r="A2733" s="9" t="s">
        <v>51</v>
      </c>
      <c r="C2733" t="str">
        <f t="shared" si="84"/>
        <v>"https://www.zeldadungeon.net/maps/totk/tiles/sky/6/58_53.jpg",</v>
      </c>
      <c r="H2733" t="str">
        <f t="shared" si="85"/>
        <v>58_53</v>
      </c>
    </row>
    <row r="2734" spans="1:8" x14ac:dyDescent="0.2">
      <c r="A2734" s="9" t="s">
        <v>51</v>
      </c>
      <c r="C2734" t="str">
        <f t="shared" si="84"/>
        <v>"https://www.zeldadungeon.net/maps/totk/tiles/sky/6/58_54.jpg",</v>
      </c>
      <c r="H2734" t="str">
        <f t="shared" si="85"/>
        <v>58_54</v>
      </c>
    </row>
    <row r="2735" spans="1:8" x14ac:dyDescent="0.2">
      <c r="A2735" s="9" t="s">
        <v>51</v>
      </c>
      <c r="C2735" t="str">
        <f t="shared" si="84"/>
        <v>"https://www.zeldadungeon.net/maps/totk/tiles/sky/6/58_55.jpg",</v>
      </c>
      <c r="H2735" t="str">
        <f t="shared" si="85"/>
        <v>58_55</v>
      </c>
    </row>
    <row r="2736" spans="1:8" x14ac:dyDescent="0.2">
      <c r="A2736" s="9" t="s">
        <v>51</v>
      </c>
      <c r="C2736" t="str">
        <f t="shared" si="84"/>
        <v>"https://www.zeldadungeon.net/maps/totk/tiles/sky/6/59_8.jpg",</v>
      </c>
      <c r="H2736" t="str">
        <f t="shared" si="85"/>
        <v>59_8</v>
      </c>
    </row>
    <row r="2737" spans="1:8" x14ac:dyDescent="0.2">
      <c r="A2737" s="9" t="s">
        <v>51</v>
      </c>
      <c r="C2737" t="str">
        <f t="shared" si="84"/>
        <v>"https://www.zeldadungeon.net/maps/totk/tiles/sky/6/59_9.jpg",</v>
      </c>
      <c r="H2737" t="str">
        <f t="shared" si="85"/>
        <v>59_9</v>
      </c>
    </row>
    <row r="2738" spans="1:8" x14ac:dyDescent="0.2">
      <c r="A2738" s="9" t="s">
        <v>51</v>
      </c>
      <c r="C2738" t="str">
        <f t="shared" si="84"/>
        <v>"https://www.zeldadungeon.net/maps/totk/tiles/sky/6/59_10.jpg",</v>
      </c>
      <c r="H2738" t="str">
        <f t="shared" si="85"/>
        <v>59_10</v>
      </c>
    </row>
    <row r="2739" spans="1:8" x14ac:dyDescent="0.2">
      <c r="A2739" s="9" t="s">
        <v>51</v>
      </c>
      <c r="C2739" t="str">
        <f t="shared" si="84"/>
        <v>"https://www.zeldadungeon.net/maps/totk/tiles/sky/6/59_11.jpg",</v>
      </c>
      <c r="H2739" t="str">
        <f t="shared" si="85"/>
        <v>59_11</v>
      </c>
    </row>
    <row r="2740" spans="1:8" x14ac:dyDescent="0.2">
      <c r="A2740" s="9" t="s">
        <v>51</v>
      </c>
      <c r="C2740" t="str">
        <f t="shared" si="84"/>
        <v>"https://www.zeldadungeon.net/maps/totk/tiles/sky/6/59_12.jpg",</v>
      </c>
      <c r="H2740" t="str">
        <f t="shared" si="85"/>
        <v>59_12</v>
      </c>
    </row>
    <row r="2741" spans="1:8" x14ac:dyDescent="0.2">
      <c r="A2741" s="9" t="s">
        <v>51</v>
      </c>
      <c r="C2741" t="str">
        <f t="shared" si="84"/>
        <v>"https://www.zeldadungeon.net/maps/totk/tiles/sky/6/59_13.jpg",</v>
      </c>
      <c r="H2741" t="str">
        <f t="shared" si="85"/>
        <v>59_13</v>
      </c>
    </row>
    <row r="2742" spans="1:8" x14ac:dyDescent="0.2">
      <c r="A2742" s="9" t="s">
        <v>51</v>
      </c>
      <c r="C2742" t="str">
        <f t="shared" si="84"/>
        <v>"https://www.zeldadungeon.net/maps/totk/tiles/sky/6/59_14.jpg",</v>
      </c>
      <c r="H2742" t="str">
        <f t="shared" si="85"/>
        <v>59_14</v>
      </c>
    </row>
    <row r="2743" spans="1:8" x14ac:dyDescent="0.2">
      <c r="A2743" s="9" t="s">
        <v>51</v>
      </c>
      <c r="C2743" t="str">
        <f t="shared" si="84"/>
        <v>"https://www.zeldadungeon.net/maps/totk/tiles/sky/6/59_15.jpg",</v>
      </c>
      <c r="H2743" t="str">
        <f t="shared" si="85"/>
        <v>59_15</v>
      </c>
    </row>
    <row r="2744" spans="1:8" x14ac:dyDescent="0.2">
      <c r="A2744" s="9" t="s">
        <v>51</v>
      </c>
      <c r="C2744" t="str">
        <f t="shared" si="84"/>
        <v>"https://www.zeldadungeon.net/maps/totk/tiles/sky/6/59_16.jpg",</v>
      </c>
      <c r="H2744" t="str">
        <f t="shared" si="85"/>
        <v>59_16</v>
      </c>
    </row>
    <row r="2745" spans="1:8" x14ac:dyDescent="0.2">
      <c r="A2745" s="9" t="s">
        <v>51</v>
      </c>
      <c r="C2745" t="str">
        <f t="shared" si="84"/>
        <v>"https://www.zeldadungeon.net/maps/totk/tiles/sky/6/59_17.jpg",</v>
      </c>
      <c r="H2745" t="str">
        <f t="shared" si="85"/>
        <v>59_17</v>
      </c>
    </row>
    <row r="2746" spans="1:8" x14ac:dyDescent="0.2">
      <c r="A2746" s="9" t="s">
        <v>51</v>
      </c>
      <c r="C2746" t="str">
        <f t="shared" si="84"/>
        <v>"https://www.zeldadungeon.net/maps/totk/tiles/sky/6/59_18.jpg",</v>
      </c>
      <c r="H2746" t="str">
        <f t="shared" si="85"/>
        <v>59_18</v>
      </c>
    </row>
    <row r="2747" spans="1:8" x14ac:dyDescent="0.2">
      <c r="A2747" s="9" t="s">
        <v>51</v>
      </c>
      <c r="C2747" t="str">
        <f t="shared" si="84"/>
        <v>"https://www.zeldadungeon.net/maps/totk/tiles/sky/6/59_19.jpg",</v>
      </c>
      <c r="H2747" t="str">
        <f t="shared" si="85"/>
        <v>59_19</v>
      </c>
    </row>
    <row r="2748" spans="1:8" x14ac:dyDescent="0.2">
      <c r="A2748" s="9" t="s">
        <v>51</v>
      </c>
      <c r="C2748" t="str">
        <f t="shared" si="84"/>
        <v>"https://www.zeldadungeon.net/maps/totk/tiles/sky/6/59_20.jpg",</v>
      </c>
      <c r="H2748" t="str">
        <f t="shared" si="85"/>
        <v>59_20</v>
      </c>
    </row>
    <row r="2749" spans="1:8" x14ac:dyDescent="0.2">
      <c r="A2749" s="9" t="s">
        <v>51</v>
      </c>
      <c r="C2749" t="str">
        <f t="shared" si="84"/>
        <v>"https://www.zeldadungeon.net/maps/totk/tiles/sky/6/59_21.jpg",</v>
      </c>
      <c r="H2749" t="str">
        <f t="shared" si="85"/>
        <v>59_21</v>
      </c>
    </row>
    <row r="2750" spans="1:8" x14ac:dyDescent="0.2">
      <c r="A2750" s="9" t="s">
        <v>51</v>
      </c>
      <c r="C2750" t="str">
        <f t="shared" si="84"/>
        <v>"https://www.zeldadungeon.net/maps/totk/tiles/sky/6/59_22.jpg",</v>
      </c>
      <c r="H2750" t="str">
        <f t="shared" si="85"/>
        <v>59_22</v>
      </c>
    </row>
    <row r="2751" spans="1:8" x14ac:dyDescent="0.2">
      <c r="A2751" s="9" t="s">
        <v>51</v>
      </c>
      <c r="C2751" t="str">
        <f t="shared" si="84"/>
        <v>"https://www.zeldadungeon.net/maps/totk/tiles/sky/6/59_23.jpg",</v>
      </c>
      <c r="H2751" t="str">
        <f t="shared" si="85"/>
        <v>59_23</v>
      </c>
    </row>
    <row r="2752" spans="1:8" x14ac:dyDescent="0.2">
      <c r="A2752" s="9" t="s">
        <v>51</v>
      </c>
      <c r="C2752" t="str">
        <f t="shared" si="84"/>
        <v>"https://www.zeldadungeon.net/maps/totk/tiles/sky/6/59_24.jpg",</v>
      </c>
      <c r="H2752" t="str">
        <f t="shared" si="85"/>
        <v>59_24</v>
      </c>
    </row>
    <row r="2753" spans="1:8" x14ac:dyDescent="0.2">
      <c r="A2753" s="9" t="s">
        <v>51</v>
      </c>
      <c r="C2753" t="str">
        <f t="shared" ref="C2753:C2816" si="86">""""&amp;SUBSTITUTE(A2753,"zzz",H2753)&amp;""""&amp;","</f>
        <v>"https://www.zeldadungeon.net/maps/totk/tiles/sky/6/59_25.jpg",</v>
      </c>
      <c r="H2753" t="str">
        <f t="shared" ref="H2753:H2816" si="87">QUOTIENT(ROW(A2753),48)+2&amp;"_"&amp;MOD(ROW(A2753),48)+8</f>
        <v>59_25</v>
      </c>
    </row>
    <row r="2754" spans="1:8" x14ac:dyDescent="0.2">
      <c r="A2754" s="9" t="s">
        <v>51</v>
      </c>
      <c r="C2754" t="str">
        <f t="shared" si="86"/>
        <v>"https://www.zeldadungeon.net/maps/totk/tiles/sky/6/59_26.jpg",</v>
      </c>
      <c r="H2754" t="str">
        <f t="shared" si="87"/>
        <v>59_26</v>
      </c>
    </row>
    <row r="2755" spans="1:8" x14ac:dyDescent="0.2">
      <c r="A2755" s="9" t="s">
        <v>51</v>
      </c>
      <c r="C2755" t="str">
        <f t="shared" si="86"/>
        <v>"https://www.zeldadungeon.net/maps/totk/tiles/sky/6/59_27.jpg",</v>
      </c>
      <c r="H2755" t="str">
        <f t="shared" si="87"/>
        <v>59_27</v>
      </c>
    </row>
    <row r="2756" spans="1:8" x14ac:dyDescent="0.2">
      <c r="A2756" s="9" t="s">
        <v>51</v>
      </c>
      <c r="C2756" t="str">
        <f t="shared" si="86"/>
        <v>"https://www.zeldadungeon.net/maps/totk/tiles/sky/6/59_28.jpg",</v>
      </c>
      <c r="H2756" t="str">
        <f t="shared" si="87"/>
        <v>59_28</v>
      </c>
    </row>
    <row r="2757" spans="1:8" x14ac:dyDescent="0.2">
      <c r="A2757" s="9" t="s">
        <v>51</v>
      </c>
      <c r="C2757" t="str">
        <f t="shared" si="86"/>
        <v>"https://www.zeldadungeon.net/maps/totk/tiles/sky/6/59_29.jpg",</v>
      </c>
      <c r="H2757" t="str">
        <f t="shared" si="87"/>
        <v>59_29</v>
      </c>
    </row>
    <row r="2758" spans="1:8" x14ac:dyDescent="0.2">
      <c r="A2758" s="9" t="s">
        <v>51</v>
      </c>
      <c r="C2758" t="str">
        <f t="shared" si="86"/>
        <v>"https://www.zeldadungeon.net/maps/totk/tiles/sky/6/59_30.jpg",</v>
      </c>
      <c r="H2758" t="str">
        <f t="shared" si="87"/>
        <v>59_30</v>
      </c>
    </row>
    <row r="2759" spans="1:8" x14ac:dyDescent="0.2">
      <c r="A2759" s="9" t="s">
        <v>51</v>
      </c>
      <c r="C2759" t="str">
        <f t="shared" si="86"/>
        <v>"https://www.zeldadungeon.net/maps/totk/tiles/sky/6/59_31.jpg",</v>
      </c>
      <c r="H2759" t="str">
        <f t="shared" si="87"/>
        <v>59_31</v>
      </c>
    </row>
    <row r="2760" spans="1:8" x14ac:dyDescent="0.2">
      <c r="A2760" s="9" t="s">
        <v>51</v>
      </c>
      <c r="C2760" t="str">
        <f t="shared" si="86"/>
        <v>"https://www.zeldadungeon.net/maps/totk/tiles/sky/6/59_32.jpg",</v>
      </c>
      <c r="H2760" t="str">
        <f t="shared" si="87"/>
        <v>59_32</v>
      </c>
    </row>
    <row r="2761" spans="1:8" x14ac:dyDescent="0.2">
      <c r="A2761" s="9" t="s">
        <v>51</v>
      </c>
      <c r="C2761" t="str">
        <f t="shared" si="86"/>
        <v>"https://www.zeldadungeon.net/maps/totk/tiles/sky/6/59_33.jpg",</v>
      </c>
      <c r="H2761" t="str">
        <f t="shared" si="87"/>
        <v>59_33</v>
      </c>
    </row>
    <row r="2762" spans="1:8" x14ac:dyDescent="0.2">
      <c r="A2762" s="9" t="s">
        <v>51</v>
      </c>
      <c r="C2762" t="str">
        <f t="shared" si="86"/>
        <v>"https://www.zeldadungeon.net/maps/totk/tiles/sky/6/59_34.jpg",</v>
      </c>
      <c r="H2762" t="str">
        <f t="shared" si="87"/>
        <v>59_34</v>
      </c>
    </row>
    <row r="2763" spans="1:8" x14ac:dyDescent="0.2">
      <c r="A2763" s="9" t="s">
        <v>51</v>
      </c>
      <c r="C2763" t="str">
        <f t="shared" si="86"/>
        <v>"https://www.zeldadungeon.net/maps/totk/tiles/sky/6/59_35.jpg",</v>
      </c>
      <c r="H2763" t="str">
        <f t="shared" si="87"/>
        <v>59_35</v>
      </c>
    </row>
    <row r="2764" spans="1:8" x14ac:dyDescent="0.2">
      <c r="A2764" s="9" t="s">
        <v>51</v>
      </c>
      <c r="C2764" t="str">
        <f t="shared" si="86"/>
        <v>"https://www.zeldadungeon.net/maps/totk/tiles/sky/6/59_36.jpg",</v>
      </c>
      <c r="H2764" t="str">
        <f t="shared" si="87"/>
        <v>59_36</v>
      </c>
    </row>
    <row r="2765" spans="1:8" x14ac:dyDescent="0.2">
      <c r="A2765" s="9" t="s">
        <v>51</v>
      </c>
      <c r="C2765" t="str">
        <f t="shared" si="86"/>
        <v>"https://www.zeldadungeon.net/maps/totk/tiles/sky/6/59_37.jpg",</v>
      </c>
      <c r="H2765" t="str">
        <f t="shared" si="87"/>
        <v>59_37</v>
      </c>
    </row>
    <row r="2766" spans="1:8" x14ac:dyDescent="0.2">
      <c r="A2766" s="9" t="s">
        <v>51</v>
      </c>
      <c r="C2766" t="str">
        <f t="shared" si="86"/>
        <v>"https://www.zeldadungeon.net/maps/totk/tiles/sky/6/59_38.jpg",</v>
      </c>
      <c r="H2766" t="str">
        <f t="shared" si="87"/>
        <v>59_38</v>
      </c>
    </row>
    <row r="2767" spans="1:8" x14ac:dyDescent="0.2">
      <c r="A2767" s="9" t="s">
        <v>51</v>
      </c>
      <c r="C2767" t="str">
        <f t="shared" si="86"/>
        <v>"https://www.zeldadungeon.net/maps/totk/tiles/sky/6/59_39.jpg",</v>
      </c>
      <c r="H2767" t="str">
        <f t="shared" si="87"/>
        <v>59_39</v>
      </c>
    </row>
    <row r="2768" spans="1:8" x14ac:dyDescent="0.2">
      <c r="A2768" s="9" t="s">
        <v>51</v>
      </c>
      <c r="C2768" t="str">
        <f t="shared" si="86"/>
        <v>"https://www.zeldadungeon.net/maps/totk/tiles/sky/6/59_40.jpg",</v>
      </c>
      <c r="H2768" t="str">
        <f t="shared" si="87"/>
        <v>59_40</v>
      </c>
    </row>
    <row r="2769" spans="1:8" x14ac:dyDescent="0.2">
      <c r="A2769" s="9" t="s">
        <v>51</v>
      </c>
      <c r="C2769" t="str">
        <f t="shared" si="86"/>
        <v>"https://www.zeldadungeon.net/maps/totk/tiles/sky/6/59_41.jpg",</v>
      </c>
      <c r="H2769" t="str">
        <f t="shared" si="87"/>
        <v>59_41</v>
      </c>
    </row>
    <row r="2770" spans="1:8" x14ac:dyDescent="0.2">
      <c r="A2770" s="9" t="s">
        <v>51</v>
      </c>
      <c r="C2770" t="str">
        <f t="shared" si="86"/>
        <v>"https://www.zeldadungeon.net/maps/totk/tiles/sky/6/59_42.jpg",</v>
      </c>
      <c r="H2770" t="str">
        <f t="shared" si="87"/>
        <v>59_42</v>
      </c>
    </row>
    <row r="2771" spans="1:8" x14ac:dyDescent="0.2">
      <c r="A2771" s="9" t="s">
        <v>51</v>
      </c>
      <c r="C2771" t="str">
        <f t="shared" si="86"/>
        <v>"https://www.zeldadungeon.net/maps/totk/tiles/sky/6/59_43.jpg",</v>
      </c>
      <c r="H2771" t="str">
        <f t="shared" si="87"/>
        <v>59_43</v>
      </c>
    </row>
    <row r="2772" spans="1:8" x14ac:dyDescent="0.2">
      <c r="A2772" s="9" t="s">
        <v>51</v>
      </c>
      <c r="C2772" t="str">
        <f t="shared" si="86"/>
        <v>"https://www.zeldadungeon.net/maps/totk/tiles/sky/6/59_44.jpg",</v>
      </c>
      <c r="H2772" t="str">
        <f t="shared" si="87"/>
        <v>59_44</v>
      </c>
    </row>
    <row r="2773" spans="1:8" x14ac:dyDescent="0.2">
      <c r="A2773" s="9" t="s">
        <v>51</v>
      </c>
      <c r="C2773" t="str">
        <f t="shared" si="86"/>
        <v>"https://www.zeldadungeon.net/maps/totk/tiles/sky/6/59_45.jpg",</v>
      </c>
      <c r="H2773" t="str">
        <f t="shared" si="87"/>
        <v>59_45</v>
      </c>
    </row>
    <row r="2774" spans="1:8" x14ac:dyDescent="0.2">
      <c r="A2774" s="9" t="s">
        <v>51</v>
      </c>
      <c r="C2774" t="str">
        <f t="shared" si="86"/>
        <v>"https://www.zeldadungeon.net/maps/totk/tiles/sky/6/59_46.jpg",</v>
      </c>
      <c r="H2774" t="str">
        <f t="shared" si="87"/>
        <v>59_46</v>
      </c>
    </row>
    <row r="2775" spans="1:8" x14ac:dyDescent="0.2">
      <c r="A2775" s="9" t="s">
        <v>51</v>
      </c>
      <c r="C2775" t="str">
        <f t="shared" si="86"/>
        <v>"https://www.zeldadungeon.net/maps/totk/tiles/sky/6/59_47.jpg",</v>
      </c>
      <c r="H2775" t="str">
        <f t="shared" si="87"/>
        <v>59_47</v>
      </c>
    </row>
    <row r="2776" spans="1:8" x14ac:dyDescent="0.2">
      <c r="A2776" s="9" t="s">
        <v>51</v>
      </c>
      <c r="C2776" t="str">
        <f t="shared" si="86"/>
        <v>"https://www.zeldadungeon.net/maps/totk/tiles/sky/6/59_48.jpg",</v>
      </c>
      <c r="H2776" t="str">
        <f t="shared" si="87"/>
        <v>59_48</v>
      </c>
    </row>
    <row r="2777" spans="1:8" x14ac:dyDescent="0.2">
      <c r="A2777" s="9" t="s">
        <v>51</v>
      </c>
      <c r="C2777" t="str">
        <f t="shared" si="86"/>
        <v>"https://www.zeldadungeon.net/maps/totk/tiles/sky/6/59_49.jpg",</v>
      </c>
      <c r="H2777" t="str">
        <f t="shared" si="87"/>
        <v>59_49</v>
      </c>
    </row>
    <row r="2778" spans="1:8" x14ac:dyDescent="0.2">
      <c r="A2778" s="9" t="s">
        <v>51</v>
      </c>
      <c r="C2778" t="str">
        <f t="shared" si="86"/>
        <v>"https://www.zeldadungeon.net/maps/totk/tiles/sky/6/59_50.jpg",</v>
      </c>
      <c r="H2778" t="str">
        <f t="shared" si="87"/>
        <v>59_50</v>
      </c>
    </row>
    <row r="2779" spans="1:8" x14ac:dyDescent="0.2">
      <c r="A2779" s="9" t="s">
        <v>51</v>
      </c>
      <c r="C2779" t="str">
        <f t="shared" si="86"/>
        <v>"https://www.zeldadungeon.net/maps/totk/tiles/sky/6/59_51.jpg",</v>
      </c>
      <c r="H2779" t="str">
        <f t="shared" si="87"/>
        <v>59_51</v>
      </c>
    </row>
    <row r="2780" spans="1:8" x14ac:dyDescent="0.2">
      <c r="A2780" s="9" t="s">
        <v>51</v>
      </c>
      <c r="C2780" t="str">
        <f t="shared" si="86"/>
        <v>"https://www.zeldadungeon.net/maps/totk/tiles/sky/6/59_52.jpg",</v>
      </c>
      <c r="H2780" t="str">
        <f t="shared" si="87"/>
        <v>59_52</v>
      </c>
    </row>
    <row r="2781" spans="1:8" x14ac:dyDescent="0.2">
      <c r="A2781" s="9" t="s">
        <v>51</v>
      </c>
      <c r="C2781" t="str">
        <f t="shared" si="86"/>
        <v>"https://www.zeldadungeon.net/maps/totk/tiles/sky/6/59_53.jpg",</v>
      </c>
      <c r="H2781" t="str">
        <f t="shared" si="87"/>
        <v>59_53</v>
      </c>
    </row>
    <row r="2782" spans="1:8" x14ac:dyDescent="0.2">
      <c r="A2782" s="9" t="s">
        <v>51</v>
      </c>
      <c r="C2782" t="str">
        <f t="shared" si="86"/>
        <v>"https://www.zeldadungeon.net/maps/totk/tiles/sky/6/59_54.jpg",</v>
      </c>
      <c r="H2782" t="str">
        <f t="shared" si="87"/>
        <v>59_54</v>
      </c>
    </row>
    <row r="2783" spans="1:8" x14ac:dyDescent="0.2">
      <c r="A2783" s="9" t="s">
        <v>51</v>
      </c>
      <c r="C2783" t="str">
        <f t="shared" si="86"/>
        <v>"https://www.zeldadungeon.net/maps/totk/tiles/sky/6/59_55.jpg",</v>
      </c>
      <c r="H2783" t="str">
        <f t="shared" si="87"/>
        <v>59_55</v>
      </c>
    </row>
    <row r="2784" spans="1:8" x14ac:dyDescent="0.2">
      <c r="A2784" s="9" t="s">
        <v>51</v>
      </c>
      <c r="C2784" t="str">
        <f t="shared" si="86"/>
        <v>"https://www.zeldadungeon.net/maps/totk/tiles/sky/6/60_8.jpg",</v>
      </c>
      <c r="H2784" t="str">
        <f t="shared" si="87"/>
        <v>60_8</v>
      </c>
    </row>
    <row r="2785" spans="1:8" x14ac:dyDescent="0.2">
      <c r="A2785" s="9" t="s">
        <v>51</v>
      </c>
      <c r="C2785" t="str">
        <f t="shared" si="86"/>
        <v>"https://www.zeldadungeon.net/maps/totk/tiles/sky/6/60_9.jpg",</v>
      </c>
      <c r="H2785" t="str">
        <f t="shared" si="87"/>
        <v>60_9</v>
      </c>
    </row>
    <row r="2786" spans="1:8" x14ac:dyDescent="0.2">
      <c r="A2786" s="9" t="s">
        <v>51</v>
      </c>
      <c r="C2786" t="str">
        <f t="shared" si="86"/>
        <v>"https://www.zeldadungeon.net/maps/totk/tiles/sky/6/60_10.jpg",</v>
      </c>
      <c r="H2786" t="str">
        <f t="shared" si="87"/>
        <v>60_10</v>
      </c>
    </row>
    <row r="2787" spans="1:8" x14ac:dyDescent="0.2">
      <c r="A2787" s="9" t="s">
        <v>51</v>
      </c>
      <c r="C2787" t="str">
        <f t="shared" si="86"/>
        <v>"https://www.zeldadungeon.net/maps/totk/tiles/sky/6/60_11.jpg",</v>
      </c>
      <c r="H2787" t="str">
        <f t="shared" si="87"/>
        <v>60_11</v>
      </c>
    </row>
    <row r="2788" spans="1:8" x14ac:dyDescent="0.2">
      <c r="A2788" s="9" t="s">
        <v>51</v>
      </c>
      <c r="C2788" t="str">
        <f t="shared" si="86"/>
        <v>"https://www.zeldadungeon.net/maps/totk/tiles/sky/6/60_12.jpg",</v>
      </c>
      <c r="H2788" t="str">
        <f t="shared" si="87"/>
        <v>60_12</v>
      </c>
    </row>
    <row r="2789" spans="1:8" x14ac:dyDescent="0.2">
      <c r="A2789" s="9" t="s">
        <v>51</v>
      </c>
      <c r="C2789" t="str">
        <f t="shared" si="86"/>
        <v>"https://www.zeldadungeon.net/maps/totk/tiles/sky/6/60_13.jpg",</v>
      </c>
      <c r="H2789" t="str">
        <f t="shared" si="87"/>
        <v>60_13</v>
      </c>
    </row>
    <row r="2790" spans="1:8" x14ac:dyDescent="0.2">
      <c r="A2790" s="9" t="s">
        <v>51</v>
      </c>
      <c r="C2790" t="str">
        <f t="shared" si="86"/>
        <v>"https://www.zeldadungeon.net/maps/totk/tiles/sky/6/60_14.jpg",</v>
      </c>
      <c r="H2790" t="str">
        <f t="shared" si="87"/>
        <v>60_14</v>
      </c>
    </row>
    <row r="2791" spans="1:8" x14ac:dyDescent="0.2">
      <c r="A2791" s="9" t="s">
        <v>51</v>
      </c>
      <c r="C2791" t="str">
        <f t="shared" si="86"/>
        <v>"https://www.zeldadungeon.net/maps/totk/tiles/sky/6/60_15.jpg",</v>
      </c>
      <c r="H2791" t="str">
        <f t="shared" si="87"/>
        <v>60_15</v>
      </c>
    </row>
    <row r="2792" spans="1:8" x14ac:dyDescent="0.2">
      <c r="A2792" s="9" t="s">
        <v>51</v>
      </c>
      <c r="C2792" t="str">
        <f t="shared" si="86"/>
        <v>"https://www.zeldadungeon.net/maps/totk/tiles/sky/6/60_16.jpg",</v>
      </c>
      <c r="H2792" t="str">
        <f t="shared" si="87"/>
        <v>60_16</v>
      </c>
    </row>
    <row r="2793" spans="1:8" x14ac:dyDescent="0.2">
      <c r="A2793" s="9" t="s">
        <v>51</v>
      </c>
      <c r="C2793" t="str">
        <f t="shared" si="86"/>
        <v>"https://www.zeldadungeon.net/maps/totk/tiles/sky/6/60_17.jpg",</v>
      </c>
      <c r="H2793" t="str">
        <f t="shared" si="87"/>
        <v>60_17</v>
      </c>
    </row>
    <row r="2794" spans="1:8" x14ac:dyDescent="0.2">
      <c r="A2794" s="9" t="s">
        <v>51</v>
      </c>
      <c r="C2794" t="str">
        <f t="shared" si="86"/>
        <v>"https://www.zeldadungeon.net/maps/totk/tiles/sky/6/60_18.jpg",</v>
      </c>
      <c r="H2794" t="str">
        <f t="shared" si="87"/>
        <v>60_18</v>
      </c>
    </row>
    <row r="2795" spans="1:8" x14ac:dyDescent="0.2">
      <c r="A2795" s="9" t="s">
        <v>51</v>
      </c>
      <c r="C2795" t="str">
        <f t="shared" si="86"/>
        <v>"https://www.zeldadungeon.net/maps/totk/tiles/sky/6/60_19.jpg",</v>
      </c>
      <c r="H2795" t="str">
        <f t="shared" si="87"/>
        <v>60_19</v>
      </c>
    </row>
    <row r="2796" spans="1:8" x14ac:dyDescent="0.2">
      <c r="A2796" s="9" t="s">
        <v>51</v>
      </c>
      <c r="C2796" t="str">
        <f t="shared" si="86"/>
        <v>"https://www.zeldadungeon.net/maps/totk/tiles/sky/6/60_20.jpg",</v>
      </c>
      <c r="H2796" t="str">
        <f t="shared" si="87"/>
        <v>60_20</v>
      </c>
    </row>
    <row r="2797" spans="1:8" x14ac:dyDescent="0.2">
      <c r="A2797" s="9" t="s">
        <v>51</v>
      </c>
      <c r="C2797" t="str">
        <f t="shared" si="86"/>
        <v>"https://www.zeldadungeon.net/maps/totk/tiles/sky/6/60_21.jpg",</v>
      </c>
      <c r="H2797" t="str">
        <f t="shared" si="87"/>
        <v>60_21</v>
      </c>
    </row>
    <row r="2798" spans="1:8" x14ac:dyDescent="0.2">
      <c r="A2798" s="9" t="s">
        <v>51</v>
      </c>
      <c r="C2798" t="str">
        <f t="shared" si="86"/>
        <v>"https://www.zeldadungeon.net/maps/totk/tiles/sky/6/60_22.jpg",</v>
      </c>
      <c r="H2798" t="str">
        <f t="shared" si="87"/>
        <v>60_22</v>
      </c>
    </row>
    <row r="2799" spans="1:8" x14ac:dyDescent="0.2">
      <c r="A2799" s="9" t="s">
        <v>51</v>
      </c>
      <c r="C2799" t="str">
        <f t="shared" si="86"/>
        <v>"https://www.zeldadungeon.net/maps/totk/tiles/sky/6/60_23.jpg",</v>
      </c>
      <c r="H2799" t="str">
        <f t="shared" si="87"/>
        <v>60_23</v>
      </c>
    </row>
    <row r="2800" spans="1:8" x14ac:dyDescent="0.2">
      <c r="A2800" s="9" t="s">
        <v>51</v>
      </c>
      <c r="C2800" t="str">
        <f t="shared" si="86"/>
        <v>"https://www.zeldadungeon.net/maps/totk/tiles/sky/6/60_24.jpg",</v>
      </c>
      <c r="H2800" t="str">
        <f t="shared" si="87"/>
        <v>60_24</v>
      </c>
    </row>
    <row r="2801" spans="1:8" x14ac:dyDescent="0.2">
      <c r="A2801" s="9" t="s">
        <v>51</v>
      </c>
      <c r="C2801" t="str">
        <f t="shared" si="86"/>
        <v>"https://www.zeldadungeon.net/maps/totk/tiles/sky/6/60_25.jpg",</v>
      </c>
      <c r="H2801" t="str">
        <f t="shared" si="87"/>
        <v>60_25</v>
      </c>
    </row>
    <row r="2802" spans="1:8" x14ac:dyDescent="0.2">
      <c r="A2802" s="9" t="s">
        <v>51</v>
      </c>
      <c r="C2802" t="str">
        <f t="shared" si="86"/>
        <v>"https://www.zeldadungeon.net/maps/totk/tiles/sky/6/60_26.jpg",</v>
      </c>
      <c r="H2802" t="str">
        <f t="shared" si="87"/>
        <v>60_26</v>
      </c>
    </row>
    <row r="2803" spans="1:8" x14ac:dyDescent="0.2">
      <c r="A2803" s="9" t="s">
        <v>51</v>
      </c>
      <c r="C2803" t="str">
        <f t="shared" si="86"/>
        <v>"https://www.zeldadungeon.net/maps/totk/tiles/sky/6/60_27.jpg",</v>
      </c>
      <c r="H2803" t="str">
        <f t="shared" si="87"/>
        <v>60_27</v>
      </c>
    </row>
    <row r="2804" spans="1:8" x14ac:dyDescent="0.2">
      <c r="A2804" s="9" t="s">
        <v>51</v>
      </c>
      <c r="C2804" t="str">
        <f t="shared" si="86"/>
        <v>"https://www.zeldadungeon.net/maps/totk/tiles/sky/6/60_28.jpg",</v>
      </c>
      <c r="H2804" t="str">
        <f t="shared" si="87"/>
        <v>60_28</v>
      </c>
    </row>
    <row r="2805" spans="1:8" x14ac:dyDescent="0.2">
      <c r="A2805" s="9" t="s">
        <v>51</v>
      </c>
      <c r="C2805" t="str">
        <f t="shared" si="86"/>
        <v>"https://www.zeldadungeon.net/maps/totk/tiles/sky/6/60_29.jpg",</v>
      </c>
      <c r="H2805" t="str">
        <f t="shared" si="87"/>
        <v>60_29</v>
      </c>
    </row>
    <row r="2806" spans="1:8" x14ac:dyDescent="0.2">
      <c r="A2806" s="9" t="s">
        <v>51</v>
      </c>
      <c r="C2806" t="str">
        <f t="shared" si="86"/>
        <v>"https://www.zeldadungeon.net/maps/totk/tiles/sky/6/60_30.jpg",</v>
      </c>
      <c r="H2806" t="str">
        <f t="shared" si="87"/>
        <v>60_30</v>
      </c>
    </row>
    <row r="2807" spans="1:8" x14ac:dyDescent="0.2">
      <c r="A2807" s="9" t="s">
        <v>51</v>
      </c>
      <c r="C2807" t="str">
        <f t="shared" si="86"/>
        <v>"https://www.zeldadungeon.net/maps/totk/tiles/sky/6/60_31.jpg",</v>
      </c>
      <c r="H2807" t="str">
        <f t="shared" si="87"/>
        <v>60_31</v>
      </c>
    </row>
    <row r="2808" spans="1:8" x14ac:dyDescent="0.2">
      <c r="A2808" s="9" t="s">
        <v>51</v>
      </c>
      <c r="C2808" t="str">
        <f t="shared" si="86"/>
        <v>"https://www.zeldadungeon.net/maps/totk/tiles/sky/6/60_32.jpg",</v>
      </c>
      <c r="H2808" t="str">
        <f t="shared" si="87"/>
        <v>60_32</v>
      </c>
    </row>
    <row r="2809" spans="1:8" x14ac:dyDescent="0.2">
      <c r="A2809" s="9" t="s">
        <v>51</v>
      </c>
      <c r="C2809" t="str">
        <f t="shared" si="86"/>
        <v>"https://www.zeldadungeon.net/maps/totk/tiles/sky/6/60_33.jpg",</v>
      </c>
      <c r="H2809" t="str">
        <f t="shared" si="87"/>
        <v>60_33</v>
      </c>
    </row>
    <row r="2810" spans="1:8" x14ac:dyDescent="0.2">
      <c r="A2810" s="9" t="s">
        <v>51</v>
      </c>
      <c r="C2810" t="str">
        <f t="shared" si="86"/>
        <v>"https://www.zeldadungeon.net/maps/totk/tiles/sky/6/60_34.jpg",</v>
      </c>
      <c r="H2810" t="str">
        <f t="shared" si="87"/>
        <v>60_34</v>
      </c>
    </row>
    <row r="2811" spans="1:8" x14ac:dyDescent="0.2">
      <c r="A2811" s="9" t="s">
        <v>51</v>
      </c>
      <c r="C2811" t="str">
        <f t="shared" si="86"/>
        <v>"https://www.zeldadungeon.net/maps/totk/tiles/sky/6/60_35.jpg",</v>
      </c>
      <c r="H2811" t="str">
        <f t="shared" si="87"/>
        <v>60_35</v>
      </c>
    </row>
    <row r="2812" spans="1:8" x14ac:dyDescent="0.2">
      <c r="A2812" s="9" t="s">
        <v>51</v>
      </c>
      <c r="C2812" t="str">
        <f t="shared" si="86"/>
        <v>"https://www.zeldadungeon.net/maps/totk/tiles/sky/6/60_36.jpg",</v>
      </c>
      <c r="H2812" t="str">
        <f t="shared" si="87"/>
        <v>60_36</v>
      </c>
    </row>
    <row r="2813" spans="1:8" x14ac:dyDescent="0.2">
      <c r="A2813" s="9" t="s">
        <v>51</v>
      </c>
      <c r="C2813" t="str">
        <f t="shared" si="86"/>
        <v>"https://www.zeldadungeon.net/maps/totk/tiles/sky/6/60_37.jpg",</v>
      </c>
      <c r="H2813" t="str">
        <f t="shared" si="87"/>
        <v>60_37</v>
      </c>
    </row>
    <row r="2814" spans="1:8" x14ac:dyDescent="0.2">
      <c r="A2814" s="9" t="s">
        <v>51</v>
      </c>
      <c r="C2814" t="str">
        <f t="shared" si="86"/>
        <v>"https://www.zeldadungeon.net/maps/totk/tiles/sky/6/60_38.jpg",</v>
      </c>
      <c r="H2814" t="str">
        <f t="shared" si="87"/>
        <v>60_38</v>
      </c>
    </row>
    <row r="2815" spans="1:8" x14ac:dyDescent="0.2">
      <c r="A2815" s="9" t="s">
        <v>51</v>
      </c>
      <c r="C2815" t="str">
        <f t="shared" si="86"/>
        <v>"https://www.zeldadungeon.net/maps/totk/tiles/sky/6/60_39.jpg",</v>
      </c>
      <c r="H2815" t="str">
        <f t="shared" si="87"/>
        <v>60_39</v>
      </c>
    </row>
    <row r="2816" spans="1:8" x14ac:dyDescent="0.2">
      <c r="A2816" s="9" t="s">
        <v>51</v>
      </c>
      <c r="C2816" t="str">
        <f t="shared" si="86"/>
        <v>"https://www.zeldadungeon.net/maps/totk/tiles/sky/6/60_40.jpg",</v>
      </c>
      <c r="H2816" t="str">
        <f t="shared" si="87"/>
        <v>60_40</v>
      </c>
    </row>
    <row r="2817" spans="1:8" x14ac:dyDescent="0.2">
      <c r="A2817" s="9" t="s">
        <v>51</v>
      </c>
      <c r="C2817" t="str">
        <f t="shared" ref="C2817:C2879" si="88">""""&amp;SUBSTITUTE(A2817,"zzz",H2817)&amp;""""&amp;","</f>
        <v>"https://www.zeldadungeon.net/maps/totk/tiles/sky/6/60_41.jpg",</v>
      </c>
      <c r="H2817" t="str">
        <f t="shared" ref="H2817:H2879" si="89">QUOTIENT(ROW(A2817),48)+2&amp;"_"&amp;MOD(ROW(A2817),48)+8</f>
        <v>60_41</v>
      </c>
    </row>
    <row r="2818" spans="1:8" x14ac:dyDescent="0.2">
      <c r="A2818" s="9" t="s">
        <v>51</v>
      </c>
      <c r="C2818" t="str">
        <f t="shared" si="88"/>
        <v>"https://www.zeldadungeon.net/maps/totk/tiles/sky/6/60_42.jpg",</v>
      </c>
      <c r="H2818" t="str">
        <f t="shared" si="89"/>
        <v>60_42</v>
      </c>
    </row>
    <row r="2819" spans="1:8" x14ac:dyDescent="0.2">
      <c r="A2819" s="9" t="s">
        <v>51</v>
      </c>
      <c r="C2819" t="str">
        <f t="shared" si="88"/>
        <v>"https://www.zeldadungeon.net/maps/totk/tiles/sky/6/60_43.jpg",</v>
      </c>
      <c r="H2819" t="str">
        <f t="shared" si="89"/>
        <v>60_43</v>
      </c>
    </row>
    <row r="2820" spans="1:8" x14ac:dyDescent="0.2">
      <c r="A2820" s="9" t="s">
        <v>51</v>
      </c>
      <c r="C2820" t="str">
        <f t="shared" si="88"/>
        <v>"https://www.zeldadungeon.net/maps/totk/tiles/sky/6/60_44.jpg",</v>
      </c>
      <c r="H2820" t="str">
        <f t="shared" si="89"/>
        <v>60_44</v>
      </c>
    </row>
    <row r="2821" spans="1:8" x14ac:dyDescent="0.2">
      <c r="A2821" s="9" t="s">
        <v>51</v>
      </c>
      <c r="C2821" t="str">
        <f t="shared" si="88"/>
        <v>"https://www.zeldadungeon.net/maps/totk/tiles/sky/6/60_45.jpg",</v>
      </c>
      <c r="H2821" t="str">
        <f t="shared" si="89"/>
        <v>60_45</v>
      </c>
    </row>
    <row r="2822" spans="1:8" x14ac:dyDescent="0.2">
      <c r="A2822" s="9" t="s">
        <v>51</v>
      </c>
      <c r="C2822" t="str">
        <f t="shared" si="88"/>
        <v>"https://www.zeldadungeon.net/maps/totk/tiles/sky/6/60_46.jpg",</v>
      </c>
      <c r="H2822" t="str">
        <f t="shared" si="89"/>
        <v>60_46</v>
      </c>
    </row>
    <row r="2823" spans="1:8" x14ac:dyDescent="0.2">
      <c r="A2823" s="9" t="s">
        <v>51</v>
      </c>
      <c r="C2823" t="str">
        <f t="shared" si="88"/>
        <v>"https://www.zeldadungeon.net/maps/totk/tiles/sky/6/60_47.jpg",</v>
      </c>
      <c r="H2823" t="str">
        <f t="shared" si="89"/>
        <v>60_47</v>
      </c>
    </row>
    <row r="2824" spans="1:8" x14ac:dyDescent="0.2">
      <c r="A2824" s="9" t="s">
        <v>51</v>
      </c>
      <c r="C2824" t="str">
        <f t="shared" si="88"/>
        <v>"https://www.zeldadungeon.net/maps/totk/tiles/sky/6/60_48.jpg",</v>
      </c>
      <c r="H2824" t="str">
        <f t="shared" si="89"/>
        <v>60_48</v>
      </c>
    </row>
    <row r="2825" spans="1:8" x14ac:dyDescent="0.2">
      <c r="A2825" s="9" t="s">
        <v>51</v>
      </c>
      <c r="C2825" t="str">
        <f t="shared" si="88"/>
        <v>"https://www.zeldadungeon.net/maps/totk/tiles/sky/6/60_49.jpg",</v>
      </c>
      <c r="H2825" t="str">
        <f t="shared" si="89"/>
        <v>60_49</v>
      </c>
    </row>
    <row r="2826" spans="1:8" x14ac:dyDescent="0.2">
      <c r="A2826" s="9" t="s">
        <v>51</v>
      </c>
      <c r="C2826" t="str">
        <f t="shared" si="88"/>
        <v>"https://www.zeldadungeon.net/maps/totk/tiles/sky/6/60_50.jpg",</v>
      </c>
      <c r="H2826" t="str">
        <f t="shared" si="89"/>
        <v>60_50</v>
      </c>
    </row>
    <row r="2827" spans="1:8" x14ac:dyDescent="0.2">
      <c r="A2827" s="9" t="s">
        <v>51</v>
      </c>
      <c r="C2827" t="str">
        <f t="shared" si="88"/>
        <v>"https://www.zeldadungeon.net/maps/totk/tiles/sky/6/60_51.jpg",</v>
      </c>
      <c r="H2827" t="str">
        <f t="shared" si="89"/>
        <v>60_51</v>
      </c>
    </row>
    <row r="2828" spans="1:8" x14ac:dyDescent="0.2">
      <c r="A2828" s="9" t="s">
        <v>51</v>
      </c>
      <c r="C2828" t="str">
        <f t="shared" si="88"/>
        <v>"https://www.zeldadungeon.net/maps/totk/tiles/sky/6/60_52.jpg",</v>
      </c>
      <c r="H2828" t="str">
        <f t="shared" si="89"/>
        <v>60_52</v>
      </c>
    </row>
    <row r="2829" spans="1:8" x14ac:dyDescent="0.2">
      <c r="A2829" s="9" t="s">
        <v>51</v>
      </c>
      <c r="C2829" t="str">
        <f t="shared" si="88"/>
        <v>"https://www.zeldadungeon.net/maps/totk/tiles/sky/6/60_53.jpg",</v>
      </c>
      <c r="H2829" t="str">
        <f t="shared" si="89"/>
        <v>60_53</v>
      </c>
    </row>
    <row r="2830" spans="1:8" x14ac:dyDescent="0.2">
      <c r="A2830" s="9" t="s">
        <v>51</v>
      </c>
      <c r="C2830" t="str">
        <f t="shared" si="88"/>
        <v>"https://www.zeldadungeon.net/maps/totk/tiles/sky/6/60_54.jpg",</v>
      </c>
      <c r="H2830" t="str">
        <f t="shared" si="89"/>
        <v>60_54</v>
      </c>
    </row>
    <row r="2831" spans="1:8" x14ac:dyDescent="0.2">
      <c r="A2831" s="9" t="s">
        <v>51</v>
      </c>
      <c r="C2831" t="str">
        <f t="shared" si="88"/>
        <v>"https://www.zeldadungeon.net/maps/totk/tiles/sky/6/60_55.jpg",</v>
      </c>
      <c r="H2831" t="str">
        <f t="shared" si="89"/>
        <v>60_55</v>
      </c>
    </row>
    <row r="2832" spans="1:8" x14ac:dyDescent="0.2">
      <c r="A2832" s="9" t="s">
        <v>51</v>
      </c>
      <c r="C2832" t="str">
        <f t="shared" si="88"/>
        <v>"https://www.zeldadungeon.net/maps/totk/tiles/sky/6/61_8.jpg",</v>
      </c>
      <c r="H2832" t="str">
        <f t="shared" si="89"/>
        <v>61_8</v>
      </c>
    </row>
    <row r="2833" spans="1:8" x14ac:dyDescent="0.2">
      <c r="A2833" s="9" t="s">
        <v>51</v>
      </c>
      <c r="C2833" t="str">
        <f t="shared" si="88"/>
        <v>"https://www.zeldadungeon.net/maps/totk/tiles/sky/6/61_9.jpg",</v>
      </c>
      <c r="H2833" t="str">
        <f t="shared" si="89"/>
        <v>61_9</v>
      </c>
    </row>
    <row r="2834" spans="1:8" x14ac:dyDescent="0.2">
      <c r="A2834" s="9" t="s">
        <v>51</v>
      </c>
      <c r="C2834" t="str">
        <f t="shared" si="88"/>
        <v>"https://www.zeldadungeon.net/maps/totk/tiles/sky/6/61_10.jpg",</v>
      </c>
      <c r="H2834" t="str">
        <f t="shared" si="89"/>
        <v>61_10</v>
      </c>
    </row>
    <row r="2835" spans="1:8" x14ac:dyDescent="0.2">
      <c r="A2835" s="9" t="s">
        <v>51</v>
      </c>
      <c r="C2835" t="str">
        <f t="shared" si="88"/>
        <v>"https://www.zeldadungeon.net/maps/totk/tiles/sky/6/61_11.jpg",</v>
      </c>
      <c r="H2835" t="str">
        <f t="shared" si="89"/>
        <v>61_11</v>
      </c>
    </row>
    <row r="2836" spans="1:8" x14ac:dyDescent="0.2">
      <c r="A2836" s="9" t="s">
        <v>51</v>
      </c>
      <c r="C2836" t="str">
        <f t="shared" si="88"/>
        <v>"https://www.zeldadungeon.net/maps/totk/tiles/sky/6/61_12.jpg",</v>
      </c>
      <c r="H2836" t="str">
        <f t="shared" si="89"/>
        <v>61_12</v>
      </c>
    </row>
    <row r="2837" spans="1:8" x14ac:dyDescent="0.2">
      <c r="A2837" s="9" t="s">
        <v>51</v>
      </c>
      <c r="C2837" t="str">
        <f t="shared" si="88"/>
        <v>"https://www.zeldadungeon.net/maps/totk/tiles/sky/6/61_13.jpg",</v>
      </c>
      <c r="H2837" t="str">
        <f t="shared" si="89"/>
        <v>61_13</v>
      </c>
    </row>
    <row r="2838" spans="1:8" x14ac:dyDescent="0.2">
      <c r="A2838" s="9" t="s">
        <v>51</v>
      </c>
      <c r="C2838" t="str">
        <f t="shared" si="88"/>
        <v>"https://www.zeldadungeon.net/maps/totk/tiles/sky/6/61_14.jpg",</v>
      </c>
      <c r="H2838" t="str">
        <f t="shared" si="89"/>
        <v>61_14</v>
      </c>
    </row>
    <row r="2839" spans="1:8" x14ac:dyDescent="0.2">
      <c r="A2839" s="9" t="s">
        <v>51</v>
      </c>
      <c r="C2839" t="str">
        <f t="shared" si="88"/>
        <v>"https://www.zeldadungeon.net/maps/totk/tiles/sky/6/61_15.jpg",</v>
      </c>
      <c r="H2839" t="str">
        <f t="shared" si="89"/>
        <v>61_15</v>
      </c>
    </row>
    <row r="2840" spans="1:8" x14ac:dyDescent="0.2">
      <c r="A2840" s="9" t="s">
        <v>51</v>
      </c>
      <c r="C2840" t="str">
        <f t="shared" si="88"/>
        <v>"https://www.zeldadungeon.net/maps/totk/tiles/sky/6/61_16.jpg",</v>
      </c>
      <c r="H2840" t="str">
        <f t="shared" si="89"/>
        <v>61_16</v>
      </c>
    </row>
    <row r="2841" spans="1:8" x14ac:dyDescent="0.2">
      <c r="A2841" s="9" t="s">
        <v>51</v>
      </c>
      <c r="C2841" t="str">
        <f t="shared" si="88"/>
        <v>"https://www.zeldadungeon.net/maps/totk/tiles/sky/6/61_17.jpg",</v>
      </c>
      <c r="H2841" t="str">
        <f t="shared" si="89"/>
        <v>61_17</v>
      </c>
    </row>
    <row r="2842" spans="1:8" x14ac:dyDescent="0.2">
      <c r="A2842" s="9" t="s">
        <v>51</v>
      </c>
      <c r="C2842" t="str">
        <f t="shared" si="88"/>
        <v>"https://www.zeldadungeon.net/maps/totk/tiles/sky/6/61_18.jpg",</v>
      </c>
      <c r="H2842" t="str">
        <f t="shared" si="89"/>
        <v>61_18</v>
      </c>
    </row>
    <row r="2843" spans="1:8" x14ac:dyDescent="0.2">
      <c r="A2843" s="9" t="s">
        <v>51</v>
      </c>
      <c r="C2843" t="str">
        <f t="shared" si="88"/>
        <v>"https://www.zeldadungeon.net/maps/totk/tiles/sky/6/61_19.jpg",</v>
      </c>
      <c r="H2843" t="str">
        <f t="shared" si="89"/>
        <v>61_19</v>
      </c>
    </row>
    <row r="2844" spans="1:8" x14ac:dyDescent="0.2">
      <c r="A2844" s="9" t="s">
        <v>51</v>
      </c>
      <c r="C2844" t="str">
        <f t="shared" si="88"/>
        <v>"https://www.zeldadungeon.net/maps/totk/tiles/sky/6/61_20.jpg",</v>
      </c>
      <c r="H2844" t="str">
        <f t="shared" si="89"/>
        <v>61_20</v>
      </c>
    </row>
    <row r="2845" spans="1:8" x14ac:dyDescent="0.2">
      <c r="A2845" s="9" t="s">
        <v>51</v>
      </c>
      <c r="C2845" t="str">
        <f t="shared" si="88"/>
        <v>"https://www.zeldadungeon.net/maps/totk/tiles/sky/6/61_21.jpg",</v>
      </c>
      <c r="H2845" t="str">
        <f t="shared" si="89"/>
        <v>61_21</v>
      </c>
    </row>
    <row r="2846" spans="1:8" x14ac:dyDescent="0.2">
      <c r="A2846" s="9" t="s">
        <v>51</v>
      </c>
      <c r="C2846" t="str">
        <f t="shared" si="88"/>
        <v>"https://www.zeldadungeon.net/maps/totk/tiles/sky/6/61_22.jpg",</v>
      </c>
      <c r="H2846" t="str">
        <f t="shared" si="89"/>
        <v>61_22</v>
      </c>
    </row>
    <row r="2847" spans="1:8" x14ac:dyDescent="0.2">
      <c r="A2847" s="9" t="s">
        <v>51</v>
      </c>
      <c r="C2847" t="str">
        <f t="shared" si="88"/>
        <v>"https://www.zeldadungeon.net/maps/totk/tiles/sky/6/61_23.jpg",</v>
      </c>
      <c r="H2847" t="str">
        <f t="shared" si="89"/>
        <v>61_23</v>
      </c>
    </row>
    <row r="2848" spans="1:8" x14ac:dyDescent="0.2">
      <c r="A2848" s="9" t="s">
        <v>51</v>
      </c>
      <c r="C2848" t="str">
        <f t="shared" si="88"/>
        <v>"https://www.zeldadungeon.net/maps/totk/tiles/sky/6/61_24.jpg",</v>
      </c>
      <c r="H2848" t="str">
        <f t="shared" si="89"/>
        <v>61_24</v>
      </c>
    </row>
    <row r="2849" spans="1:8" x14ac:dyDescent="0.2">
      <c r="A2849" s="9" t="s">
        <v>51</v>
      </c>
      <c r="C2849" t="str">
        <f t="shared" si="88"/>
        <v>"https://www.zeldadungeon.net/maps/totk/tiles/sky/6/61_25.jpg",</v>
      </c>
      <c r="H2849" t="str">
        <f t="shared" si="89"/>
        <v>61_25</v>
      </c>
    </row>
    <row r="2850" spans="1:8" x14ac:dyDescent="0.2">
      <c r="A2850" s="9" t="s">
        <v>51</v>
      </c>
      <c r="C2850" t="str">
        <f t="shared" si="88"/>
        <v>"https://www.zeldadungeon.net/maps/totk/tiles/sky/6/61_26.jpg",</v>
      </c>
      <c r="H2850" t="str">
        <f t="shared" si="89"/>
        <v>61_26</v>
      </c>
    </row>
    <row r="2851" spans="1:8" x14ac:dyDescent="0.2">
      <c r="A2851" s="9" t="s">
        <v>51</v>
      </c>
      <c r="C2851" t="str">
        <f t="shared" si="88"/>
        <v>"https://www.zeldadungeon.net/maps/totk/tiles/sky/6/61_27.jpg",</v>
      </c>
      <c r="H2851" t="str">
        <f t="shared" si="89"/>
        <v>61_27</v>
      </c>
    </row>
    <row r="2852" spans="1:8" x14ac:dyDescent="0.2">
      <c r="A2852" s="9" t="s">
        <v>51</v>
      </c>
      <c r="C2852" t="str">
        <f t="shared" si="88"/>
        <v>"https://www.zeldadungeon.net/maps/totk/tiles/sky/6/61_28.jpg",</v>
      </c>
      <c r="H2852" t="str">
        <f t="shared" si="89"/>
        <v>61_28</v>
      </c>
    </row>
    <row r="2853" spans="1:8" x14ac:dyDescent="0.2">
      <c r="A2853" s="9" t="s">
        <v>51</v>
      </c>
      <c r="C2853" t="str">
        <f t="shared" si="88"/>
        <v>"https://www.zeldadungeon.net/maps/totk/tiles/sky/6/61_29.jpg",</v>
      </c>
      <c r="H2853" t="str">
        <f t="shared" si="89"/>
        <v>61_29</v>
      </c>
    </row>
    <row r="2854" spans="1:8" x14ac:dyDescent="0.2">
      <c r="A2854" s="9" t="s">
        <v>51</v>
      </c>
      <c r="C2854" t="str">
        <f t="shared" si="88"/>
        <v>"https://www.zeldadungeon.net/maps/totk/tiles/sky/6/61_30.jpg",</v>
      </c>
      <c r="H2854" t="str">
        <f t="shared" si="89"/>
        <v>61_30</v>
      </c>
    </row>
    <row r="2855" spans="1:8" x14ac:dyDescent="0.2">
      <c r="A2855" s="9" t="s">
        <v>51</v>
      </c>
      <c r="C2855" t="str">
        <f t="shared" si="88"/>
        <v>"https://www.zeldadungeon.net/maps/totk/tiles/sky/6/61_31.jpg",</v>
      </c>
      <c r="H2855" t="str">
        <f t="shared" si="89"/>
        <v>61_31</v>
      </c>
    </row>
    <row r="2856" spans="1:8" x14ac:dyDescent="0.2">
      <c r="A2856" s="9" t="s">
        <v>51</v>
      </c>
      <c r="C2856" t="str">
        <f t="shared" si="88"/>
        <v>"https://www.zeldadungeon.net/maps/totk/tiles/sky/6/61_32.jpg",</v>
      </c>
      <c r="H2856" t="str">
        <f t="shared" si="89"/>
        <v>61_32</v>
      </c>
    </row>
    <row r="2857" spans="1:8" x14ac:dyDescent="0.2">
      <c r="A2857" s="9" t="s">
        <v>51</v>
      </c>
      <c r="C2857" t="str">
        <f t="shared" si="88"/>
        <v>"https://www.zeldadungeon.net/maps/totk/tiles/sky/6/61_33.jpg",</v>
      </c>
      <c r="H2857" t="str">
        <f t="shared" si="89"/>
        <v>61_33</v>
      </c>
    </row>
    <row r="2858" spans="1:8" x14ac:dyDescent="0.2">
      <c r="A2858" s="9" t="s">
        <v>51</v>
      </c>
      <c r="C2858" t="str">
        <f t="shared" si="88"/>
        <v>"https://www.zeldadungeon.net/maps/totk/tiles/sky/6/61_34.jpg",</v>
      </c>
      <c r="H2858" t="str">
        <f t="shared" si="89"/>
        <v>61_34</v>
      </c>
    </row>
    <row r="2859" spans="1:8" x14ac:dyDescent="0.2">
      <c r="A2859" s="9" t="s">
        <v>51</v>
      </c>
      <c r="C2859" t="str">
        <f t="shared" si="88"/>
        <v>"https://www.zeldadungeon.net/maps/totk/tiles/sky/6/61_35.jpg",</v>
      </c>
      <c r="H2859" t="str">
        <f t="shared" si="89"/>
        <v>61_35</v>
      </c>
    </row>
    <row r="2860" spans="1:8" x14ac:dyDescent="0.2">
      <c r="A2860" s="9" t="s">
        <v>51</v>
      </c>
      <c r="C2860" t="str">
        <f t="shared" si="88"/>
        <v>"https://www.zeldadungeon.net/maps/totk/tiles/sky/6/61_36.jpg",</v>
      </c>
      <c r="H2860" t="str">
        <f t="shared" si="89"/>
        <v>61_36</v>
      </c>
    </row>
    <row r="2861" spans="1:8" x14ac:dyDescent="0.2">
      <c r="A2861" s="9" t="s">
        <v>51</v>
      </c>
      <c r="C2861" t="str">
        <f t="shared" si="88"/>
        <v>"https://www.zeldadungeon.net/maps/totk/tiles/sky/6/61_37.jpg",</v>
      </c>
      <c r="H2861" t="str">
        <f t="shared" si="89"/>
        <v>61_37</v>
      </c>
    </row>
    <row r="2862" spans="1:8" x14ac:dyDescent="0.2">
      <c r="A2862" s="9" t="s">
        <v>51</v>
      </c>
      <c r="C2862" t="str">
        <f t="shared" si="88"/>
        <v>"https://www.zeldadungeon.net/maps/totk/tiles/sky/6/61_38.jpg",</v>
      </c>
      <c r="H2862" t="str">
        <f t="shared" si="89"/>
        <v>61_38</v>
      </c>
    </row>
    <row r="2863" spans="1:8" x14ac:dyDescent="0.2">
      <c r="A2863" s="9" t="s">
        <v>51</v>
      </c>
      <c r="C2863" t="str">
        <f t="shared" si="88"/>
        <v>"https://www.zeldadungeon.net/maps/totk/tiles/sky/6/61_39.jpg",</v>
      </c>
      <c r="H2863" t="str">
        <f t="shared" si="89"/>
        <v>61_39</v>
      </c>
    </row>
    <row r="2864" spans="1:8" x14ac:dyDescent="0.2">
      <c r="A2864" s="9" t="s">
        <v>51</v>
      </c>
      <c r="C2864" t="str">
        <f t="shared" si="88"/>
        <v>"https://www.zeldadungeon.net/maps/totk/tiles/sky/6/61_40.jpg",</v>
      </c>
      <c r="H2864" t="str">
        <f t="shared" si="89"/>
        <v>61_40</v>
      </c>
    </row>
    <row r="2865" spans="1:8" x14ac:dyDescent="0.2">
      <c r="A2865" s="9" t="s">
        <v>51</v>
      </c>
      <c r="C2865" t="str">
        <f t="shared" si="88"/>
        <v>"https://www.zeldadungeon.net/maps/totk/tiles/sky/6/61_41.jpg",</v>
      </c>
      <c r="H2865" t="str">
        <f t="shared" si="89"/>
        <v>61_41</v>
      </c>
    </row>
    <row r="2866" spans="1:8" x14ac:dyDescent="0.2">
      <c r="A2866" s="9" t="s">
        <v>51</v>
      </c>
      <c r="C2866" t="str">
        <f t="shared" si="88"/>
        <v>"https://www.zeldadungeon.net/maps/totk/tiles/sky/6/61_42.jpg",</v>
      </c>
      <c r="H2866" t="str">
        <f t="shared" si="89"/>
        <v>61_42</v>
      </c>
    </row>
    <row r="2867" spans="1:8" x14ac:dyDescent="0.2">
      <c r="A2867" s="9" t="s">
        <v>51</v>
      </c>
      <c r="C2867" t="str">
        <f t="shared" si="88"/>
        <v>"https://www.zeldadungeon.net/maps/totk/tiles/sky/6/61_43.jpg",</v>
      </c>
      <c r="H2867" t="str">
        <f t="shared" si="89"/>
        <v>61_43</v>
      </c>
    </row>
    <row r="2868" spans="1:8" x14ac:dyDescent="0.2">
      <c r="A2868" s="9" t="s">
        <v>51</v>
      </c>
      <c r="C2868" t="str">
        <f t="shared" si="88"/>
        <v>"https://www.zeldadungeon.net/maps/totk/tiles/sky/6/61_44.jpg",</v>
      </c>
      <c r="H2868" t="str">
        <f t="shared" si="89"/>
        <v>61_44</v>
      </c>
    </row>
    <row r="2869" spans="1:8" x14ac:dyDescent="0.2">
      <c r="A2869" s="9" t="s">
        <v>51</v>
      </c>
      <c r="C2869" t="str">
        <f t="shared" si="88"/>
        <v>"https://www.zeldadungeon.net/maps/totk/tiles/sky/6/61_45.jpg",</v>
      </c>
      <c r="H2869" t="str">
        <f t="shared" si="89"/>
        <v>61_45</v>
      </c>
    </row>
    <row r="2870" spans="1:8" x14ac:dyDescent="0.2">
      <c r="A2870" s="9" t="s">
        <v>51</v>
      </c>
      <c r="C2870" t="str">
        <f t="shared" si="88"/>
        <v>"https://www.zeldadungeon.net/maps/totk/tiles/sky/6/61_46.jpg",</v>
      </c>
      <c r="H2870" t="str">
        <f t="shared" si="89"/>
        <v>61_46</v>
      </c>
    </row>
    <row r="2871" spans="1:8" x14ac:dyDescent="0.2">
      <c r="A2871" s="9" t="s">
        <v>51</v>
      </c>
      <c r="C2871" t="str">
        <f t="shared" si="88"/>
        <v>"https://www.zeldadungeon.net/maps/totk/tiles/sky/6/61_47.jpg",</v>
      </c>
      <c r="H2871" t="str">
        <f t="shared" si="89"/>
        <v>61_47</v>
      </c>
    </row>
    <row r="2872" spans="1:8" x14ac:dyDescent="0.2">
      <c r="A2872" s="9" t="s">
        <v>51</v>
      </c>
      <c r="C2872" t="str">
        <f t="shared" si="88"/>
        <v>"https://www.zeldadungeon.net/maps/totk/tiles/sky/6/61_48.jpg",</v>
      </c>
      <c r="H2872" t="str">
        <f t="shared" si="89"/>
        <v>61_48</v>
      </c>
    </row>
    <row r="2873" spans="1:8" x14ac:dyDescent="0.2">
      <c r="A2873" s="9" t="s">
        <v>51</v>
      </c>
      <c r="C2873" t="str">
        <f t="shared" si="88"/>
        <v>"https://www.zeldadungeon.net/maps/totk/tiles/sky/6/61_49.jpg",</v>
      </c>
      <c r="H2873" t="str">
        <f t="shared" si="89"/>
        <v>61_49</v>
      </c>
    </row>
    <row r="2874" spans="1:8" x14ac:dyDescent="0.2">
      <c r="A2874" s="9" t="s">
        <v>51</v>
      </c>
      <c r="C2874" t="str">
        <f t="shared" si="88"/>
        <v>"https://www.zeldadungeon.net/maps/totk/tiles/sky/6/61_50.jpg",</v>
      </c>
      <c r="H2874" t="str">
        <f t="shared" si="89"/>
        <v>61_50</v>
      </c>
    </row>
    <row r="2875" spans="1:8" x14ac:dyDescent="0.2">
      <c r="A2875" s="9" t="s">
        <v>51</v>
      </c>
      <c r="C2875" t="str">
        <f t="shared" si="88"/>
        <v>"https://www.zeldadungeon.net/maps/totk/tiles/sky/6/61_51.jpg",</v>
      </c>
      <c r="H2875" t="str">
        <f t="shared" si="89"/>
        <v>61_51</v>
      </c>
    </row>
    <row r="2876" spans="1:8" x14ac:dyDescent="0.2">
      <c r="A2876" s="9" t="s">
        <v>51</v>
      </c>
      <c r="C2876" t="str">
        <f t="shared" si="88"/>
        <v>"https://www.zeldadungeon.net/maps/totk/tiles/sky/6/61_52.jpg",</v>
      </c>
      <c r="H2876" t="str">
        <f t="shared" si="89"/>
        <v>61_52</v>
      </c>
    </row>
    <row r="2877" spans="1:8" x14ac:dyDescent="0.2">
      <c r="A2877" s="9" t="s">
        <v>51</v>
      </c>
      <c r="C2877" t="str">
        <f t="shared" si="88"/>
        <v>"https://www.zeldadungeon.net/maps/totk/tiles/sky/6/61_53.jpg",</v>
      </c>
      <c r="H2877" t="str">
        <f t="shared" si="89"/>
        <v>61_53</v>
      </c>
    </row>
    <row r="2878" spans="1:8" x14ac:dyDescent="0.2">
      <c r="A2878" s="9" t="s">
        <v>51</v>
      </c>
      <c r="C2878" t="str">
        <f t="shared" si="88"/>
        <v>"https://www.zeldadungeon.net/maps/totk/tiles/sky/6/61_54.jpg",</v>
      </c>
      <c r="H2878" t="str">
        <f t="shared" si="89"/>
        <v>61_54</v>
      </c>
    </row>
    <row r="2879" spans="1:8" x14ac:dyDescent="0.2">
      <c r="A2879" s="9" t="s">
        <v>51</v>
      </c>
      <c r="C2879" t="str">
        <f t="shared" si="88"/>
        <v>"https://www.zeldadungeon.net/maps/totk/tiles/sky/6/61_55.jpg",</v>
      </c>
      <c r="H2879" t="str">
        <f t="shared" si="89"/>
        <v>61_55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792ED-274A-224B-BA43-D6440643BF06}">
  <sheetPr codeName="Sheet19"/>
  <dimension ref="A1:AG52"/>
  <sheetViews>
    <sheetView workbookViewId="0">
      <selection activeCell="AD10" sqref="AD10"/>
    </sheetView>
  </sheetViews>
  <sheetFormatPr baseColWidth="10" defaultRowHeight="16" x14ac:dyDescent="0.2"/>
  <cols>
    <col min="1" max="5" width="10.83203125" style="2"/>
    <col min="6" max="6" width="5" style="2" customWidth="1"/>
    <col min="7" max="11" width="10.83203125" style="2"/>
    <col min="12" max="13" width="11" style="2" bestFit="1" customWidth="1"/>
    <col min="14" max="15" width="13.33203125" style="2" bestFit="1" customWidth="1"/>
    <col min="16" max="17" width="11" style="2" bestFit="1" customWidth="1"/>
    <col min="18" max="19" width="13.33203125" style="2" bestFit="1" customWidth="1"/>
    <col min="20" max="27" width="10.83203125" style="2"/>
    <col min="28" max="28" width="10.83203125" style="2" customWidth="1"/>
    <col min="29" max="29" width="10.83203125" style="2"/>
    <col min="30" max="30" width="33.6640625" style="2" bestFit="1" customWidth="1"/>
    <col min="31" max="16384" width="10.83203125" style="2"/>
  </cols>
  <sheetData>
    <row r="1" spans="1:33" s="4" customFormat="1" x14ac:dyDescent="0.2">
      <c r="A1" s="4" t="s">
        <v>8</v>
      </c>
      <c r="B1" s="4" t="s">
        <v>7</v>
      </c>
      <c r="C1" s="4" t="s">
        <v>33</v>
      </c>
      <c r="D1" s="4" t="s">
        <v>5</v>
      </c>
      <c r="E1" s="4" t="s">
        <v>32</v>
      </c>
      <c r="L1" s="4" t="s">
        <v>50</v>
      </c>
      <c r="M1" s="4" t="s">
        <v>49</v>
      </c>
      <c r="N1" s="4" t="s">
        <v>48</v>
      </c>
      <c r="O1" s="4" t="s">
        <v>47</v>
      </c>
      <c r="P1" s="4" t="s">
        <v>46</v>
      </c>
      <c r="Q1" s="4" t="s">
        <v>45</v>
      </c>
      <c r="R1" s="4" t="s">
        <v>44</v>
      </c>
      <c r="S1" s="4" t="s">
        <v>43</v>
      </c>
      <c r="T1" s="4" t="s">
        <v>42</v>
      </c>
      <c r="U1" s="4" t="s">
        <v>41</v>
      </c>
      <c r="V1" s="4" t="s">
        <v>40</v>
      </c>
      <c r="W1" s="4" t="s">
        <v>39</v>
      </c>
      <c r="X1" s="4" t="s">
        <v>38</v>
      </c>
      <c r="Y1" s="4" t="s">
        <v>37</v>
      </c>
      <c r="Z1" s="4" t="s">
        <v>36</v>
      </c>
      <c r="AA1" s="4" t="s">
        <v>35</v>
      </c>
      <c r="AB1" s="4" t="s">
        <v>2062</v>
      </c>
      <c r="AC1" s="4" t="s">
        <v>2063</v>
      </c>
      <c r="AD1" s="4" t="s">
        <v>2073</v>
      </c>
      <c r="AE1" s="4" t="s">
        <v>8</v>
      </c>
    </row>
    <row r="2" spans="1:33" x14ac:dyDescent="0.2">
      <c r="A2" s="3">
        <v>1</v>
      </c>
      <c r="K2" s="2">
        <v>1</v>
      </c>
      <c r="L2" s="8">
        <v>2756</v>
      </c>
      <c r="M2" s="8">
        <v>1463</v>
      </c>
      <c r="N2" s="8">
        <v>-43</v>
      </c>
      <c r="O2" s="8">
        <v>528</v>
      </c>
      <c r="P2" s="8">
        <v>1653</v>
      </c>
      <c r="Q2" s="8">
        <v>986</v>
      </c>
      <c r="R2" s="8">
        <v>-778</v>
      </c>
      <c r="S2" s="8">
        <v>846</v>
      </c>
      <c r="T2" s="8">
        <f>L2-P2</f>
        <v>1103</v>
      </c>
      <c r="U2" s="8">
        <f>M2-Q2</f>
        <v>477</v>
      </c>
      <c r="V2" s="8">
        <f>N2-R2</f>
        <v>735</v>
      </c>
      <c r="W2" s="8">
        <f>O2-S2</f>
        <v>-318</v>
      </c>
      <c r="X2" s="2">
        <f>ABS(V2)/ABS(T2)</f>
        <v>0.6663644605621033</v>
      </c>
      <c r="Y2" s="2">
        <f>ABS(W2)/ABS(U2)</f>
        <v>0.66666666666666663</v>
      </c>
      <c r="Z2" s="2">
        <f>AVERAGE(N2-L2*0.666666666,R2-P2*0.666666666)</f>
        <v>-1880.1666651969999</v>
      </c>
      <c r="AA2" s="2">
        <f>AVERAGE(O2+M2*0.666666666,S2+Q2*0.666666666)</f>
        <v>1503.3333325170001</v>
      </c>
      <c r="AB2" s="2">
        <f>(N2-L2*0.666666666)-(R2-P2*0.666666666)</f>
        <v>-0.33333259799996995</v>
      </c>
      <c r="AC2" s="2">
        <f>(O2+M2*0.666666666)-(S2+Q2*0.666666666)</f>
        <v>-3.1800004762772005E-7</v>
      </c>
      <c r="AD2" s="7" t="str">
        <f>"gameStartX: "&amp;ROUND(Z2,0)&amp;", gameStartY: "&amp;ROUND(AA2,0)&amp;" },"</f>
        <v>gameStartX: -1880, gameStartY: 1503 },</v>
      </c>
      <c r="AE2" t="s">
        <v>2064</v>
      </c>
      <c r="AF2"/>
      <c r="AG2"/>
    </row>
    <row r="3" spans="1:33" x14ac:dyDescent="0.2">
      <c r="A3" s="3">
        <v>2</v>
      </c>
      <c r="K3" s="2">
        <v>2</v>
      </c>
      <c r="L3" s="8">
        <v>2915</v>
      </c>
      <c r="M3" s="8">
        <v>2371</v>
      </c>
      <c r="N3" s="8">
        <v>-1251</v>
      </c>
      <c r="O3" s="8">
        <v>-1392</v>
      </c>
      <c r="P3" s="8">
        <v>2813</v>
      </c>
      <c r="Q3" s="8">
        <v>1431</v>
      </c>
      <c r="R3" s="8">
        <v>-1319</v>
      </c>
      <c r="S3" s="8">
        <v>-765</v>
      </c>
      <c r="T3" s="8">
        <f t="shared" ref="T3:T4" si="0">L3-P3</f>
        <v>102</v>
      </c>
      <c r="U3" s="8">
        <f t="shared" ref="U3:U4" si="1">M3-Q3</f>
        <v>940</v>
      </c>
      <c r="V3" s="8">
        <f t="shared" ref="V3:V4" si="2">N3-R3</f>
        <v>68</v>
      </c>
      <c r="W3" s="8">
        <f t="shared" ref="W3:W4" si="3">O3-S3</f>
        <v>-627</v>
      </c>
      <c r="X3" s="2">
        <f>ABS(V3)/ABS(T3)</f>
        <v>0.66666666666666663</v>
      </c>
      <c r="Y3" s="2">
        <f t="shared" ref="Y3:Y4" si="4">ABS(W3)/ABS(U3)</f>
        <v>0.66702127659574473</v>
      </c>
      <c r="Z3" s="2">
        <f t="shared" ref="Z3:Z16" si="5">AVERAGE(N3-L3*0.666666666,R3-P3*0.666666666)</f>
        <v>-3194.3333314239999</v>
      </c>
      <c r="AA3" s="2">
        <f t="shared" ref="AA3:AA16" si="6">AVERAGE(O3+M3*0.666666666,S3+Q3*0.666666666)</f>
        <v>188.83333206599997</v>
      </c>
      <c r="AB3" s="2">
        <f t="shared" ref="AB3:AB16" si="7">(N3-L3*0.666666666)-(R3-P3*0.666666666)</f>
        <v>6.7999735620105639E-8</v>
      </c>
      <c r="AC3" s="2">
        <f t="shared" ref="AC3:AC16" si="8">(O3+M3*0.666666666)-(S3+Q3*0.666666666)</f>
        <v>-0.33333396000000448</v>
      </c>
      <c r="AD3" s="7" t="str">
        <f t="shared" ref="AD3:AD16" si="9">"gameStartX: "&amp;ROUND(Z3,0)&amp;", gameStartY: "&amp;ROUND(AA3,0)&amp;" },"</f>
        <v>gameStartX: -3194, gameStartY: 189 },</v>
      </c>
      <c r="AE3" t="s">
        <v>2065</v>
      </c>
      <c r="AF3"/>
      <c r="AG3"/>
    </row>
    <row r="4" spans="1:33" x14ac:dyDescent="0.2">
      <c r="A4" s="3">
        <v>3</v>
      </c>
      <c r="K4" s="2">
        <v>3</v>
      </c>
      <c r="L4" s="8">
        <v>3905</v>
      </c>
      <c r="M4" s="8">
        <v>2642</v>
      </c>
      <c r="N4" s="8">
        <v>-1909</v>
      </c>
      <c r="O4" s="8">
        <v>1247</v>
      </c>
      <c r="P4" s="8">
        <v>3330</v>
      </c>
      <c r="Q4" s="8">
        <v>3158</v>
      </c>
      <c r="R4" s="8">
        <v>-2292</v>
      </c>
      <c r="S4" s="8">
        <v>903</v>
      </c>
      <c r="T4" s="8">
        <f t="shared" si="0"/>
        <v>575</v>
      </c>
      <c r="U4" s="8">
        <f t="shared" si="1"/>
        <v>-516</v>
      </c>
      <c r="V4" s="8">
        <f t="shared" si="2"/>
        <v>383</v>
      </c>
      <c r="W4" s="8">
        <f t="shared" si="3"/>
        <v>344</v>
      </c>
      <c r="X4" s="2">
        <f t="shared" ref="X4" si="10">ABS(V4)/ABS(T4)</f>
        <v>0.6660869565217391</v>
      </c>
      <c r="Y4" s="2">
        <f t="shared" si="4"/>
        <v>0.66666666666666663</v>
      </c>
      <c r="Z4" s="2">
        <f t="shared" si="5"/>
        <v>-4512.1666642549999</v>
      </c>
      <c r="AA4" s="2">
        <f t="shared" si="6"/>
        <v>3008.3333314000001</v>
      </c>
      <c r="AB4" s="2">
        <f t="shared" si="7"/>
        <v>-0.33333295000011276</v>
      </c>
      <c r="AC4" s="2">
        <f t="shared" si="8"/>
        <v>3.4400000004097819E-7</v>
      </c>
      <c r="AD4" s="7" t="str">
        <f t="shared" si="9"/>
        <v>gameStartX: -4512, gameStartY: 3008 },</v>
      </c>
      <c r="AE4" t="s">
        <v>787</v>
      </c>
      <c r="AF4"/>
      <c r="AG4"/>
    </row>
    <row r="5" spans="1:33" x14ac:dyDescent="0.2">
      <c r="A5" s="3">
        <v>4</v>
      </c>
      <c r="B5" s="2">
        <v>2</v>
      </c>
      <c r="C5" s="2">
        <v>7</v>
      </c>
      <c r="D5" s="2">
        <v>1</v>
      </c>
      <c r="E5" s="2">
        <v>8</v>
      </c>
      <c r="K5" s="2">
        <v>4</v>
      </c>
      <c r="L5" s="8">
        <v>1445</v>
      </c>
      <c r="M5" s="8">
        <v>2017</v>
      </c>
      <c r="N5" s="8">
        <v>-3924</v>
      </c>
      <c r="O5" s="8">
        <v>2790</v>
      </c>
      <c r="P5" s="8">
        <v>2702</v>
      </c>
      <c r="Q5" s="8">
        <v>3023</v>
      </c>
      <c r="R5" s="8">
        <v>-3087</v>
      </c>
      <c r="S5" s="8">
        <v>2120</v>
      </c>
      <c r="T5" s="8">
        <f>L5-P5</f>
        <v>-1257</v>
      </c>
      <c r="U5" s="8">
        <f>M5-Q5</f>
        <v>-1006</v>
      </c>
      <c r="V5" s="8">
        <f>N5-R5</f>
        <v>-837</v>
      </c>
      <c r="W5" s="8">
        <f>O5-S5</f>
        <v>670</v>
      </c>
      <c r="X5" s="2">
        <f>ABS(V5)/ABS(T5)</f>
        <v>0.66587112171837703</v>
      </c>
      <c r="Y5" s="2">
        <f>ABS(W5)/ABS(U5)</f>
        <v>0.66600397614314111</v>
      </c>
      <c r="Z5" s="2">
        <f t="shared" si="5"/>
        <v>-4887.8333319510002</v>
      </c>
      <c r="AA5" s="2">
        <f t="shared" si="6"/>
        <v>4134.9999983199996</v>
      </c>
      <c r="AB5" s="2">
        <f t="shared" si="7"/>
        <v>0.99999916199976724</v>
      </c>
      <c r="AC5" s="2">
        <f t="shared" si="8"/>
        <v>-0.66666599600011978</v>
      </c>
      <c r="AD5" s="7" t="str">
        <f t="shared" si="9"/>
        <v>gameStartX: -4888, gameStartY: 4135 },</v>
      </c>
      <c r="AE5" t="s">
        <v>800</v>
      </c>
      <c r="AF5"/>
      <c r="AG5"/>
    </row>
    <row r="6" spans="1:33" x14ac:dyDescent="0.2">
      <c r="A6" s="3">
        <v>5</v>
      </c>
      <c r="K6" s="2">
        <v>5</v>
      </c>
      <c r="L6" s="8">
        <v>3571</v>
      </c>
      <c r="M6" s="8">
        <v>902</v>
      </c>
      <c r="N6" s="8">
        <v>-815</v>
      </c>
      <c r="O6" s="8">
        <v>3535</v>
      </c>
      <c r="P6" s="8">
        <v>2894</v>
      </c>
      <c r="Q6" s="8">
        <v>1524</v>
      </c>
      <c r="R6" s="8">
        <v>-1267</v>
      </c>
      <c r="S6" s="8">
        <v>3120</v>
      </c>
      <c r="T6" s="8">
        <f t="shared" ref="T6:T16" si="11">L6-P6</f>
        <v>677</v>
      </c>
      <c r="U6" s="8">
        <f t="shared" ref="U6:U16" si="12">M6-Q6</f>
        <v>-622</v>
      </c>
      <c r="V6" s="8">
        <f t="shared" ref="V6:V16" si="13">N6-R6</f>
        <v>452</v>
      </c>
      <c r="W6" s="8">
        <f t="shared" ref="W6:W16" si="14">O6-S6</f>
        <v>415</v>
      </c>
      <c r="X6" s="2">
        <f t="shared" ref="X6:X16" si="15">ABS(V6)/ABS(T6)</f>
        <v>0.66765140324963068</v>
      </c>
      <c r="Y6" s="2">
        <f t="shared" ref="Y6:Y16" si="16">ABS(W6)/ABS(U6)</f>
        <v>0.66720257234726688</v>
      </c>
      <c r="Z6" s="2">
        <f t="shared" si="5"/>
        <v>-3195.9999978450001</v>
      </c>
      <c r="AA6" s="2">
        <f t="shared" si="6"/>
        <v>4136.1666658579998</v>
      </c>
      <c r="AB6" s="2">
        <f t="shared" si="7"/>
        <v>0.66666711800007761</v>
      </c>
      <c r="AC6" s="2">
        <f t="shared" si="8"/>
        <v>0.33333374799985904</v>
      </c>
      <c r="AD6" s="7" t="str">
        <f t="shared" si="9"/>
        <v>gameStartX: -3196, gameStartY: 4136 },</v>
      </c>
      <c r="AE6" t="s">
        <v>1653</v>
      </c>
      <c r="AF6"/>
      <c r="AG6"/>
    </row>
    <row r="7" spans="1:33" x14ac:dyDescent="0.2">
      <c r="A7" s="3">
        <v>6</v>
      </c>
      <c r="K7" s="2">
        <v>6</v>
      </c>
      <c r="L7" s="8">
        <v>1119</v>
      </c>
      <c r="M7" s="8">
        <v>2339</v>
      </c>
      <c r="N7" s="8">
        <v>-570</v>
      </c>
      <c r="O7" s="8">
        <v>2577</v>
      </c>
      <c r="P7" s="8">
        <v>1593</v>
      </c>
      <c r="Q7" s="8">
        <v>2955</v>
      </c>
      <c r="R7" s="8">
        <v>-253</v>
      </c>
      <c r="S7" s="8">
        <v>2165</v>
      </c>
      <c r="T7" s="8">
        <f>L7-P7</f>
        <v>-474</v>
      </c>
      <c r="U7" s="8">
        <f>M7-Q7</f>
        <v>-616</v>
      </c>
      <c r="V7" s="8">
        <f t="shared" si="13"/>
        <v>-317</v>
      </c>
      <c r="W7" s="8">
        <f t="shared" si="14"/>
        <v>412</v>
      </c>
      <c r="X7" s="2">
        <f>ABS(V7)/ABS(T7)</f>
        <v>0.66877637130801693</v>
      </c>
      <c r="Y7" s="2">
        <f t="shared" si="16"/>
        <v>0.66883116883116878</v>
      </c>
      <c r="Z7" s="2">
        <f t="shared" si="5"/>
        <v>-1315.499999096</v>
      </c>
      <c r="AA7" s="2">
        <f t="shared" si="6"/>
        <v>4135.6666649019999</v>
      </c>
      <c r="AB7" s="2">
        <f t="shared" si="7"/>
        <v>-1.0000003160000688</v>
      </c>
      <c r="AC7" s="2">
        <f t="shared" si="8"/>
        <v>1.3333337439999013</v>
      </c>
      <c r="AD7" s="7" t="str">
        <f t="shared" si="9"/>
        <v>gameStartX: -1315, gameStartY: 4136 },</v>
      </c>
      <c r="AE7" t="s">
        <v>789</v>
      </c>
      <c r="AF7"/>
      <c r="AG7"/>
    </row>
    <row r="8" spans="1:33" x14ac:dyDescent="0.2">
      <c r="A8" s="3">
        <v>7</v>
      </c>
      <c r="K8" s="2">
        <v>7</v>
      </c>
      <c r="L8" s="8">
        <v>2835</v>
      </c>
      <c r="M8" s="8">
        <v>1777</v>
      </c>
      <c r="N8" s="8">
        <v>2266</v>
      </c>
      <c r="O8" s="8">
        <v>2951</v>
      </c>
      <c r="P8" s="8">
        <v>3174</v>
      </c>
      <c r="Q8" s="8">
        <v>2818</v>
      </c>
      <c r="R8" s="8">
        <v>2492</v>
      </c>
      <c r="S8" s="8">
        <v>2257</v>
      </c>
      <c r="T8" s="8">
        <f t="shared" si="11"/>
        <v>-339</v>
      </c>
      <c r="U8" s="8">
        <f t="shared" si="12"/>
        <v>-1041</v>
      </c>
      <c r="V8" s="8">
        <f t="shared" si="13"/>
        <v>-226</v>
      </c>
      <c r="W8" s="8">
        <f t="shared" si="14"/>
        <v>694</v>
      </c>
      <c r="X8" s="2">
        <f t="shared" si="15"/>
        <v>0.66666666666666663</v>
      </c>
      <c r="Y8" s="2">
        <f t="shared" si="16"/>
        <v>0.66666666666666663</v>
      </c>
      <c r="Z8" s="2">
        <f t="shared" si="5"/>
        <v>376.00000200299996</v>
      </c>
      <c r="AA8" s="2">
        <f t="shared" si="6"/>
        <v>4135.6666651350006</v>
      </c>
      <c r="AB8" s="2">
        <f t="shared" si="7"/>
        <v>-2.2599988369620405E-7</v>
      </c>
      <c r="AC8" s="2">
        <f t="shared" si="8"/>
        <v>6.9399993662955239E-7</v>
      </c>
      <c r="AD8" s="7" t="str">
        <f t="shared" si="9"/>
        <v>gameStartX: 376, gameStartY: 4136 },</v>
      </c>
      <c r="AE8" t="s">
        <v>1239</v>
      </c>
      <c r="AF8"/>
      <c r="AG8"/>
    </row>
    <row r="9" spans="1:33" x14ac:dyDescent="0.2">
      <c r="A9" s="3">
        <v>8</v>
      </c>
      <c r="K9" s="2">
        <v>8</v>
      </c>
      <c r="L9" s="8">
        <v>2003</v>
      </c>
      <c r="M9" s="8">
        <v>3787</v>
      </c>
      <c r="N9" s="8">
        <v>3968</v>
      </c>
      <c r="O9" s="8">
        <v>1612</v>
      </c>
      <c r="P9" s="8">
        <v>966</v>
      </c>
      <c r="Q9" s="8">
        <v>1173</v>
      </c>
      <c r="R9" s="8">
        <v>3277</v>
      </c>
      <c r="S9" s="8">
        <v>3354</v>
      </c>
      <c r="T9" s="8">
        <f t="shared" si="11"/>
        <v>1037</v>
      </c>
      <c r="U9" s="8">
        <f t="shared" si="12"/>
        <v>2614</v>
      </c>
      <c r="V9" s="8">
        <f t="shared" si="13"/>
        <v>691</v>
      </c>
      <c r="W9" s="8">
        <f t="shared" si="14"/>
        <v>-1742</v>
      </c>
      <c r="X9" s="2">
        <f t="shared" si="15"/>
        <v>0.66634522661523621</v>
      </c>
      <c r="Y9" s="2">
        <f t="shared" si="16"/>
        <v>0.66641162968630452</v>
      </c>
      <c r="Z9" s="2">
        <f t="shared" si="5"/>
        <v>2632.8333343229997</v>
      </c>
      <c r="AA9" s="2">
        <f t="shared" si="6"/>
        <v>4136.3333316799999</v>
      </c>
      <c r="AB9" s="2">
        <f t="shared" si="7"/>
        <v>-0.33333264200018675</v>
      </c>
      <c r="AC9" s="2">
        <f t="shared" si="8"/>
        <v>0.66666492399963317</v>
      </c>
      <c r="AD9" s="7" t="str">
        <f t="shared" si="9"/>
        <v>gameStartX: 2633, gameStartY: 4136 },</v>
      </c>
      <c r="AE9" t="s">
        <v>1103</v>
      </c>
      <c r="AF9"/>
      <c r="AG9"/>
    </row>
    <row r="10" spans="1:33" x14ac:dyDescent="0.2">
      <c r="A10" s="3">
        <v>9</v>
      </c>
      <c r="K10" s="2">
        <v>9</v>
      </c>
      <c r="L10" s="8">
        <v>2702</v>
      </c>
      <c r="M10" s="8">
        <v>2102</v>
      </c>
      <c r="N10" s="8">
        <v>3305</v>
      </c>
      <c r="O10" s="8">
        <v>478</v>
      </c>
      <c r="P10" s="8">
        <v>1442</v>
      </c>
      <c r="Q10" s="8">
        <v>1666</v>
      </c>
      <c r="R10" s="8">
        <v>2465</v>
      </c>
      <c r="S10" s="8">
        <v>769</v>
      </c>
      <c r="T10" s="8">
        <f t="shared" si="11"/>
        <v>1260</v>
      </c>
      <c r="U10" s="8">
        <f t="shared" si="12"/>
        <v>436</v>
      </c>
      <c r="V10" s="8">
        <f t="shared" si="13"/>
        <v>840</v>
      </c>
      <c r="W10" s="8">
        <f t="shared" si="14"/>
        <v>-291</v>
      </c>
      <c r="X10" s="2">
        <f>ABS(V10)/ABS(T10)</f>
        <v>0.66666666666666663</v>
      </c>
      <c r="Y10" s="2">
        <f t="shared" si="16"/>
        <v>0.66743119266055051</v>
      </c>
      <c r="Z10" s="2">
        <f t="shared" si="5"/>
        <v>1503.666668048</v>
      </c>
      <c r="AA10" s="2">
        <f t="shared" si="6"/>
        <v>1879.4999987440001</v>
      </c>
      <c r="AB10" s="2">
        <f t="shared" si="7"/>
        <v>8.399997568631079E-7</v>
      </c>
      <c r="AC10" s="2">
        <f t="shared" si="8"/>
        <v>-0.33333362400003352</v>
      </c>
      <c r="AD10" s="7" t="str">
        <f t="shared" si="9"/>
        <v>gameStartX: 1504, gameStartY: 1879 },</v>
      </c>
      <c r="AE10" t="s">
        <v>2072</v>
      </c>
      <c r="AF10"/>
      <c r="AG10"/>
    </row>
    <row r="11" spans="1:33" x14ac:dyDescent="0.2">
      <c r="A11" s="3">
        <v>10</v>
      </c>
      <c r="K11" s="2">
        <v>10</v>
      </c>
      <c r="L11" s="8">
        <v>2692</v>
      </c>
      <c r="M11" s="8">
        <v>4611</v>
      </c>
      <c r="N11" s="8">
        <v>1795</v>
      </c>
      <c r="O11" s="8">
        <v>-1571</v>
      </c>
      <c r="P11" s="8">
        <v>3020</v>
      </c>
      <c r="Q11" s="8">
        <v>3372</v>
      </c>
      <c r="R11" s="8">
        <v>2014</v>
      </c>
      <c r="S11" s="8">
        <v>-745</v>
      </c>
      <c r="T11" s="8">
        <f t="shared" si="11"/>
        <v>-328</v>
      </c>
      <c r="U11" s="8">
        <f t="shared" si="12"/>
        <v>1239</v>
      </c>
      <c r="V11" s="8">
        <f t="shared" si="13"/>
        <v>-219</v>
      </c>
      <c r="W11" s="8">
        <f t="shared" si="14"/>
        <v>-826</v>
      </c>
      <c r="X11" s="2">
        <f t="shared" si="15"/>
        <v>0.66768292682926833</v>
      </c>
      <c r="Y11" s="2">
        <f t="shared" si="16"/>
        <v>0.66666666666666663</v>
      </c>
      <c r="Z11" s="2">
        <f t="shared" si="5"/>
        <v>0.50000190399998701</v>
      </c>
      <c r="AA11" s="2">
        <f t="shared" si="6"/>
        <v>1502.9999973390002</v>
      </c>
      <c r="AB11" s="2">
        <f t="shared" si="7"/>
        <v>-0.33333355199988546</v>
      </c>
      <c r="AC11" s="2">
        <f t="shared" si="8"/>
        <v>-8.2599990491871722E-7</v>
      </c>
      <c r="AD11" s="7" t="str">
        <f t="shared" si="9"/>
        <v>gameStartX: 1, gameStartY: 1503 },</v>
      </c>
      <c r="AE11" t="s">
        <v>2071</v>
      </c>
      <c r="AF11"/>
      <c r="AG11"/>
    </row>
    <row r="12" spans="1:33" x14ac:dyDescent="0.2">
      <c r="A12" s="3">
        <v>11</v>
      </c>
      <c r="K12" s="2">
        <v>11</v>
      </c>
      <c r="L12" s="8">
        <v>2807</v>
      </c>
      <c r="M12" s="8">
        <v>3071</v>
      </c>
      <c r="N12" s="8">
        <v>3751</v>
      </c>
      <c r="O12" s="8">
        <v>-2047</v>
      </c>
      <c r="P12" s="8">
        <v>2947</v>
      </c>
      <c r="Q12" s="8">
        <v>1972</v>
      </c>
      <c r="R12" s="8">
        <v>3844</v>
      </c>
      <c r="S12" s="8">
        <v>-1314</v>
      </c>
      <c r="T12" s="8">
        <f t="shared" si="11"/>
        <v>-140</v>
      </c>
      <c r="U12" s="8">
        <f t="shared" si="12"/>
        <v>1099</v>
      </c>
      <c r="V12" s="8">
        <f t="shared" si="13"/>
        <v>-93</v>
      </c>
      <c r="W12" s="8">
        <f t="shared" si="14"/>
        <v>-733</v>
      </c>
      <c r="X12" s="2">
        <f t="shared" si="15"/>
        <v>0.66428571428571426</v>
      </c>
      <c r="Y12" s="2">
        <f t="shared" si="16"/>
        <v>0.66696997270245673</v>
      </c>
      <c r="Z12" s="2">
        <f t="shared" si="5"/>
        <v>1879.5000019179997</v>
      </c>
      <c r="AA12" s="2">
        <f t="shared" si="6"/>
        <v>0.4999983190000421</v>
      </c>
      <c r="AB12" s="2">
        <f t="shared" si="7"/>
        <v>0.33333324000000175</v>
      </c>
      <c r="AC12" s="2">
        <f t="shared" si="8"/>
        <v>-0.33333406600013404</v>
      </c>
      <c r="AD12" s="7" t="str">
        <f t="shared" si="9"/>
        <v>gameStartX: 1880, gameStartY: 0 },</v>
      </c>
      <c r="AE12" t="s">
        <v>2067</v>
      </c>
      <c r="AF12"/>
      <c r="AG12"/>
    </row>
    <row r="13" spans="1:33" x14ac:dyDescent="0.2">
      <c r="A13" s="3">
        <v>12</v>
      </c>
      <c r="K13" s="2">
        <v>12</v>
      </c>
      <c r="L13" s="8">
        <v>3751</v>
      </c>
      <c r="M13" s="8">
        <v>3299</v>
      </c>
      <c r="N13" s="8">
        <v>3628</v>
      </c>
      <c r="O13" s="8">
        <v>-3326</v>
      </c>
      <c r="P13" s="8">
        <v>2827</v>
      </c>
      <c r="Q13" s="8">
        <v>3483</v>
      </c>
      <c r="R13" s="8">
        <v>3012</v>
      </c>
      <c r="S13" s="8">
        <v>-3449</v>
      </c>
      <c r="T13" s="8">
        <f t="shared" si="11"/>
        <v>924</v>
      </c>
      <c r="U13" s="8">
        <f t="shared" si="12"/>
        <v>-184</v>
      </c>
      <c r="V13" s="8">
        <f t="shared" si="13"/>
        <v>616</v>
      </c>
      <c r="W13" s="8">
        <f t="shared" si="14"/>
        <v>123</v>
      </c>
      <c r="X13" s="2">
        <f t="shared" si="15"/>
        <v>0.66666666666666663</v>
      </c>
      <c r="Y13" s="2">
        <f t="shared" si="16"/>
        <v>0.66847826086956519</v>
      </c>
      <c r="Z13" s="2">
        <f t="shared" si="5"/>
        <v>1127.3333355260002</v>
      </c>
      <c r="AA13" s="2">
        <f t="shared" si="6"/>
        <v>-1126.8333355939999</v>
      </c>
      <c r="AB13" s="2">
        <f t="shared" si="7"/>
        <v>6.1600007938977797E-7</v>
      </c>
      <c r="AC13" s="2">
        <f t="shared" si="8"/>
        <v>0.33333345600021858</v>
      </c>
      <c r="AD13" s="7" t="str">
        <f t="shared" si="9"/>
        <v>gameStartX: 1127, gameStartY: -1127 },</v>
      </c>
      <c r="AE13" t="s">
        <v>805</v>
      </c>
      <c r="AF13"/>
      <c r="AG13"/>
    </row>
    <row r="14" spans="1:33" x14ac:dyDescent="0.2">
      <c r="A14" s="3">
        <v>13</v>
      </c>
      <c r="K14" s="2">
        <v>13</v>
      </c>
      <c r="L14" s="8">
        <v>2603</v>
      </c>
      <c r="M14" s="8">
        <v>2761</v>
      </c>
      <c r="N14" s="8">
        <v>232</v>
      </c>
      <c r="O14" s="8">
        <v>-2593</v>
      </c>
      <c r="P14" s="8">
        <v>3532</v>
      </c>
      <c r="Q14" s="8">
        <v>1306</v>
      </c>
      <c r="R14" s="8">
        <v>851</v>
      </c>
      <c r="S14" s="8">
        <v>-1623</v>
      </c>
      <c r="T14" s="8">
        <f t="shared" si="11"/>
        <v>-929</v>
      </c>
      <c r="U14" s="8">
        <f t="shared" si="12"/>
        <v>1455</v>
      </c>
      <c r="V14" s="8">
        <f t="shared" si="13"/>
        <v>-619</v>
      </c>
      <c r="W14" s="8">
        <f t="shared" si="14"/>
        <v>-970</v>
      </c>
      <c r="X14" s="2">
        <f t="shared" si="15"/>
        <v>0.66630785791173308</v>
      </c>
      <c r="Y14" s="2">
        <f t="shared" si="16"/>
        <v>0.66666666666666663</v>
      </c>
      <c r="Z14" s="2">
        <f t="shared" si="5"/>
        <v>-1503.4999979550003</v>
      </c>
      <c r="AA14" s="2">
        <f t="shared" si="6"/>
        <v>-752.33333468899991</v>
      </c>
      <c r="AB14" s="2">
        <f t="shared" si="7"/>
        <v>0.33333271400010744</v>
      </c>
      <c r="AC14" s="2">
        <f t="shared" si="8"/>
        <v>-9.7000008736358723E-7</v>
      </c>
      <c r="AD14" s="7" t="str">
        <f t="shared" si="9"/>
        <v>gameStartX: -1503, gameStartY: -752 },</v>
      </c>
      <c r="AE14" t="s">
        <v>794</v>
      </c>
      <c r="AF14"/>
      <c r="AG14"/>
    </row>
    <row r="15" spans="1:33" x14ac:dyDescent="0.2">
      <c r="A15" s="3">
        <v>14</v>
      </c>
      <c r="K15" s="2">
        <v>14</v>
      </c>
      <c r="L15" s="8">
        <v>5225</v>
      </c>
      <c r="M15" s="8">
        <v>2237</v>
      </c>
      <c r="N15" s="8">
        <v>-2156</v>
      </c>
      <c r="O15" s="8">
        <v>-2620</v>
      </c>
      <c r="P15" s="8">
        <v>4801</v>
      </c>
      <c r="Q15" s="8">
        <v>1581</v>
      </c>
      <c r="R15" s="8">
        <v>-2439</v>
      </c>
      <c r="S15" s="8">
        <v>-2183</v>
      </c>
      <c r="T15" s="8">
        <f t="shared" si="11"/>
        <v>424</v>
      </c>
      <c r="U15" s="8">
        <f t="shared" si="12"/>
        <v>656</v>
      </c>
      <c r="V15" s="8">
        <f t="shared" si="13"/>
        <v>283</v>
      </c>
      <c r="W15" s="8">
        <f t="shared" si="14"/>
        <v>-437</v>
      </c>
      <c r="X15" s="2">
        <f t="shared" si="15"/>
        <v>0.66745283018867929</v>
      </c>
      <c r="Y15" s="2">
        <f t="shared" si="16"/>
        <v>0.66615853658536583</v>
      </c>
      <c r="Z15" s="2">
        <f t="shared" si="5"/>
        <v>-5639.4999966579999</v>
      </c>
      <c r="AA15" s="2">
        <f t="shared" si="6"/>
        <v>-1128.8333346059999</v>
      </c>
      <c r="AB15" s="2">
        <f t="shared" si="7"/>
        <v>0.33333361599943601</v>
      </c>
      <c r="AC15" s="2">
        <f t="shared" si="8"/>
        <v>0.33333289600000171</v>
      </c>
      <c r="AD15" s="7" t="str">
        <f t="shared" si="9"/>
        <v>gameStartX: -5639, gameStartY: -1129 },</v>
      </c>
      <c r="AE15" t="s">
        <v>798</v>
      </c>
      <c r="AF15"/>
      <c r="AG15"/>
    </row>
    <row r="16" spans="1:33" x14ac:dyDescent="0.2">
      <c r="A16" s="3">
        <v>15</v>
      </c>
      <c r="K16" s="2">
        <v>15</v>
      </c>
      <c r="L16" s="8">
        <v>2108</v>
      </c>
      <c r="M16" s="8">
        <v>2178</v>
      </c>
      <c r="N16" s="8">
        <v>-4235</v>
      </c>
      <c r="O16" s="8">
        <v>-700</v>
      </c>
      <c r="P16" s="8">
        <v>4081</v>
      </c>
      <c r="Q16" s="8">
        <v>1844</v>
      </c>
      <c r="R16" s="8">
        <v>-2920</v>
      </c>
      <c r="S16" s="8">
        <v>-477</v>
      </c>
      <c r="T16" s="8">
        <f t="shared" si="11"/>
        <v>-1973</v>
      </c>
      <c r="U16" s="8">
        <f t="shared" si="12"/>
        <v>334</v>
      </c>
      <c r="V16" s="8">
        <f t="shared" si="13"/>
        <v>-1315</v>
      </c>
      <c r="W16" s="8">
        <f t="shared" si="14"/>
        <v>-223</v>
      </c>
      <c r="X16" s="2">
        <f t="shared" si="15"/>
        <v>0.66649771920932588</v>
      </c>
      <c r="Y16" s="2">
        <f t="shared" si="16"/>
        <v>0.66766467065868262</v>
      </c>
      <c r="Z16" s="2">
        <f t="shared" si="5"/>
        <v>-5640.4999979370004</v>
      </c>
      <c r="AA16" s="2">
        <f t="shared" si="6"/>
        <v>752.16666532600004</v>
      </c>
      <c r="AB16" s="2">
        <f t="shared" si="7"/>
        <v>0.33333201799996459</v>
      </c>
      <c r="AC16" s="2">
        <f t="shared" si="8"/>
        <v>-0.33333355599984316</v>
      </c>
      <c r="AD16" s="7" t="str">
        <f t="shared" si="9"/>
        <v>gameStartX: -5640, gameStartY: 752 },</v>
      </c>
      <c r="AE16" t="s">
        <v>797</v>
      </c>
      <c r="AF16"/>
      <c r="AG16"/>
    </row>
    <row r="17" spans="1:24" x14ac:dyDescent="0.2">
      <c r="A17" s="3"/>
    </row>
    <row r="18" spans="1:24" x14ac:dyDescent="0.2">
      <c r="A18" s="3"/>
      <c r="L18" s="7" t="s">
        <v>34</v>
      </c>
      <c r="R18" s="4" t="s">
        <v>8</v>
      </c>
      <c r="S18" s="4" t="s">
        <v>7</v>
      </c>
      <c r="T18" s="4" t="s">
        <v>33</v>
      </c>
      <c r="U18" s="4" t="s">
        <v>5</v>
      </c>
      <c r="V18" s="4" t="s">
        <v>32</v>
      </c>
    </row>
    <row r="19" spans="1:24" x14ac:dyDescent="0.2">
      <c r="A19" s="3"/>
      <c r="R19" s="3">
        <v>1</v>
      </c>
      <c r="S19" s="2">
        <v>10</v>
      </c>
      <c r="T19" s="2">
        <v>8</v>
      </c>
      <c r="U19" s="2">
        <v>12</v>
      </c>
      <c r="V19" s="2">
        <v>7</v>
      </c>
      <c r="X19" s="2" t="str">
        <f t="shared" ref="X19:X33" si="17">R19&amp;": ("&amp;2*S19&amp;", "&amp;2*T19&amp;", "&amp;2*U19&amp;", "&amp;2*V19&amp;"),"</f>
        <v>1: (20, 16, 24, 14),</v>
      </c>
    </row>
    <row r="20" spans="1:24" x14ac:dyDescent="0.2">
      <c r="A20" s="3"/>
      <c r="R20" s="3">
        <v>2</v>
      </c>
      <c r="S20" s="2">
        <v>6</v>
      </c>
      <c r="T20" s="2">
        <v>12</v>
      </c>
      <c r="U20" s="2">
        <v>15</v>
      </c>
      <c r="V20" s="2">
        <v>8</v>
      </c>
      <c r="X20" s="2" t="str">
        <f t="shared" si="17"/>
        <v>2: (12, 24, 30, 16),</v>
      </c>
    </row>
    <row r="21" spans="1:24" x14ac:dyDescent="0.2">
      <c r="A21" s="3"/>
      <c r="R21" s="3">
        <v>3</v>
      </c>
      <c r="S21" s="2">
        <v>3</v>
      </c>
      <c r="T21" s="2">
        <v>11</v>
      </c>
      <c r="U21" s="2">
        <v>8</v>
      </c>
      <c r="V21" s="2">
        <v>10</v>
      </c>
      <c r="X21" s="2" t="str">
        <f t="shared" si="17"/>
        <v>3: (6, 22, 16, 20),</v>
      </c>
    </row>
    <row r="22" spans="1:24" x14ac:dyDescent="0.2">
      <c r="A22" s="4" t="s">
        <v>31</v>
      </c>
      <c r="B22" s="4"/>
      <c r="C22" s="4"/>
      <c r="D22" s="4"/>
      <c r="E22" s="4"/>
      <c r="F22" s="4"/>
      <c r="G22" s="4"/>
      <c r="H22" s="4"/>
      <c r="I22" s="4"/>
      <c r="J22" s="4"/>
      <c r="O22" s="5"/>
      <c r="R22" s="3">
        <v>4</v>
      </c>
      <c r="S22" s="2">
        <v>1</v>
      </c>
      <c r="T22" s="2">
        <v>7</v>
      </c>
      <c r="U22" s="2">
        <v>5</v>
      </c>
      <c r="V22" s="2">
        <v>8</v>
      </c>
      <c r="X22" s="2" t="str">
        <f t="shared" si="17"/>
        <v>4: (2, 14, 10, 16),</v>
      </c>
    </row>
    <row r="23" spans="1:24" x14ac:dyDescent="0.2">
      <c r="A23" s="6"/>
      <c r="B23" s="6"/>
      <c r="C23" s="6"/>
      <c r="D23" s="6"/>
      <c r="F23" s="2" t="s">
        <v>30</v>
      </c>
      <c r="G23" s="2">
        <v>5</v>
      </c>
      <c r="H23" s="2" t="s">
        <v>20</v>
      </c>
      <c r="I23" s="2">
        <v>4</v>
      </c>
      <c r="R23" s="3">
        <v>5</v>
      </c>
      <c r="S23" s="2">
        <v>15</v>
      </c>
      <c r="T23" s="2">
        <v>10</v>
      </c>
      <c r="U23" s="2">
        <v>12</v>
      </c>
      <c r="V23" s="2">
        <v>11</v>
      </c>
      <c r="X23" s="2" t="str">
        <f t="shared" si="17"/>
        <v>5: (30, 20, 24, 22),</v>
      </c>
    </row>
    <row r="24" spans="1:24" x14ac:dyDescent="0.2">
      <c r="A24" s="2" t="s">
        <v>29</v>
      </c>
      <c r="B24" s="2">
        <v>3384</v>
      </c>
      <c r="C24" s="2" t="s">
        <v>23</v>
      </c>
      <c r="D24" s="2">
        <v>3384</v>
      </c>
      <c r="O24" s="5"/>
      <c r="R24" s="3">
        <v>6</v>
      </c>
      <c r="S24" s="2">
        <v>10</v>
      </c>
      <c r="T24" s="2">
        <v>11</v>
      </c>
      <c r="U24" s="2">
        <v>18</v>
      </c>
      <c r="V24" s="2">
        <v>10</v>
      </c>
      <c r="X24" s="2" t="str">
        <f t="shared" si="17"/>
        <v>6: (20, 22, 36, 20),</v>
      </c>
    </row>
    <row r="25" spans="1:24" x14ac:dyDescent="0.2">
      <c r="F25" s="2" t="s">
        <v>28</v>
      </c>
      <c r="G25" s="2" t="s">
        <v>27</v>
      </c>
      <c r="H25" s="2" t="s">
        <v>20</v>
      </c>
      <c r="I25" s="2" t="s">
        <v>26</v>
      </c>
      <c r="J25" s="2" t="s">
        <v>25</v>
      </c>
      <c r="R25" s="3">
        <v>7</v>
      </c>
      <c r="S25" s="2">
        <v>16</v>
      </c>
      <c r="T25" s="2">
        <v>8</v>
      </c>
      <c r="U25" s="2">
        <v>5</v>
      </c>
      <c r="V25" s="2">
        <v>10</v>
      </c>
      <c r="X25" s="2" t="str">
        <f t="shared" si="17"/>
        <v>7: (32, 16, 10, 20),</v>
      </c>
    </row>
    <row r="26" spans="1:24" x14ac:dyDescent="0.2">
      <c r="A26" s="2" t="s">
        <v>24</v>
      </c>
      <c r="B26" s="2">
        <v>564</v>
      </c>
      <c r="C26" s="2" t="s">
        <v>23</v>
      </c>
      <c r="D26" s="2">
        <v>564</v>
      </c>
      <c r="F26" s="2" t="s">
        <v>22</v>
      </c>
      <c r="G26" s="2" t="s">
        <v>21</v>
      </c>
      <c r="H26" s="2" t="s">
        <v>20</v>
      </c>
      <c r="I26" s="2" t="s">
        <v>19</v>
      </c>
      <c r="J26" s="2" t="s">
        <v>18</v>
      </c>
      <c r="R26" s="3">
        <v>8</v>
      </c>
      <c r="S26" s="2">
        <v>20</v>
      </c>
      <c r="T26" s="2">
        <v>9</v>
      </c>
      <c r="U26" s="2">
        <v>16</v>
      </c>
      <c r="V26" s="2">
        <v>10</v>
      </c>
      <c r="X26" s="2" t="str">
        <f t="shared" si="17"/>
        <v>8: (40, 18, 32, 20),</v>
      </c>
    </row>
    <row r="27" spans="1:24" x14ac:dyDescent="0.2">
      <c r="R27" s="3">
        <v>9</v>
      </c>
      <c r="S27" s="2">
        <v>19</v>
      </c>
      <c r="T27" s="2">
        <v>10</v>
      </c>
      <c r="U27" s="2">
        <v>11</v>
      </c>
      <c r="V27" s="2">
        <v>8</v>
      </c>
      <c r="X27" s="2" t="str">
        <f t="shared" si="17"/>
        <v>9: (38, 20, 22, 16),</v>
      </c>
    </row>
    <row r="28" spans="1:24" x14ac:dyDescent="0.2">
      <c r="R28" s="3">
        <v>10</v>
      </c>
      <c r="S28" s="2">
        <v>18</v>
      </c>
      <c r="T28" s="2">
        <v>11</v>
      </c>
      <c r="U28" s="2">
        <v>19</v>
      </c>
      <c r="V28" s="2">
        <v>9</v>
      </c>
      <c r="X28" s="2" t="str">
        <f t="shared" si="17"/>
        <v>10: (36, 22, 38, 18),</v>
      </c>
    </row>
    <row r="29" spans="1:24" x14ac:dyDescent="0.2">
      <c r="R29" s="3">
        <v>11</v>
      </c>
      <c r="S29" s="2">
        <v>21</v>
      </c>
      <c r="T29" s="2">
        <v>7</v>
      </c>
      <c r="U29" s="2">
        <v>5</v>
      </c>
      <c r="V29" s="2">
        <v>8</v>
      </c>
      <c r="X29" s="2" t="str">
        <f t="shared" si="17"/>
        <v>11: (42, 14, 10, 16),</v>
      </c>
    </row>
    <row r="30" spans="1:24" x14ac:dyDescent="0.2">
      <c r="R30" s="3">
        <v>12</v>
      </c>
      <c r="S30" s="2">
        <v>0</v>
      </c>
      <c r="T30" s="2">
        <v>15</v>
      </c>
      <c r="U30" s="2">
        <v>19</v>
      </c>
      <c r="V30" s="2">
        <v>9</v>
      </c>
      <c r="X30" s="2" t="str">
        <f t="shared" si="17"/>
        <v>12: (0, 30, 38, 18),</v>
      </c>
    </row>
    <row r="31" spans="1:24" x14ac:dyDescent="0.2">
      <c r="R31" s="3">
        <v>13</v>
      </c>
      <c r="S31" s="2">
        <v>12</v>
      </c>
      <c r="T31" s="2">
        <v>9</v>
      </c>
      <c r="U31" s="2">
        <v>5</v>
      </c>
      <c r="V31" s="2">
        <v>8</v>
      </c>
      <c r="X31" s="2" t="str">
        <f t="shared" si="17"/>
        <v>13: (24, 18, 10, 16),</v>
      </c>
    </row>
    <row r="32" spans="1:24" x14ac:dyDescent="0.2">
      <c r="A32" s="2" t="s">
        <v>17</v>
      </c>
      <c r="R32" s="3">
        <v>14</v>
      </c>
      <c r="S32" s="2">
        <v>5</v>
      </c>
      <c r="T32" s="2">
        <v>8</v>
      </c>
      <c r="U32" s="2">
        <v>5</v>
      </c>
      <c r="V32" s="2">
        <v>7</v>
      </c>
      <c r="X32" s="2" t="str">
        <f t="shared" si="17"/>
        <v>14: (10, 16, 10, 14),</v>
      </c>
    </row>
    <row r="33" spans="1:24" x14ac:dyDescent="0.2">
      <c r="A33" s="2" t="s">
        <v>16</v>
      </c>
      <c r="B33" s="2">
        <v>8.1999999999999993</v>
      </c>
      <c r="R33" s="3">
        <v>15</v>
      </c>
      <c r="S33" s="2">
        <v>0</v>
      </c>
      <c r="T33" s="2">
        <v>11</v>
      </c>
      <c r="U33" s="2">
        <v>14</v>
      </c>
      <c r="V33" s="2">
        <v>9</v>
      </c>
      <c r="X33" s="2" t="str">
        <f t="shared" si="17"/>
        <v>15: (0, 22, 28, 18),</v>
      </c>
    </row>
    <row r="34" spans="1:24" x14ac:dyDescent="0.2">
      <c r="A34" s="2" t="s">
        <v>15</v>
      </c>
      <c r="B34" s="5" t="s">
        <v>14</v>
      </c>
    </row>
    <row r="36" spans="1:24" x14ac:dyDescent="0.2">
      <c r="A36" s="2" t="s">
        <v>13</v>
      </c>
      <c r="B36" s="5">
        <v>0.45</v>
      </c>
      <c r="H36" t="s">
        <v>12</v>
      </c>
      <c r="I36"/>
      <c r="J36" t="s">
        <v>11</v>
      </c>
      <c r="K36"/>
      <c r="L36"/>
      <c r="M36"/>
      <c r="N36" t="s">
        <v>10</v>
      </c>
      <c r="O36"/>
      <c r="P36" t="s">
        <v>9</v>
      </c>
      <c r="R36" s="4" t="s">
        <v>8</v>
      </c>
      <c r="S36" s="4" t="s">
        <v>7</v>
      </c>
      <c r="T36" s="4" t="s">
        <v>6</v>
      </c>
      <c r="U36" s="4" t="s">
        <v>5</v>
      </c>
      <c r="V36" s="4" t="s">
        <v>4</v>
      </c>
    </row>
    <row r="37" spans="1:24" x14ac:dyDescent="0.2">
      <c r="H37" t="s">
        <v>3</v>
      </c>
      <c r="I37"/>
      <c r="J37" t="s">
        <v>2</v>
      </c>
      <c r="K37"/>
      <c r="L37"/>
      <c r="M37"/>
      <c r="N37" t="s">
        <v>1</v>
      </c>
      <c r="O37"/>
      <c r="P37" t="s">
        <v>0</v>
      </c>
      <c r="R37" s="3">
        <v>1</v>
      </c>
      <c r="S37" s="2">
        <v>22</v>
      </c>
      <c r="T37" s="2">
        <v>36</v>
      </c>
      <c r="U37" s="2">
        <v>24</v>
      </c>
      <c r="V37" s="2">
        <f t="shared" ref="V37:V51" si="18">U37+V19*2-2</f>
        <v>36</v>
      </c>
      <c r="X37" s="2" t="str">
        <f t="shared" ref="X37:X52" si="19">R37&amp;": ("&amp;S37&amp;", "&amp;T37&amp;", "&amp;U37&amp;", "&amp;V37&amp;"),"</f>
        <v>1: (22, 36, 24, 36),</v>
      </c>
    </row>
    <row r="38" spans="1:24" x14ac:dyDescent="0.2">
      <c r="R38" s="3">
        <v>2</v>
      </c>
      <c r="S38" s="2">
        <v>14</v>
      </c>
      <c r="T38" s="2">
        <v>36</v>
      </c>
      <c r="U38" s="2">
        <v>30</v>
      </c>
      <c r="V38" s="2">
        <f t="shared" si="18"/>
        <v>44</v>
      </c>
      <c r="X38" s="2" t="str">
        <f t="shared" si="19"/>
        <v>2: (14, 36, 30, 44),</v>
      </c>
    </row>
    <row r="39" spans="1:24" x14ac:dyDescent="0.2">
      <c r="R39" s="3">
        <v>3</v>
      </c>
      <c r="S39" s="2">
        <v>8</v>
      </c>
      <c r="T39" s="2">
        <v>28</v>
      </c>
      <c r="U39" s="2">
        <v>16</v>
      </c>
      <c r="V39" s="2">
        <f t="shared" si="18"/>
        <v>34</v>
      </c>
      <c r="X39" s="2" t="str">
        <f t="shared" si="19"/>
        <v>3: (8, 28, 16, 34),</v>
      </c>
    </row>
    <row r="40" spans="1:24" x14ac:dyDescent="0.2">
      <c r="R40" s="3">
        <v>4</v>
      </c>
      <c r="S40" s="2">
        <v>4</v>
      </c>
      <c r="T40" s="2">
        <v>16</v>
      </c>
      <c r="U40" s="2">
        <v>10</v>
      </c>
      <c r="V40" s="2">
        <f t="shared" si="18"/>
        <v>24</v>
      </c>
      <c r="X40" s="2" t="str">
        <f t="shared" si="19"/>
        <v>4: (4, 16, 10, 24),</v>
      </c>
    </row>
    <row r="41" spans="1:24" x14ac:dyDescent="0.2">
      <c r="R41" s="3">
        <v>5</v>
      </c>
      <c r="S41" s="2">
        <v>32</v>
      </c>
      <c r="T41" s="2">
        <v>50</v>
      </c>
      <c r="U41" s="2">
        <v>24</v>
      </c>
      <c r="V41" s="2">
        <f t="shared" si="18"/>
        <v>44</v>
      </c>
      <c r="X41" s="2" t="str">
        <f t="shared" si="19"/>
        <v>5: (32, 50, 24, 44),</v>
      </c>
    </row>
    <row r="42" spans="1:24" x14ac:dyDescent="0.2">
      <c r="R42" s="3">
        <v>6</v>
      </c>
      <c r="S42" s="2">
        <v>22</v>
      </c>
      <c r="T42" s="2">
        <v>42</v>
      </c>
      <c r="U42" s="2">
        <v>36</v>
      </c>
      <c r="V42" s="2">
        <f t="shared" si="18"/>
        <v>54</v>
      </c>
      <c r="X42" s="2" t="str">
        <f t="shared" si="19"/>
        <v>6: (22, 42, 36, 54),</v>
      </c>
    </row>
    <row r="43" spans="1:24" x14ac:dyDescent="0.2">
      <c r="R43" s="3">
        <v>7</v>
      </c>
      <c r="S43" s="2">
        <v>34</v>
      </c>
      <c r="T43" s="2">
        <v>48</v>
      </c>
      <c r="U43" s="2">
        <v>10</v>
      </c>
      <c r="V43" s="2">
        <f t="shared" si="18"/>
        <v>28</v>
      </c>
      <c r="X43" s="2" t="str">
        <f t="shared" si="19"/>
        <v>7: (34, 48, 10, 28),</v>
      </c>
    </row>
    <row r="44" spans="1:24" x14ac:dyDescent="0.2">
      <c r="R44" s="3">
        <v>8</v>
      </c>
      <c r="S44" s="2">
        <v>42</v>
      </c>
      <c r="T44" s="2">
        <v>58</v>
      </c>
      <c r="U44" s="2">
        <v>32</v>
      </c>
      <c r="V44" s="2">
        <f t="shared" si="18"/>
        <v>50</v>
      </c>
      <c r="X44" s="2" t="str">
        <f t="shared" si="19"/>
        <v>8: (42, 58, 32, 50),</v>
      </c>
    </row>
    <row r="45" spans="1:24" x14ac:dyDescent="0.2">
      <c r="R45" s="3">
        <v>9</v>
      </c>
      <c r="S45" s="2">
        <v>40</v>
      </c>
      <c r="T45" s="2">
        <v>58</v>
      </c>
      <c r="U45" s="2">
        <v>22</v>
      </c>
      <c r="V45" s="2">
        <f t="shared" si="18"/>
        <v>36</v>
      </c>
      <c r="X45" s="2" t="str">
        <f t="shared" si="19"/>
        <v>9: (40, 58, 22, 36),</v>
      </c>
    </row>
    <row r="46" spans="1:24" x14ac:dyDescent="0.2">
      <c r="R46" s="3">
        <v>10</v>
      </c>
      <c r="S46" s="2">
        <v>38</v>
      </c>
      <c r="T46" s="2">
        <v>58</v>
      </c>
      <c r="U46" s="2">
        <v>38</v>
      </c>
      <c r="V46" s="2">
        <f t="shared" si="18"/>
        <v>54</v>
      </c>
      <c r="X46" s="2" t="str">
        <f t="shared" si="19"/>
        <v>10: (38, 58, 38, 54),</v>
      </c>
    </row>
    <row r="47" spans="1:24" x14ac:dyDescent="0.2">
      <c r="R47" s="3">
        <v>11</v>
      </c>
      <c r="S47" s="2">
        <v>44</v>
      </c>
      <c r="T47" s="2">
        <v>56</v>
      </c>
      <c r="U47" s="2">
        <v>10</v>
      </c>
      <c r="V47" s="2">
        <f t="shared" si="18"/>
        <v>24</v>
      </c>
      <c r="X47" s="2" t="str">
        <f t="shared" si="19"/>
        <v>11: (44, 56, 10, 24),</v>
      </c>
    </row>
    <row r="48" spans="1:24" x14ac:dyDescent="0.2">
      <c r="R48" s="3">
        <v>12</v>
      </c>
      <c r="S48" s="2">
        <v>2</v>
      </c>
      <c r="T48" s="2">
        <v>30</v>
      </c>
      <c r="U48" s="2">
        <v>38</v>
      </c>
      <c r="V48" s="2">
        <f t="shared" si="18"/>
        <v>54</v>
      </c>
      <c r="X48" s="2" t="str">
        <f t="shared" si="19"/>
        <v>12: (2, 30, 38, 54),</v>
      </c>
    </row>
    <row r="49" spans="18:24" x14ac:dyDescent="0.2">
      <c r="R49" s="3">
        <v>13</v>
      </c>
      <c r="S49" s="2">
        <v>26</v>
      </c>
      <c r="T49" s="2">
        <v>42</v>
      </c>
      <c r="U49" s="2">
        <v>10</v>
      </c>
      <c r="V49" s="2">
        <f t="shared" si="18"/>
        <v>24</v>
      </c>
      <c r="X49" s="2" t="str">
        <f t="shared" si="19"/>
        <v>13: (26, 42, 10, 24),</v>
      </c>
    </row>
    <row r="50" spans="18:24" x14ac:dyDescent="0.2">
      <c r="R50" s="3">
        <v>14</v>
      </c>
      <c r="S50" s="2">
        <v>12</v>
      </c>
      <c r="T50" s="2">
        <v>26</v>
      </c>
      <c r="U50" s="2">
        <v>10</v>
      </c>
      <c r="V50" s="2">
        <f t="shared" si="18"/>
        <v>22</v>
      </c>
      <c r="X50" s="2" t="str">
        <f t="shared" si="19"/>
        <v>14: (12, 26, 10, 22),</v>
      </c>
    </row>
    <row r="51" spans="18:24" x14ac:dyDescent="0.2">
      <c r="R51" s="3">
        <v>15</v>
      </c>
      <c r="S51" s="2">
        <v>2</v>
      </c>
      <c r="T51" s="2">
        <v>22</v>
      </c>
      <c r="U51" s="2">
        <v>28</v>
      </c>
      <c r="V51" s="2">
        <f t="shared" si="18"/>
        <v>44</v>
      </c>
      <c r="X51" s="2" t="str">
        <f t="shared" si="19"/>
        <v>15: (2, 22, 28, 44),</v>
      </c>
    </row>
    <row r="52" spans="18:24" x14ac:dyDescent="0.2">
      <c r="R52" s="2">
        <v>16</v>
      </c>
      <c r="S52" s="2">
        <v>2</v>
      </c>
      <c r="T52" s="2">
        <v>60</v>
      </c>
      <c r="U52" s="2">
        <v>8</v>
      </c>
      <c r="V52" s="2">
        <v>55</v>
      </c>
      <c r="X52" s="2" t="str">
        <f t="shared" si="19"/>
        <v>16: (2, 60, 8, 55),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Checklist</vt:lpstr>
      <vt:lpstr>New Checklist</vt:lpstr>
      <vt:lpstr>Main Quests</vt:lpstr>
      <vt:lpstr>Side Quests</vt:lpstr>
      <vt:lpstr>Shrine Quests</vt:lpstr>
      <vt:lpstr>Side Adventures</vt:lpstr>
      <vt:lpstr>Mini-Bosses</vt:lpstr>
      <vt:lpstr>Cherry Trees</vt:lpstr>
      <vt:lpstr>Goddess Statues</vt:lpstr>
      <vt:lpstr>Hudson Signs</vt:lpstr>
      <vt:lpstr>Old Maps</vt:lpstr>
      <vt:lpstr>Sage's Wills</vt:lpstr>
      <vt:lpstr>Schematics</vt:lpstr>
      <vt:lpstr>Ancient Tablets</vt:lpstr>
      <vt:lpstr>Bargainer Statues</vt:lpstr>
      <vt:lpstr>Caves</vt:lpstr>
      <vt:lpstr>Chasms</vt:lpstr>
      <vt:lpstr>Dispensers</vt:lpstr>
      <vt:lpstr>Dragon Tears</vt:lpstr>
      <vt:lpstr>Forge Constructs</vt:lpstr>
      <vt:lpstr>Great Fairies</vt:lpstr>
      <vt:lpstr>Inns</vt:lpstr>
      <vt:lpstr>Koroks</vt:lpstr>
      <vt:lpstr>Lightroots</vt:lpstr>
      <vt:lpstr>Named Locations</vt:lpstr>
      <vt:lpstr>Shops</vt:lpstr>
      <vt:lpstr>Shrines</vt:lpstr>
      <vt:lpstr>Special</vt:lpstr>
      <vt:lpstr>Stables</vt:lpstr>
      <vt:lpstr>Temples</vt:lpstr>
      <vt:lpstr>Towers</vt:lpstr>
      <vt:lpstr>Unnamed</vt:lpstr>
      <vt:lpstr>Villages</vt:lpstr>
      <vt:lpstr>Wells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Kugler</dc:creator>
  <cp:lastModifiedBy>Aaron Kugler</cp:lastModifiedBy>
  <dcterms:created xsi:type="dcterms:W3CDTF">2026-06-29T12:38:03Z</dcterms:created>
  <dcterms:modified xsi:type="dcterms:W3CDTF">2026-09-12T03:53:37Z</dcterms:modified>
</cp:coreProperties>
</file>