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77747086-B642-E94A-A192-A22435CDD3CD}" xr6:coauthVersionLast="47" xr6:coauthVersionMax="47" xr10:uidLastSave="{00000000-0000-0000-0000-000000000000}"/>
  <bookViews>
    <workbookView xWindow="6540" yWindow="500" windowWidth="27620" windowHeight="19660" firstSheet="16" activeTab="24" xr2:uid="{F774F2AE-DE0F-5F42-928C-9832770C6D48}"/>
  </bookViews>
  <sheets>
    <sheet name="Checklist" sheetId="11" r:id="rId1"/>
    <sheet name="New Checklist" sheetId="36" r:id="rId2"/>
    <sheet name="Main Quests" sheetId="42" r:id="rId3"/>
    <sheet name="Side Quests" sheetId="40" r:id="rId4"/>
    <sheet name="Shrine Quests" sheetId="44" r:id="rId5"/>
    <sheet name="Side Adventures" sheetId="43" r:id="rId6"/>
    <sheet name="Mini-Bosses" sheetId="38" r:id="rId7"/>
    <sheet name="Cherry Trees" sheetId="26" r:id="rId8"/>
    <sheet name="Goddess Statues" sheetId="29" r:id="rId9"/>
    <sheet name="Hudson Signs" sheetId="7" r:id="rId10"/>
    <sheet name="Old Maps" sheetId="14" r:id="rId11"/>
    <sheet name="Sage's Wills" sheetId="31" r:id="rId12"/>
    <sheet name="Schematics" sheetId="9" r:id="rId13"/>
    <sheet name="Ancient Tablets" sheetId="19" r:id="rId14"/>
    <sheet name="Bargainer Statues" sheetId="22" r:id="rId15"/>
    <sheet name="Caves" sheetId="5" r:id="rId16"/>
    <sheet name="Chasms" sheetId="4" r:id="rId17"/>
    <sheet name="Dispensers" sheetId="6" r:id="rId18"/>
    <sheet name="Dragon Tears" sheetId="20" r:id="rId19"/>
    <sheet name="Forge Constructs" sheetId="21" r:id="rId20"/>
    <sheet name="Great Fairies" sheetId="18" r:id="rId21"/>
    <sheet name="Inns" sheetId="32" r:id="rId22"/>
    <sheet name="Koroks" sheetId="37" r:id="rId23"/>
    <sheet name="Lightroots" sheetId="10" r:id="rId24"/>
    <sheet name="Named Locations" sheetId="16" r:id="rId25"/>
    <sheet name="Shops" sheetId="23" r:id="rId26"/>
    <sheet name="Shrines" sheetId="1" r:id="rId27"/>
    <sheet name="Special" sheetId="34" r:id="rId28"/>
    <sheet name="Stables" sheetId="25" r:id="rId29"/>
    <sheet name="Temples" sheetId="28" r:id="rId30"/>
    <sheet name="Towers" sheetId="12" r:id="rId31"/>
    <sheet name="Unnamed" sheetId="35" r:id="rId32"/>
    <sheet name="Villages" sheetId="27" r:id="rId33"/>
    <sheet name="Wells" sheetId="24" r:id="rId34"/>
    <sheet name="Sheet1" sheetId="3" r:id="rId35"/>
    <sheet name="Sheet2" sheetId="2" r:id="rId36"/>
  </sheets>
  <definedNames>
    <definedName name="_xlnm._FilterDatabase" localSheetId="13" hidden="1">'Ancient Tablets'!$A$1:$I$2</definedName>
    <definedName name="_xlnm._FilterDatabase" localSheetId="14" hidden="1">'Bargainer Statues'!$A$1:$I$2</definedName>
    <definedName name="_xlnm._FilterDatabase" localSheetId="15" hidden="1">Caves!$A$1:$K$198</definedName>
    <definedName name="_xlnm._FilterDatabase" localSheetId="16" hidden="1">Chasms!$A$1:$K$37</definedName>
    <definedName name="_xlnm._FilterDatabase" localSheetId="7" hidden="1">'Cherry Trees'!$A$1:$J$1</definedName>
    <definedName name="_xlnm._FilterDatabase" localSheetId="17" hidden="1">Dispensers!$A$1:$I$30</definedName>
    <definedName name="_xlnm._FilterDatabase" localSheetId="18" hidden="1">'Dragon Tears'!$A$1:$I$2</definedName>
    <definedName name="_xlnm._FilterDatabase" localSheetId="19" hidden="1">'Forge Constructs'!$A$1:$I$12</definedName>
    <definedName name="_xlnm._FilterDatabase" localSheetId="8" hidden="1">'Goddess Statues'!$A$1:$J$1</definedName>
    <definedName name="_xlnm._FilterDatabase" localSheetId="20" hidden="1">'Great Fairies'!$A$1:$I$2</definedName>
    <definedName name="_xlnm._FilterDatabase" localSheetId="9" hidden="1">'Hudson Signs'!$A$1:$G$82</definedName>
    <definedName name="_xlnm._FilterDatabase" localSheetId="21" hidden="1">Inns!$A$1:$I$1</definedName>
    <definedName name="_xlnm._FilterDatabase" localSheetId="22" hidden="1">Koroks!$A$1:$J$901</definedName>
    <definedName name="_xlnm._FilterDatabase" localSheetId="23" hidden="1">Lightroots!$A$1:$H$121</definedName>
    <definedName name="_xlnm._FilterDatabase" localSheetId="2" hidden="1">'Main Quests'!$A$1:$J$23</definedName>
    <definedName name="_xlnm._FilterDatabase" localSheetId="6" hidden="1">'Mini-Bosses'!$A$1:$J$88</definedName>
    <definedName name="_xlnm._FilterDatabase" localSheetId="24" hidden="1">'Named Locations'!$A$1:$L$663</definedName>
    <definedName name="_xlnm._FilterDatabase" localSheetId="1" hidden="1">'New Checklist'!$A$1:$E$796</definedName>
    <definedName name="_xlnm._FilterDatabase" localSheetId="10" hidden="1">'Old Maps'!$A$1:$J$32</definedName>
    <definedName name="_xlnm._FilterDatabase" localSheetId="11" hidden="1">'Sage''s Wills'!$A$1:$J$2</definedName>
    <definedName name="_xlnm._FilterDatabase" localSheetId="12" hidden="1">Schematics!$A$1:$J$47</definedName>
    <definedName name="_xlnm._FilterDatabase" localSheetId="25" hidden="1">Shops!$A$1:$I$38</definedName>
    <definedName name="_xlnm._FilterDatabase" localSheetId="4" hidden="1">'Shrine Quests'!$A$1:$J$54</definedName>
    <definedName name="_xlnm._FilterDatabase" localSheetId="26" hidden="1">Shrines!$A$1:$J$154</definedName>
    <definedName name="_xlnm._FilterDatabase" localSheetId="5" hidden="1">'Side Adventures'!$A$1:$J$68</definedName>
    <definedName name="_xlnm._FilterDatabase" localSheetId="3" hidden="1">'Side Quests'!$A$1:$J$133</definedName>
    <definedName name="_xlnm._FilterDatabase" localSheetId="27" hidden="1">Special!$A$1:$I$1</definedName>
    <definedName name="_xlnm._FilterDatabase" localSheetId="28" hidden="1">Stables!$A$1:$I$1</definedName>
    <definedName name="_xlnm._FilterDatabase" localSheetId="29" hidden="1">Temples!$A$1:$I$2</definedName>
    <definedName name="_xlnm._FilterDatabase" localSheetId="30" hidden="1">Towers!$A$1:$G$153</definedName>
    <definedName name="_xlnm._FilterDatabase" localSheetId="31" hidden="1">Unnamed!$A$1:$I$6</definedName>
    <definedName name="_xlnm._FilterDatabase" localSheetId="32" hidden="1">Villages!$A$1:$K$1</definedName>
    <definedName name="_xlnm._FilterDatabase" localSheetId="33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2" i="1"/>
  <c r="J2" i="44"/>
  <c r="J3" i="44"/>
  <c r="J4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5" i="44"/>
  <c r="J33" i="43"/>
  <c r="J34" i="43"/>
  <c r="J31" i="43"/>
  <c r="J32" i="43"/>
  <c r="J41" i="43"/>
  <c r="J44" i="43"/>
  <c r="J45" i="43"/>
  <c r="J46" i="43"/>
  <c r="J47" i="43"/>
  <c r="J48" i="43"/>
  <c r="J50" i="43"/>
  <c r="J54" i="43"/>
  <c r="J55" i="43"/>
  <c r="J56" i="43"/>
  <c r="J58" i="43"/>
  <c r="J59" i="43"/>
  <c r="J61" i="43"/>
  <c r="J29" i="43"/>
  <c r="J21" i="43"/>
  <c r="J23" i="43"/>
  <c r="J24" i="43"/>
  <c r="J26" i="43"/>
  <c r="J28" i="43"/>
  <c r="J9" i="43"/>
  <c r="J13" i="43"/>
  <c r="J14" i="43"/>
  <c r="J15" i="43"/>
  <c r="J16" i="43"/>
  <c r="J17" i="43"/>
  <c r="J18" i="43"/>
  <c r="J49" i="43"/>
  <c r="J2" i="43"/>
  <c r="J3" i="43"/>
  <c r="J4" i="43"/>
  <c r="J5" i="43"/>
  <c r="J6" i="43"/>
  <c r="J7" i="43"/>
  <c r="J8" i="43"/>
  <c r="J10" i="43"/>
  <c r="J11" i="43"/>
  <c r="J12" i="43"/>
  <c r="J19" i="43"/>
  <c r="J20" i="43"/>
  <c r="J22" i="43"/>
  <c r="J25" i="43"/>
  <c r="J27" i="43"/>
  <c r="J30" i="43"/>
  <c r="J35" i="43"/>
  <c r="J36" i="43"/>
  <c r="J37" i="43"/>
  <c r="J38" i="43"/>
  <c r="J39" i="43"/>
  <c r="J40" i="43"/>
  <c r="J42" i="43"/>
  <c r="J43" i="43"/>
  <c r="J51" i="43"/>
  <c r="J52" i="43"/>
  <c r="J53" i="43"/>
  <c r="J60" i="43"/>
  <c r="J57" i="43"/>
  <c r="L2" i="16"/>
  <c r="J3" i="9"/>
  <c r="J2" i="9"/>
  <c r="J2" i="31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3" i="40"/>
  <c r="J64" i="40"/>
  <c r="J65" i="40"/>
  <c r="J66" i="40"/>
  <c r="J67" i="40"/>
  <c r="J68" i="40"/>
  <c r="J69" i="40"/>
  <c r="J70" i="40"/>
  <c r="J71" i="40"/>
  <c r="J72" i="40"/>
  <c r="J73" i="40"/>
  <c r="J74" i="40"/>
  <c r="J75" i="40"/>
  <c r="J76" i="40"/>
  <c r="J77" i="40"/>
  <c r="J78" i="40"/>
  <c r="J79" i="40"/>
  <c r="J80" i="40"/>
  <c r="J81" i="40"/>
  <c r="J82" i="40"/>
  <c r="J83" i="40"/>
  <c r="J84" i="40"/>
  <c r="J85" i="40"/>
  <c r="J86" i="40"/>
  <c r="J87" i="40"/>
  <c r="J88" i="40"/>
  <c r="J89" i="40"/>
  <c r="J90" i="40"/>
  <c r="J91" i="40"/>
  <c r="J92" i="40"/>
  <c r="J93" i="40"/>
  <c r="J94" i="40"/>
  <c r="J95" i="40"/>
  <c r="J96" i="40"/>
  <c r="J97" i="40"/>
  <c r="J98" i="40"/>
  <c r="J99" i="40"/>
  <c r="J100" i="40"/>
  <c r="J101" i="40"/>
  <c r="J102" i="40"/>
  <c r="J103" i="40"/>
  <c r="J104" i="40"/>
  <c r="J105" i="40"/>
  <c r="J106" i="40"/>
  <c r="J107" i="40"/>
  <c r="J108" i="40"/>
  <c r="J109" i="40"/>
  <c r="J110" i="40"/>
  <c r="J111" i="40"/>
  <c r="J112" i="40"/>
  <c r="J113" i="40"/>
  <c r="J114" i="40"/>
  <c r="J115" i="40"/>
  <c r="J116" i="40"/>
  <c r="J117" i="40"/>
  <c r="J118" i="40"/>
  <c r="J119" i="40"/>
  <c r="J120" i="40"/>
  <c r="J121" i="40"/>
  <c r="J122" i="40"/>
  <c r="J123" i="40"/>
  <c r="J124" i="40"/>
  <c r="J125" i="40"/>
  <c r="J126" i="40"/>
  <c r="J127" i="40"/>
  <c r="J128" i="40"/>
  <c r="J129" i="40"/>
  <c r="J130" i="40"/>
  <c r="J131" i="40"/>
  <c r="J132" i="40"/>
  <c r="J133" i="40"/>
  <c r="J2" i="40"/>
  <c r="J3" i="42"/>
  <c r="J4" i="42"/>
  <c r="J6" i="42"/>
  <c r="J7" i="42"/>
  <c r="J8" i="42"/>
  <c r="J12" i="42"/>
  <c r="J14" i="42"/>
  <c r="J9" i="42"/>
  <c r="J23" i="42"/>
  <c r="J16" i="42"/>
  <c r="J17" i="42"/>
  <c r="J18" i="42"/>
  <c r="J19" i="42"/>
  <c r="J20" i="42"/>
  <c r="J21" i="42"/>
  <c r="J13" i="42"/>
  <c r="J10" i="42"/>
  <c r="J22" i="42"/>
  <c r="J5" i="42"/>
  <c r="J24" i="42"/>
  <c r="J15" i="42"/>
  <c r="J11" i="42"/>
  <c r="J2" i="42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54" i="38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J35" i="14"/>
  <c r="J2" i="1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C368" i="36" a="1"/>
  <c r="C272" i="36" a="1"/>
  <c r="C709" i="36" a="1"/>
  <c r="C629" i="36" a="1"/>
  <c r="C650" i="36" a="1"/>
  <c r="C727" i="36" a="1"/>
  <c r="C92" i="36" a="1"/>
  <c r="C719" i="36" a="1"/>
  <c r="C444" i="36" a="1"/>
  <c r="C321" i="36" a="1"/>
  <c r="C226" i="36" a="1"/>
  <c r="C330" i="36" a="1"/>
  <c r="C139" i="36" a="1"/>
  <c r="C90" i="36" a="1"/>
  <c r="C147" i="36" a="1"/>
  <c r="C101" i="36" a="1"/>
  <c r="C132" i="36" a="1"/>
  <c r="C759" i="36" a="1"/>
  <c r="C624" i="36" a="1"/>
  <c r="C306" i="36" a="1"/>
  <c r="C429" i="36" a="1"/>
  <c r="C765" i="36" a="1"/>
  <c r="C276" i="36" a="1"/>
  <c r="C483" i="36" a="1"/>
  <c r="C327" i="36" a="1"/>
  <c r="C664" i="36" a="1"/>
  <c r="C793" i="36" a="1"/>
  <c r="C69" i="36" a="1"/>
  <c r="C662" i="36" a="1"/>
  <c r="C98" i="36" a="1"/>
  <c r="C517" i="36" a="1"/>
  <c r="C438" i="36" a="1"/>
  <c r="C361" i="36" a="1"/>
  <c r="C41" i="36" a="1"/>
  <c r="C794" i="36" a="1"/>
  <c r="C177" i="36" a="1"/>
  <c r="C784" i="36" a="1"/>
  <c r="C663" i="36" a="1"/>
  <c r="C366" i="36" a="1"/>
  <c r="C508" i="36" a="1"/>
  <c r="C342" i="36" a="1"/>
  <c r="C351" i="36" a="1"/>
  <c r="C449" i="36" a="1"/>
  <c r="C712" i="36" a="1"/>
  <c r="C668" i="36" a="1"/>
  <c r="C591" i="36" a="1"/>
  <c r="C627" i="36" a="1"/>
  <c r="C573" i="36" a="1"/>
  <c r="C114" i="36" a="1"/>
  <c r="C292" i="36" a="1"/>
  <c r="C675" i="36" a="1"/>
  <c r="C685" i="36" a="1"/>
  <c r="C786" i="36" a="1"/>
  <c r="C577" i="36" a="1"/>
  <c r="C488" i="36" a="1"/>
  <c r="C112" i="36" a="1"/>
  <c r="C493" i="36" a="1"/>
  <c r="C527" i="36" a="1"/>
  <c r="C649" i="36" a="1"/>
  <c r="C733" i="36" a="1"/>
  <c r="C403" i="36" a="1"/>
  <c r="C118" i="36" a="1"/>
  <c r="C604" i="36" a="1"/>
  <c r="C253" i="36" a="1"/>
  <c r="C274" i="36" a="1"/>
  <c r="C199" i="36" a="1"/>
  <c r="C106" i="36" a="1"/>
  <c r="C6" i="36" a="1"/>
  <c r="C89" i="36" a="1"/>
  <c r="C232" i="36" a="1"/>
  <c r="C760" i="36" a="1"/>
  <c r="C285" i="36" a="1"/>
  <c r="C437" i="36" a="1"/>
  <c r="C168" i="36" a="1"/>
  <c r="C62" i="36" a="1"/>
  <c r="C356" i="36" a="1"/>
  <c r="C737" i="36" a="1"/>
  <c r="C200" i="36" a="1"/>
  <c r="C23" i="36" a="1"/>
  <c r="C580" i="36" a="1"/>
  <c r="C743" i="36" a="1"/>
  <c r="C751" i="36" a="1"/>
  <c r="C601" i="36" a="1"/>
  <c r="C766" i="36" a="1"/>
  <c r="C465" i="36" a="1"/>
  <c r="C99" i="36" a="1"/>
  <c r="C38" i="36" a="1"/>
  <c r="C411" i="36" a="1"/>
  <c r="C377" i="36" a="1"/>
  <c r="C317" i="36" a="1"/>
  <c r="C263" i="36" a="1"/>
  <c r="C504" i="36" a="1"/>
  <c r="C227" i="36" a="1"/>
  <c r="C296" i="36" a="1"/>
  <c r="C127" i="36" a="1"/>
  <c r="C618" i="36" a="1"/>
  <c r="C502" i="36" a="1"/>
  <c r="C428" i="36" a="1"/>
  <c r="C716" i="36" a="1"/>
  <c r="C717" i="36" a="1"/>
  <c r="C646" i="36" a="1"/>
  <c r="C698" i="36" a="1"/>
  <c r="C230" i="36" a="1"/>
  <c r="C86" i="36" a="1"/>
  <c r="C247" i="36" a="1"/>
  <c r="C78" i="36" a="1"/>
  <c r="C671" i="36" a="1"/>
  <c r="C88" i="36" a="1"/>
  <c r="C16" i="36" a="1"/>
  <c r="C757" i="36" a="1"/>
  <c r="C704" i="36" a="1"/>
  <c r="C503" i="36" a="1"/>
  <c r="C477" i="36" a="1"/>
  <c r="C497" i="36" a="1"/>
  <c r="C702" i="36" a="1"/>
  <c r="C410" i="36" a="1"/>
  <c r="C464" i="36" a="1"/>
  <c r="C221" i="36" a="1"/>
  <c r="C495" i="36" a="1"/>
  <c r="C676" i="36" a="1"/>
  <c r="C156" i="36" a="1"/>
  <c r="C783" i="36" a="1"/>
  <c r="C213" i="36" a="1"/>
  <c r="C408" i="36" a="1"/>
  <c r="C59" i="36" a="1"/>
  <c r="C636" i="36" a="1"/>
  <c r="C426" i="36" a="1"/>
  <c r="C660" i="36" a="1"/>
  <c r="C552" i="36" a="1"/>
  <c r="C134" i="36" a="1"/>
  <c r="C742" i="36" a="1"/>
  <c r="C689" i="36" a="1"/>
  <c r="C233" i="36" a="1"/>
  <c r="C731" i="36" a="1"/>
  <c r="C350" i="36" a="1"/>
  <c r="C289" i="36" a="1"/>
  <c r="C740" i="36" a="1"/>
  <c r="C54" i="36" a="1"/>
  <c r="C128" i="36" a="1"/>
  <c r="C768" i="36" a="1"/>
  <c r="C772" i="36" a="1"/>
  <c r="C70" i="36" a="1"/>
  <c r="C594" i="36" a="1"/>
  <c r="C133" i="36" a="1"/>
  <c r="C774" i="36" a="1"/>
  <c r="C721" i="36" a="1"/>
  <c r="C336" i="36" a="1"/>
  <c r="C615" i="36" a="1"/>
  <c r="C207" i="36" a="1"/>
  <c r="C792" i="36" a="1"/>
  <c r="C31" i="36" a="1"/>
  <c r="C93" i="36" a="1"/>
  <c r="C353" i="36" a="1"/>
  <c r="C405" i="36" a="1"/>
  <c r="C340" i="36" a="1"/>
  <c r="C279" i="36" a="1"/>
  <c r="C349" i="36" a="1"/>
  <c r="C288" i="36" a="1"/>
  <c r="C430" i="36" a="1"/>
  <c r="C191" i="36" a="1"/>
  <c r="C254" i="36" a="1"/>
  <c r="C183" i="36" a="1"/>
  <c r="C780" i="36" a="1"/>
  <c r="C178" i="36" a="1"/>
  <c r="C771" i="36" a="1"/>
  <c r="C47" i="36" a="1"/>
  <c r="C621" i="36" a="1"/>
  <c r="C418" i="36" a="1"/>
  <c r="C700" i="36" a="1"/>
  <c r="C5" i="36" a="1"/>
  <c r="C492" i="36" a="1"/>
  <c r="C348" i="36" a="1"/>
  <c r="C528" i="36" a="1"/>
  <c r="C187" i="36" a="1"/>
  <c r="C218" i="36" a="1"/>
  <c r="C699" i="36" a="1"/>
  <c r="C10" i="36" a="1"/>
  <c r="C744" i="36" a="1"/>
  <c r="C657" i="36" a="1"/>
  <c r="C414" i="36" a="1"/>
  <c r="C143" i="36" a="1"/>
  <c r="C746" i="36" a="1"/>
  <c r="C18" i="36" a="1"/>
  <c r="C567" i="36" a="1"/>
  <c r="C459" i="36" a="1"/>
  <c r="C145" i="36" a="1"/>
  <c r="C548" i="36" a="1"/>
  <c r="C558" i="36" a="1"/>
  <c r="C467" i="36" a="1"/>
  <c r="C683" i="36" a="1"/>
  <c r="C335" i="36" a="1"/>
  <c r="C730" i="36" a="1"/>
  <c r="C209" i="36" a="1"/>
  <c r="C387" i="36" a="1"/>
  <c r="C597" i="36" a="1"/>
  <c r="C735" i="36" a="1"/>
  <c r="C257" i="36" a="1"/>
  <c r="C194" i="36" a="1"/>
  <c r="C26" i="36" a="1"/>
  <c r="C311" i="36" a="1"/>
  <c r="C206" i="36" a="1"/>
  <c r="C120" i="36" a="1"/>
  <c r="C355" i="36" a="1"/>
  <c r="C76" i="36" a="1"/>
  <c r="C170" i="36" a="1"/>
  <c r="C391" i="36" a="1"/>
  <c r="C482" i="36" a="1"/>
  <c r="C222" i="36" a="1"/>
  <c r="C364" i="36" a="1"/>
  <c r="C544" i="36" a="1"/>
  <c r="C609" i="36" a="1"/>
  <c r="C510" i="36" a="1"/>
  <c r="C185" i="36" a="1"/>
  <c r="C536" i="36" a="1"/>
  <c r="C616" i="36" a="1"/>
  <c r="C661" i="36" a="1"/>
  <c r="C549" i="36" a="1"/>
  <c r="C441" i="36" a="1"/>
  <c r="C566" i="36" a="1"/>
  <c r="C458" i="36" a="1"/>
  <c r="C25" i="36" a="1"/>
  <c r="C595" i="36" a="1"/>
  <c r="C598" i="36" a="1"/>
  <c r="C45" i="36" a="1"/>
  <c r="C35" i="36" a="1"/>
  <c r="C150" i="36" a="1"/>
  <c r="C534" i="36" a="1"/>
  <c r="C304" i="36" a="1"/>
  <c r="C201" i="36" a="1"/>
  <c r="C564" i="36" a="1"/>
  <c r="C788" i="36" a="1"/>
  <c r="C186" i="36" a="1"/>
  <c r="C61" i="36" a="1"/>
  <c r="C96" i="36" a="1"/>
  <c r="C77" i="36" a="1"/>
  <c r="C315" i="36" a="1"/>
  <c r="C791" i="36" a="1"/>
  <c r="C708" i="36" a="1"/>
  <c r="C515" i="36" a="1"/>
  <c r="C416" i="36" a="1"/>
  <c r="C75" i="36" a="1"/>
  <c r="C670" i="36" a="1"/>
  <c r="C562" i="36" a="1"/>
  <c r="C462" i="36" a="1"/>
  <c r="C451" i="36" a="1"/>
  <c r="C750" i="36" a="1"/>
  <c r="C697" i="36" a="1"/>
  <c r="C262" i="36" a="1"/>
  <c r="C680" i="36" a="1"/>
  <c r="C138" i="36" a="1"/>
  <c r="C40" i="36" a="1"/>
  <c r="C309" i="36" a="1"/>
  <c r="C692" i="36" a="1"/>
  <c r="C380" i="36" a="1"/>
  <c r="C48" i="36" a="1"/>
  <c r="C622" i="36" a="1"/>
  <c r="C146" i="36" a="1"/>
  <c r="C665" i="36" a="1"/>
  <c r="C72" i="36" a="1"/>
  <c r="C382" i="36" a="1"/>
  <c r="C463" i="36" a="1"/>
  <c r="C225" i="36" a="1"/>
  <c r="C741" i="36" a="1"/>
  <c r="C688" i="36" a="1"/>
  <c r="C749" i="36" a="1"/>
  <c r="C286" i="36" a="1"/>
  <c r="C152" i="36" a="1"/>
  <c r="C301" i="36" a="1"/>
  <c r="C163" i="36" a="1"/>
  <c r="C589" i="36" a="1"/>
  <c r="C490" i="36" a="1"/>
  <c r="C390" i="36" a="1"/>
  <c r="C320" i="36" a="1"/>
  <c r="C385" i="36" a="1"/>
  <c r="C445" i="36" a="1"/>
  <c r="C513" i="36" a="1"/>
  <c r="C509" i="36" a="1"/>
  <c r="C654" i="36" a="1"/>
  <c r="C672" i="36" a="1"/>
  <c r="C203" i="36" a="1"/>
  <c r="C346" i="36" a="1"/>
  <c r="C293" i="36" a="1"/>
  <c r="C431" i="36" a="1"/>
  <c r="C162" i="36" a="1"/>
  <c r="C715" i="36" a="1"/>
  <c r="C359" i="36" a="1"/>
  <c r="C763" i="36" a="1"/>
  <c r="C785" i="36" a="1"/>
  <c r="C32" i="36" a="1"/>
  <c r="C531" i="36" a="1"/>
  <c r="C52" i="36" a="1"/>
  <c r="C50" i="36" a="1"/>
  <c r="C278" i="36" a="1"/>
  <c r="C2" i="36" a="1"/>
  <c r="C705" i="36" a="1"/>
  <c r="C673" i="36" a="1"/>
  <c r="C711" i="36" a="1"/>
  <c r="C782" i="36" a="1"/>
  <c r="C739" i="36" a="1"/>
  <c r="C266" i="36" a="1"/>
  <c r="C159" i="36" a="1"/>
  <c r="C565" i="36" a="1"/>
  <c r="C39" i="36" a="1"/>
  <c r="C412" i="36" a="1"/>
  <c r="C240" i="36" a="1"/>
  <c r="C736" i="36" a="1"/>
  <c r="C180" i="36" a="1"/>
  <c r="C339" i="36" a="1"/>
  <c r="C136" i="36" a="1"/>
  <c r="C212" i="36" a="1"/>
  <c r="C499" i="36" a="1"/>
  <c r="C202" i="36" a="1"/>
  <c r="C439" i="36" a="1"/>
  <c r="C539" i="36" a="1"/>
  <c r="C169" i="36" a="1"/>
  <c r="C57" i="36" a="1"/>
  <c r="C394" i="36" a="1"/>
  <c r="C545" i="36" a="1"/>
  <c r="C443" i="36" a="1"/>
  <c r="C581" i="36" a="1"/>
  <c r="C409" i="36" a="1"/>
  <c r="C155" i="36" a="1"/>
  <c r="C137" i="36" a="1"/>
  <c r="C204" i="36" a="1"/>
  <c r="C107" i="36" a="1"/>
  <c r="C198" i="36" a="1"/>
  <c r="C14" i="36" a="1"/>
  <c r="C696" i="36" a="1"/>
  <c r="C520" i="36" a="1"/>
  <c r="C369" i="36" a="1"/>
  <c r="C193" i="36" a="1"/>
  <c r="C325" i="36" a="1"/>
  <c r="C36" i="36" a="1"/>
  <c r="C79" i="36" a="1"/>
  <c r="C248" i="36" a="1"/>
  <c r="C471" i="36" a="1"/>
  <c r="C764" i="36" a="1"/>
  <c r="C298" i="36" a="1"/>
  <c r="C214" i="36" a="1"/>
  <c r="C781" i="36" a="1"/>
  <c r="C334" i="36" a="1"/>
  <c r="C425" i="36" a="1"/>
  <c r="C135" i="36" a="1"/>
  <c r="C373" i="36" a="1"/>
  <c r="C452" i="36" a="1"/>
  <c r="C284" i="36" a="1"/>
  <c r="C42" i="36" a="1"/>
  <c r="C729" i="36" a="1"/>
  <c r="C259" i="36" a="1"/>
  <c r="C97" i="36" a="1"/>
  <c r="C446" i="36" a="1"/>
  <c r="C43" i="36" a="1"/>
  <c r="C176" i="36" a="1"/>
  <c r="C514" i="36" a="1"/>
  <c r="C667" i="36" a="1"/>
  <c r="C130" i="36" a="1"/>
  <c r="C440" i="36" a="1"/>
  <c r="C448" i="36" a="1"/>
  <c r="C631" i="36" a="1"/>
  <c r="C241" i="36" a="1"/>
  <c r="C570" i="36" a="1"/>
  <c r="C460" i="36" a="1"/>
  <c r="C484" i="36" a="1"/>
  <c r="C95" i="36" a="1"/>
  <c r="C796" i="36" a="1"/>
  <c r="C7" i="36" a="1"/>
  <c r="C60" i="36" a="1"/>
  <c r="C91" i="36" a="1"/>
  <c r="C64" i="36" a="1"/>
  <c r="C34" i="36" a="1"/>
  <c r="C115" i="36" a="1"/>
  <c r="C108" i="36" a="1"/>
  <c r="C686" i="36" a="1"/>
  <c r="C754" i="36" a="1"/>
  <c r="C24" i="36" a="1"/>
  <c r="C476" i="36" a="1"/>
  <c r="C235" i="36" a="1"/>
  <c r="C305" i="36" a="1"/>
  <c r="C487" i="36" a="1"/>
  <c r="C379" i="36" a="1"/>
  <c r="C706" i="36" a="1"/>
  <c r="C386" i="36" a="1"/>
  <c r="C326" i="36" a="1"/>
  <c r="C65" i="36" a="1"/>
  <c r="C55" i="36" a="1"/>
  <c r="C3" i="36" a="1"/>
  <c r="C525" i="36" a="1"/>
  <c r="C256" i="36" a="1"/>
  <c r="C142" i="36" a="1"/>
  <c r="C413" i="36" a="1"/>
  <c r="C161" i="36" a="1"/>
  <c r="C456" i="36" a="1"/>
  <c r="C372" i="36" a="1"/>
  <c r="C345" i="36" a="1"/>
  <c r="C454" i="36" a="1"/>
  <c r="C291" i="36" a="1"/>
  <c r="C602" i="36" a="1"/>
  <c r="C529" i="36" a="1"/>
  <c r="C710" i="36" a="1"/>
  <c r="C630" i="36" a="1"/>
  <c r="C571" i="36" a="1"/>
  <c r="C480" i="36" a="1"/>
  <c r="C634" i="36" a="1"/>
  <c r="C518" i="36" a="1"/>
  <c r="C375" i="36" a="1"/>
  <c r="C563" i="36" a="1"/>
  <c r="C164" i="36" a="1"/>
  <c r="C71" i="36" a="1"/>
  <c r="C174" i="36" a="1"/>
  <c r="C332" i="36" a="1"/>
  <c r="C261" i="36" a="1"/>
  <c r="C331" i="36" a="1"/>
  <c r="C423" i="36" a="1"/>
  <c r="C184" i="36" a="1"/>
  <c r="C703" i="36" a="1"/>
  <c r="C83" i="36" a="1"/>
  <c r="C15" i="36" a="1"/>
  <c r="C579" i="36" a="1"/>
  <c r="C33" i="36" a="1"/>
  <c r="C753" i="36" a="1"/>
  <c r="C584" i="36" a="1"/>
  <c r="C468" i="36" a="1"/>
  <c r="C205" i="36" a="1"/>
  <c r="C745" i="36" a="1"/>
  <c r="C192" i="36" a="1"/>
  <c r="C363" i="36" a="1"/>
  <c r="C491" i="36" a="1"/>
  <c r="C659" i="36" a="1"/>
  <c r="C100" i="36" a="1"/>
  <c r="C738" i="36" a="1"/>
  <c r="C635" i="36" a="1"/>
  <c r="C519" i="36" a="1"/>
  <c r="C496" i="36" a="1"/>
  <c r="C249" i="36" a="1"/>
  <c r="C131" i="36" a="1"/>
  <c r="C80" i="36" a="1"/>
  <c r="C652" i="36" a="1"/>
  <c r="C561" i="36" a="1"/>
  <c r="C669" i="36" a="1"/>
  <c r="C362" i="36" a="1"/>
  <c r="C694" i="36" a="1"/>
  <c r="C596" i="36" a="1"/>
  <c r="C337" i="36" a="1"/>
  <c r="C328" i="36" a="1"/>
  <c r="C12" i="36" a="1"/>
  <c r="C767" i="36" a="1"/>
  <c r="C587" i="36" a="1"/>
  <c r="C189" i="36" a="1"/>
  <c r="C607" i="36" a="1"/>
  <c r="C728" i="36" a="1"/>
  <c r="C338" i="36" a="1"/>
  <c r="C13" i="36" a="1"/>
  <c r="C533" i="36" a="1"/>
  <c r="C679" i="36" a="1"/>
  <c r="C211" i="36" a="1"/>
  <c r="C758" i="36" a="1"/>
  <c r="C84" i="36" a="1"/>
  <c r="C419" i="36" a="1"/>
  <c r="C56" i="36" a="1"/>
  <c r="C761" i="36" a="1"/>
  <c r="C357" i="36" a="1"/>
  <c r="C333" i="36" a="1"/>
  <c r="C277" i="36" a="1"/>
  <c r="C769" i="36" a="1"/>
  <c r="C140" i="36" a="1"/>
  <c r="C610" i="36" a="1"/>
  <c r="C481" i="36" a="1"/>
  <c r="C197" i="36" a="1"/>
  <c r="C734" i="36" a="1"/>
  <c r="C436" i="36" a="1"/>
  <c r="C770" i="36" a="1"/>
  <c r="C173" i="36" a="1"/>
  <c r="C215" i="36" a="1"/>
  <c r="C126" i="36" a="1"/>
  <c r="C344" i="36" a="1"/>
  <c r="C27" i="36" a="1"/>
  <c r="C268" i="36" a="1"/>
  <c r="C165" i="36" a="1"/>
  <c r="C623" i="36" a="1"/>
  <c r="C546" i="36" a="1"/>
  <c r="C420" i="36" a="1"/>
  <c r="C776" i="36" a="1"/>
  <c r="C588" i="36" a="1"/>
  <c r="C434" i="36" a="1"/>
  <c r="C611" i="36" a="1"/>
  <c r="C639" i="36" a="1"/>
  <c r="C678" i="36" a="1"/>
  <c r="C153" i="36" a="1"/>
  <c r="C210" i="36" a="1"/>
  <c r="C294" i="36" a="1"/>
  <c r="C633" i="36" a="1"/>
  <c r="C122" i="36" a="1"/>
  <c r="C494" i="36" a="1"/>
  <c r="C486" i="36" a="1"/>
  <c r="C681" i="36" a="1"/>
  <c r="C713" i="36" a="1"/>
  <c r="C190" i="36" a="1"/>
  <c r="C787" i="36" a="1"/>
  <c r="C523" i="36" a="1"/>
  <c r="C384" i="36" a="1"/>
  <c r="C422" i="36" a="1"/>
  <c r="C576" i="36" a="1"/>
  <c r="C171" i="36" a="1"/>
  <c r="C638" i="36" a="1"/>
  <c r="C250" i="36" a="1"/>
  <c r="C543" i="36" a="1"/>
  <c r="C687" i="36" a="1"/>
  <c r="C626" i="36" a="1"/>
  <c r="C58" i="36" a="1"/>
  <c r="C578" i="36" a="1"/>
  <c r="C762" i="36" a="1"/>
  <c r="C590" i="36" a="1"/>
  <c r="C299" i="36" a="1"/>
  <c r="C472" i="36" a="1"/>
  <c r="C701" i="36" a="1"/>
  <c r="C158" i="36" a="1"/>
  <c r="C575" i="36" a="1"/>
  <c r="C149" i="36" a="1"/>
  <c r="C271" i="36" a="1"/>
  <c r="C489" i="36" a="1"/>
  <c r="C389" i="36" a="1"/>
  <c r="C747" i="36" a="1"/>
  <c r="C790" i="36" a="1"/>
  <c r="C371" i="36" a="1"/>
  <c r="C500" i="36" a="1"/>
  <c r="C365" i="36" a="1"/>
  <c r="C228" i="36" a="1"/>
  <c r="C123" i="36" a="1"/>
  <c r="C66" i="36" a="1"/>
  <c r="C11" i="36" a="1"/>
  <c r="C542" i="36" a="1"/>
  <c r="C19" i="36" a="1"/>
  <c r="C559" i="36" a="1"/>
  <c r="C4" i="36" a="1"/>
  <c r="C585" i="36" a="1"/>
  <c r="C690" i="36" a="1"/>
  <c r="C466" i="36" a="1"/>
  <c r="C658" i="36" a="1"/>
  <c r="C600" i="36" a="1"/>
  <c r="C777" i="36" a="1"/>
  <c r="C148" i="36" a="1"/>
  <c r="C775" i="36" a="1"/>
  <c r="C22" i="36" a="1"/>
  <c r="C655" i="36" a="1"/>
  <c r="C608" i="36" a="1"/>
  <c r="C718" i="36" a="1"/>
  <c r="C647" i="36" a="1"/>
  <c r="C724" i="36" a="1"/>
  <c r="C723" i="36" a="1"/>
  <c r="C498" i="36" a="1"/>
  <c r="C374" i="36" a="1"/>
  <c r="C323" i="36" a="1"/>
  <c r="C406" i="36" a="1"/>
  <c r="C461" i="36" a="1"/>
  <c r="C677" i="36" a="1"/>
  <c r="C569" i="36" a="1"/>
  <c r="C470" i="36" a="1"/>
  <c r="C255" i="36" a="1"/>
  <c r="C265" i="36" a="1"/>
  <c r="C121" i="36" a="1"/>
  <c r="C319" i="36" a="1"/>
  <c r="C666" i="36" a="1"/>
  <c r="C68" i="36" a="1"/>
  <c r="C695" i="36" a="1"/>
  <c r="C223" i="36" a="1"/>
  <c r="C308" i="36" a="1"/>
  <c r="C714" i="36" a="1"/>
  <c r="C756" i="36" a="1"/>
  <c r="C208" i="36" a="1"/>
  <c r="C682" i="36" a="1"/>
  <c r="C424" i="36" a="1"/>
  <c r="C401" i="36" a="1"/>
  <c r="C44" i="36" a="1"/>
  <c r="C63" i="36" a="1"/>
  <c r="C752" i="36" a="1"/>
  <c r="C157" i="36" a="1"/>
  <c r="C625" i="36" a="1"/>
  <c r="C196" i="36" a="1"/>
  <c r="C160" i="36" a="1"/>
  <c r="C605" i="36" a="1"/>
  <c r="C540" i="36" a="1"/>
  <c r="C530" i="36" a="1"/>
  <c r="C220" i="36" a="1"/>
  <c r="C239" i="36" a="1"/>
  <c r="C725" i="36" a="1"/>
  <c r="C532" i="36" a="1"/>
  <c r="C267" i="36" a="1"/>
  <c r="C275" i="36" a="1"/>
  <c r="C260" i="36" a="1"/>
  <c r="C166" i="36" a="1"/>
  <c r="C103" i="36" a="1"/>
  <c r="C447" i="36" a="1"/>
  <c r="C167" i="36" a="1"/>
  <c r="C49" i="36" a="1"/>
  <c r="C300" i="36" a="1"/>
  <c r="C51" i="36" a="1"/>
  <c r="C511" i="36" a="1"/>
  <c r="C85" i="36" a="1"/>
  <c r="C322" i="36" a="1"/>
  <c r="C172" i="36" a="1"/>
  <c r="C111" i="36" a="1"/>
  <c r="C524" i="36" a="1"/>
  <c r="C433" i="36" a="1"/>
  <c r="C82" i="36" a="1"/>
  <c r="C586" i="36" a="1"/>
  <c r="C538" i="36" a="1"/>
  <c r="C9" i="36" a="1"/>
  <c r="C273" i="36" a="1"/>
  <c r="C592" i="36" a="1"/>
  <c r="C572" i="36" a="1"/>
  <c r="C46" i="36" a="1"/>
  <c r="C620" i="36" a="1"/>
  <c r="C217" i="36" a="1"/>
  <c r="C407" i="36" a="1"/>
  <c r="C395" i="36" a="1"/>
  <c r="C551" i="36" a="1"/>
  <c r="C568" i="36" a="1"/>
  <c r="C29" i="36" a="1"/>
  <c r="C779" i="36" a="1"/>
  <c r="C512" i="36" a="1"/>
  <c r="C37" i="36" a="1"/>
  <c r="C376" i="36" a="1"/>
  <c r="C316" i="36" a="1"/>
  <c r="C640" i="36" a="1"/>
  <c r="C179" i="36" a="1"/>
  <c r="C245" i="36" a="1"/>
  <c r="C522" i="36" a="1"/>
  <c r="C516" i="36" a="1"/>
  <c r="C242" i="36" a="1"/>
  <c r="C526" i="36" a="1"/>
  <c r="C269" i="36" a="1"/>
  <c r="C17" i="36" a="1"/>
  <c r="C505" i="36" a="1"/>
  <c r="C109" i="36" a="1"/>
  <c r="C554" i="36" a="1"/>
  <c r="C117" i="36" a="1"/>
  <c r="C151" i="36" a="1"/>
  <c r="C234" i="36" a="1"/>
  <c r="C417" i="36" a="1"/>
  <c r="C312" i="36" a="1"/>
  <c r="C644" i="36" a="1"/>
  <c r="C237" i="36" a="1"/>
  <c r="C116" i="36" a="1"/>
  <c r="C124" i="36" a="1"/>
  <c r="C637" i="36" a="1"/>
  <c r="C643" i="36" a="1"/>
  <c r="C224" i="36" a="1"/>
  <c r="C773" i="36" a="1"/>
  <c r="C28" i="36" a="1"/>
  <c r="C574" i="36" a="1"/>
  <c r="C343" i="36" a="1"/>
  <c r="C87" i="36" a="1"/>
  <c r="C282" i="36" a="1"/>
  <c r="C582" i="36" a="1"/>
  <c r="C303" i="36" a="1"/>
  <c r="C556" i="36" a="1"/>
  <c r="C302" i="36" a="1"/>
  <c r="C378" i="36" a="1"/>
  <c r="C313" i="36" a="1"/>
  <c r="C651" i="36" a="1"/>
  <c r="C105" i="36" a="1"/>
  <c r="C537" i="36" a="1"/>
  <c r="C485" i="36" a="1"/>
  <c r="C474" i="36" a="1"/>
  <c r="C181" i="36" a="1"/>
  <c r="C244" i="36" a="1"/>
  <c r="C593" i="36" a="1"/>
  <c r="C619" i="36" a="1"/>
  <c r="C507" i="36" a="1"/>
  <c r="C789" i="36" a="1"/>
  <c r="C400" i="36" a="1"/>
  <c r="C104" i="36" a="1"/>
  <c r="C479" i="36" a="1"/>
  <c r="C612" i="36" a="1"/>
  <c r="C74" i="36" a="1"/>
  <c r="C110" i="36" a="1"/>
  <c r="C182" i="36" a="1"/>
  <c r="C501" i="36" a="1"/>
  <c r="C388" i="36" a="1"/>
  <c r="C726" i="36" a="1"/>
  <c r="C427" i="36" a="1"/>
  <c r="C258" i="36" a="1"/>
  <c r="C329" i="36" a="1"/>
  <c r="C396" i="36" a="1"/>
  <c r="C415" i="36" a="1"/>
  <c r="C613" i="36" a="1"/>
  <c r="C720" i="36" a="1"/>
  <c r="C628" i="36" a="1"/>
  <c r="C238" i="36" a="1"/>
  <c r="C553" i="36" a="1"/>
  <c r="C656" i="36" a="1"/>
  <c r="C243" i="36" a="1"/>
  <c r="C614" i="36" a="1"/>
  <c r="C732" i="36" a="1"/>
  <c r="C94" i="36" a="1"/>
  <c r="C188" i="36" a="1"/>
  <c r="C219" i="36" a="1"/>
  <c r="C506" i="36" a="1"/>
  <c r="C478" i="36" a="1"/>
  <c r="C399" i="36" a="1"/>
  <c r="C421" i="36" a="1"/>
  <c r="C347" i="36" a="1"/>
  <c r="C314" i="36" a="1"/>
  <c r="C73" i="36" a="1"/>
  <c r="C354" i="36" a="1"/>
  <c r="C113" i="36" a="1"/>
  <c r="C455" i="36" a="1"/>
  <c r="C398" i="36" a="1"/>
  <c r="C547" i="36" a="1"/>
  <c r="C53" i="36" a="1"/>
  <c r="C550" i="36" a="1"/>
  <c r="C693" i="36" a="1"/>
  <c r="C283" i="36" a="1"/>
  <c r="C295" i="36" a="1"/>
  <c r="C632" i="36" a="1"/>
  <c r="C287" i="36" a="1"/>
  <c r="C358" i="36" a="1"/>
  <c r="C195" i="36" a="1"/>
  <c r="C560" i="36" a="1"/>
  <c r="C748" i="36" a="1"/>
  <c r="C450" i="36" a="1"/>
  <c r="C154" i="36" a="1"/>
  <c r="C30" i="36" a="1"/>
  <c r="C521" i="36" a="1"/>
  <c r="C653" i="36" a="1"/>
  <c r="C648" i="36" a="1"/>
  <c r="C125" i="36" a="1"/>
  <c r="C435" i="36" a="1"/>
  <c r="C290" i="36" a="1"/>
  <c r="C383" i="36" a="1"/>
  <c r="C144" i="36" a="1"/>
  <c r="C310" i="36" a="1"/>
  <c r="C392" i="36" a="1"/>
  <c r="C231" i="36" a="1"/>
  <c r="C246" i="36" a="1"/>
  <c r="C453" i="36" a="1"/>
  <c r="C252" i="36" a="1"/>
  <c r="C21" i="36" a="1"/>
  <c r="C778" i="36" a="1"/>
  <c r="C8" i="36" a="1"/>
  <c r="C281" i="36" a="1"/>
  <c r="C129" i="36" a="1"/>
  <c r="C755" i="36" a="1"/>
  <c r="C318" i="36" a="1"/>
  <c r="C119" i="36" a="1"/>
  <c r="C555" i="36" a="1"/>
  <c r="C645" i="36" a="1"/>
  <c r="C67" i="36" a="1"/>
  <c r="C264" i="36" a="1"/>
  <c r="C642" i="36" a="1"/>
  <c r="C457" i="36" a="1"/>
  <c r="C397" i="36" a="1"/>
  <c r="C360" i="36" a="1"/>
  <c r="C404" i="36" a="1"/>
  <c r="C297" i="36" a="1"/>
  <c r="C684" i="36" a="1"/>
  <c r="C175" i="36" a="1"/>
  <c r="C236" i="36" a="1"/>
  <c r="C674" i="36" a="1"/>
  <c r="C541" i="36" a="1"/>
  <c r="C102" i="36" a="1"/>
  <c r="C535" i="36" a="1"/>
  <c r="C381" i="36" a="1"/>
  <c r="C324" i="36" a="1"/>
  <c r="C603" i="36" a="1"/>
  <c r="C641" i="36" a="1"/>
  <c r="C229" i="36" a="1"/>
  <c r="C617" i="36" a="1"/>
  <c r="C341" i="36" a="1"/>
  <c r="C141" i="36" a="1"/>
  <c r="C473" i="36" a="1"/>
  <c r="C352" i="36" a="1"/>
  <c r="C216" i="36" a="1"/>
  <c r="C707" i="36" a="1"/>
  <c r="C795" i="36" a="1"/>
  <c r="C475" i="36" a="1"/>
  <c r="C691" i="36" a="1"/>
  <c r="C367" i="36" a="1"/>
  <c r="C583" i="36" a="1"/>
  <c r="C280" i="36" a="1"/>
  <c r="C442" i="36" a="1"/>
  <c r="C599" i="36" a="1"/>
  <c r="C402" i="36" a="1"/>
  <c r="C81" i="36" a="1"/>
  <c r="C432" i="36" a="1"/>
  <c r="C251" i="36" a="1"/>
  <c r="C370" i="36" a="1"/>
  <c r="C270" i="36" a="1"/>
  <c r="C557" i="36" a="1"/>
  <c r="C20" i="36" a="1"/>
  <c r="C307" i="36" a="1"/>
  <c r="C393" i="36" a="1"/>
  <c r="C469" i="36" a="1"/>
  <c r="C606" i="36" a="1"/>
  <c r="C722" i="36" a="1"/>
  <c r="J4" i="37" l="1"/>
  <c r="C722" i="36"/>
  <c r="C606" i="36"/>
  <c r="D606" i="36" s="1" a="1"/>
  <c r="D606" i="36" s="1"/>
  <c r="E606" i="36" s="1" a="1"/>
  <c r="E606" i="36" s="1"/>
  <c r="C469" i="36"/>
  <c r="D469" i="36" s="1" a="1"/>
  <c r="D469" i="36" s="1"/>
  <c r="E469" i="36" s="1" a="1"/>
  <c r="E469" i="36" s="1"/>
  <c r="C393" i="36"/>
  <c r="D393" i="36" s="1" a="1"/>
  <c r="D393" i="36" s="1"/>
  <c r="E393" i="36" s="1" a="1"/>
  <c r="E393" i="36" s="1"/>
  <c r="C307" i="36"/>
  <c r="D307" i="36" s="1" a="1"/>
  <c r="D307" i="36" s="1"/>
  <c r="E307" i="36" s="1" a="1"/>
  <c r="E307" i="36" s="1"/>
  <c r="C20" i="36"/>
  <c r="D20" i="36" s="1" a="1"/>
  <c r="D20" i="36" s="1"/>
  <c r="E20" i="36" s="1" a="1"/>
  <c r="E20" i="36" s="1"/>
  <c r="C557" i="36"/>
  <c r="D557" i="36" s="1" a="1"/>
  <c r="D557" i="36" s="1"/>
  <c r="E557" i="36" s="1" a="1"/>
  <c r="E557" i="36" s="1"/>
  <c r="C270" i="36"/>
  <c r="D270" i="36" s="1" a="1"/>
  <c r="D270" i="36" s="1"/>
  <c r="E270" i="36" s="1" a="1"/>
  <c r="E270" i="36" s="1"/>
  <c r="C370" i="36"/>
  <c r="D370" i="36" s="1" a="1"/>
  <c r="D370" i="36" s="1"/>
  <c r="E370" i="36" s="1" a="1"/>
  <c r="E370" i="36" s="1"/>
  <c r="C251" i="36"/>
  <c r="C432" i="36"/>
  <c r="D432" i="36" s="1" a="1"/>
  <c r="D432" i="36" s="1"/>
  <c r="E432" i="36" s="1" a="1"/>
  <c r="E432" i="36" s="1"/>
  <c r="C81" i="36"/>
  <c r="D81" i="36" s="1" a="1"/>
  <c r="D81" i="36" s="1"/>
  <c r="E81" i="36" s="1" a="1"/>
  <c r="E81" i="36" s="1"/>
  <c r="C402" i="36"/>
  <c r="D402" i="36" s="1" a="1"/>
  <c r="D402" i="36" s="1"/>
  <c r="E402" i="36" s="1" a="1"/>
  <c r="E402" i="36" s="1"/>
  <c r="C599" i="36"/>
  <c r="D599" i="36" s="1" a="1"/>
  <c r="D599" i="36" s="1"/>
  <c r="E599" i="36" s="1" a="1"/>
  <c r="E599" i="36" s="1"/>
  <c r="C442" i="36"/>
  <c r="D442" i="36" s="1" a="1"/>
  <c r="D442" i="36" s="1"/>
  <c r="E442" i="36" s="1" a="1"/>
  <c r="E442" i="36" s="1"/>
  <c r="C280" i="36"/>
  <c r="D280" i="36" s="1" a="1"/>
  <c r="D280" i="36" s="1"/>
  <c r="E280" i="36" s="1" a="1"/>
  <c r="E280" i="36" s="1"/>
  <c r="C583" i="36"/>
  <c r="D583" i="36" s="1" a="1"/>
  <c r="D583" i="36" s="1"/>
  <c r="E583" i="36" s="1" a="1"/>
  <c r="E583" i="36" s="1"/>
  <c r="C367" i="36"/>
  <c r="D367" i="36" s="1" a="1"/>
  <c r="D367" i="36" s="1"/>
  <c r="E367" i="36" s="1" a="1"/>
  <c r="E367" i="36" s="1"/>
  <c r="C691" i="36"/>
  <c r="C475" i="36"/>
  <c r="D475" i="36" s="1" a="1"/>
  <c r="D475" i="36" s="1"/>
  <c r="E475" i="36" s="1" a="1"/>
  <c r="E475" i="36" s="1"/>
  <c r="C795" i="36"/>
  <c r="C707" i="36"/>
  <c r="C216" i="36"/>
  <c r="D216" i="36" s="1" a="1"/>
  <c r="D216" i="36" s="1"/>
  <c r="E216" i="36" s="1" a="1"/>
  <c r="E216" i="36" s="1"/>
  <c r="C352" i="36"/>
  <c r="D352" i="36" s="1" a="1"/>
  <c r="D352" i="36" s="1"/>
  <c r="E352" i="36" s="1" a="1"/>
  <c r="E352" i="36" s="1"/>
  <c r="C473" i="36"/>
  <c r="D473" i="36" s="1" a="1"/>
  <c r="D473" i="36" s="1"/>
  <c r="E473" i="36" s="1" a="1"/>
  <c r="E473" i="36" s="1"/>
  <c r="C141" i="36"/>
  <c r="D141" i="36" s="1" a="1"/>
  <c r="D141" i="36" s="1"/>
  <c r="E141" i="36" s="1" a="1"/>
  <c r="E141" i="36" s="1"/>
  <c r="C341" i="36"/>
  <c r="D341" i="36" s="1" a="1"/>
  <c r="D341" i="36" s="1"/>
  <c r="E341" i="36" s="1" a="1"/>
  <c r="E341" i="36" s="1"/>
  <c r="C617" i="36"/>
  <c r="D617" i="36" s="1" a="1"/>
  <c r="D617" i="36" s="1"/>
  <c r="E617" i="36" s="1" a="1"/>
  <c r="E617" i="36" s="1"/>
  <c r="C229" i="36"/>
  <c r="D229" i="36" s="1" a="1"/>
  <c r="D229" i="36" s="1"/>
  <c r="E229" i="36" s="1" a="1"/>
  <c r="E229" i="36" s="1"/>
  <c r="C641" i="36"/>
  <c r="D641" i="36" s="1" a="1"/>
  <c r="D641" i="36" s="1"/>
  <c r="E641" i="36" s="1" a="1"/>
  <c r="E641" i="36" s="1"/>
  <c r="C603" i="36"/>
  <c r="D603" i="36" s="1" a="1"/>
  <c r="D603" i="36" s="1"/>
  <c r="E603" i="36" s="1" a="1"/>
  <c r="E603" i="36" s="1"/>
  <c r="C324" i="36"/>
  <c r="D324" i="36" s="1" a="1"/>
  <c r="D324" i="36" s="1"/>
  <c r="E324" i="36" s="1" a="1"/>
  <c r="E324" i="36" s="1"/>
  <c r="C381" i="36"/>
  <c r="D381" i="36" s="1" a="1"/>
  <c r="D381" i="36" s="1"/>
  <c r="E381" i="36" s="1" a="1"/>
  <c r="E381" i="36" s="1"/>
  <c r="C535" i="36"/>
  <c r="D535" i="36" s="1" a="1"/>
  <c r="D535" i="36" s="1"/>
  <c r="E535" i="36" s="1" a="1"/>
  <c r="E535" i="36" s="1"/>
  <c r="C102" i="36"/>
  <c r="D102" i="36" s="1" a="1"/>
  <c r="D102" i="36" s="1"/>
  <c r="E102" i="36" s="1" a="1"/>
  <c r="E102" i="36" s="1"/>
  <c r="C541" i="36"/>
  <c r="D541" i="36" s="1" a="1"/>
  <c r="D541" i="36" s="1"/>
  <c r="E541" i="36" s="1" a="1"/>
  <c r="E541" i="36" s="1"/>
  <c r="C674" i="36"/>
  <c r="C236" i="36"/>
  <c r="D236" i="36" s="1" a="1"/>
  <c r="D236" i="36" s="1"/>
  <c r="E236" i="36" s="1" a="1"/>
  <c r="E236" i="36" s="1"/>
  <c r="C175" i="36"/>
  <c r="D175" i="36" s="1" a="1"/>
  <c r="D175" i="36" s="1"/>
  <c r="E175" i="36" s="1" a="1"/>
  <c r="E175" i="36" s="1"/>
  <c r="C684" i="36"/>
  <c r="C297" i="36"/>
  <c r="D297" i="36" s="1" a="1"/>
  <c r="D297" i="36" s="1"/>
  <c r="E297" i="36" s="1" a="1"/>
  <c r="E297" i="36" s="1"/>
  <c r="C404" i="36"/>
  <c r="D404" i="36" s="1" a="1"/>
  <c r="D404" i="36" s="1"/>
  <c r="E404" i="36" s="1" a="1"/>
  <c r="E404" i="36" s="1"/>
  <c r="C360" i="36"/>
  <c r="D360" i="36" s="1" a="1"/>
  <c r="D360" i="36" s="1"/>
  <c r="E360" i="36" s="1" a="1"/>
  <c r="E360" i="36" s="1"/>
  <c r="C397" i="36"/>
  <c r="D397" i="36" s="1" a="1"/>
  <c r="D397" i="36" s="1"/>
  <c r="E397" i="36" s="1" a="1"/>
  <c r="E397" i="36" s="1"/>
  <c r="C457" i="36"/>
  <c r="D457" i="36" s="1" a="1"/>
  <c r="D457" i="36" s="1"/>
  <c r="E457" i="36" s="1" a="1"/>
  <c r="E457" i="36" s="1"/>
  <c r="C642" i="36"/>
  <c r="D642" i="36" s="1" a="1"/>
  <c r="D642" i="36" s="1"/>
  <c r="E642" i="36" s="1" a="1"/>
  <c r="E642" i="36" s="1"/>
  <c r="C264" i="36"/>
  <c r="D264" i="36" s="1" a="1"/>
  <c r="D264" i="36" s="1"/>
  <c r="E264" i="36" s="1" a="1"/>
  <c r="E264" i="36" s="1"/>
  <c r="C67" i="36"/>
  <c r="D67" i="36" s="1" a="1"/>
  <c r="D67" i="36" s="1"/>
  <c r="E67" i="36" s="1" a="1"/>
  <c r="E67" i="36" s="1"/>
  <c r="C645" i="36"/>
  <c r="D645" i="36" s="1" a="1"/>
  <c r="D645" i="36" s="1"/>
  <c r="E645" i="36" s="1" a="1"/>
  <c r="E645" i="36" s="1"/>
  <c r="C555" i="36"/>
  <c r="D555" i="36" s="1" a="1"/>
  <c r="D555" i="36" s="1"/>
  <c r="E555" i="36" s="1" a="1"/>
  <c r="E555" i="36" s="1"/>
  <c r="C119" i="36"/>
  <c r="D119" i="36" s="1" a="1"/>
  <c r="D119" i="36" s="1"/>
  <c r="E119" i="36" s="1" a="1"/>
  <c r="E119" i="36" s="1"/>
  <c r="C318" i="36"/>
  <c r="D318" i="36" s="1" a="1"/>
  <c r="D318" i="36" s="1"/>
  <c r="E318" i="36" s="1" a="1"/>
  <c r="E318" i="36" s="1"/>
  <c r="C755" i="36"/>
  <c r="C129" i="36"/>
  <c r="D129" i="36" s="1" a="1"/>
  <c r="D129" i="36" s="1"/>
  <c r="E129" i="36" s="1" a="1"/>
  <c r="E129" i="36" s="1"/>
  <c r="C281" i="36"/>
  <c r="D281" i="36" s="1" a="1"/>
  <c r="D281" i="36" s="1"/>
  <c r="E281" i="36" s="1" a="1"/>
  <c r="E281" i="36" s="1"/>
  <c r="C8" i="36"/>
  <c r="D8" i="36" s="1" a="1"/>
  <c r="D8" i="36" s="1"/>
  <c r="E8" i="36" s="1" a="1"/>
  <c r="E8" i="36" s="1"/>
  <c r="C778" i="36"/>
  <c r="C21" i="36"/>
  <c r="D21" i="36" s="1" a="1"/>
  <c r="D21" i="36" s="1"/>
  <c r="E21" i="36" s="1" a="1"/>
  <c r="E21" i="36" s="1"/>
  <c r="C252" i="36"/>
  <c r="C453" i="36"/>
  <c r="D453" i="36" s="1" a="1"/>
  <c r="D453" i="36" s="1"/>
  <c r="E453" i="36" s="1" a="1"/>
  <c r="E453" i="36" s="1"/>
  <c r="C246" i="36"/>
  <c r="D246" i="36" s="1" a="1"/>
  <c r="D246" i="36" s="1"/>
  <c r="E246" i="36" s="1" a="1"/>
  <c r="E246" i="36" s="1"/>
  <c r="C231" i="36"/>
  <c r="D231" i="36" s="1" a="1"/>
  <c r="D231" i="36" s="1"/>
  <c r="E231" i="36" s="1" a="1"/>
  <c r="E231" i="36" s="1"/>
  <c r="C392" i="36"/>
  <c r="D392" i="36" s="1" a="1"/>
  <c r="D392" i="36" s="1"/>
  <c r="E392" i="36" s="1" a="1"/>
  <c r="E392" i="36" s="1"/>
  <c r="C310" i="36"/>
  <c r="D310" i="36" s="1" a="1"/>
  <c r="D310" i="36" s="1"/>
  <c r="E310" i="36" s="1" a="1"/>
  <c r="E310" i="36" s="1"/>
  <c r="C144" i="36"/>
  <c r="D144" i="36" s="1" a="1"/>
  <c r="D144" i="36" s="1"/>
  <c r="E144" i="36" s="1" a="1"/>
  <c r="E144" i="36" s="1"/>
  <c r="C383" i="36"/>
  <c r="D383" i="36" s="1" a="1"/>
  <c r="D383" i="36" s="1"/>
  <c r="E383" i="36" s="1" a="1"/>
  <c r="E383" i="36" s="1"/>
  <c r="C290" i="36"/>
  <c r="D290" i="36" s="1" a="1"/>
  <c r="D290" i="36" s="1"/>
  <c r="E290" i="36" s="1" a="1"/>
  <c r="E290" i="36" s="1"/>
  <c r="C435" i="36"/>
  <c r="D435" i="36" s="1" a="1"/>
  <c r="D435" i="36" s="1"/>
  <c r="E435" i="36" s="1" a="1"/>
  <c r="E435" i="36" s="1"/>
  <c r="C125" i="36"/>
  <c r="D125" i="36" s="1" a="1"/>
  <c r="D125" i="36" s="1"/>
  <c r="E125" i="36" s="1" a="1"/>
  <c r="E125" i="36" s="1"/>
  <c r="C648" i="36"/>
  <c r="D648" i="36" s="1" a="1"/>
  <c r="D648" i="36" s="1"/>
  <c r="E648" i="36" s="1" a="1"/>
  <c r="E648" i="36" s="1"/>
  <c r="C653" i="36"/>
  <c r="D653" i="36" s="1" a="1"/>
  <c r="D653" i="36" s="1"/>
  <c r="E653" i="36" s="1" a="1"/>
  <c r="E653" i="36" s="1"/>
  <c r="C521" i="36"/>
  <c r="D521" i="36" s="1" a="1"/>
  <c r="D521" i="36" s="1"/>
  <c r="E521" i="36" s="1" a="1"/>
  <c r="E521" i="36" s="1"/>
  <c r="C30" i="36"/>
  <c r="D30" i="36" s="1" a="1"/>
  <c r="D30" i="36" s="1"/>
  <c r="E30" i="36" s="1" a="1"/>
  <c r="E30" i="36" s="1"/>
  <c r="C154" i="36"/>
  <c r="D154" i="36" s="1" a="1"/>
  <c r="D154" i="36" s="1"/>
  <c r="E154" i="36" s="1" a="1"/>
  <c r="E154" i="36" s="1"/>
  <c r="C450" i="36"/>
  <c r="D450" i="36" s="1" a="1"/>
  <c r="D450" i="36" s="1"/>
  <c r="E450" i="36" s="1" a="1"/>
  <c r="E450" i="36" s="1"/>
  <c r="C748" i="36"/>
  <c r="C560" i="36"/>
  <c r="C195" i="36"/>
  <c r="D195" i="36" s="1" a="1"/>
  <c r="D195" i="36" s="1"/>
  <c r="E195" i="36" s="1" a="1"/>
  <c r="E195" i="36" s="1"/>
  <c r="C358" i="36"/>
  <c r="D358" i="36" s="1" a="1"/>
  <c r="D358" i="36" s="1"/>
  <c r="E358" i="36" s="1" a="1"/>
  <c r="E358" i="36" s="1"/>
  <c r="C287" i="36"/>
  <c r="D287" i="36" s="1" a="1"/>
  <c r="D287" i="36" s="1"/>
  <c r="E287" i="36" s="1" a="1"/>
  <c r="E287" i="36" s="1"/>
  <c r="C632" i="36"/>
  <c r="D632" i="36" s="1" a="1"/>
  <c r="D632" i="36" s="1"/>
  <c r="E632" i="36" s="1" a="1"/>
  <c r="E632" i="36" s="1"/>
  <c r="C295" i="36"/>
  <c r="D295" i="36" s="1" a="1"/>
  <c r="D295" i="36" s="1"/>
  <c r="E295" i="36" s="1" a="1"/>
  <c r="E295" i="36" s="1"/>
  <c r="C283" i="36"/>
  <c r="D283" i="36" s="1" a="1"/>
  <c r="D283" i="36" s="1"/>
  <c r="E283" i="36" s="1" a="1"/>
  <c r="E283" i="36" s="1"/>
  <c r="C693" i="36"/>
  <c r="C550" i="36"/>
  <c r="D550" i="36" s="1" a="1"/>
  <c r="D550" i="36" s="1"/>
  <c r="E550" i="36" s="1" a="1"/>
  <c r="E550" i="36" s="1"/>
  <c r="C53" i="36"/>
  <c r="D53" i="36" s="1" a="1"/>
  <c r="D53" i="36" s="1"/>
  <c r="E53" i="36" s="1" a="1"/>
  <c r="E53" i="36" s="1"/>
  <c r="C547" i="36"/>
  <c r="D547" i="36" s="1" a="1"/>
  <c r="D547" i="36" s="1"/>
  <c r="E547" i="36" s="1" a="1"/>
  <c r="E547" i="36" s="1"/>
  <c r="C398" i="36"/>
  <c r="D398" i="36" s="1" a="1"/>
  <c r="D398" i="36" s="1"/>
  <c r="E398" i="36" s="1" a="1"/>
  <c r="E398" i="36" s="1"/>
  <c r="C455" i="36"/>
  <c r="D455" i="36" s="1" a="1"/>
  <c r="D455" i="36" s="1"/>
  <c r="E455" i="36" s="1" a="1"/>
  <c r="E455" i="36" s="1"/>
  <c r="C113" i="36"/>
  <c r="D113" i="36" s="1" a="1"/>
  <c r="D113" i="36" s="1"/>
  <c r="E113" i="36" s="1" a="1"/>
  <c r="E113" i="36" s="1"/>
  <c r="C354" i="36"/>
  <c r="D354" i="36" s="1" a="1"/>
  <c r="D354" i="36" s="1"/>
  <c r="E354" i="36" s="1" a="1"/>
  <c r="E354" i="36" s="1"/>
  <c r="C73" i="36"/>
  <c r="D73" i="36" s="1" a="1"/>
  <c r="D73" i="36" s="1"/>
  <c r="E73" i="36" s="1" a="1"/>
  <c r="E73" i="36" s="1"/>
  <c r="C314" i="36"/>
  <c r="D314" i="36" s="1" a="1"/>
  <c r="D314" i="36" s="1"/>
  <c r="E314" i="36" s="1" a="1"/>
  <c r="E314" i="36" s="1"/>
  <c r="C347" i="36"/>
  <c r="D347" i="36" s="1" a="1"/>
  <c r="D347" i="36" s="1"/>
  <c r="E347" i="36" s="1" a="1"/>
  <c r="E347" i="36" s="1"/>
  <c r="C421" i="36"/>
  <c r="D421" i="36" s="1" a="1"/>
  <c r="D421" i="36" s="1"/>
  <c r="E421" i="36" s="1" a="1"/>
  <c r="E421" i="36" s="1"/>
  <c r="C399" i="36"/>
  <c r="D399" i="36" s="1" a="1"/>
  <c r="D399" i="36" s="1"/>
  <c r="E399" i="36" s="1" a="1"/>
  <c r="E399" i="36" s="1"/>
  <c r="C478" i="36"/>
  <c r="D478" i="36" s="1" a="1"/>
  <c r="D478" i="36" s="1"/>
  <c r="E478" i="36" s="1" a="1"/>
  <c r="E478" i="36" s="1"/>
  <c r="C506" i="36"/>
  <c r="D506" i="36" s="1" a="1"/>
  <c r="D506" i="36" s="1"/>
  <c r="E506" i="36" s="1" a="1"/>
  <c r="E506" i="36" s="1"/>
  <c r="C219" i="36"/>
  <c r="D219" i="36" s="1" a="1"/>
  <c r="D219" i="36" s="1"/>
  <c r="E219" i="36" s="1" a="1"/>
  <c r="E219" i="36" s="1"/>
  <c r="C188" i="36"/>
  <c r="D188" i="36" s="1" a="1"/>
  <c r="D188" i="36" s="1"/>
  <c r="E188" i="36" s="1" a="1"/>
  <c r="E188" i="36" s="1"/>
  <c r="C94" i="36"/>
  <c r="C732" i="36"/>
  <c r="C614" i="36"/>
  <c r="D614" i="36" s="1" a="1"/>
  <c r="D614" i="36" s="1"/>
  <c r="E614" i="36" s="1" a="1"/>
  <c r="E614" i="36" s="1"/>
  <c r="C243" i="36"/>
  <c r="C656" i="36"/>
  <c r="C553" i="36"/>
  <c r="D553" i="36" s="1" a="1"/>
  <c r="D553" i="36" s="1"/>
  <c r="E553" i="36" s="1" a="1"/>
  <c r="E553" i="36" s="1"/>
  <c r="C238" i="36"/>
  <c r="C628" i="36"/>
  <c r="D628" i="36" s="1" a="1"/>
  <c r="D628" i="36" s="1"/>
  <c r="E628" i="36" s="1" a="1"/>
  <c r="E628" i="36" s="1"/>
  <c r="C720" i="36"/>
  <c r="C613" i="36"/>
  <c r="D613" i="36" s="1" a="1"/>
  <c r="D613" i="36" s="1"/>
  <c r="E613" i="36" s="1" a="1"/>
  <c r="E613" i="36" s="1"/>
  <c r="C415" i="36"/>
  <c r="D415" i="36" s="1" a="1"/>
  <c r="D415" i="36" s="1"/>
  <c r="E415" i="36" s="1" a="1"/>
  <c r="E415" i="36" s="1"/>
  <c r="C396" i="36"/>
  <c r="D396" i="36" s="1" a="1"/>
  <c r="D396" i="36" s="1"/>
  <c r="E396" i="36" s="1" a="1"/>
  <c r="E396" i="36" s="1"/>
  <c r="C329" i="36"/>
  <c r="D329" i="36" s="1" a="1"/>
  <c r="D329" i="36" s="1"/>
  <c r="E329" i="36" s="1" a="1"/>
  <c r="E329" i="36" s="1"/>
  <c r="C258" i="36"/>
  <c r="D258" i="36" s="1" a="1"/>
  <c r="D258" i="36" s="1"/>
  <c r="E258" i="36" s="1" a="1"/>
  <c r="E258" i="36" s="1"/>
  <c r="C427" i="36"/>
  <c r="D427" i="36" s="1" a="1"/>
  <c r="D427" i="36" s="1"/>
  <c r="E427" i="36" s="1" a="1"/>
  <c r="E427" i="36" s="1"/>
  <c r="C726" i="36"/>
  <c r="C388" i="36"/>
  <c r="D388" i="36" s="1" a="1"/>
  <c r="D388" i="36" s="1"/>
  <c r="E388" i="36" s="1" a="1"/>
  <c r="E388" i="36" s="1"/>
  <c r="C501" i="36"/>
  <c r="D501" i="36" s="1" a="1"/>
  <c r="D501" i="36" s="1"/>
  <c r="E501" i="36" s="1" a="1"/>
  <c r="E501" i="36" s="1"/>
  <c r="C182" i="36"/>
  <c r="D182" i="36" s="1" a="1"/>
  <c r="D182" i="36" s="1"/>
  <c r="E182" i="36" s="1" a="1"/>
  <c r="E182" i="36" s="1"/>
  <c r="C110" i="36"/>
  <c r="D110" i="36" s="1" a="1"/>
  <c r="D110" i="36" s="1"/>
  <c r="E110" i="36" s="1" a="1"/>
  <c r="E110" i="36" s="1"/>
  <c r="C74" i="36"/>
  <c r="D74" i="36" s="1" a="1"/>
  <c r="D74" i="36" s="1"/>
  <c r="E74" i="36" s="1" a="1"/>
  <c r="E74" i="36" s="1"/>
  <c r="C612" i="36"/>
  <c r="D612" i="36" s="1" a="1"/>
  <c r="D612" i="36" s="1"/>
  <c r="E612" i="36" s="1" a="1"/>
  <c r="E612" i="36" s="1"/>
  <c r="C479" i="36"/>
  <c r="D479" i="36" s="1" a="1"/>
  <c r="D479" i="36" s="1"/>
  <c r="E479" i="36" s="1" a="1"/>
  <c r="E479" i="36" s="1"/>
  <c r="C104" i="36"/>
  <c r="D104" i="36" s="1" a="1"/>
  <c r="D104" i="36" s="1"/>
  <c r="E104" i="36" s="1" a="1"/>
  <c r="E104" i="36" s="1"/>
  <c r="C400" i="36"/>
  <c r="D400" i="36" s="1" a="1"/>
  <c r="D400" i="36" s="1"/>
  <c r="E400" i="36" s="1" a="1"/>
  <c r="E400" i="36" s="1"/>
  <c r="C789" i="36"/>
  <c r="C507" i="36"/>
  <c r="D507" i="36" s="1" a="1"/>
  <c r="D507" i="36" s="1"/>
  <c r="E507" i="36" s="1" a="1"/>
  <c r="E507" i="36" s="1"/>
  <c r="C619" i="36"/>
  <c r="D619" i="36" s="1" a="1"/>
  <c r="D619" i="36" s="1"/>
  <c r="E619" i="36" s="1" a="1"/>
  <c r="E619" i="36" s="1"/>
  <c r="C593" i="36"/>
  <c r="D593" i="36" s="1" a="1"/>
  <c r="D593" i="36" s="1"/>
  <c r="E593" i="36" s="1" a="1"/>
  <c r="E593" i="36" s="1"/>
  <c r="C244" i="36"/>
  <c r="C181" i="36"/>
  <c r="D181" i="36" s="1" a="1"/>
  <c r="D181" i="36" s="1"/>
  <c r="E181" i="36" s="1" a="1"/>
  <c r="E181" i="36" s="1"/>
  <c r="C474" i="36"/>
  <c r="D474" i="36" s="1" a="1"/>
  <c r="D474" i="36" s="1"/>
  <c r="E474" i="36" s="1" a="1"/>
  <c r="E474" i="36" s="1"/>
  <c r="C485" i="36"/>
  <c r="D485" i="36" s="1" a="1"/>
  <c r="D485" i="36" s="1"/>
  <c r="E485" i="36" s="1" a="1"/>
  <c r="E485" i="36" s="1"/>
  <c r="C537" i="36"/>
  <c r="D537" i="36" s="1" a="1"/>
  <c r="D537" i="36" s="1"/>
  <c r="E537" i="36" s="1" a="1"/>
  <c r="E537" i="36" s="1"/>
  <c r="C105" i="36"/>
  <c r="D105" i="36" s="1" a="1"/>
  <c r="D105" i="36" s="1"/>
  <c r="E105" i="36" s="1" a="1"/>
  <c r="E105" i="36" s="1"/>
  <c r="C651" i="36"/>
  <c r="D651" i="36" s="1" a="1"/>
  <c r="D651" i="36" s="1"/>
  <c r="E651" i="36" s="1" a="1"/>
  <c r="E651" i="36" s="1"/>
  <c r="C313" i="36"/>
  <c r="D313" i="36" s="1" a="1"/>
  <c r="D313" i="36" s="1"/>
  <c r="E313" i="36" s="1" a="1"/>
  <c r="E313" i="36" s="1"/>
  <c r="C378" i="36"/>
  <c r="D378" i="36" s="1" a="1"/>
  <c r="D378" i="36" s="1"/>
  <c r="E378" i="36" s="1" a="1"/>
  <c r="E378" i="36" s="1"/>
  <c r="C302" i="36"/>
  <c r="D302" i="36" s="1" a="1"/>
  <c r="D302" i="36" s="1"/>
  <c r="E302" i="36" s="1" a="1"/>
  <c r="E302" i="36" s="1"/>
  <c r="C556" i="36"/>
  <c r="D556" i="36" s="1" a="1"/>
  <c r="D556" i="36" s="1"/>
  <c r="E556" i="36" s="1" a="1"/>
  <c r="E556" i="36" s="1"/>
  <c r="C303" i="36"/>
  <c r="D303" i="36" s="1" a="1"/>
  <c r="D303" i="36" s="1"/>
  <c r="E303" i="36" s="1" a="1"/>
  <c r="E303" i="36" s="1"/>
  <c r="C582" i="36"/>
  <c r="C282" i="36"/>
  <c r="D282" i="36" s="1" a="1"/>
  <c r="D282" i="36" s="1"/>
  <c r="E282" i="36" s="1" a="1"/>
  <c r="E282" i="36" s="1"/>
  <c r="C87" i="36"/>
  <c r="D87" i="36" s="1" a="1"/>
  <c r="D87" i="36" s="1"/>
  <c r="E87" i="36" s="1" a="1"/>
  <c r="E87" i="36" s="1"/>
  <c r="C343" i="36"/>
  <c r="D343" i="36" s="1" a="1"/>
  <c r="D343" i="36" s="1"/>
  <c r="E343" i="36" s="1" a="1"/>
  <c r="E343" i="36" s="1"/>
  <c r="C574" i="36"/>
  <c r="C28" i="36"/>
  <c r="D28" i="36" s="1" a="1"/>
  <c r="D28" i="36" s="1"/>
  <c r="E28" i="36" s="1" a="1"/>
  <c r="E28" i="36" s="1"/>
  <c r="C773" i="36"/>
  <c r="C224" i="36"/>
  <c r="D224" i="36" s="1" a="1"/>
  <c r="D224" i="36" s="1"/>
  <c r="E224" i="36" s="1" a="1"/>
  <c r="E224" i="36" s="1"/>
  <c r="C643" i="36"/>
  <c r="D643" i="36" s="1" a="1"/>
  <c r="D643" i="36" s="1"/>
  <c r="E643" i="36" s="1" a="1"/>
  <c r="E643" i="36" s="1"/>
  <c r="C637" i="36"/>
  <c r="D637" i="36" s="1" a="1"/>
  <c r="D637" i="36" s="1"/>
  <c r="E637" i="36" s="1" a="1"/>
  <c r="E637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237" i="36"/>
  <c r="C644" i="36"/>
  <c r="D644" i="36" s="1" a="1"/>
  <c r="D644" i="36" s="1"/>
  <c r="E644" i="36" s="1" a="1"/>
  <c r="E644" i="36" s="1"/>
  <c r="C312" i="36"/>
  <c r="D312" i="36" s="1" a="1"/>
  <c r="D312" i="36" s="1"/>
  <c r="E312" i="36" s="1" a="1"/>
  <c r="E312" i="36" s="1"/>
  <c r="C417" i="36"/>
  <c r="D417" i="36" s="1" a="1"/>
  <c r="D417" i="36" s="1"/>
  <c r="E417" i="36" s="1" a="1"/>
  <c r="E417" i="36" s="1"/>
  <c r="C234" i="36"/>
  <c r="D234" i="36" s="1" a="1"/>
  <c r="D234" i="36" s="1"/>
  <c r="E234" i="36" s="1" a="1"/>
  <c r="E234" i="36" s="1"/>
  <c r="C151" i="36"/>
  <c r="D151" i="36" s="1" a="1"/>
  <c r="D151" i="36" s="1"/>
  <c r="E151" i="36" s="1" a="1"/>
  <c r="E151" i="36" s="1"/>
  <c r="C117" i="36"/>
  <c r="D117" i="36" s="1" a="1"/>
  <c r="D117" i="36" s="1"/>
  <c r="E117" i="36" s="1" a="1"/>
  <c r="E117" i="36" s="1"/>
  <c r="C554" i="36"/>
  <c r="D554" i="36" s="1" a="1"/>
  <c r="D554" i="36" s="1"/>
  <c r="E554" i="36" s="1" a="1"/>
  <c r="E554" i="36" s="1"/>
  <c r="C109" i="36"/>
  <c r="D109" i="36" s="1" a="1"/>
  <c r="D109" i="36" s="1"/>
  <c r="E109" i="36" s="1" a="1"/>
  <c r="E109" i="36" s="1"/>
  <c r="C505" i="36"/>
  <c r="D505" i="36" s="1" a="1"/>
  <c r="D505" i="36" s="1"/>
  <c r="E505" i="36" s="1" a="1"/>
  <c r="E505" i="36" s="1"/>
  <c r="C17" i="36"/>
  <c r="D17" i="36" s="1" a="1"/>
  <c r="D17" i="36" s="1"/>
  <c r="E17" i="36" s="1" a="1"/>
  <c r="E17" i="36" s="1"/>
  <c r="C269" i="36"/>
  <c r="D269" i="36" s="1" a="1"/>
  <c r="D269" i="36" s="1"/>
  <c r="E269" i="36" s="1" a="1"/>
  <c r="E269" i="36" s="1"/>
  <c r="C526" i="36"/>
  <c r="D526" i="36" s="1" a="1"/>
  <c r="D526" i="36" s="1"/>
  <c r="E526" i="36" s="1" a="1"/>
  <c r="E526" i="36" s="1"/>
  <c r="C242" i="36"/>
  <c r="C516" i="36"/>
  <c r="D516" i="36" s="1" a="1"/>
  <c r="D516" i="36" s="1"/>
  <c r="E516" i="36" s="1" a="1"/>
  <c r="E516" i="36" s="1"/>
  <c r="C522" i="36"/>
  <c r="D522" i="36" s="1" a="1"/>
  <c r="D522" i="36" s="1"/>
  <c r="E522" i="36" s="1" a="1"/>
  <c r="E522" i="36" s="1"/>
  <c r="C245" i="36"/>
  <c r="C179" i="36"/>
  <c r="D179" i="36" s="1" a="1"/>
  <c r="D179" i="36" s="1"/>
  <c r="E179" i="36" s="1" a="1"/>
  <c r="E179" i="36" s="1"/>
  <c r="C640" i="36"/>
  <c r="D640" i="36" s="1" a="1"/>
  <c r="D640" i="36" s="1"/>
  <c r="E640" i="36" s="1" a="1"/>
  <c r="E640" i="36" s="1"/>
  <c r="C316" i="36"/>
  <c r="D316" i="36" s="1" a="1"/>
  <c r="D316" i="36" s="1"/>
  <c r="E316" i="36" s="1" a="1"/>
  <c r="E316" i="36" s="1"/>
  <c r="C376" i="36"/>
  <c r="D376" i="36" s="1" a="1"/>
  <c r="D376" i="36" s="1"/>
  <c r="E376" i="36" s="1" a="1"/>
  <c r="E376" i="36" s="1"/>
  <c r="C37" i="36"/>
  <c r="D37" i="36" s="1" a="1"/>
  <c r="D37" i="36" s="1"/>
  <c r="E37" i="36" s="1" a="1"/>
  <c r="E37" i="36" s="1"/>
  <c r="C512" i="36"/>
  <c r="D512" i="36" s="1" a="1"/>
  <c r="D512" i="36" s="1"/>
  <c r="E512" i="36" s="1" a="1"/>
  <c r="E512" i="36" s="1"/>
  <c r="C779" i="36"/>
  <c r="C29" i="36"/>
  <c r="D29" i="36" s="1" a="1"/>
  <c r="D29" i="36" s="1"/>
  <c r="E29" i="36" s="1" a="1"/>
  <c r="E29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395" i="36"/>
  <c r="D395" i="36" s="1" a="1"/>
  <c r="D395" i="36" s="1"/>
  <c r="E395" i="36" s="1" a="1"/>
  <c r="E395" i="36" s="1"/>
  <c r="C407" i="36"/>
  <c r="D407" i="36" s="1" a="1"/>
  <c r="D407" i="36" s="1"/>
  <c r="E407" i="36" s="1" a="1"/>
  <c r="E407" i="36" s="1"/>
  <c r="C217" i="36"/>
  <c r="D217" i="36" s="1" a="1"/>
  <c r="D217" i="36" s="1"/>
  <c r="E217" i="36" s="1" a="1"/>
  <c r="E217" i="36" s="1"/>
  <c r="C620" i="36"/>
  <c r="D620" i="36" s="1" a="1"/>
  <c r="D620" i="36" s="1"/>
  <c r="E620" i="36" s="1" a="1"/>
  <c r="E620" i="36" s="1"/>
  <c r="C46" i="36"/>
  <c r="D46" i="36" s="1" a="1"/>
  <c r="D46" i="36" s="1"/>
  <c r="E46" i="36" s="1" a="1"/>
  <c r="E46" i="36" s="1"/>
  <c r="C572" i="36"/>
  <c r="D572" i="36" s="1" a="1"/>
  <c r="D572" i="36" s="1"/>
  <c r="E572" i="36" s="1" a="1"/>
  <c r="E572" i="36" s="1"/>
  <c r="C592" i="36"/>
  <c r="D592" i="36" s="1" a="1"/>
  <c r="D592" i="36" s="1"/>
  <c r="E592" i="36" s="1" a="1"/>
  <c r="E592" i="36" s="1"/>
  <c r="C273" i="36"/>
  <c r="D273" i="36" s="1" a="1"/>
  <c r="D273" i="36" s="1"/>
  <c r="E273" i="36" s="1" a="1"/>
  <c r="E273" i="36" s="1"/>
  <c r="C9" i="36"/>
  <c r="D9" i="36" s="1" a="1"/>
  <c r="D9" i="36" s="1"/>
  <c r="E9" i="36" s="1" a="1"/>
  <c r="E9" i="36" s="1"/>
  <c r="C538" i="36"/>
  <c r="D538" i="36" s="1" a="1"/>
  <c r="D538" i="36" s="1"/>
  <c r="E538" i="36" s="1" a="1"/>
  <c r="E538" i="36" s="1"/>
  <c r="C586" i="36"/>
  <c r="D586" i="36" s="1" a="1"/>
  <c r="D586" i="36" s="1"/>
  <c r="E586" i="36" s="1" a="1"/>
  <c r="E586" i="36" s="1"/>
  <c r="C82" i="36"/>
  <c r="D82" i="36" s="1" a="1"/>
  <c r="D82" i="36" s="1"/>
  <c r="E82" i="36" s="1" a="1"/>
  <c r="E82" i="36" s="1"/>
  <c r="C433" i="36"/>
  <c r="D433" i="36" s="1" a="1"/>
  <c r="D433" i="36" s="1"/>
  <c r="E433" i="36" s="1" a="1"/>
  <c r="E433" i="36" s="1"/>
  <c r="C524" i="36"/>
  <c r="D524" i="36" s="1" a="1"/>
  <c r="D524" i="36" s="1"/>
  <c r="E524" i="36" s="1" a="1"/>
  <c r="C111" i="36"/>
  <c r="D111" i="36" s="1" a="1"/>
  <c r="D111" i="36" s="1"/>
  <c r="E111" i="36" s="1" a="1"/>
  <c r="E111" i="36" s="1"/>
  <c r="C172" i="36"/>
  <c r="D172" i="36" s="1" a="1"/>
  <c r="D172" i="36" s="1"/>
  <c r="E172" i="36" s="1" a="1"/>
  <c r="E172" i="36" s="1"/>
  <c r="C322" i="36"/>
  <c r="D322" i="36" s="1" a="1"/>
  <c r="D322" i="36" s="1"/>
  <c r="E322" i="36" s="1" a="1"/>
  <c r="E322" i="36" s="1"/>
  <c r="C85" i="36"/>
  <c r="D85" i="36" s="1" a="1"/>
  <c r="D85" i="36" s="1"/>
  <c r="E85" i="36" s="1" a="1"/>
  <c r="E85" i="36" s="1"/>
  <c r="C511" i="36"/>
  <c r="D511" i="36" s="1" a="1"/>
  <c r="D511" i="36" s="1"/>
  <c r="E511" i="36" s="1" a="1"/>
  <c r="E511" i="36" s="1"/>
  <c r="C51" i="36"/>
  <c r="D51" i="36" s="1" a="1"/>
  <c r="D51" i="36" s="1"/>
  <c r="E51" i="36" s="1" a="1"/>
  <c r="E51" i="36" s="1"/>
  <c r="C300" i="36"/>
  <c r="D300" i="36" s="1" a="1"/>
  <c r="D300" i="36" s="1"/>
  <c r="E300" i="36" s="1" a="1"/>
  <c r="E300" i="36" s="1"/>
  <c r="C49" i="36"/>
  <c r="D49" i="36" s="1" a="1"/>
  <c r="D49" i="36" s="1"/>
  <c r="E49" i="36" s="1" a="1"/>
  <c r="E49" i="36" s="1"/>
  <c r="C167" i="36"/>
  <c r="D167" i="36" s="1" a="1"/>
  <c r="D167" i="36" s="1"/>
  <c r="E167" i="36" s="1" a="1"/>
  <c r="E167" i="36" s="1"/>
  <c r="C447" i="36"/>
  <c r="D447" i="36" s="1" a="1"/>
  <c r="D447" i="36" s="1"/>
  <c r="E447" i="36" s="1" a="1"/>
  <c r="E447" i="36" s="1"/>
  <c r="C103" i="36"/>
  <c r="D103" i="36" s="1" a="1"/>
  <c r="D103" i="36" s="1"/>
  <c r="E103" i="36" s="1" a="1"/>
  <c r="E103" i="36" s="1"/>
  <c r="C166" i="36"/>
  <c r="D166" i="36" s="1" a="1"/>
  <c r="D166" i="36" s="1"/>
  <c r="E166" i="36" s="1" a="1"/>
  <c r="E166" i="36" s="1"/>
  <c r="C260" i="36"/>
  <c r="D260" i="36" s="1" a="1"/>
  <c r="D260" i="36" s="1"/>
  <c r="E260" i="36" s="1" a="1"/>
  <c r="E260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532" i="36"/>
  <c r="D532" i="36" s="1" a="1"/>
  <c r="D532" i="36" s="1"/>
  <c r="E532" i="36" s="1" a="1"/>
  <c r="E532" i="36" s="1"/>
  <c r="C725" i="36"/>
  <c r="C239" i="36"/>
  <c r="C220" i="36"/>
  <c r="D220" i="36" s="1" a="1"/>
  <c r="D220" i="36" s="1"/>
  <c r="E220" i="36" s="1" a="1"/>
  <c r="E220" i="36" s="1"/>
  <c r="C530" i="36"/>
  <c r="D530" i="36" s="1" a="1"/>
  <c r="D530" i="36" s="1"/>
  <c r="E530" i="36" s="1" a="1"/>
  <c r="E530" i="36" s="1"/>
  <c r="C540" i="36"/>
  <c r="D540" i="36" s="1" a="1"/>
  <c r="D540" i="36" s="1"/>
  <c r="E540" i="36" s="1" a="1"/>
  <c r="E540" i="36" s="1"/>
  <c r="C605" i="36"/>
  <c r="D605" i="36" s="1" a="1"/>
  <c r="D605" i="36" s="1"/>
  <c r="E605" i="36" s="1" a="1"/>
  <c r="E605" i="36" s="1"/>
  <c r="C160" i="36"/>
  <c r="D160" i="36" s="1" a="1"/>
  <c r="D160" i="36" s="1"/>
  <c r="E160" i="36" s="1" a="1"/>
  <c r="E160" i="36" s="1"/>
  <c r="C196" i="36"/>
  <c r="D196" i="36" s="1" a="1"/>
  <c r="D196" i="36" s="1"/>
  <c r="E196" i="36" s="1" a="1"/>
  <c r="E196" i="36" s="1"/>
  <c r="C625" i="36"/>
  <c r="D625" i="36" s="1" a="1"/>
  <c r="D625" i="36" s="1"/>
  <c r="E625" i="36" s="1" a="1"/>
  <c r="E625" i="36" s="1"/>
  <c r="C157" i="36"/>
  <c r="D157" i="36" s="1" a="1"/>
  <c r="D157" i="36" s="1"/>
  <c r="E157" i="36" s="1" a="1"/>
  <c r="E157" i="36" s="1"/>
  <c r="C752" i="36"/>
  <c r="C63" i="36"/>
  <c r="D63" i="36" s="1" a="1"/>
  <c r="D63" i="36" s="1"/>
  <c r="E63" i="36" s="1" a="1"/>
  <c r="E63" i="36" s="1"/>
  <c r="C44" i="36"/>
  <c r="D44" i="36" s="1" a="1"/>
  <c r="D44" i="36" s="1"/>
  <c r="E44" i="36" s="1" a="1"/>
  <c r="E44" i="36" s="1"/>
  <c r="C401" i="36"/>
  <c r="D401" i="36" s="1" a="1"/>
  <c r="D401" i="36" s="1"/>
  <c r="E401" i="36" s="1" a="1"/>
  <c r="E401" i="36" s="1"/>
  <c r="C424" i="36"/>
  <c r="D424" i="36" s="1" a="1"/>
  <c r="D424" i="36" s="1"/>
  <c r="E424" i="36" s="1" a="1"/>
  <c r="E424" i="36" s="1"/>
  <c r="C682" i="36"/>
  <c r="C208" i="36"/>
  <c r="D208" i="36" s="1" a="1"/>
  <c r="D208" i="36" s="1"/>
  <c r="E208" i="36" s="1" a="1"/>
  <c r="E208" i="36" s="1"/>
  <c r="C756" i="36"/>
  <c r="C714" i="36"/>
  <c r="C308" i="36"/>
  <c r="D308" i="36" s="1" a="1"/>
  <c r="D308" i="36" s="1"/>
  <c r="E308" i="36" s="1" a="1"/>
  <c r="E308" i="36" s="1"/>
  <c r="C223" i="36"/>
  <c r="D223" i="36" s="1" a="1"/>
  <c r="D223" i="36" s="1"/>
  <c r="E223" i="36" s="1" a="1"/>
  <c r="E223" i="36" s="1"/>
  <c r="C695" i="36"/>
  <c r="C68" i="36"/>
  <c r="D68" i="36" s="1" a="1"/>
  <c r="D68" i="36" s="1"/>
  <c r="E68" i="36" s="1" a="1"/>
  <c r="E68" i="36" s="1"/>
  <c r="C666" i="36"/>
  <c r="D666" i="36" s="1" a="1"/>
  <c r="D666" i="36" s="1"/>
  <c r="E666" i="36" s="1" a="1"/>
  <c r="E666" i="36" s="1"/>
  <c r="C319" i="36"/>
  <c r="D319" i="36" s="1" a="1"/>
  <c r="D319" i="36" s="1"/>
  <c r="E319" i="36" s="1" a="1"/>
  <c r="E319" i="36" s="1"/>
  <c r="C121" i="36"/>
  <c r="D121" i="36" s="1" a="1"/>
  <c r="D121" i="36" s="1"/>
  <c r="E121" i="36" s="1" a="1"/>
  <c r="E121" i="36" s="1"/>
  <c r="C265" i="36"/>
  <c r="D265" i="36" s="1" a="1"/>
  <c r="D265" i="36" s="1"/>
  <c r="E265" i="36" s="1" a="1"/>
  <c r="E265" i="36" s="1"/>
  <c r="C255" i="36"/>
  <c r="C470" i="36"/>
  <c r="D470" i="36" s="1" a="1"/>
  <c r="D470" i="36" s="1"/>
  <c r="E470" i="36" s="1" a="1"/>
  <c r="E470" i="36" s="1"/>
  <c r="C569" i="36"/>
  <c r="D569" i="36" s="1" a="1"/>
  <c r="D569" i="36" s="1"/>
  <c r="E569" i="36" s="1" a="1"/>
  <c r="E569" i="36" s="1"/>
  <c r="C677" i="36"/>
  <c r="C461" i="36"/>
  <c r="D461" i="36" s="1" a="1"/>
  <c r="D461" i="36" s="1"/>
  <c r="E461" i="36" s="1" a="1"/>
  <c r="E461" i="36" s="1"/>
  <c r="C406" i="36"/>
  <c r="D406" i="36" s="1" a="1"/>
  <c r="D406" i="36" s="1"/>
  <c r="E406" i="36" s="1" a="1"/>
  <c r="E406" i="36" s="1"/>
  <c r="C323" i="36"/>
  <c r="D323" i="36" s="1" a="1"/>
  <c r="D323" i="36" s="1"/>
  <c r="E323" i="36" s="1" a="1"/>
  <c r="E323" i="36" s="1"/>
  <c r="C374" i="36"/>
  <c r="D374" i="36" s="1" a="1"/>
  <c r="D374" i="36" s="1"/>
  <c r="E374" i="36" s="1" a="1"/>
  <c r="E374" i="36" s="1"/>
  <c r="C498" i="36"/>
  <c r="D498" i="36" s="1" a="1"/>
  <c r="D498" i="36" s="1"/>
  <c r="E498" i="36" s="1" a="1"/>
  <c r="E498" i="36" s="1"/>
  <c r="C723" i="36"/>
  <c r="C724" i="36"/>
  <c r="C647" i="36"/>
  <c r="D647" i="36" s="1" a="1"/>
  <c r="D647" i="36" s="1"/>
  <c r="E647" i="36" s="1" a="1"/>
  <c r="C718" i="36"/>
  <c r="C608" i="36"/>
  <c r="D608" i="36" s="1" a="1"/>
  <c r="D608" i="36" s="1"/>
  <c r="E608" i="36" s="1" a="1"/>
  <c r="E608" i="36" s="1"/>
  <c r="C655" i="36"/>
  <c r="D655" i="36" s="1" a="1"/>
  <c r="D655" i="36" s="1"/>
  <c r="E655" i="36" s="1" a="1"/>
  <c r="E655" i="36" s="1"/>
  <c r="C22" i="36"/>
  <c r="C775" i="36"/>
  <c r="C148" i="36"/>
  <c r="D148" i="36" s="1" a="1"/>
  <c r="D148" i="36" s="1"/>
  <c r="E148" i="36" s="1" a="1"/>
  <c r="E148" i="36" s="1"/>
  <c r="C777" i="36"/>
  <c r="C600" i="36"/>
  <c r="D600" i="36" s="1" a="1"/>
  <c r="D600" i="36" s="1"/>
  <c r="E600" i="36" s="1" a="1"/>
  <c r="E600" i="36" s="1"/>
  <c r="C658" i="36"/>
  <c r="C466" i="36"/>
  <c r="D466" i="36" s="1" a="1"/>
  <c r="D466" i="36" s="1"/>
  <c r="E466" i="36" s="1" a="1"/>
  <c r="E466" i="36" s="1"/>
  <c r="C690" i="36"/>
  <c r="C585" i="36"/>
  <c r="D585" i="36" s="1" a="1"/>
  <c r="D585" i="36" s="1"/>
  <c r="E585" i="36" s="1" a="1"/>
  <c r="E585" i="36" s="1"/>
  <c r="C4" i="36"/>
  <c r="D4" i="36" s="1" a="1"/>
  <c r="D4" i="36" s="1"/>
  <c r="E4" i="36" s="1" a="1"/>
  <c r="C559" i="36"/>
  <c r="C19" i="36"/>
  <c r="D19" i="36" s="1" a="1"/>
  <c r="D19" i="36" s="1"/>
  <c r="E19" i="36" s="1" a="1"/>
  <c r="E19" i="36" s="1"/>
  <c r="C542" i="36"/>
  <c r="D542" i="36" s="1" a="1"/>
  <c r="D542" i="36" s="1"/>
  <c r="E542" i="36" s="1" a="1"/>
  <c r="E542" i="36" s="1"/>
  <c r="C11" i="36"/>
  <c r="D11" i="36" s="1" a="1"/>
  <c r="D11" i="36" s="1"/>
  <c r="E11" i="36" s="1" a="1"/>
  <c r="E11" i="36" s="1"/>
  <c r="C66" i="36"/>
  <c r="D66" i="36" s="1" a="1"/>
  <c r="D66" i="36" s="1"/>
  <c r="E66" i="36" s="1" a="1"/>
  <c r="E66" i="36" s="1"/>
  <c r="C123" i="36"/>
  <c r="D123" i="36" s="1" a="1"/>
  <c r="D123" i="36" s="1"/>
  <c r="E123" i="36" s="1" a="1"/>
  <c r="E123" i="36" s="1"/>
  <c r="C228" i="36"/>
  <c r="D228" i="36" s="1" a="1"/>
  <c r="D228" i="36" s="1"/>
  <c r="E228" i="36" s="1" a="1"/>
  <c r="E228" i="36" s="1"/>
  <c r="C365" i="36"/>
  <c r="D365" i="36" s="1" a="1"/>
  <c r="D365" i="36" s="1"/>
  <c r="E365" i="36" s="1" a="1"/>
  <c r="E365" i="36" s="1"/>
  <c r="C500" i="36"/>
  <c r="D500" i="36" s="1" a="1"/>
  <c r="D500" i="36" s="1"/>
  <c r="E500" i="36" s="1" a="1"/>
  <c r="E500" i="36" s="1"/>
  <c r="C371" i="36"/>
  <c r="D371" i="36" s="1" a="1"/>
  <c r="D371" i="36" s="1"/>
  <c r="E371" i="36" s="1" a="1"/>
  <c r="E371" i="36" s="1"/>
  <c r="C790" i="36"/>
  <c r="C747" i="36"/>
  <c r="C389" i="36"/>
  <c r="D389" i="36" s="1" a="1"/>
  <c r="D389" i="36" s="1"/>
  <c r="E389" i="36" s="1" a="1"/>
  <c r="E389" i="36" s="1"/>
  <c r="C489" i="36"/>
  <c r="D489" i="36" s="1" a="1"/>
  <c r="D489" i="36" s="1"/>
  <c r="E489" i="36" s="1" a="1"/>
  <c r="E489" i="36" s="1"/>
  <c r="C271" i="36"/>
  <c r="D271" i="36" s="1" a="1"/>
  <c r="D271" i="36" s="1"/>
  <c r="E271" i="36" s="1" a="1"/>
  <c r="E271" i="36" s="1"/>
  <c r="C149" i="36"/>
  <c r="D149" i="36" s="1" a="1"/>
  <c r="D149" i="36" s="1"/>
  <c r="E149" i="36" s="1" a="1"/>
  <c r="E149" i="36" s="1"/>
  <c r="C575" i="36"/>
  <c r="C158" i="36"/>
  <c r="C701" i="36"/>
  <c r="C472" i="36"/>
  <c r="D472" i="36" s="1" a="1"/>
  <c r="D472" i="36" s="1"/>
  <c r="E472" i="36" s="1" a="1"/>
  <c r="E472" i="36" s="1"/>
  <c r="C299" i="36"/>
  <c r="D299" i="36" s="1" a="1"/>
  <c r="D299" i="36" s="1"/>
  <c r="E299" i="36" s="1" a="1"/>
  <c r="E299" i="36" s="1"/>
  <c r="C590" i="36"/>
  <c r="D590" i="36" s="1" a="1"/>
  <c r="D590" i="36" s="1"/>
  <c r="E590" i="36" s="1" a="1"/>
  <c r="E590" i="36" s="1"/>
  <c r="C762" i="36"/>
  <c r="C578" i="36"/>
  <c r="D578" i="36" s="1" a="1"/>
  <c r="D578" i="36" s="1"/>
  <c r="E578" i="36" s="1" a="1"/>
  <c r="E578" i="36" s="1"/>
  <c r="C58" i="36"/>
  <c r="D58" i="36" s="1" a="1"/>
  <c r="D58" i="36" s="1"/>
  <c r="E58" i="36" s="1" a="1"/>
  <c r="E58" i="36" s="1"/>
  <c r="C626" i="36"/>
  <c r="D626" i="36" s="1" a="1"/>
  <c r="D626" i="36" s="1"/>
  <c r="E626" i="36" s="1" a="1"/>
  <c r="E626" i="36" s="1"/>
  <c r="C687" i="36"/>
  <c r="C543" i="36"/>
  <c r="D543" i="36" s="1" a="1"/>
  <c r="D543" i="36" s="1"/>
  <c r="E543" i="36" s="1" a="1"/>
  <c r="E543" i="36" s="1"/>
  <c r="C250" i="36"/>
  <c r="C638" i="36"/>
  <c r="D638" i="36" s="1" a="1"/>
  <c r="D638" i="36" s="1"/>
  <c r="E638" i="36" s="1" a="1"/>
  <c r="E638" i="36" s="1"/>
  <c r="C171" i="36"/>
  <c r="D171" i="36" s="1" a="1"/>
  <c r="D171" i="36" s="1"/>
  <c r="E171" i="36" s="1" a="1"/>
  <c r="C576" i="36"/>
  <c r="C422" i="36"/>
  <c r="D422" i="36" s="1" a="1"/>
  <c r="D422" i="36" s="1"/>
  <c r="E422" i="36" s="1" a="1"/>
  <c r="E422" i="36" s="1"/>
  <c r="C384" i="36"/>
  <c r="D384" i="36" s="1" a="1"/>
  <c r="D384" i="36" s="1"/>
  <c r="E384" i="36" s="1" a="1"/>
  <c r="E384" i="36" s="1"/>
  <c r="C523" i="36"/>
  <c r="D523" i="36" s="1" a="1"/>
  <c r="D523" i="36" s="1"/>
  <c r="E523" i="36" s="1" a="1"/>
  <c r="E523" i="36" s="1"/>
  <c r="C787" i="36"/>
  <c r="C190" i="36"/>
  <c r="D190" i="36" s="1" a="1"/>
  <c r="D190" i="36" s="1"/>
  <c r="E190" i="36" s="1" a="1"/>
  <c r="E190" i="36" s="1"/>
  <c r="C713" i="36"/>
  <c r="C681" i="36"/>
  <c r="C486" i="36"/>
  <c r="D486" i="36" s="1" a="1"/>
  <c r="D486" i="36" s="1"/>
  <c r="E486" i="36" s="1" a="1"/>
  <c r="E486" i="36" s="1"/>
  <c r="C494" i="36"/>
  <c r="D494" i="36" s="1" a="1"/>
  <c r="D494" i="36" s="1"/>
  <c r="E494" i="36" s="1" a="1"/>
  <c r="E494" i="36" s="1"/>
  <c r="C122" i="36"/>
  <c r="D122" i="36" s="1" a="1"/>
  <c r="D122" i="36" s="1"/>
  <c r="E122" i="36" s="1" a="1"/>
  <c r="E122" i="36" s="1"/>
  <c r="C633" i="36"/>
  <c r="D633" i="36" s="1" a="1"/>
  <c r="D633" i="36" s="1"/>
  <c r="E633" i="36" s="1" a="1"/>
  <c r="E633" i="36" s="1"/>
  <c r="C294" i="36"/>
  <c r="D294" i="36" s="1" a="1"/>
  <c r="D294" i="36" s="1"/>
  <c r="E294" i="36" s="1" a="1"/>
  <c r="E294" i="36" s="1"/>
  <c r="C210" i="36"/>
  <c r="D210" i="36" s="1" a="1"/>
  <c r="D210" i="36" s="1"/>
  <c r="E210" i="36" s="1" a="1"/>
  <c r="E210" i="36" s="1"/>
  <c r="C153" i="36"/>
  <c r="D153" i="36" s="1" a="1"/>
  <c r="D153" i="36" s="1"/>
  <c r="E153" i="36" s="1" a="1"/>
  <c r="E153" i="36" s="1"/>
  <c r="C678" i="36"/>
  <c r="C639" i="36"/>
  <c r="D639" i="36" s="1" a="1"/>
  <c r="D639" i="36" s="1"/>
  <c r="E639" i="36" s="1" a="1"/>
  <c r="E639" i="36" s="1"/>
  <c r="C611" i="36"/>
  <c r="D611" i="36" s="1" a="1"/>
  <c r="D611" i="36" s="1"/>
  <c r="E611" i="36" s="1" a="1"/>
  <c r="E611" i="36" s="1"/>
  <c r="C434" i="36"/>
  <c r="D434" i="36" s="1" a="1"/>
  <c r="D434" i="36" s="1"/>
  <c r="E434" i="36" s="1" a="1"/>
  <c r="E434" i="36" s="1"/>
  <c r="C588" i="36"/>
  <c r="D588" i="36" s="1" a="1"/>
  <c r="D588" i="36" s="1"/>
  <c r="E588" i="36" s="1" a="1"/>
  <c r="E588" i="36" s="1"/>
  <c r="C776" i="36"/>
  <c r="C420" i="36"/>
  <c r="D420" i="36" s="1" a="1"/>
  <c r="D420" i="36" s="1"/>
  <c r="E420" i="36" s="1" a="1"/>
  <c r="E420" i="36" s="1"/>
  <c r="C546" i="36"/>
  <c r="D546" i="36" s="1" a="1"/>
  <c r="D546" i="36" s="1"/>
  <c r="E546" i="36" s="1" a="1"/>
  <c r="E546" i="36" s="1"/>
  <c r="C623" i="36"/>
  <c r="D623" i="36" s="1" a="1"/>
  <c r="D623" i="36" s="1"/>
  <c r="E623" i="36" s="1" a="1"/>
  <c r="E623" i="36" s="1"/>
  <c r="C165" i="36"/>
  <c r="D165" i="36" s="1" a="1"/>
  <c r="D165" i="36" s="1"/>
  <c r="E165" i="36" s="1" a="1"/>
  <c r="E165" i="36" s="1"/>
  <c r="C268" i="36"/>
  <c r="D268" i="36" s="1" a="1"/>
  <c r="D268" i="36" s="1"/>
  <c r="E268" i="36" s="1" a="1"/>
  <c r="E268" i="36" s="1"/>
  <c r="C27" i="36"/>
  <c r="D27" i="36" s="1" a="1"/>
  <c r="D27" i="36" s="1"/>
  <c r="E27" i="36" s="1" a="1"/>
  <c r="E27" i="36" s="1"/>
  <c r="C344" i="36"/>
  <c r="D344" i="36" s="1" a="1"/>
  <c r="D344" i="36" s="1"/>
  <c r="E344" i="36" s="1" a="1"/>
  <c r="E344" i="36" s="1"/>
  <c r="C126" i="36"/>
  <c r="D126" i="36" s="1" a="1"/>
  <c r="D126" i="36" s="1"/>
  <c r="E126" i="36" s="1" a="1"/>
  <c r="E126" i="36" s="1"/>
  <c r="C215" i="36"/>
  <c r="D215" i="36" s="1" a="1"/>
  <c r="D215" i="36" s="1"/>
  <c r="E215" i="36" s="1" a="1"/>
  <c r="E215" i="36" s="1"/>
  <c r="C173" i="36"/>
  <c r="D173" i="36" s="1" a="1"/>
  <c r="D173" i="36" s="1"/>
  <c r="E173" i="36" s="1" a="1"/>
  <c r="E173" i="36" s="1"/>
  <c r="C770" i="36"/>
  <c r="C436" i="36"/>
  <c r="D436" i="36" s="1" a="1"/>
  <c r="D436" i="36" s="1"/>
  <c r="E436" i="36" s="1" a="1"/>
  <c r="E436" i="36" s="1"/>
  <c r="C734" i="36"/>
  <c r="C197" i="36"/>
  <c r="D197" i="36" s="1" a="1"/>
  <c r="D197" i="36" s="1"/>
  <c r="E197" i="36" s="1" a="1"/>
  <c r="E197" i="36" s="1"/>
  <c r="C481" i="36"/>
  <c r="D481" i="36" s="1" a="1"/>
  <c r="D481" i="36" s="1"/>
  <c r="E481" i="36" s="1" a="1"/>
  <c r="E481" i="36" s="1"/>
  <c r="C610" i="36"/>
  <c r="D610" i="36" s="1" a="1"/>
  <c r="D610" i="36" s="1"/>
  <c r="E610" i="36" s="1" a="1"/>
  <c r="E610" i="36" s="1"/>
  <c r="C140" i="36"/>
  <c r="D140" i="36" s="1" a="1"/>
  <c r="D140" i="36" s="1"/>
  <c r="E140" i="36" s="1" a="1"/>
  <c r="E140" i="36" s="1"/>
  <c r="C769" i="36"/>
  <c r="C277" i="36"/>
  <c r="D277" i="36" s="1" a="1"/>
  <c r="D277" i="36" s="1"/>
  <c r="E277" i="36" s="1" a="1"/>
  <c r="E277" i="36" s="1"/>
  <c r="C333" i="36"/>
  <c r="D333" i="36" s="1" a="1"/>
  <c r="D333" i="36" s="1"/>
  <c r="E333" i="36" s="1" a="1"/>
  <c r="E333" i="36" s="1"/>
  <c r="C357" i="36"/>
  <c r="D357" i="36" s="1" a="1"/>
  <c r="D357" i="36" s="1"/>
  <c r="E357" i="36" s="1" a="1"/>
  <c r="E357" i="36" s="1"/>
  <c r="C761" i="36"/>
  <c r="C56" i="36"/>
  <c r="D56" i="36" s="1" a="1"/>
  <c r="D56" i="36" s="1"/>
  <c r="E56" i="36" s="1" a="1"/>
  <c r="E56" i="36" s="1"/>
  <c r="C419" i="36"/>
  <c r="D419" i="36" s="1" a="1"/>
  <c r="D419" i="36" s="1"/>
  <c r="E419" i="36" s="1" a="1"/>
  <c r="E419" i="36" s="1"/>
  <c r="C84" i="36"/>
  <c r="D84" i="36" s="1" a="1"/>
  <c r="D84" i="36" s="1"/>
  <c r="E84" i="36" s="1" a="1"/>
  <c r="E84" i="36" s="1"/>
  <c r="C758" i="36"/>
  <c r="C211" i="36"/>
  <c r="D211" i="36" s="1" a="1"/>
  <c r="D211" i="36" s="1"/>
  <c r="E211" i="36" s="1" a="1"/>
  <c r="E211" i="36" s="1"/>
  <c r="C679" i="36"/>
  <c r="C533" i="36"/>
  <c r="D533" i="36" s="1" a="1"/>
  <c r="D533" i="36" s="1"/>
  <c r="E533" i="36" s="1" a="1"/>
  <c r="E533" i="36" s="1"/>
  <c r="C13" i="36"/>
  <c r="D13" i="36" s="1" a="1"/>
  <c r="D13" i="36" s="1"/>
  <c r="E13" i="36" s="1" a="1"/>
  <c r="E13" i="36" s="1"/>
  <c r="C338" i="36"/>
  <c r="D338" i="36" s="1" a="1"/>
  <c r="D338" i="36" s="1"/>
  <c r="E338" i="36" s="1" a="1"/>
  <c r="E338" i="36" s="1"/>
  <c r="C728" i="36"/>
  <c r="C607" i="36"/>
  <c r="D607" i="36" s="1" a="1"/>
  <c r="D607" i="36" s="1"/>
  <c r="E607" i="36" s="1" a="1"/>
  <c r="E607" i="36" s="1"/>
  <c r="C189" i="36"/>
  <c r="D189" i="36" s="1" a="1"/>
  <c r="D189" i="36" s="1"/>
  <c r="E189" i="36" s="1" a="1"/>
  <c r="E189" i="36" s="1"/>
  <c r="C587" i="36"/>
  <c r="D587" i="36" s="1" a="1"/>
  <c r="D587" i="36" s="1"/>
  <c r="E587" i="36" s="1" a="1"/>
  <c r="E587" i="36" s="1"/>
  <c r="C767" i="36"/>
  <c r="C12" i="36"/>
  <c r="D12" i="36" s="1" a="1"/>
  <c r="D12" i="36" s="1"/>
  <c r="E12" i="36" s="1" a="1"/>
  <c r="E12" i="36" s="1"/>
  <c r="C328" i="36"/>
  <c r="D328" i="36" s="1" a="1"/>
  <c r="D328" i="36" s="1"/>
  <c r="E328" i="36" s="1" a="1"/>
  <c r="E328" i="36" s="1"/>
  <c r="C337" i="36"/>
  <c r="D337" i="36" s="1" a="1"/>
  <c r="D337" i="36" s="1"/>
  <c r="E337" i="36" s="1" a="1"/>
  <c r="E337" i="36" s="1"/>
  <c r="C596" i="36"/>
  <c r="D596" i="36" s="1" a="1"/>
  <c r="D596" i="36" s="1"/>
  <c r="E596" i="36" s="1" a="1"/>
  <c r="E596" i="36" s="1"/>
  <c r="C694" i="36"/>
  <c r="C362" i="36"/>
  <c r="D362" i="36" s="1" a="1"/>
  <c r="D362" i="36" s="1"/>
  <c r="E362" i="36" s="1" a="1"/>
  <c r="E362" i="36" s="1"/>
  <c r="C669" i="36"/>
  <c r="C561" i="36"/>
  <c r="C652" i="36"/>
  <c r="D652" i="36" s="1" a="1"/>
  <c r="D652" i="36" s="1"/>
  <c r="E652" i="36" s="1" a="1"/>
  <c r="E652" i="36" s="1"/>
  <c r="C80" i="36"/>
  <c r="D80" i="36" s="1" a="1"/>
  <c r="D80" i="36" s="1"/>
  <c r="E80" i="36" s="1" a="1"/>
  <c r="E80" i="36" s="1"/>
  <c r="C131" i="36"/>
  <c r="D131" i="36" s="1" a="1"/>
  <c r="D131" i="36" s="1"/>
  <c r="E131" i="36" s="1" a="1"/>
  <c r="E131" i="36" s="1"/>
  <c r="C249" i="36"/>
  <c r="C496" i="36"/>
  <c r="D496" i="36" s="1" a="1"/>
  <c r="D496" i="36" s="1"/>
  <c r="E496" i="36" s="1" a="1"/>
  <c r="E496" i="36" s="1"/>
  <c r="C519" i="36"/>
  <c r="D519" i="36" s="1" a="1"/>
  <c r="D519" i="36" s="1"/>
  <c r="E519" i="36" s="1" a="1"/>
  <c r="E519" i="36" s="1"/>
  <c r="C635" i="36"/>
  <c r="D635" i="36" s="1" a="1"/>
  <c r="D635" i="36" s="1"/>
  <c r="E635" i="36" s="1" a="1"/>
  <c r="E635" i="36" s="1"/>
  <c r="C738" i="36"/>
  <c r="C100" i="36"/>
  <c r="D100" i="36" s="1" a="1"/>
  <c r="D100" i="36" s="1"/>
  <c r="E100" i="36" s="1" a="1"/>
  <c r="E100" i="36" s="1"/>
  <c r="C659" i="36"/>
  <c r="C491" i="36"/>
  <c r="D491" i="36" s="1" a="1"/>
  <c r="D491" i="36" s="1"/>
  <c r="E491" i="36" s="1" a="1"/>
  <c r="E491" i="36" s="1"/>
  <c r="C363" i="36"/>
  <c r="D363" i="36" s="1" a="1"/>
  <c r="D363" i="36" s="1"/>
  <c r="E363" i="36" s="1" a="1"/>
  <c r="E363" i="36" s="1"/>
  <c r="C192" i="36"/>
  <c r="D192" i="36" s="1" a="1"/>
  <c r="D192" i="36" s="1"/>
  <c r="E192" i="36" s="1" a="1"/>
  <c r="E192" i="36" s="1"/>
  <c r="C745" i="36"/>
  <c r="C205" i="36"/>
  <c r="D205" i="36" s="1" a="1"/>
  <c r="D205" i="36" s="1"/>
  <c r="E205" i="36" s="1" a="1"/>
  <c r="E205" i="36" s="1"/>
  <c r="C468" i="36"/>
  <c r="D468" i="36" s="1" a="1"/>
  <c r="D468" i="36" s="1"/>
  <c r="E468" i="36" s="1" a="1"/>
  <c r="E468" i="36" s="1"/>
  <c r="C584" i="36"/>
  <c r="D584" i="36" s="1" a="1"/>
  <c r="D584" i="36" s="1"/>
  <c r="E584" i="36" s="1" a="1"/>
  <c r="E584" i="36" s="1"/>
  <c r="C753" i="36"/>
  <c r="C33" i="36"/>
  <c r="D33" i="36" s="1" a="1"/>
  <c r="D33" i="36" s="1"/>
  <c r="E33" i="36" s="1" a="1"/>
  <c r="E33" i="36" s="1"/>
  <c r="C579" i="36"/>
  <c r="D579" i="36" s="1" a="1"/>
  <c r="D579" i="36" s="1"/>
  <c r="E579" i="36" s="1" a="1"/>
  <c r="E579" i="36" s="1"/>
  <c r="C15" i="36"/>
  <c r="D15" i="36" s="1" a="1"/>
  <c r="D15" i="36" s="1"/>
  <c r="E15" i="36" s="1" a="1"/>
  <c r="E15" i="36" s="1"/>
  <c r="C83" i="36"/>
  <c r="D83" i="36" s="1" a="1"/>
  <c r="D83" i="36" s="1"/>
  <c r="E83" i="36" s="1" a="1"/>
  <c r="E83" i="36" s="1"/>
  <c r="C703" i="36"/>
  <c r="C184" i="36"/>
  <c r="D184" i="36" s="1" a="1"/>
  <c r="D184" i="36" s="1"/>
  <c r="E184" i="36" s="1" a="1"/>
  <c r="E184" i="36" s="1"/>
  <c r="C423" i="36"/>
  <c r="D423" i="36" s="1" a="1"/>
  <c r="D423" i="36" s="1"/>
  <c r="E423" i="36" s="1" a="1"/>
  <c r="E423" i="36" s="1"/>
  <c r="C331" i="36"/>
  <c r="D331" i="36" s="1" a="1"/>
  <c r="D331" i="36" s="1"/>
  <c r="E331" i="36" s="1" a="1"/>
  <c r="E331" i="36" s="1"/>
  <c r="C261" i="36"/>
  <c r="D261" i="36" s="1" a="1"/>
  <c r="D261" i="36" s="1"/>
  <c r="E261" i="36" s="1" a="1"/>
  <c r="E261" i="36" s="1"/>
  <c r="C332" i="36"/>
  <c r="D332" i="36" s="1" a="1"/>
  <c r="D332" i="36" s="1"/>
  <c r="E332" i="36" s="1" a="1"/>
  <c r="E332" i="36" s="1"/>
  <c r="C174" i="36"/>
  <c r="D174" i="36" s="1" a="1"/>
  <c r="D174" i="36" s="1"/>
  <c r="E174" i="36" s="1" a="1"/>
  <c r="E174" i="36" s="1"/>
  <c r="C71" i="36"/>
  <c r="D71" i="36" s="1" a="1"/>
  <c r="D71" i="36" s="1"/>
  <c r="E71" i="36" s="1" a="1"/>
  <c r="E71" i="36" s="1"/>
  <c r="C164" i="36"/>
  <c r="D164" i="36" s="1" a="1"/>
  <c r="D164" i="36" s="1"/>
  <c r="E164" i="36" s="1" a="1"/>
  <c r="E164" i="36" s="1"/>
  <c r="C563" i="36"/>
  <c r="C375" i="36"/>
  <c r="D375" i="36" s="1" a="1"/>
  <c r="D375" i="36" s="1"/>
  <c r="E375" i="36" s="1" a="1"/>
  <c r="E375" i="36" s="1"/>
  <c r="C518" i="36"/>
  <c r="D518" i="36" s="1" a="1"/>
  <c r="D518" i="36" s="1"/>
  <c r="E518" i="36" s="1" a="1"/>
  <c r="E518" i="36" s="1"/>
  <c r="C634" i="36"/>
  <c r="D634" i="36" s="1" a="1"/>
  <c r="D634" i="36" s="1"/>
  <c r="E634" i="36" s="1" a="1"/>
  <c r="E634" i="36" s="1"/>
  <c r="C480" i="36"/>
  <c r="D480" i="36" s="1" a="1"/>
  <c r="D480" i="36" s="1"/>
  <c r="E480" i="36" s="1" a="1"/>
  <c r="E480" i="36" s="1"/>
  <c r="C571" i="36"/>
  <c r="D571" i="36" s="1" a="1"/>
  <c r="D571" i="36" s="1"/>
  <c r="E571" i="36" s="1" a="1"/>
  <c r="C630" i="36"/>
  <c r="D630" i="36" s="1" a="1"/>
  <c r="D630" i="36" s="1"/>
  <c r="E630" i="36" s="1" a="1"/>
  <c r="E630" i="36" s="1"/>
  <c r="C710" i="36"/>
  <c r="C529" i="36"/>
  <c r="D529" i="36" s="1" a="1"/>
  <c r="D529" i="36" s="1"/>
  <c r="E529" i="36" s="1" a="1"/>
  <c r="E529" i="36" s="1"/>
  <c r="C602" i="36"/>
  <c r="D602" i="36" s="1" a="1"/>
  <c r="D602" i="36" s="1"/>
  <c r="E602" i="36" s="1" a="1"/>
  <c r="E602" i="36" s="1"/>
  <c r="C291" i="36"/>
  <c r="D291" i="36" s="1" a="1"/>
  <c r="D291" i="36" s="1"/>
  <c r="E291" i="36" s="1" a="1"/>
  <c r="E291" i="36" s="1"/>
  <c r="C454" i="36"/>
  <c r="D454" i="36" s="1" a="1"/>
  <c r="D454" i="36" s="1"/>
  <c r="E454" i="36" s="1" a="1"/>
  <c r="E454" i="36" s="1"/>
  <c r="C345" i="36"/>
  <c r="D345" i="36" s="1" a="1"/>
  <c r="D345" i="36" s="1"/>
  <c r="E345" i="36" s="1" a="1"/>
  <c r="E345" i="36" s="1"/>
  <c r="C372" i="36"/>
  <c r="D372" i="36" s="1" a="1"/>
  <c r="D372" i="36" s="1"/>
  <c r="E372" i="36" s="1" a="1"/>
  <c r="E372" i="36" s="1"/>
  <c r="C456" i="36"/>
  <c r="D456" i="36" s="1" a="1"/>
  <c r="D456" i="36" s="1"/>
  <c r="E456" i="36" s="1" a="1"/>
  <c r="E456" i="36" s="1"/>
  <c r="C161" i="36"/>
  <c r="D161" i="36" s="1" a="1"/>
  <c r="D161" i="36" s="1"/>
  <c r="E161" i="36" s="1" a="1"/>
  <c r="E161" i="36" s="1"/>
  <c r="C413" i="36"/>
  <c r="D413" i="36" s="1" a="1"/>
  <c r="D413" i="36" s="1"/>
  <c r="E413" i="36" s="1" a="1"/>
  <c r="E413" i="36" s="1"/>
  <c r="C142" i="36"/>
  <c r="D142" i="36" s="1" a="1"/>
  <c r="D142" i="36" s="1"/>
  <c r="E142" i="36" s="1" a="1"/>
  <c r="E142" i="36" s="1"/>
  <c r="C256" i="36"/>
  <c r="D256" i="36" s="1" a="1"/>
  <c r="D256" i="36" s="1"/>
  <c r="E256" i="36" s="1" a="1"/>
  <c r="E256" i="36" s="1"/>
  <c r="C525" i="36"/>
  <c r="D525" i="36" s="1" a="1"/>
  <c r="D525" i="36" s="1"/>
  <c r="E525" i="36" s="1" a="1"/>
  <c r="E525" i="36" s="1"/>
  <c r="C3" i="36"/>
  <c r="D3" i="36" s="1" a="1"/>
  <c r="D3" i="36" s="1"/>
  <c r="E3" i="36" s="1" a="1"/>
  <c r="E3" i="36" s="1"/>
  <c r="C55" i="36"/>
  <c r="D55" i="36" s="1" a="1"/>
  <c r="D55" i="36" s="1"/>
  <c r="E55" i="36" s="1" a="1"/>
  <c r="E55" i="36" s="1"/>
  <c r="C65" i="36"/>
  <c r="D65" i="36" s="1" a="1"/>
  <c r="D65" i="36" s="1"/>
  <c r="E65" i="36" s="1" a="1"/>
  <c r="E65" i="36" s="1"/>
  <c r="C326" i="36"/>
  <c r="D326" i="36" s="1" a="1"/>
  <c r="D326" i="36" s="1"/>
  <c r="E326" i="36" s="1" a="1"/>
  <c r="E326" i="36" s="1"/>
  <c r="C386" i="36"/>
  <c r="D386" i="36" s="1" a="1"/>
  <c r="D386" i="36" s="1"/>
  <c r="E386" i="36" s="1" a="1"/>
  <c r="E386" i="36" s="1"/>
  <c r="C706" i="36"/>
  <c r="C379" i="36"/>
  <c r="D379" i="36" s="1" a="1"/>
  <c r="D379" i="36" s="1"/>
  <c r="E379" i="36" s="1" a="1"/>
  <c r="E379" i="36" s="1"/>
  <c r="C487" i="36"/>
  <c r="D487" i="36" s="1" a="1"/>
  <c r="D487" i="36" s="1"/>
  <c r="E487" i="36" s="1" a="1"/>
  <c r="E487" i="36" s="1"/>
  <c r="C305" i="36"/>
  <c r="D305" i="36" s="1" a="1"/>
  <c r="D305" i="36" s="1"/>
  <c r="E305" i="36" s="1" a="1"/>
  <c r="E305" i="36" s="1"/>
  <c r="C235" i="36"/>
  <c r="D235" i="36" s="1" a="1"/>
  <c r="D235" i="36" s="1"/>
  <c r="E235" i="36" s="1" a="1"/>
  <c r="E235" i="36" s="1"/>
  <c r="C476" i="36"/>
  <c r="D476" i="36" s="1" a="1"/>
  <c r="D476" i="36" s="1"/>
  <c r="E476" i="36" s="1" a="1"/>
  <c r="E476" i="36" s="1"/>
  <c r="C24" i="36"/>
  <c r="D24" i="36" s="1" a="1"/>
  <c r="D24" i="36" s="1"/>
  <c r="E24" i="36" s="1" a="1"/>
  <c r="E24" i="36" s="1"/>
  <c r="C754" i="36"/>
  <c r="C686" i="36"/>
  <c r="C108" i="36"/>
  <c r="D108" i="36" s="1" a="1"/>
  <c r="D108" i="36" s="1"/>
  <c r="E108" i="36" s="1" a="1"/>
  <c r="E108" i="36" s="1"/>
  <c r="C115" i="36"/>
  <c r="D115" i="36" s="1" a="1"/>
  <c r="D115" i="36" s="1"/>
  <c r="E115" i="36" s="1" a="1"/>
  <c r="E115" i="36" s="1"/>
  <c r="C34" i="36"/>
  <c r="D34" i="36" s="1" a="1"/>
  <c r="D34" i="36" s="1"/>
  <c r="E34" i="36" s="1" a="1"/>
  <c r="E34" i="36" s="1"/>
  <c r="C64" i="36"/>
  <c r="D64" i="36" s="1" a="1"/>
  <c r="D64" i="36" s="1"/>
  <c r="E64" i="36" s="1" a="1"/>
  <c r="E64" i="36" s="1"/>
  <c r="C91" i="36"/>
  <c r="C60" i="36"/>
  <c r="D60" i="36" s="1" a="1"/>
  <c r="D60" i="36" s="1"/>
  <c r="E60" i="36" s="1" a="1"/>
  <c r="E60" i="36" s="1"/>
  <c r="C7" i="36"/>
  <c r="D7" i="36" s="1" a="1"/>
  <c r="D7" i="36" s="1"/>
  <c r="E7" i="36" s="1" a="1"/>
  <c r="E7" i="36" s="1"/>
  <c r="C796" i="36"/>
  <c r="C95" i="36"/>
  <c r="C484" i="36"/>
  <c r="D484" i="36" s="1" a="1"/>
  <c r="D484" i="36" s="1"/>
  <c r="E484" i="36" s="1" a="1"/>
  <c r="E484" i="36" s="1"/>
  <c r="C460" i="36"/>
  <c r="D460" i="36" s="1" a="1"/>
  <c r="D460" i="36" s="1"/>
  <c r="E460" i="36" s="1" a="1"/>
  <c r="E460" i="36" s="1"/>
  <c r="C570" i="36"/>
  <c r="D570" i="36" s="1" a="1"/>
  <c r="D570" i="36" s="1"/>
  <c r="E570" i="36" s="1" a="1"/>
  <c r="E570" i="36" s="1"/>
  <c r="C241" i="36"/>
  <c r="C631" i="36"/>
  <c r="D631" i="36" s="1" a="1"/>
  <c r="D631" i="36" s="1"/>
  <c r="E631" i="36" s="1" a="1"/>
  <c r="E631" i="36" s="1"/>
  <c r="C448" i="36"/>
  <c r="D448" i="36" s="1" a="1"/>
  <c r="D448" i="36" s="1"/>
  <c r="E448" i="36" s="1" a="1"/>
  <c r="E448" i="36" s="1"/>
  <c r="C440" i="36"/>
  <c r="D440" i="36" s="1" a="1"/>
  <c r="D440" i="36" s="1"/>
  <c r="E440" i="36" s="1" a="1"/>
  <c r="E440" i="36" s="1"/>
  <c r="C130" i="36"/>
  <c r="D130" i="36" s="1" a="1"/>
  <c r="D130" i="36" s="1"/>
  <c r="E130" i="36" s="1" a="1"/>
  <c r="E130" i="36" s="1"/>
  <c r="C667" i="36"/>
  <c r="C514" i="36"/>
  <c r="D514" i="36" s="1" a="1"/>
  <c r="D514" i="36" s="1"/>
  <c r="E514" i="36" s="1" a="1"/>
  <c r="E514" i="36" s="1"/>
  <c r="C176" i="36"/>
  <c r="D176" i="36" s="1" a="1"/>
  <c r="D176" i="36" s="1"/>
  <c r="E176" i="36" s="1" a="1"/>
  <c r="E176" i="36" s="1"/>
  <c r="C43" i="36"/>
  <c r="D43" i="36" s="1" a="1"/>
  <c r="D43" i="36" s="1"/>
  <c r="E43" i="36" s="1" a="1"/>
  <c r="E43" i="36" s="1"/>
  <c r="C446" i="36"/>
  <c r="D446" i="36" s="1" a="1"/>
  <c r="D446" i="36" s="1"/>
  <c r="E446" i="36" s="1" a="1"/>
  <c r="E446" i="36" s="1"/>
  <c r="C97" i="36"/>
  <c r="D97" i="36" s="1" a="1"/>
  <c r="D97" i="36" s="1"/>
  <c r="E97" i="36" s="1" a="1"/>
  <c r="E97" i="36" s="1"/>
  <c r="C259" i="36"/>
  <c r="D259" i="36" s="1" a="1"/>
  <c r="D259" i="36" s="1"/>
  <c r="E259" i="36" s="1" a="1"/>
  <c r="E259" i="36" s="1"/>
  <c r="C729" i="36"/>
  <c r="C42" i="36"/>
  <c r="D42" i="36" s="1" a="1"/>
  <c r="D42" i="36" s="1"/>
  <c r="E42" i="36" s="1" a="1"/>
  <c r="E42" i="36" s="1"/>
  <c r="C284" i="36"/>
  <c r="D284" i="36" s="1" a="1"/>
  <c r="D284" i="36" s="1"/>
  <c r="E284" i="36" s="1" a="1"/>
  <c r="E284" i="36" s="1"/>
  <c r="C452" i="36"/>
  <c r="D452" i="36" s="1" a="1"/>
  <c r="D452" i="36" s="1"/>
  <c r="E452" i="36" s="1" a="1"/>
  <c r="E452" i="36" s="1"/>
  <c r="C373" i="36"/>
  <c r="D373" i="36" s="1" a="1"/>
  <c r="D373" i="36" s="1"/>
  <c r="E373" i="36" s="1" a="1"/>
  <c r="E373" i="36" s="1"/>
  <c r="C135" i="36"/>
  <c r="D135" i="36" s="1" a="1"/>
  <c r="D135" i="36" s="1"/>
  <c r="E135" i="36" s="1" a="1"/>
  <c r="E135" i="36" s="1"/>
  <c r="C425" i="36"/>
  <c r="D425" i="36" s="1" a="1"/>
  <c r="D425" i="36" s="1"/>
  <c r="E425" i="36" s="1" a="1"/>
  <c r="E425" i="36" s="1"/>
  <c r="C334" i="36"/>
  <c r="D334" i="36" s="1" a="1"/>
  <c r="D334" i="36" s="1"/>
  <c r="E334" i="36" s="1" a="1"/>
  <c r="E334" i="36" s="1"/>
  <c r="C781" i="36"/>
  <c r="C214" i="36"/>
  <c r="D214" i="36" s="1" a="1"/>
  <c r="D214" i="36" s="1"/>
  <c r="E214" i="36" s="1" a="1"/>
  <c r="E214" i="36" s="1"/>
  <c r="C298" i="36"/>
  <c r="D298" i="36" s="1" a="1"/>
  <c r="D298" i="36" s="1"/>
  <c r="E298" i="36" s="1" a="1"/>
  <c r="E298" i="36" s="1"/>
  <c r="C764" i="36"/>
  <c r="C471" i="36"/>
  <c r="D471" i="36" s="1" a="1"/>
  <c r="D471" i="36" s="1"/>
  <c r="E471" i="36" s="1" a="1"/>
  <c r="E471" i="36" s="1"/>
  <c r="C248" i="36"/>
  <c r="D248" i="36" s="1" a="1"/>
  <c r="D248" i="36" s="1"/>
  <c r="E248" i="36" s="1" a="1"/>
  <c r="E248" i="36" s="1"/>
  <c r="C79" i="36"/>
  <c r="D79" i="36" s="1" a="1"/>
  <c r="D79" i="36" s="1"/>
  <c r="E79" i="36" s="1" a="1"/>
  <c r="E79" i="36" s="1"/>
  <c r="C36" i="36"/>
  <c r="D36" i="36" s="1" a="1"/>
  <c r="D36" i="36" s="1"/>
  <c r="E36" i="36" s="1" a="1"/>
  <c r="E36" i="36" s="1"/>
  <c r="C325" i="36"/>
  <c r="D325" i="36" s="1" a="1"/>
  <c r="D325" i="36" s="1"/>
  <c r="E325" i="36" s="1" a="1"/>
  <c r="E325" i="36" s="1"/>
  <c r="C193" i="36"/>
  <c r="D193" i="36" s="1" a="1"/>
  <c r="D193" i="36" s="1"/>
  <c r="E193" i="36" s="1" a="1"/>
  <c r="E193" i="36" s="1"/>
  <c r="C369" i="36"/>
  <c r="D369" i="36" s="1" a="1"/>
  <c r="D369" i="36" s="1"/>
  <c r="E369" i="36" s="1" a="1"/>
  <c r="E369" i="36" s="1"/>
  <c r="C520" i="36"/>
  <c r="D520" i="36" s="1" a="1"/>
  <c r="D520" i="36" s="1"/>
  <c r="E520" i="36" s="1" a="1"/>
  <c r="E520" i="36" s="1"/>
  <c r="C696" i="36"/>
  <c r="C14" i="36"/>
  <c r="D14" i="36" s="1" a="1"/>
  <c r="D14" i="36" s="1"/>
  <c r="E14" i="36" s="1" a="1"/>
  <c r="E14" i="36" s="1"/>
  <c r="C198" i="36"/>
  <c r="D198" i="36" s="1" a="1"/>
  <c r="D198" i="36" s="1"/>
  <c r="E198" i="36" s="1" a="1"/>
  <c r="E198" i="36" s="1"/>
  <c r="C107" i="36"/>
  <c r="D107" i="36" s="1" a="1"/>
  <c r="D107" i="36" s="1"/>
  <c r="E107" i="36" s="1" a="1"/>
  <c r="E107" i="36" s="1"/>
  <c r="C204" i="36"/>
  <c r="D204" i="36" s="1" a="1"/>
  <c r="D204" i="36" s="1"/>
  <c r="E204" i="36" s="1" a="1"/>
  <c r="E204" i="36" s="1"/>
  <c r="C137" i="36"/>
  <c r="D137" i="36" s="1" a="1"/>
  <c r="D137" i="36" s="1"/>
  <c r="E137" i="36" s="1" a="1"/>
  <c r="E137" i="36" s="1"/>
  <c r="C155" i="36"/>
  <c r="D155" i="36" s="1" a="1"/>
  <c r="D155" i="36" s="1"/>
  <c r="E155" i="36" s="1" a="1"/>
  <c r="E155" i="36" s="1"/>
  <c r="C409" i="36"/>
  <c r="D409" i="36" s="1" a="1"/>
  <c r="D409" i="36" s="1"/>
  <c r="E409" i="36" s="1" a="1"/>
  <c r="E409" i="36" s="1"/>
  <c r="C581" i="36"/>
  <c r="C443" i="36"/>
  <c r="D443" i="36" s="1" a="1"/>
  <c r="D443" i="36" s="1"/>
  <c r="E443" i="36" s="1" a="1"/>
  <c r="E443" i="36" s="1"/>
  <c r="C545" i="36"/>
  <c r="D545" i="36" s="1" a="1"/>
  <c r="D545" i="36" s="1"/>
  <c r="E545" i="36" s="1" a="1"/>
  <c r="E545" i="36" s="1"/>
  <c r="C394" i="36"/>
  <c r="D394" i="36" s="1" a="1"/>
  <c r="D394" i="36" s="1"/>
  <c r="E394" i="36" s="1" a="1"/>
  <c r="E394" i="36" s="1"/>
  <c r="C57" i="36"/>
  <c r="D57" i="36" s="1" a="1"/>
  <c r="D57" i="36" s="1"/>
  <c r="E57" i="36" s="1" a="1"/>
  <c r="E57" i="36" s="1"/>
  <c r="C169" i="36"/>
  <c r="D169" i="36" s="1" a="1"/>
  <c r="D169" i="36" s="1"/>
  <c r="E169" i="36" s="1" a="1"/>
  <c r="E169" i="36" s="1"/>
  <c r="C539" i="36"/>
  <c r="D539" i="36" s="1" a="1"/>
  <c r="D539" i="36" s="1"/>
  <c r="E539" i="36" s="1" a="1"/>
  <c r="E539" i="36" s="1"/>
  <c r="C439" i="36"/>
  <c r="D439" i="36" s="1" a="1"/>
  <c r="D439" i="36" s="1"/>
  <c r="E439" i="36" s="1" a="1"/>
  <c r="E439" i="36" s="1"/>
  <c r="C202" i="36"/>
  <c r="D202" i="36" s="1" a="1"/>
  <c r="D202" i="36" s="1"/>
  <c r="E202" i="36" s="1" a="1"/>
  <c r="E202" i="36" s="1"/>
  <c r="C499" i="36"/>
  <c r="D499" i="36" s="1" a="1"/>
  <c r="D499" i="36" s="1"/>
  <c r="E499" i="36" s="1" a="1"/>
  <c r="E499" i="36" s="1"/>
  <c r="C212" i="36"/>
  <c r="D212" i="36" s="1" a="1"/>
  <c r="D212" i="36" s="1"/>
  <c r="E212" i="36" s="1" a="1"/>
  <c r="E212" i="36" s="1"/>
  <c r="C136" i="36"/>
  <c r="D136" i="36" s="1" a="1"/>
  <c r="D136" i="36" s="1"/>
  <c r="E136" i="36" s="1" a="1"/>
  <c r="E136" i="36" s="1"/>
  <c r="C339" i="36"/>
  <c r="D339" i="36" s="1" a="1"/>
  <c r="D339" i="36" s="1"/>
  <c r="E339" i="36" s="1" a="1"/>
  <c r="E339" i="36" s="1"/>
  <c r="C180" i="36"/>
  <c r="D180" i="36" s="1" a="1"/>
  <c r="D180" i="36" s="1"/>
  <c r="E180" i="36" s="1" a="1"/>
  <c r="E180" i="36" s="1"/>
  <c r="C736" i="36"/>
  <c r="C240" i="36"/>
  <c r="C412" i="36"/>
  <c r="D412" i="36" s="1" a="1"/>
  <c r="D412" i="36" s="1"/>
  <c r="E412" i="36" s="1" a="1"/>
  <c r="E412" i="36" s="1"/>
  <c r="C39" i="36"/>
  <c r="D39" i="36" s="1" a="1"/>
  <c r="D39" i="36" s="1"/>
  <c r="E39" i="36" s="1" a="1"/>
  <c r="E39" i="36" s="1"/>
  <c r="C565" i="36"/>
  <c r="D565" i="36" s="1" a="1"/>
  <c r="D565" i="36" s="1"/>
  <c r="E565" i="36" s="1" a="1"/>
  <c r="E565" i="36" s="1"/>
  <c r="C159" i="36"/>
  <c r="D159" i="36" s="1" a="1"/>
  <c r="D159" i="36" s="1"/>
  <c r="E159" i="36" s="1" a="1"/>
  <c r="E159" i="36" s="1"/>
  <c r="C266" i="36"/>
  <c r="D266" i="36" s="1" a="1"/>
  <c r="D266" i="36" s="1"/>
  <c r="E266" i="36" s="1" a="1"/>
  <c r="E266" i="36" s="1"/>
  <c r="C739" i="36"/>
  <c r="C782" i="36"/>
  <c r="C711" i="36"/>
  <c r="C673" i="36"/>
  <c r="C705" i="36"/>
  <c r="C2" i="36"/>
  <c r="D2" i="36" s="1" a="1"/>
  <c r="D2" i="36" s="1"/>
  <c r="E2" i="36" s="1" a="1"/>
  <c r="E2" i="36" s="1"/>
  <c r="C278" i="36"/>
  <c r="D278" i="36" s="1" a="1"/>
  <c r="D278" i="36" s="1"/>
  <c r="E278" i="36" s="1" a="1"/>
  <c r="E278" i="36" s="1"/>
  <c r="C50" i="36"/>
  <c r="D50" i="36" s="1" a="1"/>
  <c r="D50" i="36" s="1"/>
  <c r="E50" i="36" s="1" a="1"/>
  <c r="E50" i="36" s="1"/>
  <c r="C52" i="36"/>
  <c r="D52" i="36" s="1" a="1"/>
  <c r="D52" i="36" s="1"/>
  <c r="E52" i="36" s="1" a="1"/>
  <c r="E52" i="36" s="1"/>
  <c r="C531" i="36"/>
  <c r="D531" i="36" s="1" a="1"/>
  <c r="D531" i="36" s="1"/>
  <c r="E531" i="36" s="1" a="1"/>
  <c r="E531" i="36" s="1"/>
  <c r="C32" i="36"/>
  <c r="D32" i="36" s="1" a="1"/>
  <c r="D32" i="36" s="1"/>
  <c r="E32" i="36" s="1" a="1"/>
  <c r="E32" i="36" s="1"/>
  <c r="C785" i="36"/>
  <c r="C763" i="36"/>
  <c r="C359" i="36"/>
  <c r="D359" i="36" s="1" a="1"/>
  <c r="D359" i="36" s="1"/>
  <c r="E359" i="36" s="1" a="1"/>
  <c r="E359" i="36" s="1"/>
  <c r="C715" i="36"/>
  <c r="C162" i="36"/>
  <c r="D162" i="36" s="1" a="1"/>
  <c r="D162" i="36" s="1"/>
  <c r="E162" i="36" s="1" a="1"/>
  <c r="E162" i="36" s="1"/>
  <c r="C431" i="36"/>
  <c r="D431" i="36" s="1" a="1"/>
  <c r="D431" i="36" s="1"/>
  <c r="E431" i="36" s="1" a="1"/>
  <c r="E431" i="36" s="1"/>
  <c r="C293" i="36"/>
  <c r="D293" i="36" s="1" a="1"/>
  <c r="D293" i="36" s="1"/>
  <c r="E293" i="36" s="1" a="1"/>
  <c r="E293" i="36" s="1"/>
  <c r="C346" i="36"/>
  <c r="D346" i="36" s="1" a="1"/>
  <c r="D346" i="36" s="1"/>
  <c r="E346" i="36" s="1" a="1"/>
  <c r="E346" i="36" s="1"/>
  <c r="C203" i="36"/>
  <c r="D203" i="36" s="1" a="1"/>
  <c r="D203" i="36" s="1"/>
  <c r="E203" i="36" s="1" a="1"/>
  <c r="E203" i="36" s="1"/>
  <c r="C672" i="36"/>
  <c r="C654" i="36"/>
  <c r="D654" i="36" s="1" a="1"/>
  <c r="D654" i="36" s="1"/>
  <c r="E654" i="36" s="1" a="1"/>
  <c r="E654" i="36" s="1"/>
  <c r="C509" i="36"/>
  <c r="D509" i="36" s="1" a="1"/>
  <c r="D509" i="36" s="1"/>
  <c r="E509" i="36" s="1" a="1"/>
  <c r="E509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385" i="36"/>
  <c r="D385" i="36" s="1" a="1"/>
  <c r="D385" i="36" s="1"/>
  <c r="E385" i="36" s="1" a="1"/>
  <c r="E385" i="36" s="1"/>
  <c r="C320" i="36"/>
  <c r="D320" i="36" s="1" a="1"/>
  <c r="D320" i="36" s="1"/>
  <c r="E320" i="36" s="1" a="1"/>
  <c r="E320" i="36" s="1"/>
  <c r="C390" i="36"/>
  <c r="D390" i="36" s="1" a="1"/>
  <c r="D390" i="36" s="1"/>
  <c r="E390" i="36" s="1" a="1"/>
  <c r="E390" i="36" s="1"/>
  <c r="C490" i="36"/>
  <c r="D490" i="36" s="1" a="1"/>
  <c r="D490" i="36" s="1"/>
  <c r="E490" i="36" s="1" a="1"/>
  <c r="E490" i="36" s="1"/>
  <c r="C589" i="36"/>
  <c r="D589" i="36" s="1" a="1"/>
  <c r="D589" i="36" s="1"/>
  <c r="E589" i="36" s="1" a="1"/>
  <c r="E589" i="36" s="1"/>
  <c r="C163" i="36"/>
  <c r="D163" i="36" s="1" a="1"/>
  <c r="D163" i="36" s="1"/>
  <c r="E163" i="36" s="1" a="1"/>
  <c r="E163" i="36" s="1"/>
  <c r="C301" i="36"/>
  <c r="D301" i="36" s="1" a="1"/>
  <c r="D301" i="36" s="1"/>
  <c r="E301" i="36" s="1" a="1"/>
  <c r="E301" i="36" s="1"/>
  <c r="C152" i="36"/>
  <c r="D152" i="36" s="1" a="1"/>
  <c r="D152" i="36" s="1"/>
  <c r="E152" i="36" s="1" a="1"/>
  <c r="E152" i="36" s="1"/>
  <c r="C286" i="36"/>
  <c r="D286" i="36" s="1" a="1"/>
  <c r="D286" i="36" s="1"/>
  <c r="E286" i="36" s="1" a="1"/>
  <c r="E286" i="36" s="1"/>
  <c r="C749" i="36"/>
  <c r="C688" i="36"/>
  <c r="C741" i="36"/>
  <c r="C225" i="36"/>
  <c r="D225" i="36" s="1" a="1"/>
  <c r="D225" i="36" s="1"/>
  <c r="E225" i="36" s="1" a="1"/>
  <c r="E225" i="36" s="1"/>
  <c r="C463" i="36"/>
  <c r="D463" i="36" s="1" a="1"/>
  <c r="D463" i="36" s="1"/>
  <c r="E463" i="36" s="1" a="1"/>
  <c r="E463" i="36" s="1"/>
  <c r="C382" i="36"/>
  <c r="D382" i="36" s="1" a="1"/>
  <c r="D382" i="36" s="1"/>
  <c r="E382" i="36" s="1" a="1"/>
  <c r="E382" i="36" s="1"/>
  <c r="C72" i="36"/>
  <c r="D72" i="36" s="1" a="1"/>
  <c r="D72" i="36" s="1"/>
  <c r="E72" i="36" s="1" a="1"/>
  <c r="E72" i="36" s="1"/>
  <c r="C665" i="36"/>
  <c r="D665" i="36" s="1" a="1"/>
  <c r="D665" i="36" s="1"/>
  <c r="E665" i="36" s="1" a="1"/>
  <c r="E665" i="36" s="1"/>
  <c r="C146" i="36"/>
  <c r="D146" i="36" s="1" a="1"/>
  <c r="D146" i="36" s="1"/>
  <c r="E146" i="36" s="1" a="1"/>
  <c r="E146" i="36" s="1"/>
  <c r="C622" i="36"/>
  <c r="D622" i="36" s="1" a="1"/>
  <c r="D622" i="36" s="1"/>
  <c r="E622" i="36" s="1" a="1"/>
  <c r="E622" i="36" s="1"/>
  <c r="C48" i="36"/>
  <c r="D48" i="36" s="1" a="1"/>
  <c r="D48" i="36" s="1"/>
  <c r="E48" i="36" s="1" a="1"/>
  <c r="E48" i="36" s="1"/>
  <c r="C380" i="36"/>
  <c r="D380" i="36" s="1" a="1"/>
  <c r="D380" i="36" s="1"/>
  <c r="E380" i="36" s="1" a="1"/>
  <c r="E380" i="36" s="1"/>
  <c r="C692" i="36"/>
  <c r="C309" i="36"/>
  <c r="D309" i="36" s="1" a="1"/>
  <c r="D309" i="36" s="1"/>
  <c r="E309" i="36" s="1" a="1"/>
  <c r="E309" i="36" s="1"/>
  <c r="C40" i="36"/>
  <c r="D40" i="36" s="1" a="1"/>
  <c r="D40" i="36" s="1"/>
  <c r="E40" i="36" s="1" a="1"/>
  <c r="E40" i="36" s="1"/>
  <c r="C138" i="36"/>
  <c r="D138" i="36" s="1" a="1"/>
  <c r="D138" i="36" s="1"/>
  <c r="E138" i="36" s="1" a="1"/>
  <c r="E138" i="36" s="1"/>
  <c r="C680" i="36"/>
  <c r="C262" i="36"/>
  <c r="D262" i="36" s="1" a="1"/>
  <c r="D262" i="36" s="1"/>
  <c r="E262" i="36" s="1" a="1"/>
  <c r="E262" i="36" s="1"/>
  <c r="C697" i="36"/>
  <c r="C750" i="36"/>
  <c r="C451" i="36"/>
  <c r="D451" i="36" s="1" a="1"/>
  <c r="D451" i="36" s="1"/>
  <c r="E451" i="36" s="1" a="1"/>
  <c r="E451" i="36" s="1"/>
  <c r="C462" i="36"/>
  <c r="D462" i="36" s="1" a="1"/>
  <c r="D462" i="36" s="1"/>
  <c r="E462" i="36" s="1" a="1"/>
  <c r="E462" i="36" s="1"/>
  <c r="C562" i="36"/>
  <c r="C670" i="36"/>
  <c r="C75" i="36"/>
  <c r="D75" i="36" s="1" a="1"/>
  <c r="D75" i="36" s="1"/>
  <c r="E75" i="36" s="1" a="1"/>
  <c r="E75" i="36" s="1"/>
  <c r="C416" i="36"/>
  <c r="D416" i="36" s="1" a="1"/>
  <c r="D416" i="36" s="1"/>
  <c r="E416" i="36" s="1" a="1"/>
  <c r="E416" i="36" s="1"/>
  <c r="C515" i="36"/>
  <c r="D515" i="36" s="1" a="1"/>
  <c r="D515" i="36" s="1"/>
  <c r="E515" i="36" s="1" a="1"/>
  <c r="E515" i="36" s="1"/>
  <c r="C708" i="36"/>
  <c r="C791" i="36"/>
  <c r="C315" i="36"/>
  <c r="D315" i="36" s="1" a="1"/>
  <c r="D315" i="36" s="1"/>
  <c r="E315" i="36" s="1" a="1"/>
  <c r="E315" i="36" s="1"/>
  <c r="C77" i="36"/>
  <c r="D77" i="36" s="1" a="1"/>
  <c r="D77" i="36" s="1"/>
  <c r="E77" i="36" s="1" a="1"/>
  <c r="E77" i="36" s="1"/>
  <c r="C96" i="36"/>
  <c r="D96" i="36" s="1" a="1"/>
  <c r="D96" i="36" s="1"/>
  <c r="E96" i="36" s="1" a="1"/>
  <c r="E96" i="36" s="1"/>
  <c r="C61" i="36"/>
  <c r="D61" i="36" s="1" a="1"/>
  <c r="D61" i="36" s="1"/>
  <c r="E61" i="36" s="1" a="1"/>
  <c r="E61" i="36" s="1"/>
  <c r="C186" i="36"/>
  <c r="D186" i="36" s="1" a="1"/>
  <c r="D186" i="36" s="1"/>
  <c r="E186" i="36" s="1" a="1"/>
  <c r="E186" i="36" s="1"/>
  <c r="C788" i="36"/>
  <c r="C564" i="36"/>
  <c r="D564" i="36" s="1" a="1"/>
  <c r="D564" i="36" s="1"/>
  <c r="E564" i="36" s="1" a="1"/>
  <c r="E564" i="36" s="1"/>
  <c r="C201" i="36"/>
  <c r="D201" i="36" s="1" a="1"/>
  <c r="D201" i="36" s="1"/>
  <c r="E201" i="36" s="1" a="1"/>
  <c r="E201" i="36" s="1"/>
  <c r="C304" i="36"/>
  <c r="D304" i="36" s="1" a="1"/>
  <c r="D304" i="36" s="1"/>
  <c r="E304" i="36" s="1" a="1"/>
  <c r="E304" i="36" s="1"/>
  <c r="C534" i="36"/>
  <c r="D534" i="36" s="1" a="1"/>
  <c r="D534" i="36" s="1"/>
  <c r="E534" i="36" s="1" a="1"/>
  <c r="E534" i="36" s="1"/>
  <c r="C150" i="36"/>
  <c r="D150" i="36" s="1" a="1"/>
  <c r="D150" i="36" s="1"/>
  <c r="E150" i="36" s="1" a="1"/>
  <c r="E150" i="36" s="1"/>
  <c r="C35" i="36"/>
  <c r="D35" i="36" s="1" a="1"/>
  <c r="D35" i="36" s="1"/>
  <c r="E35" i="36" s="1" a="1"/>
  <c r="E35" i="36" s="1"/>
  <c r="C45" i="36"/>
  <c r="D45" i="36" s="1" a="1"/>
  <c r="D45" i="36" s="1"/>
  <c r="E45" i="36" s="1" a="1"/>
  <c r="E45" i="36" s="1"/>
  <c r="C598" i="36"/>
  <c r="D598" i="36" s="1" a="1"/>
  <c r="D598" i="36" s="1"/>
  <c r="E598" i="36" s="1" a="1"/>
  <c r="E598" i="36" s="1"/>
  <c r="C595" i="36"/>
  <c r="D595" i="36" s="1" a="1"/>
  <c r="D595" i="36" s="1"/>
  <c r="E595" i="36" s="1" a="1"/>
  <c r="E595" i="36" s="1"/>
  <c r="C25" i="36"/>
  <c r="D25" i="36" s="1" a="1"/>
  <c r="D25" i="36" s="1"/>
  <c r="E25" i="36" s="1" a="1"/>
  <c r="E25" i="36" s="1"/>
  <c r="C458" i="36"/>
  <c r="D458" i="36" s="1" a="1"/>
  <c r="D458" i="36" s="1"/>
  <c r="E458" i="36" s="1" a="1"/>
  <c r="E458" i="36" s="1"/>
  <c r="C566" i="36"/>
  <c r="D566" i="36" s="1" a="1"/>
  <c r="D566" i="36" s="1"/>
  <c r="E566" i="36" s="1" a="1"/>
  <c r="E566" i="36" s="1"/>
  <c r="C441" i="36"/>
  <c r="D441" i="36" s="1" a="1"/>
  <c r="D441" i="36" s="1"/>
  <c r="E441" i="36" s="1" a="1"/>
  <c r="E441" i="36" s="1"/>
  <c r="C549" i="36"/>
  <c r="D549" i="36" s="1" a="1"/>
  <c r="D549" i="36" s="1"/>
  <c r="E549" i="36" s="1" a="1"/>
  <c r="E549" i="36" s="1"/>
  <c r="C661" i="36"/>
  <c r="C616" i="36"/>
  <c r="D616" i="36" s="1" a="1"/>
  <c r="D616" i="36" s="1"/>
  <c r="E616" i="36" s="1" a="1"/>
  <c r="E616" i="36" s="1"/>
  <c r="C536" i="36"/>
  <c r="D536" i="36" s="1" a="1"/>
  <c r="D536" i="36" s="1"/>
  <c r="E536" i="36" s="1" a="1"/>
  <c r="E536" i="36" s="1"/>
  <c r="C185" i="36"/>
  <c r="D185" i="36" s="1" a="1"/>
  <c r="D185" i="36" s="1"/>
  <c r="E185" i="36" s="1" a="1"/>
  <c r="E185" i="36" s="1"/>
  <c r="C510" i="36"/>
  <c r="D510" i="36" s="1" a="1"/>
  <c r="D510" i="36" s="1"/>
  <c r="E510" i="36" s="1" a="1"/>
  <c r="E510" i="36" s="1"/>
  <c r="C609" i="36"/>
  <c r="D609" i="36" s="1" a="1"/>
  <c r="D609" i="36" s="1"/>
  <c r="E609" i="36" s="1" a="1"/>
  <c r="E609" i="36" s="1"/>
  <c r="C544" i="36"/>
  <c r="D544" i="36" s="1" a="1"/>
  <c r="D544" i="36" s="1"/>
  <c r="E544" i="36" s="1" a="1"/>
  <c r="E544" i="36" s="1"/>
  <c r="C364" i="36"/>
  <c r="D364" i="36" s="1" a="1"/>
  <c r="D364" i="36" s="1"/>
  <c r="E364" i="36" s="1" a="1"/>
  <c r="E364" i="36" s="1"/>
  <c r="C222" i="36"/>
  <c r="D222" i="36" s="1" a="1"/>
  <c r="D222" i="36" s="1"/>
  <c r="E222" i="36" s="1" a="1"/>
  <c r="E222" i="36" s="1"/>
  <c r="C482" i="36"/>
  <c r="D482" i="36" s="1" a="1"/>
  <c r="D482" i="36" s="1"/>
  <c r="E482" i="36" s="1" a="1"/>
  <c r="E482" i="36" s="1"/>
  <c r="C391" i="36"/>
  <c r="D391" i="36" s="1" a="1"/>
  <c r="D391" i="36" s="1"/>
  <c r="E391" i="36" s="1" a="1"/>
  <c r="E391" i="36" s="1"/>
  <c r="C170" i="36"/>
  <c r="D170" i="36" s="1" a="1"/>
  <c r="D170" i="36" s="1"/>
  <c r="E170" i="36" s="1" a="1"/>
  <c r="E170" i="36" s="1"/>
  <c r="C76" i="36"/>
  <c r="D76" i="36" s="1" a="1"/>
  <c r="D76" i="36" s="1"/>
  <c r="E76" i="36" s="1" a="1"/>
  <c r="E76" i="36" s="1"/>
  <c r="C355" i="36"/>
  <c r="D355" i="36" s="1" a="1"/>
  <c r="D355" i="36" s="1"/>
  <c r="E355" i="36" s="1" a="1"/>
  <c r="E355" i="36" s="1"/>
  <c r="C120" i="36"/>
  <c r="D120" i="36" s="1" a="1"/>
  <c r="D120" i="36" s="1"/>
  <c r="E120" i="36" s="1" a="1"/>
  <c r="E120" i="36" s="1"/>
  <c r="C206" i="36"/>
  <c r="D206" i="36" s="1" a="1"/>
  <c r="D206" i="36" s="1"/>
  <c r="E206" i="36" s="1" a="1"/>
  <c r="E206" i="36" s="1"/>
  <c r="C311" i="36"/>
  <c r="D311" i="36" s="1" a="1"/>
  <c r="D311" i="36" s="1"/>
  <c r="E311" i="36" s="1" a="1"/>
  <c r="E311" i="36" s="1"/>
  <c r="C26" i="36"/>
  <c r="D26" i="36" s="1" a="1"/>
  <c r="D26" i="36" s="1"/>
  <c r="E26" i="36" s="1" a="1"/>
  <c r="E26" i="36" s="1"/>
  <c r="C194" i="36"/>
  <c r="D194" i="36" s="1" a="1"/>
  <c r="D194" i="36" s="1"/>
  <c r="E194" i="36" s="1" a="1"/>
  <c r="E194" i="36" s="1"/>
  <c r="C257" i="36"/>
  <c r="D257" i="36" s="1" a="1"/>
  <c r="D257" i="36" s="1"/>
  <c r="E257" i="36" s="1" a="1"/>
  <c r="E257" i="36" s="1"/>
  <c r="C735" i="36"/>
  <c r="C597" i="36"/>
  <c r="D597" i="36" s="1" a="1"/>
  <c r="D597" i="36" s="1"/>
  <c r="E597" i="36" s="1" a="1"/>
  <c r="E597" i="36" s="1"/>
  <c r="C387" i="36"/>
  <c r="D387" i="36" s="1" a="1"/>
  <c r="D387" i="36" s="1"/>
  <c r="E387" i="36" s="1" a="1"/>
  <c r="E387" i="36" s="1"/>
  <c r="C209" i="36"/>
  <c r="D209" i="36" s="1" a="1"/>
  <c r="D209" i="36" s="1"/>
  <c r="E209" i="36" s="1" a="1"/>
  <c r="E209" i="36" s="1"/>
  <c r="C730" i="36"/>
  <c r="C335" i="36"/>
  <c r="D335" i="36" s="1" a="1"/>
  <c r="D335" i="36" s="1"/>
  <c r="E335" i="36" s="1" a="1"/>
  <c r="E335" i="36" s="1"/>
  <c r="C683" i="36"/>
  <c r="C467" i="36"/>
  <c r="D467" i="36" s="1" a="1"/>
  <c r="D467" i="36" s="1"/>
  <c r="E467" i="36" s="1" a="1"/>
  <c r="E467" i="36" s="1"/>
  <c r="C558" i="36"/>
  <c r="C548" i="36"/>
  <c r="D548" i="36" s="1" a="1"/>
  <c r="D548" i="36" s="1"/>
  <c r="E548" i="36" s="1" a="1"/>
  <c r="E548" i="36" s="1"/>
  <c r="C145" i="36"/>
  <c r="D145" i="36" s="1" a="1"/>
  <c r="D145" i="36" s="1"/>
  <c r="E145" i="36" s="1" a="1"/>
  <c r="E145" i="36" s="1"/>
  <c r="C459" i="36"/>
  <c r="D459" i="36" s="1" a="1"/>
  <c r="D459" i="36" s="1"/>
  <c r="E459" i="36" s="1" a="1"/>
  <c r="E459" i="36" s="1"/>
  <c r="C567" i="36"/>
  <c r="D567" i="36" s="1" a="1"/>
  <c r="D567" i="36" s="1"/>
  <c r="E567" i="36" s="1" a="1"/>
  <c r="E567" i="36" s="1"/>
  <c r="C18" i="36"/>
  <c r="D18" i="36" s="1" a="1"/>
  <c r="D18" i="36" s="1"/>
  <c r="E18" i="36" s="1" a="1"/>
  <c r="E18" i="36" s="1"/>
  <c r="C746" i="36"/>
  <c r="C143" i="36"/>
  <c r="D143" i="36" s="1" a="1"/>
  <c r="D143" i="36" s="1"/>
  <c r="E143" i="36" s="1" a="1"/>
  <c r="E143" i="36" s="1"/>
  <c r="C414" i="36"/>
  <c r="D414" i="36" s="1" a="1"/>
  <c r="D414" i="36" s="1"/>
  <c r="E414" i="36" s="1" a="1"/>
  <c r="E414" i="36" s="1"/>
  <c r="C657" i="36"/>
  <c r="C744" i="36"/>
  <c r="C10" i="36"/>
  <c r="D10" i="36" s="1" a="1"/>
  <c r="D10" i="36" s="1"/>
  <c r="E10" i="36" s="1" a="1"/>
  <c r="E10" i="36" s="1"/>
  <c r="C699" i="36"/>
  <c r="C218" i="36"/>
  <c r="D218" i="36" s="1" a="1"/>
  <c r="D218" i="36" s="1"/>
  <c r="E218" i="36" s="1" a="1"/>
  <c r="E218" i="36" s="1"/>
  <c r="C187" i="36"/>
  <c r="D187" i="36" s="1" a="1"/>
  <c r="D187" i="36" s="1"/>
  <c r="E187" i="36" s="1" a="1"/>
  <c r="E187" i="36" s="1"/>
  <c r="C528" i="36"/>
  <c r="D528" i="36" s="1" a="1"/>
  <c r="D528" i="36" s="1"/>
  <c r="E528" i="36" s="1" a="1"/>
  <c r="E528" i="36" s="1"/>
  <c r="C348" i="36"/>
  <c r="D348" i="36" s="1" a="1"/>
  <c r="D348" i="36" s="1"/>
  <c r="E348" i="36" s="1" a="1"/>
  <c r="E348" i="36" s="1"/>
  <c r="C492" i="36"/>
  <c r="D492" i="36" s="1" a="1"/>
  <c r="D492" i="36" s="1"/>
  <c r="E492" i="36" s="1" a="1"/>
  <c r="E492" i="36" s="1"/>
  <c r="C5" i="36"/>
  <c r="D5" i="36" s="1" a="1"/>
  <c r="D5" i="36" s="1"/>
  <c r="E5" i="36" s="1" a="1"/>
  <c r="E5" i="36" s="1"/>
  <c r="C700" i="36"/>
  <c r="C418" i="36"/>
  <c r="D418" i="36" s="1" a="1"/>
  <c r="D418" i="36" s="1"/>
  <c r="E418" i="36" s="1" a="1"/>
  <c r="E418" i="36" s="1"/>
  <c r="C621" i="36"/>
  <c r="D621" i="36" s="1" a="1"/>
  <c r="D621" i="36" s="1"/>
  <c r="E621" i="36" s="1" a="1"/>
  <c r="E621" i="36" s="1"/>
  <c r="C47" i="36"/>
  <c r="D47" i="36" s="1" a="1"/>
  <c r="D47" i="36" s="1"/>
  <c r="E47" i="36" s="1" a="1"/>
  <c r="E47" i="36" s="1"/>
  <c r="C771" i="36"/>
  <c r="C178" i="36"/>
  <c r="D178" i="36" s="1" a="1"/>
  <c r="D178" i="36" s="1"/>
  <c r="E178" i="36" s="1" a="1"/>
  <c r="E178" i="36" s="1"/>
  <c r="C780" i="36"/>
  <c r="C183" i="36"/>
  <c r="D183" i="36" s="1" a="1"/>
  <c r="D183" i="36" s="1"/>
  <c r="E183" i="36" s="1" a="1"/>
  <c r="E183" i="36" s="1"/>
  <c r="C254" i="36"/>
  <c r="C191" i="36"/>
  <c r="D191" i="36" s="1" a="1"/>
  <c r="D191" i="36" s="1"/>
  <c r="E191" i="36" s="1" a="1"/>
  <c r="E191" i="36" s="1"/>
  <c r="C430" i="36"/>
  <c r="D430" i="36" s="1" a="1"/>
  <c r="D430" i="36" s="1"/>
  <c r="E430" i="36" s="1" a="1"/>
  <c r="E430" i="36" s="1"/>
  <c r="C288" i="36"/>
  <c r="D288" i="36" s="1" a="1"/>
  <c r="D288" i="36" s="1"/>
  <c r="E288" i="36" s="1" a="1"/>
  <c r="E288" i="36" s="1"/>
  <c r="C349" i="36"/>
  <c r="D349" i="36" s="1" a="1"/>
  <c r="D349" i="36" s="1"/>
  <c r="E349" i="36" s="1" a="1"/>
  <c r="E349" i="36" s="1"/>
  <c r="C279" i="36"/>
  <c r="D279" i="36" s="1" a="1"/>
  <c r="D279" i="36" s="1"/>
  <c r="E279" i="36" s="1" a="1"/>
  <c r="E279" i="36" s="1"/>
  <c r="C340" i="36"/>
  <c r="D340" i="36" s="1" a="1"/>
  <c r="D340" i="36" s="1"/>
  <c r="E340" i="36" s="1" a="1"/>
  <c r="E340" i="36" s="1"/>
  <c r="C405" i="36"/>
  <c r="D405" i="36" s="1" a="1"/>
  <c r="D405" i="36" s="1"/>
  <c r="E405" i="36" s="1" a="1"/>
  <c r="E405" i="36" s="1"/>
  <c r="C353" i="36"/>
  <c r="D353" i="36" s="1" a="1"/>
  <c r="D353" i="36" s="1"/>
  <c r="E353" i="36" s="1" a="1"/>
  <c r="E353" i="36" s="1"/>
  <c r="C93" i="36"/>
  <c r="C31" i="36"/>
  <c r="D31" i="36" s="1" a="1"/>
  <c r="D31" i="36" s="1"/>
  <c r="E31" i="36" s="1" a="1"/>
  <c r="E31" i="36" s="1"/>
  <c r="C792" i="36"/>
  <c r="C207" i="36"/>
  <c r="D207" i="36" s="1" a="1"/>
  <c r="D207" i="36" s="1"/>
  <c r="E207" i="36" s="1" a="1"/>
  <c r="E207" i="36" s="1"/>
  <c r="C615" i="36"/>
  <c r="D615" i="36" s="1" a="1"/>
  <c r="D615" i="36" s="1"/>
  <c r="E615" i="36" s="1" a="1"/>
  <c r="E615" i="36" s="1"/>
  <c r="C336" i="36"/>
  <c r="D336" i="36" s="1" a="1"/>
  <c r="D336" i="36" s="1"/>
  <c r="E336" i="36" s="1" a="1"/>
  <c r="E336" i="36" s="1"/>
  <c r="C721" i="36"/>
  <c r="C774" i="36"/>
  <c r="D774" i="36" s="1" a="1"/>
  <c r="D774" i="36" s="1"/>
  <c r="E774" i="36" s="1" a="1"/>
  <c r="E774" i="36" s="1"/>
  <c r="C133" i="36"/>
  <c r="D133" i="36" s="1" a="1"/>
  <c r="D133" i="36" s="1"/>
  <c r="E133" i="36" s="1" a="1"/>
  <c r="E133" i="36" s="1"/>
  <c r="C594" i="36"/>
  <c r="D594" i="36" s="1" a="1"/>
  <c r="D594" i="36" s="1"/>
  <c r="E594" i="36" s="1" a="1"/>
  <c r="E594" i="36" s="1"/>
  <c r="C70" i="36"/>
  <c r="D70" i="36" s="1" a="1"/>
  <c r="D70" i="36" s="1"/>
  <c r="E70" i="36" s="1" a="1"/>
  <c r="E70" i="36" s="1"/>
  <c r="C772" i="36"/>
  <c r="C768" i="36"/>
  <c r="C128" i="36"/>
  <c r="D128" i="36" s="1" a="1"/>
  <c r="D128" i="36" s="1"/>
  <c r="E128" i="36" s="1" a="1"/>
  <c r="E128" i="36" s="1"/>
  <c r="C54" i="36"/>
  <c r="D54" i="36" s="1" a="1"/>
  <c r="D54" i="36" s="1"/>
  <c r="E54" i="36" s="1" a="1"/>
  <c r="E54" i="36" s="1"/>
  <c r="C740" i="36"/>
  <c r="C289" i="36"/>
  <c r="D289" i="36" s="1" a="1"/>
  <c r="D289" i="36" s="1"/>
  <c r="E289" i="36" s="1" a="1"/>
  <c r="E289" i="36" s="1"/>
  <c r="C350" i="36"/>
  <c r="D350" i="36" s="1" a="1"/>
  <c r="D350" i="36" s="1"/>
  <c r="E350" i="36" s="1" a="1"/>
  <c r="E350" i="36" s="1"/>
  <c r="C731" i="36"/>
  <c r="C233" i="36"/>
  <c r="D233" i="36" s="1" a="1"/>
  <c r="D233" i="36" s="1"/>
  <c r="E233" i="36" s="1" a="1"/>
  <c r="E233" i="36" s="1"/>
  <c r="C689" i="36"/>
  <c r="C742" i="36"/>
  <c r="C134" i="36"/>
  <c r="D134" i="36" s="1" a="1"/>
  <c r="D134" i="36" s="1"/>
  <c r="E134" i="36" s="1" a="1"/>
  <c r="E134" i="36" s="1"/>
  <c r="C552" i="36"/>
  <c r="D552" i="36" s="1" a="1"/>
  <c r="D552" i="36" s="1"/>
  <c r="E552" i="36" s="1" a="1"/>
  <c r="E552" i="36" s="1"/>
  <c r="C660" i="36"/>
  <c r="C426" i="36"/>
  <c r="D426" i="36" s="1" a="1"/>
  <c r="D426" i="36" s="1"/>
  <c r="E426" i="36" s="1" a="1"/>
  <c r="E426" i="36" s="1"/>
  <c r="C636" i="36"/>
  <c r="D636" i="36" s="1" a="1"/>
  <c r="D636" i="36" s="1"/>
  <c r="E636" i="36" s="1" a="1"/>
  <c r="E636" i="36" s="1"/>
  <c r="C59" i="36"/>
  <c r="D59" i="36" s="1" a="1"/>
  <c r="D59" i="36" s="1"/>
  <c r="E59" i="36" s="1" a="1"/>
  <c r="E59" i="36" s="1"/>
  <c r="C408" i="36"/>
  <c r="D408" i="36" s="1" a="1"/>
  <c r="D408" i="36" s="1"/>
  <c r="E408" i="36" s="1" a="1"/>
  <c r="E408" i="36" s="1"/>
  <c r="C213" i="36"/>
  <c r="D213" i="36" s="1" a="1"/>
  <c r="D213" i="36" s="1"/>
  <c r="E213" i="36" s="1" a="1"/>
  <c r="E213" i="36" s="1"/>
  <c r="C783" i="36"/>
  <c r="C156" i="36"/>
  <c r="D156" i="36" s="1" a="1"/>
  <c r="D156" i="36" s="1"/>
  <c r="E156" i="36" s="1" a="1"/>
  <c r="E156" i="36" s="1"/>
  <c r="C676" i="36"/>
  <c r="C495" i="36"/>
  <c r="D495" i="36" s="1" a="1"/>
  <c r="D495" i="36" s="1"/>
  <c r="E495" i="36" s="1" a="1"/>
  <c r="E495" i="36" s="1"/>
  <c r="C221" i="36"/>
  <c r="D221" i="36" s="1" a="1"/>
  <c r="D221" i="36" s="1"/>
  <c r="E221" i="36" s="1" a="1"/>
  <c r="E221" i="36" s="1"/>
  <c r="C464" i="36"/>
  <c r="D464" i="36" s="1" a="1"/>
  <c r="D464" i="36" s="1"/>
  <c r="E464" i="36" s="1" a="1"/>
  <c r="E464" i="36" s="1"/>
  <c r="C410" i="36"/>
  <c r="D410" i="36" s="1" a="1"/>
  <c r="D410" i="36" s="1"/>
  <c r="E410" i="36" s="1" a="1"/>
  <c r="E410" i="36" s="1"/>
  <c r="C702" i="36"/>
  <c r="C497" i="36"/>
  <c r="D497" i="36" s="1" a="1"/>
  <c r="D497" i="36" s="1"/>
  <c r="E497" i="36" s="1" a="1"/>
  <c r="E497" i="36" s="1"/>
  <c r="C477" i="36"/>
  <c r="D477" i="36" s="1" a="1"/>
  <c r="D477" i="36" s="1"/>
  <c r="E477" i="36" s="1" a="1"/>
  <c r="E477" i="36" s="1"/>
  <c r="C503" i="36"/>
  <c r="D503" i="36" s="1" a="1"/>
  <c r="D503" i="36" s="1"/>
  <c r="E503" i="36" s="1" a="1"/>
  <c r="E503" i="36" s="1"/>
  <c r="C704" i="36"/>
  <c r="C757" i="36"/>
  <c r="C16" i="36"/>
  <c r="D16" i="36" s="1" a="1"/>
  <c r="D16" i="36" s="1"/>
  <c r="E16" i="36" s="1" a="1"/>
  <c r="E16" i="36" s="1"/>
  <c r="C88" i="36"/>
  <c r="D88" i="36" s="1" a="1"/>
  <c r="D88" i="36" s="1"/>
  <c r="E88" i="36" s="1" a="1"/>
  <c r="E88" i="36" s="1"/>
  <c r="C671" i="36"/>
  <c r="C78" i="36"/>
  <c r="D78" i="36" s="1" a="1"/>
  <c r="D78" i="36" s="1"/>
  <c r="E78" i="36" s="1" a="1"/>
  <c r="E78" i="36" s="1"/>
  <c r="C247" i="36"/>
  <c r="D247" i="36" s="1" a="1"/>
  <c r="D247" i="36" s="1"/>
  <c r="E247" i="36" s="1" a="1"/>
  <c r="E247" i="36" s="1"/>
  <c r="C86" i="36"/>
  <c r="D86" i="36" s="1" a="1"/>
  <c r="D86" i="36" s="1"/>
  <c r="E86" i="36" s="1" a="1"/>
  <c r="E86" i="36" s="1"/>
  <c r="C230" i="36"/>
  <c r="D230" i="36" s="1" a="1"/>
  <c r="D230" i="36" s="1"/>
  <c r="E230" i="36" s="1" a="1"/>
  <c r="E230" i="36" s="1"/>
  <c r="C698" i="36"/>
  <c r="C646" i="36"/>
  <c r="D646" i="36" s="1" a="1"/>
  <c r="D646" i="36" s="1"/>
  <c r="E646" i="36" s="1" a="1"/>
  <c r="E646" i="36" s="1"/>
  <c r="C717" i="36"/>
  <c r="C716" i="36"/>
  <c r="C428" i="36"/>
  <c r="D428" i="36" s="1" a="1"/>
  <c r="D428" i="36" s="1"/>
  <c r="E428" i="36" s="1" a="1"/>
  <c r="E428" i="36" s="1"/>
  <c r="C502" i="36"/>
  <c r="D502" i="36" s="1" a="1"/>
  <c r="D502" i="36" s="1"/>
  <c r="E502" i="36" s="1" a="1"/>
  <c r="E502" i="36" s="1"/>
  <c r="C618" i="36"/>
  <c r="D618" i="36" s="1" a="1"/>
  <c r="D618" i="36" s="1"/>
  <c r="E618" i="36" s="1" a="1"/>
  <c r="E618" i="36" s="1"/>
  <c r="C127" i="36"/>
  <c r="D127" i="36" s="1" a="1"/>
  <c r="D127" i="36" s="1"/>
  <c r="E127" i="36" s="1" a="1"/>
  <c r="E127" i="36" s="1"/>
  <c r="C296" i="36"/>
  <c r="D296" i="36" s="1" a="1"/>
  <c r="D296" i="36" s="1"/>
  <c r="E296" i="36" s="1" a="1"/>
  <c r="E296" i="36" s="1"/>
  <c r="C227" i="36"/>
  <c r="D227" i="36" s="1" a="1"/>
  <c r="D227" i="36" s="1"/>
  <c r="E227" i="36" s="1" a="1"/>
  <c r="E227" i="36" s="1"/>
  <c r="C504" i="36"/>
  <c r="D504" i="36" s="1" a="1"/>
  <c r="D504" i="36" s="1"/>
  <c r="E504" i="36" s="1" a="1"/>
  <c r="E504" i="36" s="1"/>
  <c r="C263" i="36"/>
  <c r="D263" i="36" s="1" a="1"/>
  <c r="D263" i="36" s="1"/>
  <c r="E263" i="36" s="1" a="1"/>
  <c r="E263" i="36" s="1"/>
  <c r="C317" i="36"/>
  <c r="D317" i="36" s="1" a="1"/>
  <c r="D317" i="36" s="1"/>
  <c r="E317" i="36" s="1" a="1"/>
  <c r="E317" i="36" s="1"/>
  <c r="C377" i="36"/>
  <c r="D377" i="36" s="1" a="1"/>
  <c r="D377" i="36" s="1"/>
  <c r="E377" i="36" s="1" a="1"/>
  <c r="E377" i="36" s="1"/>
  <c r="C411" i="36"/>
  <c r="D411" i="36" s="1" a="1"/>
  <c r="D411" i="36" s="1"/>
  <c r="E411" i="36" s="1" a="1"/>
  <c r="E411" i="36" s="1"/>
  <c r="C38" i="36"/>
  <c r="D38" i="36" s="1" a="1"/>
  <c r="D38" i="36" s="1"/>
  <c r="E38" i="36" s="1" a="1"/>
  <c r="E38" i="36" s="1"/>
  <c r="C99" i="36"/>
  <c r="D99" i="36" s="1" a="1"/>
  <c r="D99" i="36" s="1"/>
  <c r="E99" i="36" s="1" a="1"/>
  <c r="E99" i="36" s="1"/>
  <c r="C465" i="36"/>
  <c r="D465" i="36" s="1" a="1"/>
  <c r="D465" i="36" s="1"/>
  <c r="E465" i="36" s="1" a="1"/>
  <c r="E465" i="36" s="1"/>
  <c r="C766" i="36"/>
  <c r="C601" i="36"/>
  <c r="D601" i="36" s="1" a="1"/>
  <c r="D601" i="36" s="1"/>
  <c r="E601" i="36" s="1" a="1"/>
  <c r="E601" i="36" s="1"/>
  <c r="C751" i="36"/>
  <c r="C743" i="36"/>
  <c r="C580" i="36"/>
  <c r="D580" i="36" s="1" a="1"/>
  <c r="D580" i="36" s="1"/>
  <c r="E580" i="36" s="1" a="1"/>
  <c r="E580" i="36" s="1"/>
  <c r="C23" i="36"/>
  <c r="D23" i="36" s="1" a="1"/>
  <c r="D23" i="36" s="1"/>
  <c r="E23" i="36" s="1" a="1"/>
  <c r="E23" i="36" s="1"/>
  <c r="C200" i="36"/>
  <c r="D200" i="36" s="1" a="1"/>
  <c r="D200" i="36" s="1"/>
  <c r="E200" i="36" s="1" a="1"/>
  <c r="E200" i="36" s="1"/>
  <c r="C737" i="36"/>
  <c r="C356" i="36"/>
  <c r="D356" i="36" s="1" a="1"/>
  <c r="D356" i="36" s="1"/>
  <c r="E356" i="36" s="1" a="1"/>
  <c r="E356" i="36" s="1"/>
  <c r="C62" i="36"/>
  <c r="D62" i="36" s="1" a="1"/>
  <c r="D62" i="36" s="1"/>
  <c r="E62" i="36" s="1" a="1"/>
  <c r="E62" i="36" s="1"/>
  <c r="C168" i="36"/>
  <c r="D168" i="36" s="1" a="1"/>
  <c r="D168" i="36" s="1"/>
  <c r="E168" i="36" s="1" a="1"/>
  <c r="E168" i="36" s="1"/>
  <c r="C437" i="36"/>
  <c r="D437" i="36" s="1" a="1"/>
  <c r="D437" i="36" s="1"/>
  <c r="E437" i="36" s="1" a="1"/>
  <c r="E437" i="36" s="1"/>
  <c r="C285" i="36"/>
  <c r="D285" i="36" s="1" a="1"/>
  <c r="D285" i="36" s="1"/>
  <c r="E285" i="36" s="1" a="1"/>
  <c r="E285" i="36" s="1"/>
  <c r="C760" i="36"/>
  <c r="C232" i="36"/>
  <c r="D232" i="36" s="1" a="1"/>
  <c r="D232" i="36" s="1"/>
  <c r="E232" i="36" s="1" a="1"/>
  <c r="E232" i="36" s="1"/>
  <c r="C89" i="36"/>
  <c r="D89" i="36" s="1" a="1"/>
  <c r="D89" i="36" s="1"/>
  <c r="E89" i="36" s="1" a="1"/>
  <c r="E89" i="36" s="1"/>
  <c r="C6" i="36"/>
  <c r="D6" i="36" s="1" a="1"/>
  <c r="D6" i="36" s="1"/>
  <c r="E6" i="36" s="1" a="1"/>
  <c r="E6" i="36" s="1"/>
  <c r="C106" i="36"/>
  <c r="D106" i="36" s="1" a="1"/>
  <c r="D106" i="36" s="1"/>
  <c r="E106" i="36" s="1" a="1"/>
  <c r="E106" i="36" s="1"/>
  <c r="C199" i="36"/>
  <c r="D199" i="36" s="1" a="1"/>
  <c r="D199" i="36" s="1"/>
  <c r="E199" i="36" s="1" a="1"/>
  <c r="E199" i="36" s="1"/>
  <c r="C274" i="36"/>
  <c r="D274" i="36" s="1" a="1"/>
  <c r="D274" i="36" s="1"/>
  <c r="E274" i="36" s="1" a="1"/>
  <c r="E274" i="36" s="1"/>
  <c r="C253" i="36"/>
  <c r="C604" i="36"/>
  <c r="D604" i="36" s="1" a="1"/>
  <c r="D604" i="36" s="1"/>
  <c r="E604" i="36" s="1" a="1"/>
  <c r="E604" i="36" s="1"/>
  <c r="C118" i="36"/>
  <c r="D118" i="36" s="1" a="1"/>
  <c r="D118" i="36" s="1"/>
  <c r="E118" i="36" s="1" a="1"/>
  <c r="E118" i="36" s="1"/>
  <c r="C403" i="36"/>
  <c r="D403" i="36" s="1" a="1"/>
  <c r="D403" i="36" s="1"/>
  <c r="E403" i="36" s="1" a="1"/>
  <c r="E403" i="36" s="1"/>
  <c r="C733" i="36"/>
  <c r="C649" i="36"/>
  <c r="D649" i="36" s="1" a="1"/>
  <c r="D649" i="36" s="1"/>
  <c r="E649" i="36" s="1" a="1"/>
  <c r="E649" i="36" s="1"/>
  <c r="C527" i="36"/>
  <c r="D527" i="36" s="1" a="1"/>
  <c r="D527" i="36" s="1"/>
  <c r="E527" i="36" s="1" a="1"/>
  <c r="E527" i="36" s="1"/>
  <c r="C493" i="36"/>
  <c r="D493" i="36" s="1" a="1"/>
  <c r="D493" i="36" s="1"/>
  <c r="E493" i="36" s="1" a="1"/>
  <c r="E493" i="36" s="1"/>
  <c r="C112" i="36"/>
  <c r="D112" i="36" s="1" a="1"/>
  <c r="D112" i="36" s="1"/>
  <c r="E112" i="36" s="1" a="1"/>
  <c r="E112" i="36" s="1"/>
  <c r="C488" i="36"/>
  <c r="D488" i="36" s="1" a="1"/>
  <c r="D488" i="36" s="1"/>
  <c r="E488" i="36" s="1" a="1"/>
  <c r="E488" i="36" s="1"/>
  <c r="C577" i="36"/>
  <c r="D577" i="36" s="1" a="1"/>
  <c r="D577" i="36" s="1"/>
  <c r="E577" i="36" s="1" a="1"/>
  <c r="E577" i="36" s="1"/>
  <c r="C786" i="36"/>
  <c r="C685" i="36"/>
  <c r="C675" i="36"/>
  <c r="C292" i="36"/>
  <c r="D292" i="36" s="1" a="1"/>
  <c r="D292" i="36" s="1"/>
  <c r="E292" i="36" s="1" a="1"/>
  <c r="E292" i="36" s="1"/>
  <c r="C114" i="36"/>
  <c r="D114" i="36" s="1" a="1"/>
  <c r="D114" i="36" s="1"/>
  <c r="E114" i="36" s="1" a="1"/>
  <c r="E114" i="36" s="1"/>
  <c r="C573" i="36"/>
  <c r="D573" i="36" s="1" a="1"/>
  <c r="D573" i="36" s="1"/>
  <c r="E573" i="36" s="1" a="1"/>
  <c r="E573" i="36" s="1"/>
  <c r="C627" i="36"/>
  <c r="D627" i="36" s="1" a="1"/>
  <c r="D627" i="36" s="1"/>
  <c r="E627" i="36" s="1" a="1"/>
  <c r="E627" i="36" s="1"/>
  <c r="C591" i="36"/>
  <c r="D591" i="36" s="1" a="1"/>
  <c r="D591" i="36" s="1"/>
  <c r="E591" i="36" s="1" a="1"/>
  <c r="E591" i="36" s="1"/>
  <c r="C668" i="36"/>
  <c r="C712" i="36"/>
  <c r="C449" i="36"/>
  <c r="D449" i="36" s="1" a="1"/>
  <c r="D449" i="36" s="1"/>
  <c r="E449" i="36" s="1" a="1"/>
  <c r="E449" i="36" s="1"/>
  <c r="C351" i="36"/>
  <c r="D351" i="36" s="1" a="1"/>
  <c r="D351" i="36" s="1"/>
  <c r="E351" i="36" s="1" a="1"/>
  <c r="E351" i="36" s="1"/>
  <c r="C342" i="36"/>
  <c r="C508" i="36"/>
  <c r="D508" i="36" s="1" a="1"/>
  <c r="D508" i="36" s="1"/>
  <c r="E508" i="36" s="1" a="1"/>
  <c r="E508" i="36" s="1"/>
  <c r="C366" i="36"/>
  <c r="D366" i="36" s="1" a="1"/>
  <c r="D366" i="36" s="1"/>
  <c r="E366" i="36" s="1" a="1"/>
  <c r="E366" i="36" s="1"/>
  <c r="C663" i="36"/>
  <c r="D663" i="36" s="1" a="1"/>
  <c r="D663" i="36" s="1"/>
  <c r="E663" i="36" s="1" a="1"/>
  <c r="E663" i="36" s="1"/>
  <c r="C784" i="36"/>
  <c r="D784" i="36" s="1" a="1"/>
  <c r="D784" i="36" s="1"/>
  <c r="E784" i="36" s="1" a="1"/>
  <c r="E784" i="36" s="1"/>
  <c r="C177" i="36"/>
  <c r="D177" i="36" s="1" a="1"/>
  <c r="D177" i="36" s="1"/>
  <c r="E177" i="36" s="1" a="1"/>
  <c r="E177" i="36" s="1"/>
  <c r="C794" i="36"/>
  <c r="C41" i="36"/>
  <c r="D41" i="36" s="1" a="1"/>
  <c r="D41" i="36" s="1"/>
  <c r="E41" i="36" s="1" a="1"/>
  <c r="E41" i="36" s="1"/>
  <c r="C361" i="36"/>
  <c r="D361" i="36" s="1" a="1"/>
  <c r="D361" i="36" s="1"/>
  <c r="E361" i="36" s="1" a="1"/>
  <c r="E361" i="36" s="1"/>
  <c r="C438" i="36"/>
  <c r="D438" i="36" s="1" a="1"/>
  <c r="D438" i="36" s="1"/>
  <c r="E438" i="36" s="1" a="1"/>
  <c r="E438" i="36" s="1"/>
  <c r="C517" i="36"/>
  <c r="D517" i="36" s="1" a="1"/>
  <c r="D517" i="36" s="1"/>
  <c r="E517" i="36" s="1" a="1"/>
  <c r="E517" i="36" s="1"/>
  <c r="C98" i="36"/>
  <c r="D98" i="36" s="1" a="1"/>
  <c r="D98" i="36" s="1"/>
  <c r="E98" i="36" s="1" a="1"/>
  <c r="E98" i="36" s="1"/>
  <c r="C662" i="36"/>
  <c r="D662" i="36" s="1" a="1"/>
  <c r="D662" i="36" s="1"/>
  <c r="E662" i="36" s="1" a="1"/>
  <c r="E662" i="36" s="1"/>
  <c r="C69" i="36"/>
  <c r="D69" i="36" s="1" a="1"/>
  <c r="D69" i="36" s="1"/>
  <c r="E69" i="36" s="1" a="1"/>
  <c r="E69" i="36" s="1"/>
  <c r="C793" i="36"/>
  <c r="C664" i="36"/>
  <c r="D664" i="36" s="1" a="1"/>
  <c r="D664" i="36" s="1"/>
  <c r="E664" i="36" s="1" a="1"/>
  <c r="E664" i="36" s="1"/>
  <c r="C327" i="36"/>
  <c r="D327" i="36" s="1" a="1"/>
  <c r="D327" i="36" s="1"/>
  <c r="E327" i="36" s="1" a="1"/>
  <c r="E327" i="36" s="1"/>
  <c r="C483" i="36"/>
  <c r="D483" i="36" s="1" a="1"/>
  <c r="D483" i="36" s="1"/>
  <c r="E483" i="36" s="1" a="1"/>
  <c r="E483" i="36" s="1"/>
  <c r="C276" i="36"/>
  <c r="D276" i="36" s="1" a="1"/>
  <c r="D276" i="36" s="1"/>
  <c r="E276" i="36" s="1" a="1"/>
  <c r="E276" i="36" s="1"/>
  <c r="C765" i="36"/>
  <c r="C429" i="36"/>
  <c r="D429" i="36" s="1" a="1"/>
  <c r="D429" i="36" s="1"/>
  <c r="E429" i="36" s="1" a="1"/>
  <c r="E429" i="36" s="1"/>
  <c r="C306" i="36"/>
  <c r="D306" i="36" s="1" a="1"/>
  <c r="D306" i="36" s="1"/>
  <c r="E306" i="36" s="1" a="1"/>
  <c r="E306" i="36" s="1"/>
  <c r="C624" i="36"/>
  <c r="D624" i="36" s="1" a="1"/>
  <c r="D624" i="36" s="1"/>
  <c r="E624" i="36" s="1" a="1"/>
  <c r="E624" i="36" s="1"/>
  <c r="C759" i="36"/>
  <c r="C132" i="36"/>
  <c r="D132" i="36" s="1" a="1"/>
  <c r="D132" i="36" s="1"/>
  <c r="E132" i="36" s="1" a="1"/>
  <c r="E132" i="36" s="1"/>
  <c r="C101" i="36"/>
  <c r="D101" i="36" s="1" a="1"/>
  <c r="D101" i="36" s="1"/>
  <c r="E101" i="36" s="1" a="1"/>
  <c r="E101" i="36" s="1"/>
  <c r="C147" i="36"/>
  <c r="D147" i="36" s="1" a="1"/>
  <c r="D147" i="36" s="1"/>
  <c r="E147" i="36" s="1" a="1"/>
  <c r="E147" i="36" s="1"/>
  <c r="C90" i="36"/>
  <c r="C139" i="36"/>
  <c r="D139" i="36" s="1" a="1"/>
  <c r="D139" i="36" s="1"/>
  <c r="E139" i="36" s="1" a="1"/>
  <c r="E139" i="36" s="1"/>
  <c r="C330" i="36"/>
  <c r="D330" i="36" s="1" a="1"/>
  <c r="D330" i="36" s="1"/>
  <c r="E330" i="36" s="1" a="1"/>
  <c r="E330" i="36" s="1"/>
  <c r="C226" i="36"/>
  <c r="D226" i="36" s="1" a="1"/>
  <c r="D226" i="36" s="1"/>
  <c r="E226" i="36" s="1" a="1"/>
  <c r="E226" i="36" s="1"/>
  <c r="C321" i="36"/>
  <c r="D321" i="36" s="1" a="1"/>
  <c r="D321" i="36" s="1"/>
  <c r="E321" i="36" s="1" a="1"/>
  <c r="E321" i="36" s="1"/>
  <c r="C444" i="36"/>
  <c r="D444" i="36" s="1" a="1"/>
  <c r="D444" i="36" s="1"/>
  <c r="E444" i="36" s="1" a="1"/>
  <c r="E444" i="36" s="1"/>
  <c r="C719" i="36"/>
  <c r="C92" i="36"/>
  <c r="C727" i="36"/>
  <c r="C650" i="36"/>
  <c r="D650" i="36" s="1" a="1"/>
  <c r="D650" i="36" s="1"/>
  <c r="E650" i="36" s="1" a="1"/>
  <c r="E650" i="36" s="1"/>
  <c r="C629" i="36"/>
  <c r="D629" i="36" s="1" a="1"/>
  <c r="D629" i="36" s="1"/>
  <c r="E629" i="36" s="1" a="1"/>
  <c r="E629" i="36" s="1"/>
  <c r="C709" i="36"/>
  <c r="C272" i="36"/>
  <c r="D272" i="36" s="1" a="1"/>
  <c r="D272" i="36" s="1"/>
  <c r="E272" i="36" s="1" a="1"/>
  <c r="E272" i="36" s="1"/>
  <c r="C368" i="36"/>
  <c r="D368" i="36" s="1" a="1"/>
  <c r="D368" i="36" s="1"/>
  <c r="E368" i="36" s="1" a="1"/>
  <c r="E368" i="36" s="1"/>
  <c r="D722" i="36" a="1"/>
  <c r="D779" i="36" a="1"/>
  <c r="D677" i="36" a="1"/>
  <c r="D790" i="36" a="1"/>
  <c r="D687" i="36" a="1"/>
  <c r="D739" i="36" a="1"/>
  <c r="D671" i="36" a="1"/>
  <c r="D793" i="36" a="1"/>
  <c r="D244" i="36" a="1"/>
  <c r="D574" i="36" a="1"/>
  <c r="D682" i="36" a="1"/>
  <c r="D658" i="36" a="1"/>
  <c r="D747" i="36" a="1"/>
  <c r="D782" i="36" a="1"/>
  <c r="D783" i="36" a="1"/>
  <c r="D786" i="36" a="1"/>
  <c r="D691" i="36" a="1"/>
  <c r="D725" i="36" a="1"/>
  <c r="D250" i="36" a="1"/>
  <c r="D694" i="36" a="1"/>
  <c r="D711" i="36" a="1"/>
  <c r="D749" i="36" a="1"/>
  <c r="D680" i="36" a="1"/>
  <c r="D700" i="36" a="1"/>
  <c r="D740" i="36" a="1"/>
  <c r="D342" i="36" a="1"/>
  <c r="D719" i="36" a="1"/>
  <c r="D693" i="36" a="1"/>
  <c r="D726" i="36" a="1"/>
  <c r="D773" i="36" a="1"/>
  <c r="D239" i="36" a="1"/>
  <c r="D756" i="36" a="1"/>
  <c r="D690" i="36" a="1"/>
  <c r="D758" i="36" a="1"/>
  <c r="D745" i="36" a="1"/>
  <c r="D241" i="36" a="1"/>
  <c r="D696" i="36" a="1"/>
  <c r="D673" i="36" a="1"/>
  <c r="D688" i="36" a="1"/>
  <c r="D661" i="36" a="1"/>
  <c r="D93" i="36" a="1"/>
  <c r="D676" i="36" a="1"/>
  <c r="D92" i="36" a="1"/>
  <c r="D795" i="36" a="1"/>
  <c r="D674" i="36" a="1"/>
  <c r="D755" i="36" a="1"/>
  <c r="D94" i="36" a="1"/>
  <c r="D714" i="36" a="1"/>
  <c r="D678" i="36" a="1"/>
  <c r="D770" i="36" a="1"/>
  <c r="D669" i="36" a="1"/>
  <c r="D705" i="36" a="1"/>
  <c r="D672" i="36" a="1"/>
  <c r="D741" i="36" a="1"/>
  <c r="D697" i="36" a="1"/>
  <c r="D788" i="36" a="1"/>
  <c r="D760" i="36" a="1"/>
  <c r="D707" i="36" a="1"/>
  <c r="D732" i="36" a="1"/>
  <c r="D576" i="36" a="1"/>
  <c r="D679" i="36" a="1"/>
  <c r="D561" i="36" a="1"/>
  <c r="D563" i="36" a="1"/>
  <c r="D754" i="36" a="1"/>
  <c r="D750" i="36" a="1"/>
  <c r="D746" i="36" a="1"/>
  <c r="D792" i="36" a="1"/>
  <c r="D731" i="36" a="1"/>
  <c r="D698" i="36" a="1"/>
  <c r="D765" i="36" a="1"/>
  <c r="D727" i="36" a="1"/>
  <c r="D242" i="36" a="1"/>
  <c r="D723" i="36" a="1"/>
  <c r="D559" i="36" a="1"/>
  <c r="D575" i="36" a="1"/>
  <c r="D734" i="36" a="1"/>
  <c r="D686" i="36" a="1"/>
  <c r="D771" i="36" a="1"/>
  <c r="D684" i="36" a="1"/>
  <c r="D243" i="36" a="1"/>
  <c r="D695" i="36" a="1"/>
  <c r="D724" i="36" a="1"/>
  <c r="D158" i="36" a="1"/>
  <c r="D753" i="36" a="1"/>
  <c r="D781" i="36" a="1"/>
  <c r="D735" i="36" a="1"/>
  <c r="D689" i="36" a="1"/>
  <c r="D717" i="36" a="1"/>
  <c r="D766" i="36" a="1"/>
  <c r="D685" i="36" a="1"/>
  <c r="D778" i="36" a="1"/>
  <c r="D656" i="36" a="1"/>
  <c r="D701" i="36" a="1"/>
  <c r="D667" i="36" a="1"/>
  <c r="D562" i="36" a="1"/>
  <c r="D657" i="36" a="1"/>
  <c r="D780" i="36" a="1"/>
  <c r="D742" i="36" a="1"/>
  <c r="D702" i="36" a="1"/>
  <c r="D716" i="36" a="1"/>
  <c r="D675" i="36" a="1"/>
  <c r="D794" i="36" a="1"/>
  <c r="D709" i="36" a="1"/>
  <c r="D251" i="36" a="1"/>
  <c r="D237" i="36" a="1"/>
  <c r="D245" i="36" a="1"/>
  <c r="D718" i="36" a="1"/>
  <c r="D787" i="36" a="1"/>
  <c r="D776" i="36" a="1"/>
  <c r="D728" i="36" a="1"/>
  <c r="D249" i="36" a="1"/>
  <c r="D736" i="36" a="1"/>
  <c r="D670" i="36" a="1"/>
  <c r="D744" i="36" a="1"/>
  <c r="D721" i="36" a="1"/>
  <c r="D751" i="36" a="1"/>
  <c r="D759" i="36" a="1"/>
  <c r="D252" i="36" a="1"/>
  <c r="D238" i="36" a="1"/>
  <c r="D764" i="36" a="1"/>
  <c r="D240" i="36" a="1"/>
  <c r="D254" i="36" a="1"/>
  <c r="D743" i="36" a="1"/>
  <c r="D748" i="36" a="1"/>
  <c r="D713" i="36" a="1"/>
  <c r="D769" i="36" a="1"/>
  <c r="D91" i="36" a="1"/>
  <c r="D581" i="36" a="1"/>
  <c r="D785" i="36" a="1"/>
  <c r="D730" i="36" a="1"/>
  <c r="D699" i="36" a="1"/>
  <c r="D660" i="36" a="1"/>
  <c r="D253" i="36" a="1"/>
  <c r="D560" i="36" a="1"/>
  <c r="D720" i="36" a="1"/>
  <c r="D752" i="36" a="1"/>
  <c r="D22" i="36" a="1"/>
  <c r="D762" i="36" a="1"/>
  <c r="D681" i="36" a="1"/>
  <c r="D703" i="36" a="1"/>
  <c r="D710" i="36" a="1"/>
  <c r="D763" i="36" a="1"/>
  <c r="D704" i="36" a="1"/>
  <c r="D789" i="36" a="1"/>
  <c r="D582" i="36" a="1"/>
  <c r="D255" i="36" a="1"/>
  <c r="D775" i="36" a="1"/>
  <c r="D767" i="36" a="1"/>
  <c r="D738" i="36" a="1"/>
  <c r="D708" i="36" a="1"/>
  <c r="D683" i="36" a="1"/>
  <c r="D757" i="36" a="1"/>
  <c r="D90" i="36" a="1"/>
  <c r="D659" i="36" a="1"/>
  <c r="D712" i="36" a="1"/>
  <c r="D772" i="36" a="1"/>
  <c r="D777" i="36" a="1"/>
  <c r="D729" i="36" a="1"/>
  <c r="D715" i="36" a="1"/>
  <c r="D668" i="36" a="1"/>
  <c r="D761" i="36" a="1"/>
  <c r="D95" i="36" a="1"/>
  <c r="D706" i="36" a="1"/>
  <c r="D791" i="36" a="1"/>
  <c r="D558" i="36" a="1"/>
  <c r="D796" i="36" a="1"/>
  <c r="D692" i="36" a="1"/>
  <c r="D737" i="36" a="1"/>
  <c r="D768" i="36" a="1"/>
  <c r="D733" i="36" a="1"/>
  <c r="J5" i="37" l="1"/>
  <c r="D733" i="36"/>
  <c r="D768" i="36"/>
  <c r="D737" i="36"/>
  <c r="D692" i="36"/>
  <c r="D796" i="36"/>
  <c r="E796" i="36" s="1" a="1"/>
  <c r="E796" i="36" s="1"/>
  <c r="D558" i="36"/>
  <c r="D791" i="36"/>
  <c r="D706" i="36"/>
  <c r="D95" i="36"/>
  <c r="D761" i="36"/>
  <c r="D668" i="36"/>
  <c r="D715" i="36"/>
  <c r="D729" i="36"/>
  <c r="D777" i="36"/>
  <c r="D772" i="36"/>
  <c r="E772" i="36" s="1" a="1"/>
  <c r="E772" i="36" s="1"/>
  <c r="D712" i="36"/>
  <c r="D659" i="36"/>
  <c r="D90" i="36"/>
  <c r="D757" i="36"/>
  <c r="D683" i="36"/>
  <c r="D708" i="36"/>
  <c r="D738" i="36"/>
  <c r="D767" i="36"/>
  <c r="E767" i="36" s="1" a="1"/>
  <c r="E767" i="36" s="1"/>
  <c r="D775" i="36"/>
  <c r="D255" i="36"/>
  <c r="D582" i="36"/>
  <c r="D789" i="36"/>
  <c r="D704" i="36"/>
  <c r="D763" i="36"/>
  <c r="D710" i="36"/>
  <c r="D703" i="36"/>
  <c r="D681" i="36"/>
  <c r="D762" i="36"/>
  <c r="D22" i="36"/>
  <c r="E22" i="36" s="1" a="1"/>
  <c r="E22" i="36" s="1"/>
  <c r="D752" i="36"/>
  <c r="D720" i="36"/>
  <c r="D560" i="36"/>
  <c r="D253" i="36"/>
  <c r="D660" i="36"/>
  <c r="D699" i="36"/>
  <c r="D730" i="36"/>
  <c r="D785" i="36"/>
  <c r="D581" i="36"/>
  <c r="D91" i="36"/>
  <c r="D769" i="36"/>
  <c r="D713" i="36"/>
  <c r="D748" i="36"/>
  <c r="D743" i="36"/>
  <c r="E743" i="36" s="1" a="1"/>
  <c r="E743" i="36" s="1"/>
  <c r="D254" i="36"/>
  <c r="D240" i="36"/>
  <c r="D764" i="36"/>
  <c r="D238" i="36"/>
  <c r="D252" i="36"/>
  <c r="D759" i="36"/>
  <c r="D751" i="36"/>
  <c r="D721" i="36"/>
  <c r="D744" i="36"/>
  <c r="D670" i="36"/>
  <c r="D736" i="36"/>
  <c r="D249" i="36"/>
  <c r="D728" i="36"/>
  <c r="D776" i="36"/>
  <c r="D787" i="36"/>
  <c r="D718" i="36"/>
  <c r="D245" i="36"/>
  <c r="D237" i="36"/>
  <c r="D251" i="36"/>
  <c r="D709" i="36"/>
  <c r="D794" i="36"/>
  <c r="D675" i="36"/>
  <c r="D716" i="36"/>
  <c r="D702" i="36"/>
  <c r="D742" i="36"/>
  <c r="E742" i="36" s="1" a="1"/>
  <c r="E742" i="36" s="1"/>
  <c r="D780" i="36"/>
  <c r="D657" i="36"/>
  <c r="D562" i="36"/>
  <c r="D667" i="36"/>
  <c r="D701" i="36"/>
  <c r="D656" i="36"/>
  <c r="D778" i="36"/>
  <c r="D685" i="36"/>
  <c r="D766" i="36"/>
  <c r="D717" i="36"/>
  <c r="D689" i="36"/>
  <c r="D735" i="36"/>
  <c r="D781" i="36"/>
  <c r="D753" i="36"/>
  <c r="D158" i="36"/>
  <c r="E158" i="36" s="1" a="1"/>
  <c r="E158" i="36" s="1"/>
  <c r="D724" i="36"/>
  <c r="D695" i="36"/>
  <c r="D243" i="36"/>
  <c r="D684" i="36"/>
  <c r="D771" i="36"/>
  <c r="D686" i="36"/>
  <c r="D734" i="36"/>
  <c r="D575" i="36"/>
  <c r="D559" i="36"/>
  <c r="D723" i="36"/>
  <c r="D242" i="36"/>
  <c r="D727" i="36"/>
  <c r="D765" i="36"/>
  <c r="D698" i="36"/>
  <c r="D731" i="36"/>
  <c r="D792" i="36"/>
  <c r="D746" i="36"/>
  <c r="D750" i="36"/>
  <c r="D754" i="36"/>
  <c r="D563" i="36"/>
  <c r="D561" i="36"/>
  <c r="D679" i="36"/>
  <c r="D576" i="36"/>
  <c r="D732" i="36"/>
  <c r="D707" i="36"/>
  <c r="D760" i="36"/>
  <c r="D788" i="36"/>
  <c r="D697" i="36"/>
  <c r="D741" i="36"/>
  <c r="D672" i="36"/>
  <c r="D705" i="36"/>
  <c r="D669" i="36"/>
  <c r="D770" i="36"/>
  <c r="D678" i="36"/>
  <c r="D714" i="36"/>
  <c r="D94" i="36"/>
  <c r="D755" i="36"/>
  <c r="E755" i="36" s="1" a="1"/>
  <c r="E755" i="36" s="1"/>
  <c r="D674" i="36"/>
  <c r="D795" i="36"/>
  <c r="D92" i="36"/>
  <c r="D676" i="36"/>
  <c r="D93" i="36"/>
  <c r="D661" i="36"/>
  <c r="D688" i="36"/>
  <c r="D673" i="36"/>
  <c r="D696" i="36"/>
  <c r="D241" i="36"/>
  <c r="D745" i="36"/>
  <c r="D758" i="36"/>
  <c r="D690" i="36"/>
  <c r="D756" i="36"/>
  <c r="D239" i="36"/>
  <c r="D773" i="36"/>
  <c r="E773" i="36" s="1" a="1"/>
  <c r="E773" i="36" s="1"/>
  <c r="D726" i="36"/>
  <c r="D693" i="36"/>
  <c r="D719" i="36"/>
  <c r="D342" i="36"/>
  <c r="E342" i="36" s="1" a="1"/>
  <c r="E342" i="36" s="1"/>
  <c r="D740" i="36"/>
  <c r="E740" i="36" s="1" a="1"/>
  <c r="E740" i="36" s="1"/>
  <c r="D700" i="36"/>
  <c r="D680" i="36"/>
  <c r="D749" i="36"/>
  <c r="D711" i="36"/>
  <c r="D694" i="36"/>
  <c r="D250" i="36"/>
  <c r="D725" i="36"/>
  <c r="D691" i="36"/>
  <c r="D786" i="36"/>
  <c r="D783" i="36"/>
  <c r="D782" i="36"/>
  <c r="E782" i="36" s="1" a="1"/>
  <c r="E782" i="36" s="1"/>
  <c r="D747" i="36"/>
  <c r="D658" i="36"/>
  <c r="D682" i="36"/>
  <c r="D574" i="36"/>
  <c r="D244" i="36"/>
  <c r="D793" i="36"/>
  <c r="D671" i="36"/>
  <c r="D739" i="36"/>
  <c r="D687" i="36"/>
  <c r="D790" i="36"/>
  <c r="D677" i="36"/>
  <c r="D779" i="36"/>
  <c r="D722" i="36"/>
  <c r="E4" i="36"/>
  <c r="E171" i="36"/>
  <c r="E571" i="36"/>
  <c r="E647" i="36"/>
  <c r="E524" i="36"/>
  <c r="E733" i="36" a="1"/>
  <c r="E659" i="36" a="1"/>
  <c r="E762" i="36" a="1"/>
  <c r="E254" i="36" a="1"/>
  <c r="E245" i="36" a="1"/>
  <c r="E685" i="36" a="1"/>
  <c r="E559" i="36" a="1"/>
  <c r="E707" i="36" a="1"/>
  <c r="E676" i="36" a="1"/>
  <c r="E574" i="36" a="1"/>
  <c r="E760" i="36" a="1"/>
  <c r="E244" i="36" a="1"/>
  <c r="E689" i="36" a="1"/>
  <c r="E671" i="36" a="1"/>
  <c r="E673" i="36" a="1"/>
  <c r="E739" i="36" a="1"/>
  <c r="E705" i="36" a="1"/>
  <c r="E581" i="36" a="1"/>
  <c r="E94" i="36" a="1"/>
  <c r="E769" i="36" a="1"/>
  <c r="E713" i="36" a="1"/>
  <c r="E747" i="36" a="1"/>
  <c r="E795" i="36" a="1"/>
  <c r="E712" i="36" a="1"/>
  <c r="E768" i="36" a="1"/>
  <c r="E90" i="36" a="1"/>
  <c r="E240" i="36" a="1"/>
  <c r="E237" i="36" a="1"/>
  <c r="E766" i="36" a="1"/>
  <c r="E723" i="36" a="1"/>
  <c r="E93" i="36" a="1"/>
  <c r="E727" i="36" a="1"/>
  <c r="E680" i="36" a="1"/>
  <c r="E741" i="36" a="1"/>
  <c r="E696" i="36" a="1"/>
  <c r="E789" i="36" a="1"/>
  <c r="E239" i="36" a="1"/>
  <c r="E729" i="36" a="1"/>
  <c r="E710" i="36" a="1"/>
  <c r="E726" i="36" a="1"/>
  <c r="E693" i="36" a="1"/>
  <c r="E681" i="36" a="1"/>
  <c r="E737" i="36" a="1"/>
  <c r="E757" i="36" a="1"/>
  <c r="E752" i="36" a="1"/>
  <c r="E764" i="36" a="1"/>
  <c r="E251" i="36" a="1"/>
  <c r="E717" i="36" a="1"/>
  <c r="E242" i="36" a="1"/>
  <c r="E788" i="36" a="1"/>
  <c r="E661" i="36" a="1"/>
  <c r="E700" i="36" a="1"/>
  <c r="E793" i="36" a="1"/>
  <c r="E697" i="36" a="1"/>
  <c r="E765" i="36" a="1"/>
  <c r="E711" i="36" a="1"/>
  <c r="E790" i="36" a="1"/>
  <c r="E691" i="36" a="1"/>
  <c r="E786" i="36" a="1"/>
  <c r="E715" i="36" a="1"/>
  <c r="E682" i="36" a="1"/>
  <c r="E692" i="36" a="1"/>
  <c r="E683" i="36" a="1"/>
  <c r="E720" i="36" a="1"/>
  <c r="E238" i="36" a="1"/>
  <c r="E709" i="36" a="1"/>
  <c r="E688" i="36" a="1"/>
  <c r="E241" i="36" a="1"/>
  <c r="E754" i="36" a="1"/>
  <c r="E91" i="36" a="1"/>
  <c r="E703" i="36" a="1"/>
  <c r="E719" i="36" a="1"/>
  <c r="E708" i="36" a="1"/>
  <c r="E560" i="36" a="1"/>
  <c r="E252" i="36" a="1"/>
  <c r="E794" i="36" a="1"/>
  <c r="E735" i="36" a="1"/>
  <c r="E749" i="36" a="1"/>
  <c r="E694" i="36" a="1"/>
  <c r="E243" i="36" a="1"/>
  <c r="E704" i="36" a="1"/>
  <c r="E674" i="36" a="1"/>
  <c r="E658" i="36" a="1"/>
  <c r="E718" i="36" a="1"/>
  <c r="E558" i="36" a="1"/>
  <c r="E738" i="36" a="1"/>
  <c r="E253" i="36" a="1"/>
  <c r="E759" i="36" a="1"/>
  <c r="E675" i="36" a="1"/>
  <c r="E781" i="36" a="1"/>
  <c r="E698" i="36" a="1"/>
  <c r="E672" i="36" a="1"/>
  <c r="E687" i="36" a="1"/>
  <c r="E779" i="36" a="1"/>
  <c r="E736" i="36" a="1"/>
  <c r="E563" i="36" a="1"/>
  <c r="E728" i="36" a="1"/>
  <c r="E776" i="36" a="1"/>
  <c r="E656" i="36" a="1"/>
  <c r="E575" i="36" a="1"/>
  <c r="E791" i="36" a="1"/>
  <c r="E660" i="36" a="1"/>
  <c r="E751" i="36" a="1"/>
  <c r="E716" i="36" a="1"/>
  <c r="E753" i="36" a="1"/>
  <c r="E731" i="36" a="1"/>
  <c r="E668" i="36" a="1"/>
  <c r="E783" i="36" a="1"/>
  <c r="E667" i="36" a="1"/>
  <c r="E679" i="36" a="1"/>
  <c r="E576" i="36" a="1"/>
  <c r="E778" i="36" a="1"/>
  <c r="E706" i="36" a="1"/>
  <c r="E775" i="36" a="1"/>
  <c r="E699" i="36" a="1"/>
  <c r="E721" i="36" a="1"/>
  <c r="E702" i="36" a="1"/>
  <c r="E792" i="36" a="1"/>
  <c r="E669" i="36" a="1"/>
  <c r="E745" i="36" a="1"/>
  <c r="E250" i="36" a="1"/>
  <c r="E677" i="36" a="1"/>
  <c r="E724" i="36" a="1"/>
  <c r="E746" i="36" a="1"/>
  <c r="E770" i="36" a="1"/>
  <c r="E725" i="36" a="1"/>
  <c r="E657" i="36" a="1"/>
  <c r="E684" i="36" a="1"/>
  <c r="E763" i="36" a="1"/>
  <c r="E777" i="36" a="1"/>
  <c r="E787" i="36" a="1"/>
  <c r="E95" i="36" a="1"/>
  <c r="E255" i="36" a="1"/>
  <c r="E730" i="36" a="1"/>
  <c r="E744" i="36" a="1"/>
  <c r="E758" i="36" a="1"/>
  <c r="E714" i="36" a="1"/>
  <c r="E562" i="36" a="1"/>
  <c r="E771" i="36" a="1"/>
  <c r="E701" i="36" a="1"/>
  <c r="E734" i="36" a="1"/>
  <c r="E92" i="36" a="1"/>
  <c r="E761" i="36" a="1"/>
  <c r="E582" i="36" a="1"/>
  <c r="E785" i="36" a="1"/>
  <c r="E670" i="36" a="1"/>
  <c r="E780" i="36" a="1"/>
  <c r="E695" i="36" a="1"/>
  <c r="E750" i="36" a="1"/>
  <c r="E678" i="36" a="1"/>
  <c r="E690" i="36" a="1"/>
  <c r="E722" i="36" a="1"/>
  <c r="E756" i="36" a="1"/>
  <c r="E249" i="36" a="1"/>
  <c r="E561" i="36" a="1"/>
  <c r="E686" i="36" a="1"/>
  <c r="E748" i="36" a="1"/>
  <c r="E732" i="36" a="1"/>
  <c r="J6" i="37" l="1"/>
  <c r="E732" i="36"/>
  <c r="E748" i="36"/>
  <c r="E686" i="36"/>
  <c r="E561" i="36"/>
  <c r="E249" i="36"/>
  <c r="E756" i="36"/>
  <c r="E722" i="36"/>
  <c r="E690" i="36"/>
  <c r="E678" i="36"/>
  <c r="E750" i="36"/>
  <c r="E695" i="36"/>
  <c r="E780" i="36"/>
  <c r="E670" i="36"/>
  <c r="E785" i="36"/>
  <c r="E582" i="36"/>
  <c r="E761" i="36"/>
  <c r="E92" i="36"/>
  <c r="E734" i="36"/>
  <c r="E701" i="36"/>
  <c r="E771" i="36"/>
  <c r="E562" i="36"/>
  <c r="E714" i="36"/>
  <c r="E758" i="36"/>
  <c r="E744" i="36"/>
  <c r="E730" i="36"/>
  <c r="E255" i="36"/>
  <c r="E95" i="36"/>
  <c r="E787" i="36"/>
  <c r="E777" i="36"/>
  <c r="E763" i="36"/>
  <c r="E684" i="36"/>
  <c r="E657" i="36"/>
  <c r="E725" i="36"/>
  <c r="E770" i="36"/>
  <c r="E746" i="36"/>
  <c r="E724" i="36"/>
  <c r="E677" i="36"/>
  <c r="E250" i="36"/>
  <c r="E745" i="36"/>
  <c r="E669" i="36"/>
  <c r="E792" i="36"/>
  <c r="E702" i="36"/>
  <c r="E721" i="36"/>
  <c r="E699" i="36"/>
  <c r="E775" i="36"/>
  <c r="E706" i="36"/>
  <c r="E778" i="36"/>
  <c r="E576" i="36"/>
  <c r="E679" i="36"/>
  <c r="E667" i="36"/>
  <c r="E783" i="36"/>
  <c r="E668" i="36"/>
  <c r="E731" i="36"/>
  <c r="E753" i="36"/>
  <c r="E716" i="36"/>
  <c r="E751" i="36"/>
  <c r="E660" i="36"/>
  <c r="E791" i="36"/>
  <c r="E575" i="36"/>
  <c r="E656" i="36"/>
  <c r="E776" i="36"/>
  <c r="E728" i="36"/>
  <c r="E563" i="36"/>
  <c r="E736" i="36"/>
  <c r="E779" i="36"/>
  <c r="E687" i="36"/>
  <c r="E672" i="36"/>
  <c r="E698" i="36"/>
  <c r="E781" i="36"/>
  <c r="E675" i="36"/>
  <c r="E759" i="36"/>
  <c r="E253" i="36"/>
  <c r="E738" i="36"/>
  <c r="E558" i="36"/>
  <c r="E718" i="36"/>
  <c r="E658" i="36"/>
  <c r="E674" i="36"/>
  <c r="E704" i="36"/>
  <c r="E243" i="36"/>
  <c r="E694" i="36"/>
  <c r="E749" i="36"/>
  <c r="E735" i="36"/>
  <c r="E794" i="36"/>
  <c r="E252" i="36"/>
  <c r="E560" i="36"/>
  <c r="E708" i="36"/>
  <c r="E719" i="36"/>
  <c r="E703" i="36"/>
  <c r="E91" i="36"/>
  <c r="E754" i="36"/>
  <c r="E241" i="36"/>
  <c r="E688" i="36"/>
  <c r="E709" i="36"/>
  <c r="E238" i="36"/>
  <c r="E720" i="36"/>
  <c r="E683" i="36"/>
  <c r="E692" i="36"/>
  <c r="E682" i="36"/>
  <c r="E715" i="36"/>
  <c r="E786" i="36"/>
  <c r="E691" i="36"/>
  <c r="E790" i="36"/>
  <c r="E711" i="36"/>
  <c r="E765" i="36"/>
  <c r="E697" i="36"/>
  <c r="E793" i="36"/>
  <c r="E700" i="36"/>
  <c r="E661" i="36"/>
  <c r="E788" i="36"/>
  <c r="E242" i="36"/>
  <c r="E717" i="36"/>
  <c r="E251" i="36"/>
  <c r="E764" i="36"/>
  <c r="E752" i="36"/>
  <c r="E757" i="36"/>
  <c r="E737" i="36"/>
  <c r="E681" i="36"/>
  <c r="E693" i="36"/>
  <c r="E726" i="36"/>
  <c r="E710" i="36"/>
  <c r="E729" i="36"/>
  <c r="E239" i="36"/>
  <c r="E789" i="36"/>
  <c r="E696" i="36"/>
  <c r="E741" i="36"/>
  <c r="E680" i="36"/>
  <c r="E727" i="36"/>
  <c r="E93" i="36"/>
  <c r="E723" i="36"/>
  <c r="E766" i="36"/>
  <c r="E237" i="36"/>
  <c r="E240" i="36"/>
  <c r="E90" i="36"/>
  <c r="E768" i="36"/>
  <c r="E712" i="36"/>
  <c r="E795" i="36"/>
  <c r="E747" i="36"/>
  <c r="E713" i="36"/>
  <c r="E769" i="36"/>
  <c r="E94" i="36"/>
  <c r="E581" i="36"/>
  <c r="E705" i="36"/>
  <c r="E739" i="36"/>
  <c r="E673" i="36"/>
  <c r="E671" i="36"/>
  <c r="E689" i="36"/>
  <c r="E244" i="36"/>
  <c r="E760" i="36"/>
  <c r="E574" i="36"/>
  <c r="E676" i="36"/>
  <c r="E707" i="36"/>
  <c r="E559" i="36"/>
  <c r="E685" i="36"/>
  <c r="E245" i="36"/>
  <c r="E254" i="36"/>
  <c r="E762" i="36"/>
  <c r="E659" i="36"/>
  <c r="E733" i="36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B605" i="37" l="1"/>
  <c r="J617" i="37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<sst xmlns="http://schemas.openxmlformats.org/spreadsheetml/2006/main" count="17075" uniqueCount="4783">
  <si>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</si>
  <si>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</si>
  <si>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</si>
  <si>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</si>
  <si>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</si>
  <si>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</si>
  <si>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</si>
  <si>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</si>
  <si>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</si>
  <si>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</si>
  <si>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</si>
  <si>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</si>
  <si>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</si>
  <si>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</si>
  <si>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</si>
  <si>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</si>
  <si>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</si>
  <si>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</si>
  <si>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</si>
  <si>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</si>
  <si>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</si>
  <si>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</si>
  <si>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</si>
  <si>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</si>
  <si>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</si>
  <si>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</si>
  <si>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</si>
  <si>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</si>
  <si>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</si>
  <si>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</si>
  <si>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</si>
  <si>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</si>
  <si>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</si>
  <si>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</si>
  <si>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</si>
  <si>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</si>
  <si>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</si>
  <si>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</si>
  <si>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</si>
  <si>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</si>
  <si>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</si>
  <si>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</si>
  <si>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</si>
  <si>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</si>
  <si>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</si>
  <si>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</si>
  <si>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</si>
  <si>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</si>
  <si>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</si>
  <si>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</si>
  <si>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</si>
  <si>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</si>
  <si>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</si>
  <si>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</si>
  <si>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</si>
  <si>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</si>
  <si>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</si>
  <si>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</si>
  <si>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</si>
  <si>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</si>
  <si>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</si>
  <si>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</si>
  <si>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</si>
  <si>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</si>
  <si>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</si>
  <si>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</si>
  <si>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</si>
  <si>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</si>
  <si>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</si>
  <si>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</si>
  <si>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</si>
  <si>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</si>
  <si>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</si>
  <si>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</si>
  <si>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</si>
  <si>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</si>
  <si>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</si>
  <si>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</si>
  <si>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</si>
  <si>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</si>
  <si>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</si>
  <si>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</si>
  <si>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</si>
  <si>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</si>
  <si>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</si>
  <si>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</si>
  <si>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</si>
  <si>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</si>
  <si>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</si>
  <si>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</si>
  <si>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</si>
  <si>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</si>
  <si>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</si>
  <si>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</si>
  <si>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</si>
  <si>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</si>
  <si>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</si>
  <si>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</si>
  <si>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</si>
  <si>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</si>
  <si>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</si>
  <si>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</si>
  <si>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</si>
  <si>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</si>
  <si>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</si>
  <si>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</si>
  <si>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</si>
  <si>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</si>
  <si>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</si>
  <si>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</si>
  <si>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</si>
  <si>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</si>
  <si>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</si>
  <si>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</si>
  <si>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</si>
  <si>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</si>
  <si>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</si>
  <si>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</si>
  <si>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</si>
  <si>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</si>
  <si>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</si>
  <si>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</si>
  <si>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</si>
  <si>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</si>
  <si>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</si>
  <si>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</si>
  <si>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</si>
  <si>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</si>
  <si>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</si>
  <si>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</si>
  <si>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</si>
  <si>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</si>
  <si>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</si>
  <si>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</si>
  <si>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</si>
  <si>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</si>
  <si>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</si>
  <si>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</si>
  <si>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</si>
  <si>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</si>
  <si>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</si>
  <si>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</si>
  <si>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</si>
  <si>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</si>
  <si>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</si>
  <si>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</si>
  <si>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</si>
  <si>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</si>
  <si>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</si>
  <si>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</si>
  <si>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</si>
  <si>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</si>
  <si>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</si>
  <si>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</si>
  <si>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</si>
  <si>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</si>
  <si>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</si>
  <si>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</si>
  <si>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</si>
  <si>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</si>
  <si>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</si>
  <si>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</si>
  <si>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</si>
  <si>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</si>
  <si>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</si>
  <si>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</si>
  <si>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</si>
  <si>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</si>
  <si>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</si>
  <si>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</si>
  <si>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</si>
  <si>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</si>
  <si>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</si>
  <si>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</si>
  <si>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</si>
  <si>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</si>
  <si>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</si>
  <si>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</si>
  <si>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</si>
  <si>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</si>
  <si>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</si>
  <si>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</si>
  <si>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</si>
  <si>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</si>
  <si>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</si>
  <si>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</si>
  <si>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</si>
  <si>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</si>
  <si>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</si>
  <si>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</si>
  <si>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</si>
  <si>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</si>
  <si>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</si>
  <si>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</si>
  <si>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</si>
  <si>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</si>
  <si>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</si>
  <si>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</si>
  <si>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</si>
  <si>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</si>
  <si>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</si>
  <si>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</si>
  <si>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</si>
  <si>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</si>
  <si>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</si>
  <si>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</si>
  <si>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</si>
  <si>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</si>
  <si>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</si>
  <si>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</si>
  <si>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</si>
  <si>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</si>
  <si>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</si>
  <si>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</si>
  <si>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</si>
  <si>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</si>
  <si>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</si>
  <si>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</si>
  <si>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</si>
  <si>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</si>
  <si>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</si>
  <si>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</si>
  <si>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</si>
  <si>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</si>
  <si>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</si>
  <si>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</si>
  <si>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</si>
  <si>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</si>
  <si>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</si>
  <si>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</si>
  <si>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</si>
  <si>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</si>
  <si>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</si>
  <si>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</si>
  <si>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</si>
  <si>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</si>
  <si>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</si>
  <si>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</si>
  <si>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</si>
  <si>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</si>
  <si>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</si>
  <si>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</si>
  <si>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</si>
  <si>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</si>
  <si>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</si>
  <si>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</si>
  <si>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</si>
  <si>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</si>
  <si>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</si>
  <si>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</si>
  <si>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</si>
  <si>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</si>
  <si>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</si>
  <si>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</si>
  <si>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</si>
  <si>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</si>
  <si>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</si>
  <si>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</si>
  <si>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</si>
  <si>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</si>
  <si>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</si>
  <si>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</si>
  <si>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</si>
  <si>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</si>
  <si>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</si>
  <si>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</si>
  <si>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</si>
  <si>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</si>
  <si>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</si>
  <si>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</si>
  <si>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</si>
  <si>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</si>
  <si>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</si>
  <si>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</si>
  <si>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</si>
  <si>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</si>
  <si>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</si>
  <si>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</si>
  <si>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</si>
  <si>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</si>
  <si>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</si>
  <si>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</si>
  <si>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</si>
  <si>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</si>
  <si>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</si>
  <si>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</si>
  <si>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</si>
  <si>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</si>
  <si>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</si>
  <si>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</si>
  <si>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</si>
  <si>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</si>
  <si>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</si>
  <si>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</si>
  <si>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</si>
  <si>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</si>
  <si>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</si>
  <si>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</si>
  <si>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</si>
  <si>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</si>
  <si>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</si>
  <si>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</si>
  <si>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</si>
  <si>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</si>
  <si>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</si>
  <si>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</si>
  <si>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</si>
  <si>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</si>
  <si>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</si>
  <si>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</si>
  <si>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</si>
  <si>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</si>
  <si>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</si>
  <si>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</si>
  <si>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</si>
  <si>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</si>
  <si>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</si>
  <si>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</si>
  <si>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</si>
  <si>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</si>
  <si>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</si>
  <si>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</si>
  <si>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</si>
  <si>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</si>
  <si>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</si>
  <si>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</si>
  <si>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</si>
  <si>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</si>
  <si>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</si>
  <si>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</si>
  <si>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</si>
  <si>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</si>
  <si>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</si>
  <si>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</si>
  <si>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</si>
  <si>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</si>
  <si>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</si>
  <si>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</si>
  <si>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</si>
  <si>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</si>
  <si>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</si>
  <si>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</si>
  <si>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</si>
  <si>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</si>
  <si>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</si>
  <si>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</si>
  <si>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</si>
  <si>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</si>
  <si>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</si>
  <si>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</si>
  <si>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</si>
  <si>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</si>
  <si>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</si>
  <si>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</si>
  <si>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</si>
  <si>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</si>
  <si>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</si>
  <si>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</si>
  <si>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</si>
  <si>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</si>
  <si>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</si>
  <si>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</si>
  <si>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</si>
  <si>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</si>
  <si>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</si>
  <si>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</si>
  <si>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</si>
  <si>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</si>
  <si>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</si>
  <si>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</si>
  <si>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</si>
  <si>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</si>
  <si>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</si>
  <si>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</si>
  <si>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</si>
  <si>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</si>
  <si>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</si>
  <si>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</si>
  <si>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</si>
  <si>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</si>
  <si>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</si>
  <si>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</si>
  <si>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</si>
  <si>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</si>
  <si>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</si>
  <si>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</si>
  <si>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</si>
  <si>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</si>
  <si>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</si>
  <si>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</si>
  <si>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</si>
  <si>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</si>
  <si>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</si>
  <si>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</si>
  <si>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</si>
  <si>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</si>
  <si>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</si>
  <si>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</si>
  <si>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</si>
  <si>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</si>
  <si>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</si>
  <si>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</si>
  <si>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</si>
  <si>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</si>
  <si>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</si>
  <si>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</si>
  <si>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</si>
  <si>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</si>
  <si>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</si>
  <si>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</si>
  <si>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</si>
  <si>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</si>
  <si>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</si>
  <si>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</si>
  <si>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</si>
  <si>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</si>
  <si>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</si>
  <si>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</si>
  <si>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</si>
  <si>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</si>
  <si>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</si>
  <si>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</si>
  <si>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</si>
  <si>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</si>
  <si>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</si>
  <si>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</si>
  <si>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</si>
  <si>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</si>
  <si>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</si>
  <si>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</si>
  <si>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</si>
  <si>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</si>
  <si>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</si>
  <si>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</si>
  <si>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</si>
  <si>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</si>
  <si>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</si>
  <si>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</si>
  <si>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</si>
  <si>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</si>
  <si>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</si>
  <si>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</si>
  <si>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</si>
  <si>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</si>
  <si>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</si>
  <si>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</si>
  <si>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</si>
  <si>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</si>
  <si>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</si>
  <si>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</si>
  <si>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</si>
  <si>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</si>
  <si>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</si>
  <si>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</si>
  <si>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</si>
  <si>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</si>
  <si>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</si>
  <si>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</si>
  <si>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</si>
  <si>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</si>
  <si>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</si>
  <si>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</si>
  <si>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</si>
  <si>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</si>
  <si>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</si>
  <si>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</si>
  <si>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</si>
  <si>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</si>
  <si>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</si>
  <si>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</si>
  <si>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</si>
  <si>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</si>
  <si>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</si>
  <si>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</si>
  <si>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</si>
  <si>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</si>
  <si>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</si>
  <si>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</si>
  <si>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</si>
  <si>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</si>
  <si>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</si>
  <si>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</si>
  <si>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</si>
  <si>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</si>
  <si>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</si>
  <si>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</si>
  <si>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</si>
  <si>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</si>
  <si>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</si>
  <si>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</si>
  <si>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</si>
  <si>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</si>
  <si>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</si>
  <si>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</si>
  <si>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</si>
  <si>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</si>
  <si>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</si>
  <si>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</si>
  <si>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</si>
  <si>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</si>
  <si>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</si>
  <si>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</si>
  <si>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</si>
  <si>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</si>
  <si>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</si>
  <si>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</si>
  <si>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</si>
  <si>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</si>
  <si>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</si>
  <si>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</si>
  <si>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</si>
  <si>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</si>
  <si>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</si>
  <si>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</si>
  <si>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</si>
  <si>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</si>
  <si>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</si>
  <si>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</si>
  <si>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</si>
  <si>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</si>
  <si>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</si>
  <si>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</si>
  <si>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</si>
  <si>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</si>
  <si>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</si>
  <si>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</si>
  <si>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</si>
  <si>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</si>
  <si>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</si>
  <si>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</si>
  <si>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</si>
  <si>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</si>
  <si>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</si>
  <si>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</si>
  <si>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</si>
  <si>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</si>
  <si>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</si>
  <si>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</si>
  <si>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</si>
  <si>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</si>
  <si>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</si>
  <si>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</si>
  <si>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</si>
  <si>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</si>
  <si>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</si>
  <si>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</si>
  <si>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</si>
  <si>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</si>
  <si>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</si>
  <si>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</si>
  <si>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</si>
  <si>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</si>
  <si>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</si>
  <si>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</si>
  <si>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</si>
  <si>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</si>
  <si>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</si>
  <si>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</si>
  <si>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</si>
  <si>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</si>
  <si>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</si>
  <si>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</si>
  <si>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</si>
  <si>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</si>
  <si>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</si>
  <si>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</si>
  <si>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</si>
  <si>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</si>
  <si>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</si>
  <si>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</si>
  <si>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</si>
  <si>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</si>
  <si>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</si>
  <si>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</si>
  <si>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</si>
  <si>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</si>
  <si>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</si>
  <si>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</si>
  <si>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</si>
  <si>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</si>
  <si>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</si>
  <si>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</si>
  <si>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</si>
  <si>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</si>
  <si>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</si>
  <si>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</si>
  <si>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</si>
  <si>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</si>
  <si>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</si>
  <si>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</si>
  <si>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</si>
  <si>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</si>
  <si>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</si>
  <si>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</si>
  <si>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</si>
  <si>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</si>
  <si>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</si>
  <si>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</si>
  <si>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</si>
  <si>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</si>
  <si>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</si>
  <si>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</si>
  <si>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</si>
  <si>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</si>
  <si>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</si>
  <si>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</si>
  <si>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</si>
  <si>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</si>
  <si>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</si>
  <si>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</si>
  <si>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</si>
  <si>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</si>
  <si>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</si>
  <si>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</si>
  <si>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</si>
  <si>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</si>
  <si>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</si>
  <si>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</si>
  <si>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</si>
  <si>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</si>
  <si>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</si>
  <si>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</si>
  <si>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</si>
  <si>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</si>
  <si>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</si>
  <si>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</si>
  <si>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</si>
  <si>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</si>
  <si>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</si>
  <si>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</si>
  <si>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</si>
  <si>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</si>
  <si>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</si>
  <si>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</si>
  <si>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</si>
  <si>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</si>
  <si>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</si>
  <si>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</si>
  <si>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</si>
  <si>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</si>
  <si>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</si>
  <si>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</si>
  <si>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</si>
  <si>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</si>
  <si>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</si>
  <si>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</si>
  <si>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</si>
  <si>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</si>
  <si>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</si>
  <si>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</si>
  <si>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</si>
  <si>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</si>
  <si>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</si>
  <si>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</si>
  <si>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</si>
  <si>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</si>
  <si>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</si>
  <si>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</si>
  <si>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</si>
  <si>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</si>
  <si>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</si>
  <si>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</si>
  <si>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</si>
  <si>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</si>
  <si>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</si>
  <si>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</si>
  <si>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</si>
  <si>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</si>
  <si>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</si>
  <si>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</si>
  <si>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</si>
  <si>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</si>
  <si>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</si>
  <si>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</si>
  <si>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</si>
  <si>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</si>
  <si>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</si>
  <si>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</si>
  <si>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</si>
  <si>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</si>
  <si>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</si>
  <si>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</si>
  <si>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</si>
  <si>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</si>
  <si>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</si>
  <si>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</si>
  <si>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</si>
  <si>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</si>
  <si>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</si>
  <si>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</si>
  <si>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</si>
  <si>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</si>
  <si>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</si>
  <si>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</si>
  <si>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</si>
  <si>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</si>
  <si>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</si>
  <si>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</si>
  <si>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</si>
  <si>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</si>
  <si>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</si>
  <si>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</si>
  <si>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</si>
  <si>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</si>
  <si>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</si>
  <si>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</si>
  <si>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</si>
  <si>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</si>
  <si>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</si>
  <si>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</si>
  <si>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</si>
  <si>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</si>
  <si>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</si>
  <si>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</si>
  <si>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</si>
  <si>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</si>
  <si>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</si>
  <si>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</si>
  <si>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</si>
  <si>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</si>
  <si>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</si>
  <si>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</si>
  <si>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</si>
  <si>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</si>
  <si>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</si>
  <si>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</si>
  <si>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</si>
  <si>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</si>
  <si>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</si>
  <si>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</si>
  <si>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</si>
  <si>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</si>
  <si>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</si>
  <si>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</si>
  <si>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</si>
  <si>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</si>
  <si>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</si>
  <si>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</si>
  <si>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</si>
  <si>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</si>
  <si>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</si>
  <si>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</si>
  <si>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</si>
  <si>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</si>
  <si>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</si>
  <si>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</si>
  <si>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</si>
  <si>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</si>
  <si>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</si>
  <si>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</si>
  <si>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</si>
  <si>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</si>
  <si>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</si>
  <si>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</si>
  <si>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</si>
  <si>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</si>
  <si>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</si>
  <si>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</si>
  <si>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</si>
  <si>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</si>
  <si>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</si>
  <si>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</si>
  <si>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</si>
  <si>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</si>
  <si>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</si>
  <si>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</si>
  <si>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</si>
  <si>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</si>
  <si>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</si>
  <si>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</si>
  <si>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</si>
  <si>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</si>
  <si>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</si>
  <si>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</si>
  <si>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</si>
  <si>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</si>
  <si>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</si>
  <si>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</si>
  <si>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</si>
  <si>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</si>
  <si>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</si>
  <si>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</si>
  <si>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</si>
  <si>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</si>
  <si>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</si>
  <si>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</si>
  <si>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</si>
  <si>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</si>
  <si>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</si>
  <si>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</si>
  <si>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</si>
  <si>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</si>
  <si>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</si>
  <si>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</si>
  <si>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</si>
  <si>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</si>
  <si>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</si>
  <si>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</si>
  <si>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</si>
  <si>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</si>
  <si>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</si>
  <si>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</si>
  <si>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</si>
  <si>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</si>
  <si>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</si>
  <si>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</si>
  <si>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</si>
  <si>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</si>
  <si>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</si>
  <si>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</si>
  <si>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</si>
  <si>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</si>
  <si>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</si>
  <si>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</si>
  <si>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</si>
  <si>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</si>
  <si>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</si>
  <si>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</si>
  <si>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</si>
  <si>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</si>
  <si>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</si>
  <si>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</si>
  <si>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</si>
  <si>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</si>
  <si>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</si>
  <si>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</si>
  <si>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</si>
  <si>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</si>
  <si>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</si>
  <si>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</si>
  <si>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</si>
  <si>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</si>
  <si>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</si>
  <si>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</si>
  <si>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</si>
  <si>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</si>
  <si>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</si>
  <si>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</si>
  <si>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</si>
  <si>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</si>
  <si>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</si>
  <si>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</si>
  <si>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</si>
  <si>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</si>
  <si>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</si>
  <si>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</si>
  <si>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</si>
  <si>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</si>
  <si>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</si>
  <si>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</si>
  <si>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</si>
  <si>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</si>
  <si>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</si>
  <si>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</si>
  <si>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</si>
  <si>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</si>
  <si>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</si>
  <si>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</si>
  <si>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</si>
  <si>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</si>
  <si>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</si>
  <si>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</si>
  <si>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</si>
  <si>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</si>
  <si>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</si>
  <si>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</si>
  <si>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</si>
  <si>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</si>
  <si>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</si>
  <si>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</si>
  <si>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</si>
  <si>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</si>
  <si>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</si>
  <si>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</si>
  <si>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</si>
  <si>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</si>
  <si>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</si>
  <si>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</si>
  <si>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</si>
  <si>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</si>
  <si>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</si>
  <si>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</si>
  <si>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</si>
  <si>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</si>
  <si>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</si>
  <si>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</si>
  <si>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</si>
  <si>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</si>
  <si>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</si>
  <si>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</si>
  <si>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</si>
  <si>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</si>
  <si>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</si>
  <si>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</si>
  <si>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</si>
  <si>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</si>
  <si>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</si>
  <si>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</si>
  <si>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</si>
  <si>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</si>
  <si>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</si>
  <si>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</si>
  <si>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</si>
  <si>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</si>
  <si>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</si>
  <si>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</si>
  <si>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</si>
  <si>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</si>
  <si>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</si>
  <si>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</si>
  <si>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</si>
  <si>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</si>
  <si>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</si>
  <si>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</si>
  <si>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</si>
  <si>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</si>
  <si>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</si>
  <si>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</si>
  <si>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</si>
  <si>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</si>
  <si>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</si>
  <si>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</si>
  <si>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</si>
  <si>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</si>
  <si>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</si>
  <si>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</si>
  <si>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</si>
  <si>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</si>
  <si>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</si>
  <si>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</si>
  <si>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</si>
  <si>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</si>
  <si>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</si>
  <si>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</si>
  <si>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</si>
  <si>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</si>
  <si>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</si>
  <si>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</si>
  <si>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</si>
  <si>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</si>
  <si>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</si>
  <si>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</si>
  <si>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</si>
  <si>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</si>
  <si>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</si>
  <si>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</si>
  <si>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</si>
  <si>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</si>
  <si>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</si>
  <si>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</si>
  <si>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</si>
  <si>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</si>
  <si>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</si>
  <si>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</si>
  <si>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</si>
  <si>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</si>
  <si>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</si>
  <si>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</si>
  <si>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</si>
  <si>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</si>
  <si>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</si>
  <si>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</si>
  <si>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</si>
  <si>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</si>
  <si>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</si>
  <si>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</si>
  <si>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</si>
  <si>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</si>
  <si>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</si>
  <si>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</si>
  <si>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</si>
  <si>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</si>
  <si>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</si>
  <si>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</si>
  <si>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</si>
  <si>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</si>
  <si>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</si>
  <si>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</si>
  <si>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</si>
  <si>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</si>
  <si>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</si>
  <si>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</si>
  <si>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</si>
  <si>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</si>
  <si>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</si>
  <si>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</si>
  <si>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</si>
  <si>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</si>
  <si>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</si>
  <si>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</si>
  <si>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</si>
  <si>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</si>
  <si>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</si>
  <si>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</si>
  <si>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</si>
  <si>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</si>
  <si>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</si>
  <si>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</si>
  <si>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</si>
  <si>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</si>
  <si>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</si>
  <si>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</si>
  <si>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</si>
  <si>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</si>
  <si>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</si>
  <si>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</si>
  <si>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</si>
  <si>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</si>
  <si>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</si>
  <si>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</si>
  <si>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</si>
  <si>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</si>
  <si>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</si>
  <si>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</si>
  <si>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</si>
  <si>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</si>
  <si>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</si>
  <si>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</si>
  <si>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</si>
  <si>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</si>
  <si>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</si>
  <si>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</si>
  <si>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</si>
  <si>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</si>
  <si>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</si>
  <si>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</si>
  <si>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</si>
  <si>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</si>
  <si>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</si>
  <si>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</si>
  <si>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</si>
  <si>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</si>
  <si>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</si>
  <si>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</si>
  <si>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</si>
  <si>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</si>
  <si>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</si>
  <si>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</si>
  <si>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</si>
  <si>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</si>
  <si>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</si>
  <si>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</si>
  <si>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</si>
  <si>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</si>
  <si>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</si>
  <si>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</si>
  <si>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</si>
  <si>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</si>
  <si>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</si>
  <si>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</si>
  <si>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</si>
  <si>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</si>
  <si>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</si>
  <si>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</si>
  <si>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</si>
  <si>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</si>
  <si>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</si>
  <si>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</si>
  <si>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</si>
  <si>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</si>
  <si>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</si>
  <si>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</si>
  <si>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</si>
  <si>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</si>
  <si>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</si>
  <si>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</si>
  <si>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</si>
  <si>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</si>
  <si>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</si>
  <si>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</si>
  <si>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</si>
  <si>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</si>
  <si>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</si>
  <si>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</si>
  <si>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</si>
  <si>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</si>
  <si>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</si>
  <si>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</si>
  <si>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</si>
  <si>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</si>
  <si>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</si>
  <si>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</si>
  <si>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</si>
  <si>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</si>
  <si>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</si>
  <si>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</si>
  <si>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</si>
  <si>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</si>
  <si>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</si>
  <si>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</si>
  <si>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</si>
  <si>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</si>
  <si>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</si>
  <si>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</si>
  <si>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</si>
  <si>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</si>
  <si>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</si>
  <si>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</si>
  <si>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</si>
  <si>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</si>
  <si>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</si>
  <si>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</si>
  <si>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</si>
  <si>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</si>
  <si>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</si>
  <si>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</si>
  <si>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</si>
  <si>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</si>
  <si>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</si>
  <si>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</si>
  <si>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</si>
  <si>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</si>
  <si>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</si>
  <si>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</si>
  <si>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</si>
  <si>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</si>
  <si>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</si>
  <si>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</si>
  <si>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</si>
  <si>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</si>
  <si>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</si>
  <si>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</si>
  <si>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</si>
  <si>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</si>
  <si>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</si>
  <si>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</si>
  <si>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</si>
  <si>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</si>
  <si>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</si>
  <si>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</si>
  <si>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</si>
  <si>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</si>
  <si>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</si>
  <si>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</si>
  <si>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</si>
  <si>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</si>
  <si>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</si>
  <si>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</si>
  <si>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</si>
  <si>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</si>
  <si>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</si>
  <si>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</si>
  <si>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</si>
  <si>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</si>
  <si>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</si>
  <si>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</si>
  <si>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</si>
  <si>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</si>
  <si>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</si>
  <si>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</si>
  <si>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</si>
  <si>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</si>
  <si>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</si>
  <si>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</si>
  <si>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</si>
  <si>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</si>
  <si>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</si>
  <si>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</si>
  <si>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</si>
  <si>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</si>
  <si>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</si>
  <si>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</si>
  <si>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</si>
  <si>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</si>
  <si>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</si>
  <si>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</si>
  <si>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</si>
  <si>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</si>
  <si>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</si>
  <si>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</si>
  <si>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</si>
  <si>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</si>
  <si>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</si>
  <si>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</si>
  <si>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</si>
  <si>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</si>
  <si>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</si>
  <si>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</si>
  <si>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</si>
  <si>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</si>
  <si>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</si>
  <si>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</si>
  <si>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</si>
  <si>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</si>
  <si>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</si>
  <si>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</si>
  <si>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</si>
  <si>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</si>
  <si>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</si>
  <si>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</si>
  <si>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</si>
  <si>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</si>
  <si>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</si>
  <si>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</si>
  <si>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</si>
  <si>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</si>
  <si>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</si>
  <si>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</si>
  <si>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</si>
  <si>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</si>
  <si>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</si>
  <si>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</si>
  <si>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</si>
  <si>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</si>
  <si>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</si>
  <si>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</si>
  <si>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</si>
  <si>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</si>
  <si>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</si>
  <si>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</si>
  <si>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</si>
  <si>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</si>
  <si>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</si>
  <si>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</si>
  <si>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</si>
  <si>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</si>
  <si>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</si>
  <si>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</si>
  <si>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</si>
  <si>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</si>
  <si>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</si>
  <si>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</si>
  <si>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</si>
  <si>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</si>
  <si>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</si>
  <si>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</si>
  <si>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</si>
  <si>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</si>
  <si>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</si>
  <si>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</si>
  <si>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</si>
  <si>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</si>
  <si>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</si>
  <si>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</si>
  <si>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</si>
  <si>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</si>
  <si>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</si>
  <si>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</si>
  <si>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</si>
  <si>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</si>
  <si>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</si>
  <si>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</si>
  <si>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</si>
  <si>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</si>
  <si>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</si>
  <si>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</si>
  <si>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</si>
  <si>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</si>
  <si>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</si>
  <si>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</si>
  <si>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</si>
  <si>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</si>
  <si>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</si>
  <si>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</si>
  <si>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</si>
  <si>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</si>
  <si>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</si>
  <si>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</si>
  <si>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</si>
  <si>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</si>
  <si>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</si>
  <si>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</si>
  <si>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</si>
  <si>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</si>
  <si>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</si>
  <si>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</si>
  <si>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</si>
  <si>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</si>
  <si>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</si>
  <si>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</si>
  <si>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</si>
  <si>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</si>
  <si>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</si>
  <si>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</si>
  <si>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</si>
  <si>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</si>
  <si>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</si>
  <si>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</si>
  <si>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</si>
  <si>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</si>
  <si>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</si>
  <si>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</si>
  <si>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</si>
  <si>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</si>
  <si>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</si>
  <si>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</si>
  <si>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</si>
  <si>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</si>
  <si>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</si>
  <si>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</si>
  <si>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</si>
  <si>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</si>
  <si>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</si>
  <si>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</si>
  <si>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</si>
  <si>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</si>
  <si>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</si>
  <si>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</si>
  <si>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</si>
  <si>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</si>
  <si>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</si>
  <si>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</si>
  <si>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</si>
  <si>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</si>
  <si>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</si>
  <si>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</si>
  <si>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</si>
  <si>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</si>
  <si>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</si>
  <si>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</si>
  <si>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</si>
  <si>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</si>
  <si>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</si>
  <si>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</si>
  <si>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</si>
  <si>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</si>
  <si>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</si>
  <si>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</si>
  <si>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</si>
  <si>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</si>
  <si>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</si>
  <si>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</si>
  <si>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</si>
  <si>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</si>
  <si>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</si>
  <si>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</si>
  <si>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</si>
  <si>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</si>
  <si>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</si>
  <si>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</si>
  <si>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</si>
  <si>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</si>
  <si>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</si>
  <si>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</si>
  <si>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</si>
  <si>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</si>
  <si>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</si>
  <si>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</si>
  <si>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</si>
  <si>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</si>
  <si>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</si>
  <si>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</si>
  <si>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</si>
  <si>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</si>
  <si>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</si>
  <si>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</si>
  <si>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</si>
  <si>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</si>
  <si>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</si>
  <si>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</si>
  <si>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</si>
  <si>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</si>
  <si>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</si>
  <si>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</si>
  <si>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</si>
  <si>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</si>
  <si>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</si>
  <si>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</si>
  <si>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</si>
  <si>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</si>
  <si>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</si>
  <si>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</si>
  <si>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</si>
  <si>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</si>
  <si>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</si>
  <si>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</si>
  <si>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</si>
  <si>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</si>
  <si>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</si>
  <si>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</si>
  <si>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</si>
  <si>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</si>
  <si>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</si>
  <si>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</si>
  <si>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</si>
  <si>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</si>
  <si>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</si>
  <si>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</si>
  <si>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</si>
  <si>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</si>
  <si>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</si>
  <si>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</si>
  <si>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</si>
  <si>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</si>
  <si>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</si>
  <si>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</si>
  <si>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</si>
  <si>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</si>
  <si>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</si>
  <si>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</si>
  <si>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</si>
  <si>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</si>
  <si>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</si>
  <si>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</si>
  <si>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</si>
  <si>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</si>
  <si>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</si>
  <si>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</si>
  <si>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</si>
  <si>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</si>
  <si>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</si>
  <si>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</si>
  <si>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</si>
  <si>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</si>
  <si>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</si>
  <si>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</si>
  <si>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</si>
  <si>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</si>
  <si>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</si>
  <si>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</si>
  <si>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</si>
  <si>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</si>
  <si>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</si>
  <si>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</si>
  <si>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</si>
  <si>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</si>
  <si>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</si>
  <si>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</si>
  <si>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</si>
  <si>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</si>
  <si>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</si>
  <si>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</si>
  <si>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</si>
  <si>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</si>
  <si>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</si>
  <si>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</si>
  <si>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</si>
  <si>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</si>
  <si>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</si>
  <si>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</si>
  <si>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</si>
  <si>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</si>
  <si>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</si>
  <si>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</si>
  <si>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</si>
  <si>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</si>
  <si>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</si>
  <si>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</si>
  <si>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</si>
  <si>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</si>
  <si>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</si>
  <si>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</si>
  <si>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</si>
  <si>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</si>
  <si>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</si>
  <si>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</si>
  <si>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</si>
  <si>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</si>
  <si>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</si>
  <si>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</si>
  <si>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</si>
  <si>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</si>
  <si>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</si>
  <si>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</si>
  <si>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</si>
  <si>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</si>
  <si>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</si>
  <si>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</si>
  <si>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</si>
  <si>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</si>
  <si>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</si>
  <si>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</si>
  <si>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</si>
  <si>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</si>
  <si>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</si>
  <si>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</si>
  <si>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</si>
  <si>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</si>
  <si>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</si>
  <si>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</si>
  <si>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</si>
  <si>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</si>
  <si>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</si>
  <si>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</si>
  <si>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</si>
  <si>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</si>
  <si>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</si>
  <si>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</si>
  <si>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</si>
  <si>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</si>
  <si>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</si>
  <si>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</si>
  <si>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</si>
  <si>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</si>
  <si>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</si>
  <si>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</si>
  <si>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</si>
  <si>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</si>
  <si>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</si>
  <si>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</si>
  <si>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</si>
  <si>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</si>
  <si>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</si>
  <si>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</si>
  <si>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</si>
  <si>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</si>
  <si>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</si>
  <si>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</si>
  <si>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</si>
  <si>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</si>
  <si>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</si>
  <si>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</si>
  <si>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</si>
  <si>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</si>
  <si>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</si>
  <si>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</si>
  <si>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</si>
  <si>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</si>
  <si>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</si>
  <si>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</si>
  <si>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</si>
  <si>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</si>
  <si>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</si>
  <si>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</si>
  <si>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</si>
  <si>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</si>
  <si>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</si>
  <si>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</si>
  <si>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</si>
  <si>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</si>
  <si>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</si>
  <si>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</si>
  <si>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</si>
  <si>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</si>
  <si>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</si>
  <si>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</si>
  <si>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</si>
  <si>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</si>
  <si>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</si>
  <si>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</si>
  <si>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</si>
  <si>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</si>
  <si>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</si>
  <si>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</si>
  <si>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</si>
  <si>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</si>
  <si>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</si>
  <si>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</si>
  <si>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</si>
  <si>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</si>
  <si>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</si>
  <si>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</si>
  <si>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</si>
  <si>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</si>
  <si>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</si>
  <si>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</si>
  <si>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</si>
  <si>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</si>
  <si>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</si>
  <si>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</si>
  <si>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</si>
  <si>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</si>
  <si>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</si>
  <si>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</si>
  <si>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</si>
  <si>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</si>
  <si>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</si>
  <si>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</si>
  <si>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</si>
  <si>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</si>
  <si>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</si>
  <si>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</si>
  <si>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</si>
  <si>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</si>
  <si>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</si>
  <si>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</si>
  <si>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</si>
  <si>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</si>
  <si>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</si>
  <si>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</si>
  <si>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</si>
  <si>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</si>
  <si>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</si>
  <si>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</si>
  <si>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</si>
  <si>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</si>
  <si>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</si>
  <si>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</si>
  <si>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</si>
  <si>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</si>
  <si>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</si>
  <si>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</si>
  <si>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</si>
  <si>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</si>
  <si>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</si>
  <si>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</si>
  <si>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</si>
  <si>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</si>
  <si>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</si>
  <si>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</si>
  <si>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</si>
  <si>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</si>
  <si>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</si>
  <si>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</si>
  <si>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</si>
  <si>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</si>
  <si>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</si>
  <si>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</si>
  <si>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</si>
  <si>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</si>
  <si>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</si>
  <si>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</si>
  <si>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</si>
  <si>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</si>
  <si>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</si>
  <si>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</si>
  <si>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</si>
  <si>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</si>
  <si>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</si>
  <si>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</si>
  <si>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</si>
  <si>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</si>
  <si>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</si>
  <si>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</si>
  <si>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</si>
  <si>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</si>
  <si>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</si>
  <si>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</si>
  <si>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</si>
  <si>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</si>
  <si>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</si>
  <si>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</si>
  <si>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</si>
  <si>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</si>
  <si>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</si>
  <si>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</si>
  <si>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</si>
  <si>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</si>
  <si>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</si>
  <si>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</si>
  <si>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</si>
  <si>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</si>
  <si>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</si>
  <si>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</si>
  <si>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</si>
  <si>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</si>
  <si>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</si>
  <si>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</si>
  <si>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</si>
  <si>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</si>
  <si>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</si>
  <si>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</si>
  <si>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</si>
  <si>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</si>
  <si>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</si>
  <si>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</si>
  <si>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</si>
  <si>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</si>
  <si>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</si>
  <si>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</si>
  <si>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</si>
  <si>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</si>
  <si>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</si>
  <si>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</si>
  <si>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</si>
  <si>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</si>
  <si>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</si>
  <si>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</si>
  <si>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</si>
  <si>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</si>
  <si>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</si>
  <si>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</si>
  <si>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</si>
  <si>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</si>
  <si>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</si>
  <si>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</si>
  <si>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</si>
  <si>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</si>
  <si>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</si>
  <si>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</si>
  <si>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</si>
  <si>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</si>
  <si>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</si>
  <si>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</si>
  <si>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</si>
  <si>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</si>
  <si>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</si>
  <si>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</si>
  <si>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</si>
  <si>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</si>
  <si>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</si>
  <si>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</si>
  <si>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</si>
  <si>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</si>
  <si>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</si>
  <si>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</si>
  <si>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</si>
  <si>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</si>
  <si>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</si>
  <si>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</si>
  <si>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</si>
  <si>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</si>
  <si>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</si>
  <si>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</si>
  <si>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</si>
  <si>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</si>
  <si>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</si>
  <si>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</si>
  <si>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</si>
  <si>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</si>
  <si>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</si>
  <si>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</si>
  <si>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</si>
  <si>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</si>
  <si>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</si>
  <si>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</si>
  <si>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</si>
  <si>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</si>
  <si>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</si>
  <si>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</si>
  <si>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</si>
  <si>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</si>
  <si>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</si>
  <si>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</si>
  <si>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</si>
  <si>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</si>
  <si>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</si>
  <si>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</si>
  <si>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</si>
  <si>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</si>
  <si>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</si>
  <si>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</si>
  <si>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</si>
  <si>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</si>
  <si>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</si>
  <si>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</si>
  <si>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</si>
  <si>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</si>
  <si>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</si>
  <si>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</si>
  <si>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</si>
  <si>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</si>
  <si>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</si>
  <si>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</si>
  <si>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</si>
  <si>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</si>
  <si>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</si>
  <si>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</si>
  <si>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</si>
  <si>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</si>
  <si>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</si>
  <si>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</si>
  <si>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</si>
  <si>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</si>
  <si>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</si>
  <si>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</si>
  <si>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</si>
  <si>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</si>
  <si>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</si>
  <si>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</si>
  <si>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</si>
  <si>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</si>
  <si>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</si>
  <si>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</si>
  <si>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</si>
  <si>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</si>
  <si>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</si>
  <si>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</si>
  <si>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</si>
  <si>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</si>
  <si>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</si>
  <si>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</si>
  <si>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</si>
  <si>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</si>
  <si>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</si>
  <si>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</si>
  <si>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</si>
  <si>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</si>
  <si>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</si>
  <si>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</si>
  <si>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</si>
  <si>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</si>
  <si>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</si>
  <si>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</si>
  <si>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</si>
  <si>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</si>
  <si>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</si>
  <si>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</si>
  <si>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</si>
  <si>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</si>
  <si>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</si>
  <si>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</si>
  <si>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</si>
  <si>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</si>
  <si>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</si>
  <si>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</si>
  <si>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</si>
  <si>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</si>
  <si>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</si>
  <si>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</si>
  <si>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</si>
  <si>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</si>
  <si>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</si>
  <si>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</si>
  <si>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</si>
  <si>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</si>
  <si>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</si>
  <si>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</si>
  <si>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</si>
  <si>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</si>
  <si>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</si>
  <si>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</si>
  <si>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</si>
  <si>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</si>
  <si>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</si>
  <si>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</si>
  <si>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</si>
  <si>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</si>
  <si>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</si>
  <si>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</si>
  <si>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</si>
  <si>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</si>
  <si>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</si>
  <si>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</si>
  <si>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</si>
  <si>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</si>
  <si>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</si>
  <si>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</si>
  <si>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</si>
  <si>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</si>
  <si>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</si>
  <si>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</si>
  <si>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</si>
  <si>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</si>
  <si>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</si>
  <si>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</si>
  <si>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</si>
  <si>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</si>
  <si>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</si>
  <si>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</si>
  <si>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</si>
  <si>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</si>
  <si>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</si>
  <si>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</si>
  <si>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</si>
  <si>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</si>
  <si>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</si>
  <si>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</si>
  <si>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</si>
  <si>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</si>
  <si>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</si>
  <si>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</si>
  <si>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</si>
  <si>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</si>
  <si>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</si>
  <si>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</si>
  <si>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</si>
  <si>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</si>
  <si>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</si>
  <si>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</si>
  <si>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</si>
  <si>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</si>
  <si>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</si>
  <si>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</si>
  <si>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</si>
  <si>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</si>
  <si>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</si>
  <si>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</si>
  <si>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</si>
  <si>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</si>
  <si>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</si>
  <si>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</si>
  <si>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</si>
  <si>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</si>
  <si>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</si>
  <si>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</si>
  <si>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</si>
  <si>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</si>
  <si>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</si>
  <si>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</si>
  <si>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</si>
  <si>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</si>
  <si>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</si>
  <si>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</si>
  <si>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</si>
  <si>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</si>
  <si>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</si>
  <si>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</si>
  <si>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</si>
  <si>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</si>
  <si>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</si>
  <si>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</si>
  <si>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</si>
  <si>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</si>
  <si>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</si>
  <si>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</si>
  <si>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</si>
  <si>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</si>
  <si>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</si>
  <si>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</si>
  <si>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</si>
  <si>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</si>
  <si>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</si>
  <si>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</si>
  <si>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</si>
  <si>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</si>
  <si>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</si>
  <si>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</si>
  <si>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</si>
  <si>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</si>
  <si>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</si>
  <si>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</si>
  <si>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</si>
  <si>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</si>
  <si>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</si>
  <si>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</si>
  <si>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</si>
  <si>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</si>
  <si>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</si>
  <si>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</si>
  <si>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</si>
  <si>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</si>
  <si>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</si>
  <si>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</si>
  <si>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</si>
  <si>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</si>
  <si>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</si>
  <si>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</si>
  <si>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</si>
  <si>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</si>
  <si>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</si>
  <si>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</si>
  <si>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</si>
  <si>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</si>
  <si>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</si>
  <si>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</si>
  <si>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</si>
  <si>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</si>
  <si>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</si>
  <si>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</si>
  <si>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</si>
  <si>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</si>
  <si>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</si>
  <si>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</si>
  <si>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</si>
  <si>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</si>
  <si>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</si>
  <si>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</si>
  <si>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</si>
  <si>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</si>
  <si>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</si>
  <si>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</si>
  <si>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</si>
  <si>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</si>
  <si>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</si>
  <si>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</si>
  <si>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</si>
  <si>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</si>
  <si>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</si>
  <si>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</si>
  <si>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</si>
  <si>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</si>
  <si>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</si>
  <si>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</si>
  <si>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</si>
  <si>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</si>
  <si>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</si>
  <si>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</si>
  <si>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</si>
  <si>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</si>
  <si>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</si>
  <si>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</si>
  <si>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</si>
  <si>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</si>
  <si>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</si>
  <si>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</si>
  <si>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</si>
  <si>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</si>
  <si>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</si>
  <si>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</si>
  <si>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</si>
  <si>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</si>
  <si>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</si>
  <si>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</si>
  <si>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</si>
  <si>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</si>
  <si>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</si>
  <si>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</si>
  <si>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</si>
  <si>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</si>
  <si>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</si>
  <si>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</si>
  <si>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</si>
  <si>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</si>
  <si>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</si>
  <si>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</si>
  <si>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</si>
  <si>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</si>
  <si>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</si>
  <si>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</si>
  <si>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</si>
  <si>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</si>
  <si>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</si>
  <si>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</si>
  <si>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</si>
  <si>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</si>
  <si>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</si>
  <si>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</si>
  <si>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</si>
  <si>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</si>
  <si>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</si>
  <si>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</si>
  <si>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</si>
  <si>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</si>
  <si>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</si>
  <si>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</si>
  <si>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</si>
  <si>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</si>
  <si>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</si>
  <si>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</si>
  <si>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</si>
  <si>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</si>
  <si>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</si>
  <si>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</si>
  <si>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</si>
  <si>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</si>
  <si>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</si>
  <si>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</si>
  <si>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</si>
  <si>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</si>
  <si>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</si>
  <si>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</si>
  <si>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</si>
  <si>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</si>
  <si>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</si>
  <si>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</si>
  <si>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</si>
  <si>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</si>
  <si>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</si>
  <si>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</si>
  <si>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</si>
  <si>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</si>
  <si>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</si>
  <si>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</si>
  <si>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</si>
  <si>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</si>
  <si>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</si>
  <si>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</si>
  <si>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</si>
  <si>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</si>
  <si>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</si>
  <si>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</si>
  <si>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</si>
  <si>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</si>
  <si>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</si>
  <si>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</si>
  <si>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</si>
  <si>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</si>
  <si>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</si>
  <si>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</si>
  <si>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</si>
  <si>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</si>
  <si>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</si>
  <si>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</si>
  <si>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</si>
  <si>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</si>
  <si>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</si>
  <si>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</si>
  <si>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</si>
  <si>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</si>
  <si>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</si>
  <si>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</si>
  <si>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</si>
  <si>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</si>
  <si>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</si>
  <si>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</si>
  <si>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</si>
  <si>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</si>
  <si>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</si>
  <si>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</si>
  <si>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</si>
  <si>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</si>
  <si>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</si>
  <si>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</si>
  <si>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</si>
  <si>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</si>
  <si>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</si>
  <si>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</si>
  <si>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</si>
  <si>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</si>
  <si>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</si>
  <si>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</si>
  <si>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</si>
  <si>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</si>
  <si>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</si>
  <si>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</si>
  <si>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</si>
  <si>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</si>
  <si>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</si>
  <si>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</si>
  <si>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</si>
  <si>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</si>
  <si>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</si>
  <si>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</si>
  <si>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</si>
  <si>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</si>
  <si>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</si>
  <si>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</si>
  <si>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</si>
  <si>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</si>
  <si>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</si>
  <si>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</si>
  <si>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</si>
  <si>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</si>
  <si>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</si>
  <si>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</si>
  <si>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</si>
  <si>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</si>
  <si>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</si>
  <si>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</si>
  <si>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</si>
  <si>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</si>
  <si>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</si>
  <si>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</si>
  <si>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</si>
  <si>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</si>
  <si>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</si>
  <si>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</si>
  <si>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</si>
  <si>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</si>
  <si>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</si>
  <si>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</si>
  <si>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</si>
  <si>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</si>
  <si>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</si>
  <si>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</si>
  <si>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</si>
  <si>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</si>
  <si>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</si>
  <si>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</si>
  <si>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</si>
  <si>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</si>
  <si>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</si>
  <si>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</si>
  <si>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</si>
  <si>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</si>
  <si>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</si>
  <si>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</si>
  <si>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</si>
  <si>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</si>
  <si>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</si>
  <si>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</si>
  <si>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</si>
  <si>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</si>
  <si>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</si>
  <si>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</si>
  <si>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</si>
  <si>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</si>
  <si>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</si>
  <si>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</si>
  <si>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</si>
  <si>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</si>
  <si>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</si>
  <si>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</si>
  <si>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</si>
  <si>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</si>
  <si>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</si>
  <si>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</si>
  <si>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</si>
  <si>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</si>
  <si>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</si>
  <si>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</si>
  <si>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</si>
  <si>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</si>
  <si>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</si>
  <si>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</si>
  <si>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</si>
  <si>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</si>
  <si>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</si>
  <si>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</si>
  <si>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</si>
  <si>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</si>
  <si>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</si>
  <si>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</si>
  <si>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</si>
  <si>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</si>
  <si>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</si>
  <si>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</si>
  <si>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</si>
  <si>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</si>
  <si>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</si>
  <si>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</si>
  <si>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</si>
  <si>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</si>
  <si>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</si>
  <si>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</si>
  <si>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</si>
  <si>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</si>
  <si>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</si>
  <si>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</si>
  <si>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</si>
  <si>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</si>
  <si>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</si>
  <si>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</si>
  <si>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</si>
  <si>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</si>
  <si>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</si>
  <si>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</si>
  <si>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</si>
  <si>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</si>
  <si>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</si>
  <si>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</si>
  <si>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</si>
  <si>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</si>
  <si>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</si>
  <si>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</si>
  <si>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</si>
  <si>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</si>
  <si>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</si>
  <si>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</si>
  <si>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</si>
  <si>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</si>
  <si>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</si>
  <si>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</si>
  <si>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</si>
  <si>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</si>
  <si>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</si>
  <si>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</si>
  <si>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</si>
  <si>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</si>
  <si>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</si>
  <si>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</si>
  <si>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</si>
  <si>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</si>
  <si>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</si>
  <si>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</si>
  <si>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</si>
  <si>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</si>
  <si>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</si>
  <si>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</si>
  <si>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</si>
  <si>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</si>
  <si>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</si>
  <si>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</si>
  <si>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</si>
  <si>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</si>
  <si>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</si>
  <si>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</si>
  <si>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</si>
  <si>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</si>
  <si>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</si>
  <si>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</si>
  <si>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</si>
  <si>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</si>
  <si>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</si>
  <si>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</si>
  <si>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</si>
  <si>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</si>
  <si>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</si>
  <si>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</si>
  <si>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</si>
  <si>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</si>
  <si>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</si>
  <si>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</si>
  <si>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</si>
  <si>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</si>
  <si>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</si>
  <si>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</si>
  <si>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</si>
  <si>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</si>
  <si>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</si>
  <si>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</si>
  <si>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</si>
  <si>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</si>
  <si>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</si>
  <si>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</si>
  <si>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</si>
  <si>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</si>
  <si>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</si>
  <si>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</si>
  <si>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</si>
  <si>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</si>
  <si>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</si>
  <si>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</si>
  <si>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</si>
  <si>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</si>
  <si>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</si>
  <si>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</si>
  <si>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</si>
  <si>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</si>
  <si>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</si>
  <si>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</si>
  <si>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</si>
  <si>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</si>
  <si>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</si>
  <si>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</si>
  <si>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</si>
  <si>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</si>
  <si>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</si>
  <si>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</si>
  <si>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</si>
  <si>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</si>
  <si>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</si>
  <si>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</si>
  <si>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</si>
  <si>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</si>
  <si>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</si>
  <si>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</si>
  <si>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</si>
  <si>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</si>
  <si>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</si>
  <si>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</si>
  <si>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</si>
  <si>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</si>
  <si>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</si>
  <si>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</si>
  <si>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</si>
  <si>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</si>
  <si>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</si>
  <si>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</si>
  <si>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</si>
  <si>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</si>
  <si>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</si>
  <si>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</si>
  <si>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</si>
  <si>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</si>
  <si>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</si>
  <si>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</si>
  <si>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</si>
  <si>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</si>
  <si>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</si>
  <si>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</si>
  <si>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</si>
  <si>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</si>
  <si>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</si>
  <si>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</si>
  <si>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</si>
  <si>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</si>
  <si>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</si>
  <si>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</si>
  <si>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</si>
  <si>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</si>
  <si>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</si>
  <si>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</si>
  <si>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</si>
  <si>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</si>
  <si>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</si>
  <si>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</si>
  <si>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</si>
  <si>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</si>
  <si>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</si>
  <si>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</si>
  <si>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</si>
  <si>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</si>
  <si>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</si>
  <si>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</si>
  <si>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</si>
  <si>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</si>
  <si>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</si>
  <si>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</si>
  <si>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</si>
  <si>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</si>
  <si>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</si>
  <si>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</si>
  <si>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</si>
  <si>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</si>
  <si>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</si>
  <si>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</si>
  <si>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</si>
  <si>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</si>
  <si>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</si>
  <si>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</si>
  <si>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</si>
  <si>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</si>
  <si>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</si>
  <si>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</si>
  <si>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</si>
  <si>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</si>
  <si>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</si>
  <si>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</si>
  <si>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</si>
  <si>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</si>
  <si>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</si>
  <si>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</si>
  <si>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</si>
  <si>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</si>
  <si>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</si>
  <si>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</si>
  <si>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</si>
  <si>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</si>
  <si>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</si>
  <si>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</si>
  <si>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</si>
  <si>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</si>
  <si>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</si>
  <si>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</si>
  <si>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</si>
  <si>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</si>
  <si>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</si>
  <si>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</si>
  <si>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</si>
  <si>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</si>
  <si>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</si>
  <si>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</si>
  <si>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</si>
  <si>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</si>
  <si>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</si>
  <si>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</si>
  <si>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</si>
  <si>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</si>
  <si>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</si>
  <si>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</si>
  <si>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</si>
  <si>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</si>
  <si>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</si>
  <si>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</si>
  <si>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</si>
  <si>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</si>
  <si>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</si>
  <si>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</si>
  <si>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</si>
  <si>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</si>
  <si>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</si>
  <si>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</si>
  <si>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</si>
  <si>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</si>
  <si>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</si>
  <si>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</si>
  <si>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</si>
  <si>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</si>
  <si>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</si>
  <si>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</si>
  <si>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</si>
  <si>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</si>
  <si>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</si>
  <si>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</si>
  <si>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</si>
  <si>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</si>
  <si>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</si>
  <si>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</si>
  <si>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</si>
  <si>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</si>
  <si>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</si>
  <si>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</si>
  <si>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</si>
  <si>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</si>
  <si>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</si>
  <si>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</si>
  <si>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</si>
  <si>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</si>
  <si>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</si>
  <si>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</si>
  <si>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</si>
  <si>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</si>
  <si>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</si>
  <si>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</si>
  <si>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</si>
  <si>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</si>
  <si>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</si>
  <si>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</si>
  <si>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</si>
  <si>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</si>
  <si>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</si>
  <si>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</si>
  <si>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</si>
  <si>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</si>
  <si>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</si>
  <si>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</si>
  <si>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</si>
  <si>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</si>
  <si>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</si>
  <si>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</si>
  <si>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</si>
  <si>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</si>
  <si>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</si>
  <si>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</si>
  <si>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</si>
  <si>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</si>
  <si>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</si>
  <si>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</si>
  <si>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</si>
  <si>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</si>
  <si>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</si>
  <si>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</si>
  <si>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</si>
  <si>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</si>
  <si>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</si>
  <si>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</si>
  <si>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</si>
  <si>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</si>
  <si>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</si>
  <si>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</si>
  <si>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</si>
  <si>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</si>
  <si>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</si>
  <si>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</si>
  <si>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</si>
  <si>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</si>
  <si>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</si>
  <si>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</si>
  <si>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</si>
  <si>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</si>
  <si>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</si>
  <si>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</si>
  <si>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</si>
  <si>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</si>
  <si>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</si>
  <si>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</si>
  <si>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</si>
  <si>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</si>
  <si>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</si>
  <si>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</si>
  <si>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</si>
  <si>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</si>
  <si>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</si>
  <si>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</si>
  <si>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</si>
  <si>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</si>
  <si>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</si>
  <si>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</si>
  <si>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</si>
  <si>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</si>
  <si>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</si>
  <si>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</si>
  <si>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</si>
  <si>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</si>
  <si>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</si>
  <si>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</si>
  <si>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</si>
  <si>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</si>
  <si>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</si>
  <si>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</si>
  <si>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</si>
  <si>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</si>
  <si>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</si>
  <si>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</si>
  <si>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</si>
  <si>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</si>
  <si>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</si>
  <si>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</si>
  <si>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</si>
  <si>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</si>
  <si>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</si>
  <si>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</si>
  <si>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</si>
  <si>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</si>
  <si>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</si>
  <si>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</si>
  <si>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</si>
  <si>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</si>
  <si>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</si>
  <si>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</si>
  <si>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</si>
  <si>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</si>
  <si>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</si>
  <si>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</si>
  <si>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</si>
  <si>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</si>
  <si>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</si>
  <si>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</si>
  <si>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</si>
  <si>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</si>
  <si>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</si>
  <si>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</si>
  <si>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</si>
  <si>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</si>
  <si>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</si>
  <si>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</si>
  <si>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</si>
  <si>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</si>
  <si>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</si>
  <si>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</si>
  <si>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</si>
  <si>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</si>
  <si>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</si>
  <si>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</si>
  <si>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</si>
  <si>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</si>
  <si>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</si>
  <si>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</si>
  <si>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</si>
  <si>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</si>
  <si>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</si>
  <si>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</si>
  <si>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</si>
  <si>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</si>
  <si>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</si>
  <si>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</si>
  <si>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</si>
  <si>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</si>
  <si>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</si>
  <si>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</si>
  <si>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</si>
  <si>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</si>
  <si>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</si>
  <si>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</si>
  <si>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</si>
  <si>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</si>
  <si>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</si>
  <si>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</si>
  <si>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</si>
  <si>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</si>
  <si>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</si>
  <si>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</si>
  <si>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</si>
  <si>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</si>
  <si>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</si>
  <si>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</si>
  <si>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</si>
  <si>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</si>
  <si>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</si>
  <si>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</si>
  <si>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</si>
  <si>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</si>
  <si>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</si>
  <si>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</si>
  <si>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</si>
  <si>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</si>
  <si>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</si>
  <si>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</si>
  <si>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</si>
  <si>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</si>
  <si>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</si>
  <si>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</si>
  <si>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</si>
  <si>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</si>
  <si>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</si>
  <si>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</si>
  <si>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</si>
  <si>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</si>
  <si>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</si>
  <si>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</si>
  <si>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</si>
  <si>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</si>
  <si>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</si>
  <si>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</si>
  <si>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</si>
  <si>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</si>
  <si>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</si>
  <si>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</si>
  <si>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</si>
  <si>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</si>
  <si>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</si>
  <si>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</si>
  <si>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</si>
  <si>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</si>
  <si>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</si>
  <si>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</si>
  <si>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</si>
  <si>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</si>
  <si>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</si>
  <si>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</si>
  <si>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</si>
  <si>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</si>
  <si>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</si>
  <si>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</si>
  <si>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</si>
  <si>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</si>
  <si>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</si>
  <si>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</si>
  <si>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</si>
  <si>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</si>
  <si>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</si>
  <si>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</si>
  <si>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</si>
  <si>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</si>
  <si>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</si>
  <si>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</si>
  <si>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</si>
  <si>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</si>
  <si>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</si>
  <si>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</si>
  <si>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</si>
  <si>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</si>
  <si>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</si>
  <si>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</si>
  <si>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</si>
  <si>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</si>
  <si>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</si>
  <si>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</si>
  <si>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</si>
  <si>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</si>
  <si>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</si>
  <si>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</si>
  <si>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</si>
  <si>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</si>
  <si>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</si>
  <si>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</si>
  <si>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</si>
  <si>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</si>
  <si>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</si>
  <si>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</si>
  <si>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</si>
  <si>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</si>
  <si>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</si>
  <si>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</si>
  <si>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</si>
  <si>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</si>
  <si>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</si>
  <si>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</si>
  <si>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</si>
  <si>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</si>
  <si>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</si>
  <si>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</si>
  <si>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</si>
  <si>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</si>
  <si>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</si>
  <si>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</si>
  <si>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</si>
  <si>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</si>
  <si>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</si>
  <si>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</si>
  <si>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</si>
  <si>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</si>
  <si>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</si>
  <si>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</si>
  <si>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</si>
  <si>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</si>
  <si>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</si>
  <si>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</si>
  <si>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</si>
  <si>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</si>
  <si>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</si>
  <si>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</si>
  <si>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</si>
  <si>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</si>
  <si>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</si>
  <si>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</si>
  <si>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</si>
  <si>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</si>
  <si>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</si>
  <si>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</si>
  <si>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</si>
  <si>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</si>
  <si>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</si>
  <si>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</si>
  <si>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</si>
  <si>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</si>
  <si>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</si>
  <si>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</si>
  <si>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</si>
  <si>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</si>
  <si>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</si>
  <si>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</si>
  <si>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</si>
  <si>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</si>
  <si>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</si>
  <si>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</si>
  <si>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</si>
  <si>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</si>
  <si>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</si>
  <si>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</si>
  <si>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</si>
  <si>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</si>
  <si>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</si>
  <si>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</si>
  <si>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</si>
  <si>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</si>
  <si>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</si>
  <si>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</si>
  <si>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</si>
  <si>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</si>
  <si>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</si>
  <si>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</si>
  <si>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</si>
  <si>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</si>
  <si>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</si>
  <si>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</si>
  <si>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</si>
  <si>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</si>
  <si>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</si>
  <si>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</si>
  <si>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</si>
  <si>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</si>
  <si>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</si>
  <si>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</si>
  <si>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</si>
  <si>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</si>
  <si>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</si>
  <si>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</si>
  <si>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</si>
  <si>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</si>
  <si>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</si>
  <si>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</si>
  <si>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</si>
  <si>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</si>
  <si>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</si>
  <si>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</si>
  <si>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</si>
  <si>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</si>
  <si>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</si>
  <si>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</si>
  <si>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</si>
  <si>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</si>
  <si>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</si>
  <si>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</si>
  <si>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</si>
  <si>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</si>
  <si>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</si>
  <si>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</si>
  <si>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</si>
  <si>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</si>
  <si>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</si>
  <si>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</si>
  <si>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</si>
  <si>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</si>
  <si>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</si>
  <si>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</si>
  <si>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</si>
  <si>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</si>
  <si>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</si>
  <si>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</si>
  <si>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</si>
  <si>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</si>
  <si>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</si>
  <si>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</si>
  <si>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</si>
  <si>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</si>
  <si>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</si>
  <si>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</si>
  <si>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</si>
  <si>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</si>
  <si>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</si>
  <si>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</si>
  <si>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</si>
  <si>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</si>
  <si>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</si>
  <si>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</si>
  <si>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</si>
  <si>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</si>
  <si>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</si>
  <si>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</si>
  <si>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</si>
  <si>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</si>
  <si>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</si>
  <si>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</si>
  <si>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</si>
  <si>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</si>
  <si>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</si>
  <si>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</si>
  <si>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</si>
  <si>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</si>
  <si>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</si>
  <si>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</si>
  <si>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</si>
  <si>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</si>
  <si>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</si>
  <si>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</si>
  <si>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</si>
  <si>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</si>
  <si>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</si>
  <si>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</si>
  <si>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</si>
  <si>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</si>
  <si>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</si>
  <si>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</si>
  <si>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</si>
  <si>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</si>
  <si>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</si>
  <si>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</si>
  <si>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</si>
  <si>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</si>
  <si>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</si>
  <si>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</si>
  <si>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</si>
  <si>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</si>
  <si>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</si>
  <si>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</si>
  <si>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</si>
  <si>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</si>
  <si>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</si>
  <si>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</si>
  <si>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</si>
  <si>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</si>
  <si>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</si>
  <si>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</si>
  <si>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</si>
  <si>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</si>
  <si>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</si>
  <si>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</si>
  <si>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</si>
  <si>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</si>
  <si>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</si>
  <si>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</si>
  <si>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</si>
  <si>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</si>
  <si>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</si>
  <si>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</si>
  <si>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</si>
  <si>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</si>
  <si>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</si>
  <si>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</si>
  <si>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</si>
  <si>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</si>
  <si>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</si>
  <si>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</si>
  <si>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</si>
  <si>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</si>
  <si>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</si>
  <si>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</si>
  <si>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</si>
  <si>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</si>
  <si>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</si>
  <si>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</si>
  <si>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</si>
  <si>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</si>
  <si>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</si>
  <si>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</si>
  <si>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</si>
  <si>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</si>
  <si>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</si>
  <si>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</si>
  <si>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</si>
  <si>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</si>
  <si>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</si>
  <si>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</si>
  <si>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</si>
  <si>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</si>
  <si>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</si>
  <si>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</si>
  <si>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</si>
  <si>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</si>
  <si>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</si>
  <si>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</si>
  <si>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</si>
  <si>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</si>
  <si>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</si>
  <si>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</si>
  <si>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</si>
  <si>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</si>
  <si>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</si>
  <si>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</si>
  <si>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</si>
  <si>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</si>
  <si>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</si>
  <si>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</si>
  <si>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</si>
  <si>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</si>
  <si>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</si>
  <si>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</si>
  <si>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</si>
  <si>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</si>
  <si>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</si>
  <si>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</si>
  <si>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</si>
  <si>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</si>
  <si>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</si>
  <si>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</si>
  <si>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</si>
  <si>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</si>
  <si>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</si>
  <si>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</si>
  <si>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</si>
  <si>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</si>
  <si>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</si>
  <si>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</si>
  <si>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</si>
  <si>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</si>
  <si>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</si>
  <si>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</si>
  <si>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</si>
  <si>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</si>
  <si>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</si>
  <si>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</si>
  <si>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</si>
  <si>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</si>
  <si>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</si>
  <si>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</si>
  <si>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</si>
  <si>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</si>
  <si>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</si>
  <si>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</si>
  <si>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</si>
  <si>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</si>
  <si>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</si>
  <si>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</si>
  <si>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</si>
  <si>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</si>
  <si>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</si>
  <si>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</si>
  <si>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</si>
  <si>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</si>
  <si>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</si>
  <si>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</si>
  <si>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</si>
  <si>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</si>
  <si>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</si>
  <si>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</si>
  <si>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</si>
  <si>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</si>
  <si>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</si>
  <si>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</si>
  <si>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</si>
  <si>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</si>
  <si>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</si>
  <si>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</si>
  <si>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</si>
  <si>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</si>
  <si>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</si>
  <si>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</si>
  <si>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</si>
  <si>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</si>
  <si>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</si>
  <si>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</si>
  <si>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</si>
  <si>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</si>
  <si>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</si>
  <si>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</si>
  <si>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</si>
  <si>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</si>
  <si>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</si>
  <si>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</si>
  <si>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</si>
  <si>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</si>
  <si>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</si>
  <si>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</si>
  <si>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</si>
  <si>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</si>
  <si>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</si>
  <si>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</si>
  <si>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</si>
  <si>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</si>
  <si>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</si>
  <si>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</si>
  <si>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</si>
  <si>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</si>
  <si>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</si>
  <si>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</si>
  <si>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</si>
  <si>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</si>
  <si>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</si>
  <si>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</si>
  <si>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</si>
  <si>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</si>
  <si>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</si>
  <si>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</si>
  <si>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</si>
  <si>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</si>
  <si>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</si>
  <si>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</si>
  <si>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</si>
  <si>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</si>
  <si>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</si>
  <si>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</si>
  <si>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</si>
  <si>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</si>
  <si>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</si>
  <si>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</si>
  <si>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</si>
  <si>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</si>
  <si>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</si>
  <si>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</si>
  <si>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</si>
  <si>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</si>
  <si>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</si>
  <si>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</si>
  <si>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</si>
  <si>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</si>
  <si>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</si>
  <si>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</si>
  <si>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</si>
  <si>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</si>
  <si>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</si>
  <si>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</si>
  <si>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</si>
  <si>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</si>
  <si>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</si>
  <si>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</si>
  <si>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</si>
  <si>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</si>
  <si>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</si>
  <si>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</si>
  <si>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</si>
  <si>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</si>
  <si>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</si>
  <si>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</si>
  <si>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</si>
  <si>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</si>
  <si>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</si>
  <si>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</si>
  <si>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</si>
  <si>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</si>
  <si>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</si>
  <si>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</si>
  <si>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</si>
  <si>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</si>
  <si>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</si>
  <si>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</si>
  <si>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</si>
  <si>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</si>
  <si>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</si>
  <si>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</si>
  <si>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</si>
  <si>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</si>
  <si>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</si>
  <si>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</si>
  <si>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</si>
  <si>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</si>
  <si>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</si>
  <si>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</si>
  <si>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</si>
  <si>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</si>
  <si>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Fell Into a Well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</si>
  <si>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</si>
  <si>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</si>
  <si>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</si>
  <si>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</si>
  <si>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</si>
  <si>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</si>
  <si>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</si>
  <si>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</si>
  <si>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</si>
  <si>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Wanted Hinox</t>
  </si>
  <si>
    <t>Wanted Molduga</t>
  </si>
  <si>
    <t>Wanted Stone Talus</t>
  </si>
  <si>
    <t>Cave Mushrooms That Glow</t>
  </si>
  <si>
    <t>Crossing the Cold Pool</t>
  </si>
  <si>
    <t>Fish for Fletching</t>
  </si>
  <si>
    <t>Genli's Home Cooking</t>
  </si>
  <si>
    <t>Horse-Drawn Dreams</t>
  </si>
  <si>
    <t>Kaneli's Flight Training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</si>
  <si>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</si>
  <si>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</si>
  <si>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</si>
  <si>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</si>
  <si>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</si>
  <si>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</si>
  <si>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</si>
  <si>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</si>
  <si>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</si>
  <si>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Where Are the Wells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</si>
  <si>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</si>
  <si>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</si>
  <si>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</si>
  <si>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</si>
  <si>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</si>
  <si>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</si>
  <si>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</si>
  <si>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</si>
  <si>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</si>
  <si>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</si>
  <si>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</si>
  <si>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</si>
  <si>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</si>
  <si>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</si>
  <si>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One-Hit Wonder</t>
  </si>
  <si>
    <t>Secrets Within</t>
  </si>
  <si>
    <t>Strongest in the World</t>
  </si>
  <si>
    <t>The Gathering Pirates</t>
  </si>
  <si>
    <t>Prophecy</t>
  </si>
  <si>
    <t>The Tarrey Town Race is On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</si>
  <si>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</si>
  <si>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</si>
  <si>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</si>
  <si>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</si>
  <si>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</si>
  <si>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</si>
  <si>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</si>
  <si>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Misko's Cave of Chests</t>
  </si>
  <si>
    <t>Misko's Treasure of Awakening</t>
  </si>
  <si>
    <t>Manuscript</t>
  </si>
  <si>
    <t>Moon-Gazing Gorons</t>
  </si>
  <si>
    <t>Rock Roast or Dust</t>
  </si>
  <si>
    <t>Simmerstone Springs</t>
  </si>
  <si>
    <t>Soul of the Gorons</t>
  </si>
  <si>
    <t>The Abandoned Laborer</t>
  </si>
  <si>
    <t>The Ancient City Gorondia</t>
  </si>
  <si>
    <t>Lakes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</si>
  <si>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</si>
  <si>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</si>
  <si>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</si>
  <si>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</si>
  <si>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</si>
  <si>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</si>
  <si>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</si>
  <si>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</si>
  <si>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Fish</t>
  </si>
  <si>
    <t>The Blue Stone</t>
  </si>
  <si>
    <t>The Fort at Ja'Abu Ridge</t>
  </si>
  <si>
    <t>The Moonlit Princess</t>
  </si>
  <si>
    <t>The Never-Ending Lecture</t>
  </si>
  <si>
    <t>The Ultimate Dish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</si>
  <si>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</si>
  <si>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</si>
  <si>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</si>
  <si>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</si>
  <si>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</si>
  <si>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</si>
  <si>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</si>
  <si>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</si>
  <si>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</si>
  <si>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</si>
  <si>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</si>
  <si>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</si>
  <si>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</si>
  <si>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</si>
  <si>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</si>
  <si>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</si>
  <si>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</si>
  <si>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</si>
  <si>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Teach Me a Lesson</t>
  </si>
  <si>
    <t>Uma's Garden</t>
  </si>
  <si>
    <t>A Picture for Highland Stable</t>
  </si>
  <si>
    <t>A Picture for Lakeside Stable</t>
  </si>
  <si>
    <t>Ancient Blades Below</t>
  </si>
  <si>
    <t>Goddess Statue of Courage</t>
  </si>
  <si>
    <t>A Picture for the Closed Stable</t>
  </si>
  <si>
    <t>Cold-Endurance Contest</t>
  </si>
  <si>
    <t>Dalia's Game</t>
  </si>
  <si>
    <t>Decorate with Passion</t>
  </si>
  <si>
    <t>Disaster in Gerudo Canyon</t>
  </si>
  <si>
    <t>Gleeok Guts</t>
  </si>
  <si>
    <t>Heat-Endurance Contest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</si>
  <si>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</si>
  <si>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</si>
  <si>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</si>
  <si>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</si>
  <si>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</si>
  <si>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</si>
  <si>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</si>
  <si>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</si>
  <si>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</si>
  <si>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To the Ruins</t>
  </si>
  <si>
    <t>Treasure of the Gerudo Desert</t>
  </si>
  <si>
    <t>Talk to Teli&lt;br&gt;&lt;strong&gt;Reward:&lt;/strong&gt; Silver Rupee</t>
  </si>
  <si>
    <t>Talk to Domidak&lt;br&gt;&lt;strong&gt;Reward:&lt;/strong&gt; Bomb Flowers</t>
  </si>
  <si>
    <t>Talk to Garini&lt;br&gt;&lt;strong&gt;Reward:&lt;/strong&gt; Mighty Salt-Grilled Crab</t>
  </si>
  <si>
    <t>Talk to Genli at the General Store&lt;br&gt;&lt;strong&gt;Reward:&lt;/strong&gt; Biting Simmered Fruit</t>
  </si>
  <si>
    <t>Talk to Huck&lt;br&gt;&lt;strong&gt;Reward:&lt;/strong&gt; Purple Rupee</t>
  </si>
  <si>
    <t>Activate the North Lomei Labyrinth Terminal&lt;br&gt;&lt;strong&gt;Reward:&lt;/strong&gt; Evil Spirit Greaves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</si>
  <si>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</si>
  <si>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</si>
  <si>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</si>
  <si>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</si>
  <si>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Speak with Rhondson in Tarrey Town&lt;br&gt;&lt;strong&gt;Reward:&lt;/strong&gt; Hudson Construction Fabric</t>
  </si>
  <si>
    <t>Talk to Chabi&lt;br&gt;&lt;strong&gt;Reward:&lt;/strong&gt; Rupees</t>
  </si>
  <si>
    <t>Activate the Lomei Labyrinth Island Terminal&lt;br&gt;&lt;strong&gt;Reward:&lt;/strong&gt; Evil Spirit Armor</t>
  </si>
  <si>
    <t>Talk to Gomo&lt;br&gt;&lt;strong&gt;Reward:&lt;/strong&gt; Rupees x1000</t>
  </si>
  <si>
    <t>Talk to Mezer&lt;br&gt;&lt;strong&gt;Reward:&lt;/strong&gt; Large Zonai Charge</t>
  </si>
  <si>
    <t>Talk to Cooke&lt;br&gt;&lt;strong&gt;Reward:&lt;/strong&gt; Seared Gourmet Steak</t>
  </si>
  <si>
    <t>Talk to Kima&lt;br&gt;&lt;strong&gt;Reward:&lt;/strong&gt; Silver Rupee</t>
  </si>
  <si>
    <t>Investigate the Bottled Letter&lt;br&gt;&lt;strong&gt;Reward:&lt;/strong&gt; 100 Rupees</t>
  </si>
  <si>
    <t>Examine Zelda's Diary&lt;br&gt;&lt;strong&gt;Reward:&lt;/strong&gt; Champion's Leathers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</si>
  <si>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</si>
  <si>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</si>
  <si>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</si>
  <si>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</si>
  <si>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</si>
  <si>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</si>
  <si>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</si>
  <si>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</si>
  <si>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</si>
  <si>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</si>
  <si>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</si>
  <si>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</si>
  <si>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Activate the South Lomei Labyrinth Terminal&lt;br&gt;&lt;strong&gt;Reward:&lt;/strong&gt; Evil Spirit Mask</t>
  </si>
  <si>
    <t>Talk to Lester&lt;br&gt;&lt;strong&gt;Reward:&lt;/strong&gt; Purple Rupee, Swift Carrot</t>
  </si>
  <si>
    <t>Talk to Jogo Through the Door of the Hut&lt;br&gt;&lt;strong&gt;Reward:&lt;/strong&gt; Spicy Elixir, Traveler's Shield</t>
  </si>
  <si>
    <t>Talk to Aya&lt;br&gt;&lt;strong&gt;Reward:&lt;/strong&gt; Pony Points, Endura Carrot</t>
  </si>
  <si>
    <t>Talk to Ramella&lt;br&gt;&lt;strong&gt;Reward:&lt;/strong&gt; Rupees x200, Selling Ores to Ramella</t>
  </si>
  <si>
    <t>Find the Ember Shirt and Misko's Letter&lt;br&gt;&lt;strong&gt;Reward:&lt;/strong&gt; Tunic of Awakening, Trousers of Awakening, Mask of Awakening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</si>
  <si>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</si>
  <si>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</si>
  <si>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&lt;img src="icons/treasure.png" style="height: 20px, width: 20px, vertical-align: middle, margin-right: 5px;"&gt;&lt;span style="color: #c6a96a, font-weight: bold;"&gt;TREASURE&lt;/span&gt; Trousers of the Hero</t>
  </si>
  <si>
    <t>&lt;img src="icons/treasure.png" style="height: 20px, width: 20px, vertical-align: middle, margin-right: 5px;"&gt;&lt;span style="color: #c6a96a, font-weight: bold;"&gt;TREASURE&lt;/span&gt; Tunic of the Hero</t>
  </si>
  <si>
    <t>&lt;img src="icons/treasure.png" style="height: 20px, width: 20px, vertical-align: middle, margin-right: 5px;"&gt;&lt;span style="color: #c6a96a, font-weight: bold;"&gt;TREASURE&lt;/span&gt; Cap of the Hero</t>
  </si>
  <si>
    <t>&lt;img src="icons/treasure.png" style="height: 20px, width: 20px, vertical-align: middle, margin-right: 5px;"&gt;&lt;span style="color: #c6a96a, font-weight: bold;"&gt;TREASURE&lt;/span&gt; Sheik's Mask</t>
  </si>
  <si>
    <t>&lt;img src="icons/treasure.png" style="height: 20px, width: 20px, vertical-align: middle, margin-right: 5px;"&gt;&lt;span style="color: #c6a96a, font-weight: bold;"&gt;TREASURE&lt;/span&gt; Tunic of the Wild</t>
  </si>
  <si>
    <t>&lt;img src="icons/treasure.png" style="height: 20px, width: 20px, vertical-align: middle, margin-right: 5px;"&gt;&lt;span style="color: #c6a96a, font-weight: bold;"&gt;TREASURE&lt;/span&gt; Trousers of the Wild</t>
  </si>
  <si>
    <t>&lt;img src="icons/treasure.png" style="height: 20px, width: 20px, vertical-align: middle, margin-right: 5px;"&gt;&lt;span style="color: #c6a96a, font-weight: bold;"&gt;TREASURE&lt;/span&gt; Cap of the Wild</t>
  </si>
  <si>
    <t>&lt;img src="icons/treasure.png" style="height: 20px, width: 20px, vertical-align: middle, margin-right: 5px;"&gt;&lt;span style="color: #c6a96a, font-weight: bold;"&gt;TREASURE&lt;/span&gt; Miner's Mask</t>
  </si>
  <si>
    <t>&lt;img src="icons/treasure.png" style="height: 20px, width: 20px, vertical-align: middle, margin-right: 5px;"&gt;&lt;span style="color: #c6a96a, font-weight: bold;"&gt;TREASURE&lt;/span&gt; Miner's Top</t>
  </si>
  <si>
    <t>&lt;img src="icons/treasure.png" style="height: 20px, width: 20px, vertical-align: middle, margin-right: 5px;"&gt;&lt;span style="color: #c6a96a, font-weight: bold;"&gt;TREASURE&lt;/span&gt; Miner's Trousers</t>
  </si>
  <si>
    <t>&lt;img src="icons/treasure.png" style="height: 20px, width: 20px, vertical-align: middle, margin-right: 5px;"&gt;&lt;span style="color: #c6a96a, font-weight: bold;"&gt;TREASURE&lt;/span&gt; Ravio's Hood</t>
  </si>
  <si>
    <t>&lt;img src="icons/treasure.png" style="height: 20px, width: 20px, vertical-align: middle, margin-right: 5px;"&gt;&lt;span style="color: #c6a96a, font-weight: bold;"&gt;TREASURE&lt;/span&gt; Korok Mask</t>
  </si>
  <si>
    <t>&lt;img src="icons/treasure.png" style="height: 20px, width: 20px, vertical-align: middle, margin-right: 5px;"&gt;&lt;span style="color: #c6a96a, font-weight: bold;"&gt;TREASURE&lt;/span&gt; Biggoron's Sword</t>
  </si>
  <si>
    <t>&lt;img src="icons/treasure.png" style="height: 20px, width: 20px, vertical-align: middle, margin-right: 5px;"&gt;&lt;span style="color: #c6a96a, font-weight: bold;"&gt;TREASURE&lt;/span&gt; Trousers of Twilight</t>
  </si>
  <si>
    <t>&lt;img src="icons/treasure.png" style="height: 20px, width: 20px, vertical-align: middle, margin-right: 5px;"&gt;&lt;span style="color: #c6a96a, font-weight: bold;"&gt;TREASURE&lt;/span&gt; Cap of Twilight</t>
  </si>
  <si>
    <t>&lt;img src="icons/treasure.png" style="height: 20px, width: 20px, vertical-align: middle, margin-right: 5px;"&gt;&lt;span style="color: #c6a96a, font-weight: bold;"&gt;TREASURE&lt;/span&gt; Tunic of Twilight</t>
  </si>
  <si>
    <t>&lt;img src="icons/treasure.png" style="height: 20px, width: 20px, vertical-align: middle, margin-right: 5px;"&gt;&lt;span style="color: #c6a96a, font-weight: bold;"&gt;TREASURE&lt;/span&gt; Trousers of the Wind</t>
  </si>
  <si>
    <t>&lt;img src="icons/treasure.png" style="height: 20px, width: 20px, vertical-align: middle, margin-right: 5px;"&gt;&lt;span style="color: #c6a96a, font-weight: bold;"&gt;TREASURE&lt;/span&gt; Cap of the Wind</t>
  </si>
  <si>
    <t>&lt;img src="icons/treasure.png" style="height: 20px, width: 20px, vertical-align: middle, margin-right: 5px;"&gt;&lt;span style="color: #c6a96a, font-weight: bold;"&gt;TREASURE&lt;/span&gt; Tunic of the Wind</t>
  </si>
  <si>
    <t>&lt;img src="icons/treasure.png" style="height: 20px, width: 20px, vertical-align: middle, margin-right: 5px;"&gt;&lt;span style="color: #c6a96a, font-weight: bold;"&gt;TREASURE&lt;/span&gt; Cap of Time</t>
  </si>
  <si>
    <t>&lt;img src="icons/treasure.png" style="height: 20px, width: 20px, vertical-align: middle, margin-right: 5px;"&gt;&lt;span style="color: #c6a96a, font-weight: bold;"&gt;TREASURE&lt;/span&gt; Tunic of Time</t>
  </si>
  <si>
    <t>&lt;img src="icons/treasure.png" style="height: 20px, width: 20px, vertical-align: middle, margin-right: 5px;"&gt;&lt;span style="color: #c6a96a, font-weight: bold;"&gt;TREASURE&lt;/span&gt; Trousers of Time</t>
  </si>
  <si>
    <t>&lt;img src="icons/treasure.png" style="height: 20px, width: 20px, vertical-align: middle, margin-right: 5px;"&gt;&lt;span style="color: #c6a96a, font-weight: bold;"&gt;TREASURE&lt;/span&gt; Sea-Breeze Shield</t>
  </si>
  <si>
    <t>&lt;img src="icons/treasure.png" style="height: 20px, width: 20px, vertical-align: middle, margin-right: 5px;"&gt;&lt;span style="color: #c6a96a, font-weight: bold;"&gt;TREASURE&lt;/span&gt; Tunic of the Sky</t>
  </si>
  <si>
    <t>&lt;img src="icons/treasure.png" style="height: 20px, width: 20px, vertical-align: middle, margin-right: 5px;"&gt;&lt;span style="color: #c6a96a, font-weight: bold;"&gt;TREASURE&lt;/span&gt; Midna's Helmet</t>
  </si>
  <si>
    <t>&lt;img src="icons/treasure.png" style="height: 20px, width: 20px, vertical-align: middle, margin-right: 5px;"&gt;&lt;span style="color: #c6a96a, font-weight: bold;"&gt;TREASURE&lt;/span&gt; Zant's Helmet</t>
  </si>
  <si>
    <t>&lt;img src="icons/treasure.png" style="height: 20px, width: 20px, vertical-align: middle, margin-right: 5px;"&gt;&lt;span style="color: #c6a96a, font-weight: bold;"&gt;TREASURE&lt;/span&gt; Sea-Breeze Boomerang</t>
  </si>
  <si>
    <t>&lt;img src="icons/treasure.png" style="height: 20px, width: 20px, vertical-align: middle, margin-right: 5px;"&gt;&lt;span style="color: #c6a96a, font-weight: bold;"&gt;TREASURE&lt;/span&gt; Trousers of the Sky</t>
  </si>
  <si>
    <t>&lt;img src="icons/treasure.png" style="height: 20px, width: 20px, vertical-align: middle, margin-right: 5px;"&gt;&lt;span style="color: #c6a96a, font-weight: bold;"&gt;TREASURE&lt;/span&gt; Cap of the Sky</t>
  </si>
  <si>
    <t>&lt;img src="icons/treasure.png" style="height: 20px, width: 20px, vertical-align: middle, margin-right: 5px;"&gt;&lt;span style="color: #c6a96a, font-weight: bold;"&gt;TREASURE&lt;/span&gt; Sword of the Hero</t>
  </si>
  <si>
    <t>&lt;img src="icons/treasure.png" style="height: 20px, width: 20px, vertical-align: middle, margin-right: 5px;"&gt;&lt;span style="color: #c6a96a, font-weight: bold;"&gt;TREASURE&lt;/span&gt; Majora's Mask</t>
  </si>
  <si>
    <t>Holds a &lt;img src="icons/chasm.png" style="height: 20px, width: 20px, vertical-align: middle, margin-right: 5px;"&gt;&lt;span style="color: #de878b, font-weight: bold;"&gt;CHASM&lt;/span&gt;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</si>
  <si>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</si>
  <si>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</si>
  <si>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</si>
  <si>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</si>
  <si>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</si>
  <si>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</si>
  <si>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</si>
  <si>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</si>
  <si>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</si>
  <si>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</si>
  <si>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</si>
  <si>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</si>
  <si>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</si>
  <si>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</si>
  <si>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</si>
  <si>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</si>
  <si>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</si>
  <si>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</si>
  <si>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</si>
  <si>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</si>
  <si>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</si>
  <si>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</si>
  <si>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</si>
  <si>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</si>
  <si>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</si>
  <si>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</si>
  <si>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</si>
  <si>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</si>
  <si>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</si>
  <si>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</si>
  <si>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</si>
  <si>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</si>
  <si>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</si>
  <si>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</si>
  <si>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</si>
  <si>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</si>
  <si>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</si>
  <si>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</si>
  <si>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</si>
  <si>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</si>
  <si>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</si>
  <si>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</si>
  <si>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</si>
  <si>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</si>
  <si>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</si>
  <si>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</si>
  <si>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</si>
  <si>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</si>
  <si>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</si>
  <si>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</si>
  <si>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</si>
  <si>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</si>
  <si>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</si>
  <si>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</si>
  <si>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</si>
  <si>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</si>
  <si>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</si>
  <si>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</si>
  <si>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</si>
  <si>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</si>
  <si>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</si>
  <si>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</si>
  <si>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</si>
  <si>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</si>
  <si>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</si>
  <si>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</si>
  <si>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</si>
  <si>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</si>
  <si>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</si>
  <si>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</si>
  <si>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</si>
  <si>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</si>
  <si>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</si>
  <si>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</si>
  <si>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</si>
  <si>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</si>
  <si>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</si>
  <si>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</si>
  <si>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</si>
  <si>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</si>
  <si>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</si>
  <si>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</si>
  <si>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</si>
  <si>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</si>
  <si>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</si>
  <si>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</si>
  <si>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</si>
  <si>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</si>
  <si>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</si>
  <si>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</si>
  <si>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</si>
  <si>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</si>
  <si>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</si>
  <si>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</si>
  <si>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</si>
  <si>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</si>
  <si>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</si>
  <si>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</si>
  <si>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</si>
  <si>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</si>
  <si>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</si>
  <si>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</si>
  <si>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</si>
  <si>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</si>
  <si>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</si>
  <si>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</si>
  <si>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</si>
  <si>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</si>
  <si>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</si>
  <si>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</si>
  <si>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</si>
  <si>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</si>
  <si>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</si>
  <si>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</si>
  <si>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</si>
  <si>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</si>
  <si>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</si>
  <si>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</si>
  <si>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</si>
  <si>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</si>
  <si>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</si>
  <si>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</si>
  <si>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</si>
  <si>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</si>
  <si>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</si>
  <si>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</si>
  <si>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</si>
  <si>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</si>
  <si>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</si>
  <si>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</si>
  <si>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</si>
  <si>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</si>
  <si>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</si>
  <si>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</si>
  <si>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</si>
  <si>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</si>
  <si>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</si>
  <si>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</si>
  <si>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</si>
  <si>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</si>
  <si>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</si>
  <si>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</si>
  <si>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</si>
  <si>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</si>
  <si>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</si>
  <si>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</si>
  <si>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</si>
  <si>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</si>
  <si>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</si>
  <si>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</si>
  <si>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</si>
  <si>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</si>
  <si>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</si>
  <si>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</si>
  <si>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</si>
  <si>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</si>
  <si>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</si>
  <si>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</si>
  <si>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</si>
  <si>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</si>
  <si>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</si>
  <si>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</si>
  <si>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</si>
  <si>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</si>
  <si>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</si>
  <si>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</si>
  <si>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</si>
  <si>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</si>
  <si>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</si>
  <si>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</si>
  <si>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</si>
  <si>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</si>
  <si>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</si>
  <si>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</si>
  <si>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</si>
  <si>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</si>
  <si>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</si>
  <si>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</si>
  <si>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</si>
  <si>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</si>
  <si>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</si>
  <si>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</si>
  <si>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</si>
  <si>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</si>
  <si>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</si>
  <si>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</si>
  <si>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</si>
  <si>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</si>
  <si>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</si>
  <si>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</si>
  <si>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</si>
  <si>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</si>
  <si>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</si>
  <si>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</si>
  <si>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</si>
  <si>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</si>
  <si>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</si>
  <si>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</si>
  <si>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</si>
  <si>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</si>
  <si>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</si>
  <si>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</si>
  <si>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</si>
  <si>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</si>
  <si>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</si>
  <si>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</si>
  <si>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</si>
  <si>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</si>
  <si>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</si>
  <si>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</si>
  <si>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</si>
  <si>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</si>
  <si>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</si>
  <si>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</si>
  <si>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</si>
  <si>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</si>
  <si>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</si>
  <si>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</si>
  <si>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</si>
  <si>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</si>
  <si>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</si>
  <si>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</si>
  <si>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</si>
  <si>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</si>
  <si>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</si>
  <si>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</si>
  <si>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</si>
  <si>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</si>
  <si>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</si>
  <si>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</si>
  <si>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</si>
  <si>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</si>
  <si>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</si>
  <si>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</si>
  <si>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</si>
  <si>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</si>
  <si>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</si>
  <si>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</si>
  <si>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</si>
  <si>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</si>
  <si>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</si>
  <si>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</si>
  <si>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</si>
  <si>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</si>
  <si>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</si>
  <si>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</si>
  <si>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</si>
  <si>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</si>
  <si>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</si>
  <si>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</si>
  <si>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</si>
  <si>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</si>
  <si>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</si>
  <si>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</si>
  <si>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</si>
  <si>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</si>
  <si>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</si>
  <si>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</si>
  <si>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</si>
  <si>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</si>
  <si>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</si>
  <si>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</si>
  <si>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</si>
  <si>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</si>
  <si>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</si>
  <si>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</si>
  <si>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</si>
  <si>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</si>
  <si>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</si>
  <si>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</si>
  <si>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</si>
  <si>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</si>
  <si>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</si>
  <si>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</si>
  <si>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</si>
  <si>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</si>
  <si>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</si>
  <si>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</si>
  <si>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</si>
  <si>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</si>
  <si>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</si>
  <si>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</si>
  <si>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</si>
  <si>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</si>
  <si>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</si>
  <si>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</si>
  <si>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</si>
  <si>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</si>
  <si>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</si>
  <si>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</si>
  <si>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</si>
  <si>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</si>
  <si>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</si>
  <si>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</si>
  <si>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</si>
  <si>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</si>
  <si>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</si>
  <si>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</si>
  <si>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</si>
  <si>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</si>
  <si>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</si>
  <si>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</si>
  <si>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</si>
  <si>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</si>
  <si>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</si>
  <si>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</si>
  <si>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</si>
  <si>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</si>
  <si>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</si>
  <si>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</si>
  <si>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</si>
  <si>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</si>
  <si>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</si>
  <si>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</si>
  <si>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</si>
  <si>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</si>
  <si>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</si>
  <si>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</si>
  <si>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</si>
  <si>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</si>
  <si>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</si>
  <si>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</si>
  <si>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</si>
  <si>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</si>
  <si>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</si>
  <si>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</si>
  <si>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</si>
  <si>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</si>
  <si>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</si>
  <si>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</si>
  <si>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</si>
  <si>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</si>
  <si>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</si>
  <si>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</si>
  <si>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</si>
  <si>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</si>
  <si>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</si>
  <si>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</si>
  <si>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</si>
  <si>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</si>
  <si>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</si>
  <si>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</si>
  <si>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</si>
  <si>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</si>
  <si>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</si>
  <si>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</si>
  <si>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</si>
  <si>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</si>
  <si>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</si>
  <si>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</si>
  <si>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</si>
  <si>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</si>
  <si>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</si>
  <si>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</si>
  <si>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</si>
  <si>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</si>
  <si>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</si>
  <si>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</si>
  <si>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</si>
  <si>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</si>
  <si>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</si>
  <si>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</si>
  <si>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</si>
  <si>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</si>
  <si>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</si>
  <si>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</si>
  <si>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</si>
  <si>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</si>
  <si>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</si>
  <si>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</si>
  <si>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</si>
  <si>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</si>
  <si>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</si>
  <si>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</si>
  <si>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</si>
  <si>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</si>
  <si>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</si>
  <si>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</si>
  <si>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</si>
  <si>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</si>
  <si>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</si>
  <si>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</si>
  <si>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</si>
  <si>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</si>
  <si>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</si>
  <si>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</si>
  <si>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</si>
  <si>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</si>
  <si>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</si>
  <si>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</si>
  <si>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</si>
  <si>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</si>
  <si>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</si>
  <si>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</si>
  <si>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</si>
  <si>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</si>
  <si>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</si>
  <si>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</si>
  <si>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</si>
  <si>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</si>
  <si>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</si>
  <si>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</si>
  <si>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</si>
  <si>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</si>
  <si>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</si>
  <si>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</si>
  <si>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</si>
  <si>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</si>
  <si>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</si>
  <si>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</si>
  <si>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</si>
  <si>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</si>
  <si>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</si>
  <si>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</si>
  <si>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</si>
  <si>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</si>
  <si>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</si>
  <si>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</si>
  <si>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</si>
  <si>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</si>
  <si>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</si>
  <si>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</si>
  <si>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</si>
  <si>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</si>
  <si>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</si>
  <si>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</si>
  <si>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</si>
  <si>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</si>
  <si>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</si>
  <si>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</si>
  <si>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</si>
  <si>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</si>
  <si>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</si>
  <si>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</si>
  <si>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</si>
  <si>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</si>
  <si>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</si>
  <si>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</si>
  <si>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</si>
  <si>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</si>
  <si>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</si>
  <si>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</si>
  <si>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</si>
  <si>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</si>
  <si>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</si>
  <si>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</si>
  <si>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</si>
  <si>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</si>
  <si>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</si>
  <si>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</si>
  <si>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</si>
  <si>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</si>
  <si>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</si>
  <si>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</si>
  <si>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</si>
  <si>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</si>
  <si>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</si>
  <si>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</si>
  <si>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</si>
  <si>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</si>
  <si>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</si>
  <si>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</si>
  <si>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</si>
  <si>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</si>
  <si>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</si>
  <si>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</si>
  <si>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</si>
  <si>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</si>
  <si>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</si>
  <si>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</si>
  <si>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</si>
  <si>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</si>
  <si>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</si>
  <si>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</si>
  <si>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</si>
  <si>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</si>
  <si>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</si>
  <si>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</si>
  <si>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</si>
  <si>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</si>
  <si>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</si>
  <si>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</si>
  <si>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</si>
  <si>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</si>
  <si>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</si>
  <si>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</si>
  <si>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</si>
  <si>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</si>
  <si>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</si>
  <si>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</si>
  <si>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</si>
  <si>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</si>
  <si>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</si>
  <si>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</si>
  <si>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</si>
  <si>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</si>
  <si>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</si>
  <si>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</si>
  <si>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</si>
  <si>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</si>
  <si>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</si>
  <si>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</si>
  <si>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</si>
  <si>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</si>
  <si>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</si>
  <si>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</si>
  <si>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</si>
  <si>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</si>
  <si>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</si>
  <si>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</si>
  <si>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</si>
  <si>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</si>
  <si>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</si>
  <si>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</si>
  <si>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</si>
  <si>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</si>
  <si>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</si>
  <si>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</si>
  <si>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</si>
  <si>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</si>
  <si>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</si>
  <si>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</si>
  <si>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</si>
  <si>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</si>
  <si>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</si>
  <si>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</si>
  <si>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</si>
  <si>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</si>
  <si>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</si>
  <si>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</si>
  <si>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</si>
  <si>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</si>
  <si>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</si>
  <si>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</si>
  <si>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</si>
  <si>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</si>
  <si>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</si>
  <si>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</si>
  <si>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</si>
  <si>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</si>
  <si>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</si>
  <si>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</si>
  <si>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</si>
  <si>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</si>
  <si>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</si>
  <si>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</si>
  <si>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</si>
  <si>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</si>
  <si>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</si>
  <si>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</si>
  <si>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</si>
  <si>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</si>
  <si>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</si>
  <si>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</si>
  <si>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</si>
  <si>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</si>
  <si>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</si>
  <si>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</si>
  <si>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</si>
  <si>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</si>
  <si>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</si>
  <si>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</si>
  <si>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</si>
  <si>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</si>
  <si>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</si>
  <si>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</si>
  <si>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</si>
  <si>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</si>
  <si>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</si>
  <si>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</si>
  <si>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</si>
  <si>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</si>
  <si>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</si>
  <si>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</si>
  <si>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</si>
  <si>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</si>
  <si>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</si>
  <si>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</si>
  <si>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</si>
  <si>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</si>
  <si>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</si>
  <si>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</si>
  <si>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</si>
  <si>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</si>
  <si>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</si>
  <si>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</si>
  <si>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</si>
  <si>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</si>
  <si>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</si>
  <si>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</si>
  <si>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</si>
  <si>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</si>
  <si>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</si>
  <si>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</si>
  <si>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</si>
  <si>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</si>
  <si>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</si>
  <si>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</si>
  <si>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</si>
  <si>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</si>
  <si>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</si>
  <si>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</si>
  <si>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</si>
  <si>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</si>
  <si>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</si>
  <si>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</si>
  <si>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</si>
  <si>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</si>
  <si>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</si>
  <si>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</si>
  <si>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</si>
  <si>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</si>
  <si>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</si>
  <si>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</si>
  <si>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</si>
  <si>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</si>
  <si>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</si>
  <si>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</si>
  <si>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</si>
  <si>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</si>
  <si>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</si>
  <si>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</si>
  <si>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</si>
  <si>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</si>
  <si>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</si>
  <si>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</si>
  <si>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</si>
  <si>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</si>
  <si>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</si>
  <si>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</si>
  <si>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</si>
  <si>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</si>
  <si>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</si>
  <si>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</si>
  <si>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</si>
  <si>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</si>
  <si>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</si>
  <si>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</si>
  <si>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</si>
  <si>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</si>
  <si>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</si>
  <si>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</si>
  <si>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</si>
  <si>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</si>
  <si>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</si>
  <si>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</si>
  <si>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</si>
  <si>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</si>
  <si>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</si>
  <si>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</si>
  <si>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</si>
  <si>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</si>
  <si>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</si>
  <si>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</si>
  <si>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</si>
  <si>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</si>
  <si>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</si>
  <si>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</si>
  <si>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</si>
  <si>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</si>
  <si>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</si>
  <si>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</si>
  <si>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</si>
  <si>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</si>
  <si>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</si>
  <si>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</si>
  <si>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</si>
  <si>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</si>
  <si>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</si>
  <si>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</si>
  <si>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</si>
  <si>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</si>
  <si>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</si>
  <si>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</si>
  <si>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</si>
  <si>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</si>
  <si>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</si>
  <si>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</si>
  <si>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</si>
  <si>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</si>
  <si>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</si>
  <si>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</si>
  <si>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</si>
  <si>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</si>
  <si>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</si>
  <si>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</si>
  <si>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</si>
  <si>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</si>
  <si>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</si>
  <si>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</si>
  <si>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</si>
  <si>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</si>
  <si>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</si>
  <si>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</si>
  <si>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</si>
  <si>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</si>
  <si>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</si>
  <si>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</si>
  <si>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</si>
  <si>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</si>
  <si>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</si>
  <si>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</si>
  <si>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</si>
  <si>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</si>
  <si>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</si>
  <si>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</si>
  <si>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</si>
  <si>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</si>
  <si>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</si>
  <si>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</si>
  <si>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</si>
  <si>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</si>
  <si>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</si>
  <si>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</si>
  <si>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</si>
  <si>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</si>
  <si>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</si>
  <si>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</si>
  <si>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</si>
  <si>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</si>
  <si>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</si>
  <si>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</si>
  <si>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</si>
  <si>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</si>
  <si>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</si>
  <si>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</si>
  <si>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</si>
  <si>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</si>
  <si>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</si>
  <si>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</si>
  <si>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</si>
  <si>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</si>
  <si>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</si>
  <si>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</si>
  <si>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</si>
  <si>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</si>
  <si>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</si>
  <si>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</si>
  <si>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</si>
  <si>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</si>
  <si>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</si>
  <si>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</si>
  <si>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</si>
  <si>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</si>
  <si>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</si>
  <si>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</si>
  <si>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</si>
  <si>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</si>
  <si>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</si>
  <si>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</si>
  <si>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</si>
  <si>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</si>
  <si>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</si>
  <si>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</si>
  <si>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</si>
  <si>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</si>
  <si>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</si>
  <si>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</si>
  <si>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</si>
  <si>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</si>
  <si>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</si>
  <si>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</si>
  <si>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</si>
  <si>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</si>
  <si>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</si>
  <si>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</si>
  <si>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</si>
  <si>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</si>
  <si>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</si>
  <si>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</si>
  <si>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</si>
  <si>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</si>
  <si>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</si>
  <si>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</si>
  <si>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</si>
  <si>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</si>
  <si>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</si>
  <si>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</si>
  <si>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</si>
  <si>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</si>
  <si>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</si>
  <si>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</si>
  <si>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</si>
  <si>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</si>
  <si>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</si>
  <si>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</si>
  <si>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</si>
  <si>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</si>
  <si>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</si>
  <si>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</si>
  <si>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</si>
  <si>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</si>
  <si>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</si>
  <si>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</si>
  <si>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</si>
  <si>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</si>
  <si>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</si>
  <si>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</si>
  <si>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</si>
  <si>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</si>
  <si>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</si>
  <si>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</si>
  <si>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</si>
  <si>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</si>
  <si>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</si>
  <si>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</si>
  <si>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</si>
  <si>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</si>
  <si>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</si>
  <si>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</si>
  <si>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</si>
  <si>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</si>
  <si>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</si>
  <si>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</si>
  <si>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</si>
  <si>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</si>
  <si>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</si>
  <si>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</si>
  <si>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</si>
  <si>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</si>
  <si>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</si>
  <si>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</si>
  <si>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</si>
  <si>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</si>
  <si>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</si>
  <si>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</si>
  <si>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</si>
  <si>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</si>
  <si>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</si>
  <si>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</si>
  <si>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</si>
  <si>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</si>
  <si>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</si>
  <si>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</si>
  <si>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</si>
  <si>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</si>
  <si>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</si>
  <si>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</si>
  <si>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</si>
  <si>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</si>
  <si>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</si>
  <si>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</si>
  <si>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</si>
  <si>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</si>
  <si>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</si>
  <si>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</si>
  <si>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</si>
  <si>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</si>
  <si>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</si>
  <si>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</si>
  <si>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</si>
  <si>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</si>
  <si>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</si>
  <si>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</si>
  <si>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</si>
  <si>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</si>
  <si>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</si>
  <si>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</si>
  <si>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</si>
  <si>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</si>
  <si>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</si>
  <si>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</si>
  <si>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</si>
  <si>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</si>
  <si>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</si>
  <si>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</si>
  <si>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</si>
  <si>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</si>
  <si>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</si>
  <si>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</si>
  <si>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</si>
  <si>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</si>
  <si>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</si>
  <si>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</si>
  <si>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</si>
  <si>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</si>
  <si>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</si>
  <si>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</si>
  <si>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</si>
  <si>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</si>
  <si>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</si>
  <si>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</si>
  <si>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</si>
  <si>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</si>
  <si>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</si>
  <si>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</si>
  <si>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</si>
  <si>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</si>
  <si>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</si>
  <si>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</si>
  <si>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</si>
  <si>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</si>
  <si>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</si>
  <si>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</si>
  <si>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</si>
  <si>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</si>
  <si>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</si>
  <si>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</si>
  <si>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</si>
  <si>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</si>
  <si>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</si>
  <si>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</si>
  <si>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</si>
  <si>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</si>
  <si>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</si>
  <si>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</si>
  <si>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</si>
  <si>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</si>
  <si>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</si>
  <si>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</si>
  <si>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</si>
  <si>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</si>
  <si>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</si>
  <si>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</si>
  <si>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</si>
  <si>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</si>
  <si>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</si>
  <si>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</si>
  <si>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</si>
  <si>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</si>
  <si>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</si>
  <si>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</si>
  <si>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</si>
  <si>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</si>
  <si>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</si>
  <si>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</si>
  <si>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</si>
  <si>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</si>
  <si>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</si>
  <si>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</si>
  <si>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</si>
  <si>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</si>
  <si>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</si>
  <si>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</si>
  <si>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</si>
  <si>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</si>
  <si>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</si>
  <si>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</si>
  <si>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</si>
  <si>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</si>
  <si>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</si>
  <si>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</si>
  <si>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</si>
  <si>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</si>
  <si>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</si>
  <si>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</si>
  <si>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</si>
  <si>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</si>
  <si>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</si>
  <si>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</si>
  <si>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</si>
  <si>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</si>
  <si>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</si>
  <si>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</si>
  <si>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</si>
  <si>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</si>
  <si>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</si>
  <si>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</si>
  <si>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</si>
  <si>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</si>
  <si>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</si>
  <si>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</si>
  <si>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</si>
  <si>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</si>
  <si>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</si>
  <si>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</si>
  <si>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</si>
  <si>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</si>
  <si>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</si>
  <si>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</si>
  <si>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</si>
  <si>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</si>
  <si>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</si>
  <si>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</si>
  <si>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</si>
  <si>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</si>
  <si>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</si>
  <si>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</si>
  <si>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</si>
  <si>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</si>
  <si>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</si>
  <si>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</si>
  <si>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</si>
  <si>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</si>
  <si>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</si>
  <si>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</si>
  <si>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</si>
  <si>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</si>
  <si>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</si>
  <si>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</si>
  <si>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</si>
  <si>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</si>
  <si>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</si>
  <si>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</si>
  <si>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</si>
  <si>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</si>
  <si>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</si>
  <si>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</si>
  <si>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</si>
  <si>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</si>
  <si>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</si>
  <si>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</si>
  <si>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</si>
  <si>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</si>
  <si>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</si>
  <si>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</si>
  <si>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</si>
  <si>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</si>
  <si>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</si>
  <si>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</si>
  <si>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</si>
  <si>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</si>
  <si>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</si>
  <si>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</si>
  <si>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</si>
  <si>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</si>
  <si>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</si>
  <si>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</si>
  <si>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</si>
  <si>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</si>
  <si>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</si>
  <si>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</si>
  <si>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</si>
  <si>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</si>
  <si>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</si>
  <si>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</si>
  <si>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</si>
  <si>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</si>
  <si>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</si>
  <si>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</si>
  <si>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</si>
  <si>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</si>
  <si>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</si>
  <si>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</si>
  <si>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</si>
  <si>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</si>
  <si>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</si>
  <si>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</si>
  <si>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</si>
  <si>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</si>
  <si>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</si>
  <si>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</si>
  <si>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</si>
  <si>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</si>
  <si>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</si>
  <si>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</si>
  <si>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</si>
  <si>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</si>
  <si>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</si>
  <si>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</si>
  <si>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</si>
  <si>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</si>
  <si>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</si>
  <si>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</si>
  <si>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</si>
  <si>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</si>
  <si>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</si>
  <si>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</si>
  <si>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</si>
  <si>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</si>
  <si>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</si>
  <si>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</si>
  <si>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</si>
  <si>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</si>
  <si>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A Picture for Tabantha Bridge Stable</t>
  </si>
  <si>
    <t>A Picture for South Akkala Stable</t>
  </si>
  <si>
    <t>A Picture for Dueling Peaks Stable</t>
  </si>
  <si>
    <t>Find Princess Zelda</t>
  </si>
  <si>
    <t>The Closed Door</t>
  </si>
  <si>
    <t>To the Kingdom of Hyrule</t>
  </si>
  <si>
    <t>Crisis at Hyrule Castle</t>
  </si>
  <si>
    <t>Regional Phenomena</t>
  </si>
  <si>
    <t>Camera Work in the Depths</t>
  </si>
  <si>
    <t>Impa and the Geoglyphs</t>
  </si>
  <si>
    <t>Tulin of Rito Village</t>
  </si>
  <si>
    <t>A Mystery in the Depths</t>
  </si>
  <si>
    <t>Riju of Gerudo Town</t>
  </si>
  <si>
    <t>Yunobo of Goron City</t>
  </si>
  <si>
    <t>The Sludge-Covered Statue</t>
  </si>
  <si>
    <t>Sidon of the Zora</t>
  </si>
  <si>
    <t>The Broken Slate</t>
  </si>
  <si>
    <t>Clues to the Sky</t>
  </si>
  <si>
    <t>Restoring the Zora Armor</t>
  </si>
  <si>
    <t>The Dragon's Tears</t>
  </si>
  <si>
    <t>Find the Fifth Sage</t>
  </si>
  <si>
    <t>Secret of the Ring Ruins</t>
  </si>
  <si>
    <t>Guidance from Ages Past</t>
  </si>
  <si>
    <t>Trail of the Master Sword</t>
  </si>
  <si>
    <t>Recovering the Hero's Sword</t>
  </si>
  <si>
    <t>Destroy Ganondorf</t>
  </si>
  <si>
    <t>Talk to Steward Construct</t>
  </si>
  <si>
    <t>Talk to Rauru</t>
  </si>
  <si>
    <t>Talk to Zelda's Voice</t>
  </si>
  <si>
    <t>Talk to Purah</t>
  </si>
  <si>
    <t>Talk to Josha</t>
  </si>
  <si>
    <t>Talk to Cado</t>
  </si>
  <si>
    <t>Talk to Teba</t>
  </si>
  <si>
    <t>Talk to Riju</t>
  </si>
  <si>
    <t>Talk to Yunobo</t>
  </si>
  <si>
    <t>Talk to Yona</t>
  </si>
  <si>
    <t>Talk to Jiahto</t>
  </si>
  <si>
    <t>Talk to Impa</t>
  </si>
  <si>
    <t>Talk to Tauro</t>
  </si>
  <si>
    <t>Talk to Zonai Relic</t>
  </si>
  <si>
    <t>Talk to Mineru</t>
  </si>
  <si>
    <t>Talk to Great Deku Tree</t>
  </si>
  <si>
    <t>Approach the Zora near the statue</t>
  </si>
  <si>
    <t>Mine-Cart Land: Open For Business!</t>
  </si>
  <si>
    <t>Talk to Bludo&lt;br&gt;&lt;strong&gt;Reward:&lt;/strong&gt; Vah Rudania Divine Helm</t>
  </si>
  <si>
    <t>Talk to Pulcho&lt;br&gt;&lt;strong&gt;Reward:&lt;/strong&gt; Sundelion</t>
  </si>
  <si>
    <t>Talk to Ralera&lt;br&gt;&lt;strong&gt;Reward:&lt;/strong&gt; Lurelin Village Fabric</t>
  </si>
  <si>
    <t>Talk to Bayge&lt;br&gt;&lt;strong&gt;Reward:&lt;/strong&gt; Red Rupee</t>
  </si>
  <si>
    <t>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</t>
  </si>
  <si>
    <t>Talk to Karson&lt;br&gt;&lt;strong&gt;Reward:&lt;/strong&gt; Unlocked Stable</t>
  </si>
  <si>
    <t>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</t>
  </si>
  <si>
    <t>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</t>
  </si>
  <si>
    <t>Speak With Zumi&lt;br&gt;&lt;strong&gt;Reward:&lt;/strong&gt; 100 Rupees</t>
  </si>
  <si>
    <t>Speak with Toffa&lt;br&gt;&lt;strong&gt;Reward:&lt;/strong&gt; Purple Rupee, Silver Rupee, 2 Pony Points</t>
  </si>
  <si>
    <t>Talk to Parcy&lt;br&gt;&lt;strong&gt;Reward:&lt;/strong&gt; Random gems</t>
  </si>
  <si>
    <t>Speak with Ami&lt;br&gt;&lt;strong&gt;Reward:&lt;/strong&gt; Two Pony Points</t>
  </si>
  <si>
    <t>Talk to Kampo&lt;br&gt;&lt;strong&gt;Reward:&lt;/strong&gt; Mighty Fried Bananas</t>
  </si>
  <si>
    <t>Speak to Piaffe&lt;br&gt;&lt;strong&gt;Reward:&lt;/strong&gt; 1 Pony Point</t>
  </si>
  <si>
    <t>Talk to Nat&lt;br&gt;&lt;strong&gt;Reward:&lt;/strong&gt; Spicy Tomato Mushroom Stew</t>
  </si>
  <si>
    <t>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</t>
  </si>
  <si>
    <t>Talk to Fera&lt;br&gt;&lt;strong&gt;Reward:&lt;/strong&gt; All's Well</t>
  </si>
  <si>
    <t>Speak With Verla&lt;br&gt;&lt;strong&gt;Reward:&lt;/strong&gt; 50 Rupees</t>
  </si>
  <si>
    <t>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</t>
  </si>
  <si>
    <t>Finish &lt;img src="icons/side-quest.png" style="height: 20px; width: 20px; vertical-align: middle; margin-right: 5px;"&gt;&lt;span style="color: #c6a96a; font-weight: bold;"&gt;Hebra's Colossal Fossil&lt;/span&gt;&lt;br&gt;&lt;strong&gt;Reward:&lt;/strong&gt; Purple Rupee</t>
  </si>
  <si>
    <t>Talk to Kaneli&lt;br&gt;&lt;strong&gt;Reward:&lt;/strong&gt; Purple Rupee</t>
  </si>
  <si>
    <t>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</t>
  </si>
  <si>
    <t>Speak With Molli in Her Home&lt;br&gt;&lt;strong&gt;Reward:&lt;/strong&gt; Arrow x10</t>
  </si>
  <si>
    <t>Find and Talk to Mazli&lt;br&gt;&lt;strong&gt;Reward:&lt;/strong&gt; Red Rupee</t>
  </si>
  <si>
    <t>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</t>
  </si>
  <si>
    <t>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</t>
  </si>
  <si>
    <t>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</t>
  </si>
  <si>
    <t>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</t>
  </si>
  <si>
    <t>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</t>
  </si>
  <si>
    <t>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</t>
  </si>
  <si>
    <t>Finish &lt;img src="icons/side-quest.png" style="height: 20px; width: 20px; vertical-align: middle; margin-right: 5px;"&gt;&lt;span style="color: #c6a96a; font-weight: bold;"&gt;Eldin's Colossal Fossil&lt;/span&gt;&lt;br&gt;&lt;strong&gt;Reward:&lt;/strong&gt; Purple Rupee</t>
  </si>
  <si>
    <t>Mine-Cart Land: Quickshot Course</t>
  </si>
  <si>
    <t>Misko's Treasure: The Fierce Deity</t>
  </si>
  <si>
    <t>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</t>
  </si>
  <si>
    <t>Speak with Domidak and Prissen&lt;br&gt;&lt;strong&gt;Reward:&lt;/strong&gt; Tingle's Hood, Tingle's Tights, Tingle's Shirt</t>
  </si>
  <si>
    <t>Talk to Domidak and Prissen&lt;br&gt;&lt;strong&gt;Reward:&lt;/strong&gt; Ember Trousers</t>
  </si>
  <si>
    <t>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</t>
  </si>
  <si>
    <t>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</t>
  </si>
  <si>
    <t>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</t>
  </si>
  <si>
    <t>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</t>
  </si>
  <si>
    <t>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</t>
  </si>
  <si>
    <t>Talk to Dugby&lt;br&gt;&lt;strong&gt;Reward:&lt;/strong&gt; Zonai Charge, Large Zonai Charge</t>
  </si>
  <si>
    <t>Talk to the &lt;img src="icons/goddess-statue.png" style="height: 20px; width: 20px; vertical-align: middle; margin-right: 5px;"&gt;&lt;span style="color: #7cc9c2; font-weight: bold;"&gt;Goddess Statue of Power&lt;/span&gt;&lt;br&gt;&lt;strong&gt;Reward:&lt;/strong&gt; Ruby</t>
  </si>
  <si>
    <t>Talk to Fernison&lt;br&gt;&lt;strong&gt;Reward:&lt;/strong&gt; 100 Rupees, Sleepover Ticket</t>
  </si>
  <si>
    <t>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</t>
  </si>
  <si>
    <t>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</t>
  </si>
  <si>
    <t>Talk to Yona&lt;br&gt;&lt;strong&gt;Reward:&lt;/strong&gt; Zora Greaves</t>
  </si>
  <si>
    <t>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</t>
  </si>
  <si>
    <t>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</t>
  </si>
  <si>
    <t>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</t>
  </si>
  <si>
    <t>Talk to Bazz&lt;br&gt;&lt;strong&gt;Reward:&lt;/strong&gt; Zora Spear</t>
  </si>
  <si>
    <t>Talk to Ledo&lt;br&gt;&lt;strong&gt;Reward:&lt;/strong&gt; Zora Fabric</t>
  </si>
  <si>
    <t>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</t>
  </si>
  <si>
    <t>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</t>
  </si>
  <si>
    <t>Talk to Chroma&lt;br&gt;&lt;strong&gt;Reward:&lt;/strong&gt; Zora Helm</t>
  </si>
  <si>
    <t>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</t>
  </si>
  <si>
    <t>Talk to Bugut&lt;br&gt;&lt;strong&gt;Reward:&lt;/strong&gt; Thunderwing Butterfly x3</t>
  </si>
  <si>
    <t>Talk to Trissa After Finishing &lt;img src="icons/side-quest.png" style="height: 20px; width: 20px; vertical-align: middle; margin-right: 5px;"&gt;&lt;span style="color: #c6a96a; font-weight: bold;"&gt;Codger's Quarrel&lt;/span&gt;&lt;br&gt;&lt;strong&gt;Reward:&lt;/strong&gt; Purple Rupee</t>
  </si>
  <si>
    <t>Speak with Lasli&lt;br&gt;&lt;strong&gt;Reward:&lt;/strong&gt; Energizing Veggie Porridge</t>
  </si>
  <si>
    <t>Talk to Dai&lt;br&gt;&lt;strong&gt;Reward:&lt;/strong&gt; Sticky Elixir</t>
  </si>
  <si>
    <t>Talk to Moza&lt;br&gt;&lt;strong&gt;Reward:&lt;/strong&gt; Monster Stew</t>
  </si>
  <si>
    <t>Talk to the &lt;img src="icons/goddess-statue.png" style="height: 20px; width: 20px; vertical-align: middle; margin-right: 5px;"&gt;&lt;span style="color: #7cc9c2; font-weight: bold;"&gt;Goddess Statue of Wisdom&lt;/span&gt;&lt;br&gt;&lt;strong&gt;Reward:&lt;/strong&gt; Sapphire</t>
  </si>
  <si>
    <t>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</t>
  </si>
  <si>
    <t>Talk to Manny&lt;br&gt;&lt;strong&gt;Reward:&lt;/strong&gt; Rushroom</t>
  </si>
  <si>
    <t>Talk to Sayge&lt;br&gt;&lt;strong&gt;Reward:&lt;/strong&gt; Chuchu Fabric</t>
  </si>
  <si>
    <t>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</t>
  </si>
  <si>
    <t>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</t>
  </si>
  <si>
    <t>Talk to Sesami&lt;br&gt;&lt;strong&gt;Reward:&lt;/strong&gt; Blue-Maned Lynel Saber Horn</t>
  </si>
  <si>
    <t>Talk to the &lt;img src="icons/goddess-statue.png" style="height: 20px; width: 20px; vertical-align: middle; margin-right: 5px;"&gt;&lt;span style="color: #7cc9c2; font-weight: bold;"&gt;Goddess Statue of Courage&lt;/span&gt;&lt;br&gt;&lt;strong&gt;Reward:&lt;/strong&gt; Topaz</t>
  </si>
  <si>
    <t>Talk to Rahdo&lt;br&gt;&lt;strong&gt;Reward:&lt;/strong&gt; Silver Rupee</t>
  </si>
  <si>
    <t>Speak with Dalia&lt;br&gt;&lt;strong&gt;Reward:&lt;/strong&gt; An Orb related to The Mysterious Eighth side quest</t>
  </si>
  <si>
    <t>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</t>
  </si>
  <si>
    <t>Speak with Banja&lt;br&gt;&lt;strong&gt;Reward:&lt;/strong&gt; An Orb related to The Mysterious Eighth side quest</t>
  </si>
  <si>
    <t>Talk to Isha&lt;br&gt;&lt;strong&gt;Reward:&lt;/strong&gt; Scimitar of the Seven, Daybreaker</t>
  </si>
  <si>
    <t>Speak With Cara&lt;br&gt;&lt;strong&gt;Reward:&lt;/strong&gt; Diamond</t>
  </si>
  <si>
    <t>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</t>
  </si>
  <si>
    <t>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</t>
  </si>
  <si>
    <t>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</t>
  </si>
  <si>
    <t>&lt;img src="icons/old-map.png" style="height: 20px, width: 20px, vertical-align: middle, margin-right: 5px;"&gt;&lt;span style="color: #dd88d3, font-weight: bold;"&gt;OLD MAP&lt;/span&gt; West Hebra Sky Map #1</t>
  </si>
  <si>
    <t>&lt;img src="icons/old-map.png" style="height: 20px, width: 20px, vertical-align: middle, margin-right: 5px;"&gt;&lt;span style="color: #dd88d3, font-weight: bold;"&gt;OLD MAP&lt;/span&gt; North Gerudo Sky</t>
  </si>
  <si>
    <t>{ name: "Majora's Mask", landmark: "Treasure", type: "Treasure", region: 2, level: "Depths", x: -1151, y: -1263, z: -499, weight: 0, details: '&lt;img src="icons/old-map.png" style="height: 20px, width: 20px, vertical-align: middle, margin-right: 5px;"&gt;&lt;span style="color: #dd88d3, font-weight: bold;"&gt;OLD MAP&lt;/span&gt; North Gerudo Sky' },</t>
  </si>
  <si>
    <t>&lt;img src="icons/old-map.png" style="height: 20px, width: 20px, vertical-align: middle, margin-right: 5px;"&gt;&lt;span style="color: #dd88d3, font-weight: bold;"&gt;OLD MAP&lt;/span&gt; West Hebra Sky Map #2</t>
  </si>
  <si>
    <t>{ name: "Miner's Trousers", landmark: "Treasure", type: "Treasure", region: 2, level: "Depths", x: -1287, y: -2251, z: -707, weight: 0, details: '&lt;img src="icons/old-map.png" style="height: 20px, width: 20px, vertical-align: middle, margin-right: 5px;"&gt;&lt;span style="color: #dd88d3, font-weight: bold;"&gt;OLD MAP&lt;/span&gt; West Hebra Sky Map #2' },</t>
  </si>
  <si>
    <t>&lt;img src="icons/old-map.png" style="height: 20px, width: 20px, vertical-align: middle, margin-right: 5px;"&gt;&lt;span style="color: #dd88d3, font-weight: bold;"&gt;OLD MAP&lt;/span&gt; East Gerudo Sky</t>
  </si>
  <si>
    <t>{ name: "Sword of the Hero", landmark: "Treasure", type: "Treasure", region: 2, level: "Depths", x: -2048, y: -1129, z: -526, weight: 0, details: '&lt;img src="icons/old-map.png" style="height: 20px, width: 20px, vertical-align: middle, margin-right: 5px;"&gt;&lt;span style="color: #dd88d3, font-weight: bold;"&gt;OLD MAP&lt;/span&gt; East Gerudo Sky' },</t>
  </si>
  <si>
    <t>&lt;img src="icons/old-map.png" style="height: 20px, width: 20px, vertical-align: middle, margin-right: 5px;"&gt;&lt;span style="color: #dd88d3, font-weight: bold;"&gt;OLD MAP&lt;/span&gt; Lanayru Sky</t>
  </si>
  <si>
    <t>{ name: "Tunic of the Wind", landmark: "Treasure", type: "Treasure", region: 3, level: "Depths", x: -3788, y: 1344, z: -682, weight: 0, details: '&lt;img src="icons/old-map.png" style="height: 20px, width: 20px, vertical-align: middle, margin-right: 5px;"&gt;&lt;span style="color: #dd88d3, font-weight: bold;"&gt;OLD MAP&lt;/span&gt; Lanayru Sky' },</t>
  </si>
  <si>
    <t>&lt;img src="icons/old-map.png" style="height: 20px, width: 20px, vertical-align: middle, margin-right: 5px;"&gt;&lt;span style="color: #dd88d3, font-weight: bold;"&gt;OLD MAP&lt;/span&gt; North Necluda Sky Map #1</t>
  </si>
  <si>
    <t>{ name: "Tunic of Time", landmark: "Treasure", type: "Treasure", region: 3, level: "Depths", x: -2002, y: 1309, z: -715, weight: 0, details: '&lt;img src="icons/old-map.png" style="height: 20px, width: 20px, vertical-align: middle, margin-right: 5px;"&gt;&lt;span style="color: #dd88d3, font-weight: bold;"&gt;OLD MAP&lt;/span&gt; North Necluda Sky Map #1' },</t>
  </si>
  <si>
    <t>&lt;img src="icons/old-map.png" style="height: 20px, width: 20px, vertical-align: middle, margin-right: 5px;"&gt;&lt;span style="color: #dd88d3, font-weight: bold;"&gt;OLD MAP&lt;/span&gt; Tabantha Sky Map #2</t>
  </si>
  <si>
    <t>{ name: "Cap of the Wild", landmark: "Treasure", type: "Treasure", region: 4, level: "Depths", x: -3956, y: 3723, z: -858, weight: 0, details: '&lt;img src="icons/old-map.png" style="height: 20px, width: 20px, vertical-align: middle, margin-right: 5px;"&gt;&lt;span style="color: #dd88d3, font-weight: bold;"&gt;OLD MAP&lt;/span&gt; Tabantha Sky Map #2' },</t>
  </si>
  <si>
    <t>&lt;img src="icons/old-map.png" style="height: 20px, width: 20px, vertical-align: middle, margin-right: 5px;"&gt;&lt;span style="color: #dd88d3, font-weight: bold;"&gt;OLD MAP&lt;/span&gt; Central Hyrule Sky</t>
  </si>
  <si>
    <t>{ name: "Cap of Time", landmark: "Treasure", type: "Treasure", region: 4, level: "Depths", x: -4079, y: 2799, z: -450, weight: 0, details: '&lt;img src="icons/old-map.png" style="height: 20px, width: 20px, vertical-align: middle, margin-right: 5px;"&gt;&lt;span style="color: #dd88d3, font-weight: bold;"&gt;OLD MAP&lt;/span&gt; Central Hyrule Sky' },</t>
  </si>
  <si>
    <t>&lt;img src="icons/old-map.png" style="height: 20px, width: 20px, vertical-align: middle, margin-right: 5px;"&gt;&lt;span style="color: #dd88d3, font-weight: bold;"&gt;OLD MAP&lt;/span&gt; Necluda Sky</t>
  </si>
  <si>
    <t>{ name: "Sea-Breeze Boomerang", landmark: "Treasure", type: "Treasure", region: 4, level: "Depths", x: -2736, y: 2918, z: -1120, weight: 0, details: '&lt;img src="icons/old-map.png" style="height: 20px, width: 20px, vertical-align: middle, margin-right: 5px;"&gt;&lt;span style="color: #dd88d3, font-weight: bold;"&gt;OLD MAP&lt;/span&gt; Necluda Sky' },</t>
  </si>
  <si>
    <t>&lt;img src="icons/old-map.png" style="height: 20px, width: 20px, vertical-align: middle, margin-right: 5px;"&gt;&lt;span style="color: #dd88d3, font-weight: bold;"&gt;OLD MAP&lt;/span&gt; South Hyrule Sky Map #1</t>
  </si>
  <si>
    <t>{ name: "Trousers of the Hero", landmark: "Treasure", type: "Treasure", region: 4, level: "Depths", x: -3354, y: 2312, z: -812, weight: 0, details: '&lt;img src="icons/old-map.png" style="height: 20px, width: 20px, vertical-align: middle, margin-right: 5px;"&gt;&lt;span style="color: #dd88d3, font-weight: bold;"&gt;OLD MAP&lt;/span&gt; South Hyrule Sky Map #1' },</t>
  </si>
  <si>
    <t>&lt;img src="icons/old-map.png" style="height: 20px, width: 20px, vertical-align: middle, margin-right: 5px;"&gt;&lt;span style="color: #dd88d3, font-weight: bold;"&gt;OLD MAP&lt;/span&gt; North Akkala Sky Map #2</t>
  </si>
  <si>
    <t>{ name: "Cap of Twilight", landmark: "Treasure", type: "Treasure", region: 6, level: "Depths", x: 263, y: 3121, z: -623, weight: 0, details: '&lt;img src="icons/old-map.png" style="height: 20px, width: 20px, vertical-align: middle, margin-right: 5px;"&gt;&lt;span style="color: #dd88d3, font-weight: bold;"&gt;OLD MAP&lt;/span&gt; North Akkala Sky Map #2' },</t>
  </si>
  <si>
    <t>&lt;img src="icons/old-map.png" style="height: 20px, width: 20px, vertical-align: middle, margin-right: 5px;"&gt;&lt;span style="color: #dd88d3, font-weight: bold;"&gt;OLD MAP&lt;/span&gt; North Hyrule Sky</t>
  </si>
  <si>
    <t>{ name: "Korok Mask", landmark: "Treasure", type: "Treasure", region: 6, level: "Depths", x: -114, y: 2433, z: -620, weight: 0, details: '&lt;img src="icons/old-map.png" style="height: 20px, width: 20px, vertical-align: middle, margin-right: 5px;"&gt;&lt;span style="color: #dd88d3, font-weight: bold;"&gt;OLD MAP&lt;/span&gt; North Hyrule Sky' },</t>
  </si>
  <si>
    <t>&lt;img src="icons/old-map.png" style="height: 20px, width: 20px, vertical-align: middle, margin-right: 5px;"&gt;&lt;span style="color: #dd88d3, font-weight: bold;"&gt;OLD MAP&lt;/span&gt; Tabantha Sky Map #1</t>
  </si>
  <si>
    <t>{ name: "Trousers of the Wild", landmark: "Treasure", type: "Treasure", region: 6, level: "Depths", x: 1674, y: 3723, z: -561, weight: 0, details: '&lt;img src="icons/old-map.png" style="height: 20px, width: 20px, vertical-align: middle, margin-right: 5px;"&gt;&lt;span style="color: #dd88d3, font-weight: bold;"&gt;OLD MAP&lt;/span&gt; Tabantha Sky Map #1' },</t>
  </si>
  <si>
    <t>&lt;img src="icons/old-map.png" style="height: 20px, width: 20px, vertical-align: middle, margin-right: 5px;"&gt;&lt;span style="color: #dd88d3, font-weight: bold;"&gt;OLD MAP&lt;/span&gt; West Necluda Sky</t>
  </si>
  <si>
    <t>{ name: "Tunic of the Sky", landmark: "Treasure", type: "Treasure", region: 7, level: "Depths", x: 1022, y: 1408, z: -543, weight: 0, details: '&lt;img src="icons/old-map.png" style="height: 20px, width: 20px, vertical-align: middle, margin-right: 5px;"&gt;&lt;span style="color: #dd88d3, font-weight: bold;"&gt;OLD MAP&lt;/span&gt; West Necluda Sky' },</t>
  </si>
  <si>
    <t>&lt;img src="icons/old-map.png" style="height: 20px, width: 20px, vertical-align: middle, margin-right: 5px;"&gt;&lt;span style="color: #dd88d3, font-weight: bold;"&gt;OLD MAP&lt;/span&gt; South Lanayru Sky Map #2</t>
  </si>
  <si>
    <t>{ name: "Zant's Helmet", landmark: "Treasure", type: "Treasure", region: 7, level: "Depths", x: 2142, y: 3183, z: -838, weight: 0, details: '&lt;img src="icons/old-map.png" style="height: 20px, width: 20px, vertical-align: middle, margin-right: 5px;"&gt;&lt;span style="color: #dd88d3, font-weight: bold;"&gt;OLD MAP&lt;/span&gt; South Lanayru Sky Map #2' },</t>
  </si>
  <si>
    <t>&lt;img src="icons/old-map.png" style="height: 20px, width: 20px, vertical-align: middle, margin-right: 5px;"&gt;&lt;span style="color: #dd88d3, font-weight: bold;"&gt;OLD MAP&lt;/span&gt; South Eldin Sky</t>
  </si>
  <si>
    <t>{ name: "Biggoron's Sword", landmark: "Treasure", type: "Treasure", region: 8, level: "Depths", x: 3240, y: 3446, z: -430, weight: 0, details: '&lt;img src="icons/old-map.png" style="height: 20px, width: 20px, vertical-align: middle, margin-right: 5px;"&gt;&lt;span style="color: #dd88d3, font-weight: bold;"&gt;OLD MAP&lt;/span&gt; South Eldin Sky' },</t>
  </si>
  <si>
    <t>&lt;img src="icons/old-map.png" style="height: 20px, width: 20px, vertical-align: middle, margin-right: 5px;"&gt;&lt;span style="color: #dd88d3, font-weight: bold;"&gt;OLD MAP&lt;/span&gt; North Akkala Sky Map #1</t>
  </si>
  <si>
    <t>{ name: "Trousers of Twilight", landmark: "Treasure", type: "Treasure", region: 8, level: "Depths", x: 3318, y: 1506, z: -856, weight: 0, details: '&lt;img src="icons/old-map.png" style="height: 20px, width: 20px, vertical-align: middle, margin-right: 5px;"&gt;&lt;span style="color: #dd88d3, font-weight: bold;"&gt;OLD MAP&lt;/span&gt; North Akkala Sky Map #1' },</t>
  </si>
  <si>
    <t>&lt;img src="icons/old-map.png" style="height: 20px, width: 20px, vertical-align: middle, margin-right: 5px;"&gt;&lt;span style="color: #dd88d3, font-weight: bold;"&gt;OLD MAP&lt;/span&gt; Sokkala Sky</t>
  </si>
  <si>
    <t>{ name: "Tunic of Twilight", landmark: "Treasure", type: "Treasure", region: 8, level: "Depths", x: 4517, y: 2169, z: -454, weight: 0, details: '&lt;img src="icons/old-map.png" style="height: 20px, width: 20px, vertical-align: middle, margin-right: 5px;"&gt;&lt;span style="color: #dd88d3, font-weight: bold;"&gt;OLD MAP&lt;/span&gt; Sokkala Sky' },</t>
  </si>
  <si>
    <t>&lt;img src="icons/old-map.png" style="height: 20px, width: 20px, vertical-align: middle, margin-right: 5px;"&gt;&lt;span style="color: #dd88d3, font-weight: bold;"&gt;OLD MAP&lt;/span&gt; Wellspring Island Map #2</t>
  </si>
  <si>
    <t>{ name: "Cap of the Wind", landmark: "Treasure", type: "Treasure", region: 9, level: "Depths", x: 4654, y: 621, z: -722, weight: 0, details: '&lt;img src="icons/old-map.png" style="height: 20px, width: 20px, vertical-align: middle, margin-right: 5px;"&gt;&lt;span style="color: #dd88d3, font-weight: bold;"&gt;OLD MAP&lt;/span&gt; Wellspring Island Map #2' },</t>
  </si>
  <si>
    <t>&lt;img src="icons/old-map.png" style="height: 20px, width: 20px, vertical-align: middle, margin-right: 5px;"&gt;&lt;span style="color: #dd88d3, font-weight: bold;"&gt;OLD MAP&lt;/span&gt; East Necluda Sky</t>
  </si>
  <si>
    <t>{ name: "Sea-Breeze Shield", landmark: "Treasure", type: "Treasure", region: 9, level: "Depths", x: 2667, y: 252, z: -559, weight: 0, details: '&lt;img src="icons/old-map.png" style="height: 20px, width: 20px, vertical-align: middle, margin-right: 5px;"&gt;&lt;span style="color: #dd88d3, font-weight: bold;"&gt;OLD MAP&lt;/span&gt; East Necluda Sky' },</t>
  </si>
  <si>
    <t>&lt;img src="icons/old-map.png" style="height: 20px, width: 20px, vertical-align: middle, margin-right: 5px;"&gt;&lt;span style="color: #dd88d3, font-weight: bold;"&gt;OLD MAP&lt;/span&gt; Thunderhead Isles Map #1</t>
  </si>
  <si>
    <t>{ name: "Trousers of the Sky", landmark: "Treasure", type: "Treasure", region: 10, level: "Depths", x: 1164, y: 426, z: -580, weight: 0, details: '&lt;img src="icons/old-map.png" style="height: 20px, width: 20px, vertical-align: middle, margin-right: 5px;"&gt;&lt;span style="color: #dd88d3, font-weight: bold;"&gt;OLD MAP&lt;/span&gt; Thunderhead Isles Map #1' },</t>
  </si>
  <si>
    <t>&lt;img src="icons/old-map.png" style="height: 20px, width: 20px, vertical-align: middle, margin-right: 5px;"&gt;&lt;span style="color: #dd88d3, font-weight: bold;"&gt;OLD MAP&lt;/span&gt; South Hyrule Sky Map #2</t>
  </si>
  <si>
    <t>{ name: "Tunic of the Hero", landmark: "Treasure", type: "Treasure", region: 10, level: "Depths", x: 1283, y: -1811, z: -784, weight: 0, details: '&lt;img src="icons/old-map.png" style="height: 20px, width: 20px, vertical-align: middle, margin-right: 5px;"&gt;&lt;span style="color: #dd88d3, font-weight: bold;"&gt;OLD MAP&lt;/span&gt; South Hyrule Sky Map #2' },</t>
  </si>
  <si>
    <t>&lt;img src="icons/old-map.png" style="height: 20px, width: 20px, vertical-align: middle, margin-right: 5px;"&gt;&lt;span style="color: #dd88d3, font-weight: bold;"&gt;OLD MAP&lt;/span&gt; Thunderhead Isles Map #2</t>
  </si>
  <si>
    <t>{ name: "Cap of the Sky", landmark: "Treasure", type: "Treasure", region: 11, level: "Depths", x: 3822, y: -1985, z: -632, weight: 0, details: '&lt;img src="icons/old-map.png" style="height: 20px, width: 20px, vertical-align: middle, margin-right: 5px;"&gt;&lt;span style="color: #dd88d3, font-weight: bold;"&gt;OLD MAP&lt;/span&gt; Thunderhead Isles Map #2' },</t>
  </si>
  <si>
    <t>&lt;img src="icons/old-map.png" style="height: 20px, width: 20px, vertical-align: middle, margin-right: 5px;"&gt;&lt;span style="color: #dd88d3, font-weight: bold;"&gt;OLD MAP&lt;/span&gt; South Hyrule Sky Map #3</t>
  </si>
  <si>
    <t>{ name: "Cap of the Hero", landmark: "Treasure", type: "Treasure", region: 12, level: "Depths", x: 2518, y: -3602, z: -626, weight: 0, details: '&lt;img src="icons/old-map.png" style="height: 20px, width: 20px, vertical-align: middle, margin-right: 5px;"&gt;&lt;span style="color: #dd88d3, font-weight: bold;"&gt;OLD MAP&lt;/span&gt; South Hyrule Sky Map #3' },</t>
  </si>
  <si>
    <t>&lt;img src="icons/old-map.png" style="height: 20px, width: 20px, vertical-align: middle, margin-right: 5px;"&gt;&lt;span style="color: #dd88d3, font-weight: bold;"&gt;OLD MAP&lt;/span&gt; South Lanayru Sky Map #1</t>
  </si>
  <si>
    <t>{ name: "Midna's Helmet", landmark: "Treasure", type: "Treasure", region: 12, level: "Depths", x: 4563, y: -3619, z: -471, weight: 0, details: '&lt;img src="icons/old-map.png" style="height: 20px, width: 20px, vertical-align: middle, margin-right: 5px;"&gt;&lt;span style="color: #dd88d3, font-weight: bold;"&gt;OLD MAP&lt;/span&gt; South Lanayru Sky Map #1' },</t>
  </si>
  <si>
    <t>&lt;img src="icons/old-map.png" style="height: 20px, width: 20px, vertical-align: middle, margin-right: 5px;"&gt;&lt;span style="color: #dd88d3, font-weight: bold;"&gt;OLD MAP&lt;/span&gt; East Hebra Sky</t>
  </si>
  <si>
    <t>{ name: "Ravio's Hood", landmark: "Treasure", type: "Treasure", region: 12, level: "Depths", x: 2242, y: -1900, z: -467, weight: 0, details: '&lt;img src="icons/old-map.png" style="height: 20px, width: 20px, vertical-align: middle, margin-right: 5px;"&gt;&lt;span style="color: #dd88d3, font-weight: bold;"&gt;OLD MAP&lt;/span&gt; East Hebra Sky' },</t>
  </si>
  <si>
    <t>&lt;img src="icons/old-map.png" style="height: 20px, width: 20px, vertical-align: middle, margin-right: 5px;"&gt;&lt;span style="color: #dd88d3, font-weight: bold;"&gt;OLD MAP&lt;/span&gt; Wellspring Island Map #1</t>
  </si>
  <si>
    <t>{ name: "Trousers of the Wind", landmark: "Treasure", type: "Treasure", region: 12, level: "Depths", x: 3794, y: -3614, z: -445, weight: 0, details: '&lt;img src="icons/old-map.png" style="height: 20px, width: 20px, vertical-align: middle, margin-right: 5px;"&gt;&lt;span style="color: #dd88d3, font-weight: bold;"&gt;OLD MAP&lt;/span&gt; Wellspring Island Map #1' },</t>
  </si>
  <si>
    <t>&lt;img src="icons/old-map.png" style="height: 20px, width: 20px, vertical-align: middle, margin-right: 5px;"&gt;&lt;span style="color: #dd88d3, font-weight: bold;"&gt;OLD MAP&lt;/span&gt; Rising Island Chain</t>
  </si>
  <si>
    <t>{ name: "Miner's Mask", landmark: "Treasure", type: "Treasure", region: 14, level: "Depths", x: -3230, y: -2476, z: -475, weight: 0, details: '&lt;img src="icons/old-map.png" style="height: 20px, width: 20px, vertical-align: middle, margin-right: 5px;"&gt;&lt;span style="color: #dd88d3, font-weight: bold;"&gt;OLD MAP&lt;/span&gt; Rising Island Chain' },</t>
  </si>
  <si>
    <t>&lt;img src="icons/old-map.png" style="height: 20px, width: 20px, vertical-align: middle, margin-right: 5px;"&gt;&lt;span style="color: #dd88d3, font-weight: bold;"&gt;OLD MAP&lt;/span&gt; South Hyrule Sky Map #4</t>
  </si>
  <si>
    <t>{ name: "Sheik's Mask", landmark: "Treasure", type: "Treasure", region: 14, level: "Depths", x: -4310, y: -3781, z: -479, weight: 0, details: '&lt;img src="icons/old-map.png" style="height: 20px, width: 20px, vertical-align: middle, margin-right: 5px;"&gt;&lt;span style="color: #dd88d3, font-weight: bold;"&gt;OLD MAP&lt;/span&gt; South Hyrule Sky Map #4' },</t>
  </si>
  <si>
    <t>&lt;img src="icons/old-map.png" style="height: 20px, width: 20px, vertical-align: middle, margin-right: 5px;"&gt;&lt;span style="color: #dd88d3, font-weight: bold;"&gt;OLD MAP&lt;/span&gt; North Tabantha Sky</t>
  </si>
  <si>
    <t>{ name: "Tunic of the Wild", landmark: "Treasure", type: "Treasure", region: 14, level: "Depths", x: -4879, y: -3720, z: -458, weight: 0, details: '&lt;img src="icons/old-map.png" style="height: 20px, width: 20px, vertical-align: middle, margin-right: 5px;"&gt;&lt;span style="color: #dd88d3, font-weight: bold;"&gt;OLD MAP&lt;/span&gt; North Tabantha Sky' },</t>
  </si>
  <si>
    <t>&lt;img src="icons/old-map.png" style="height: 20px, width: 20px, vertical-align: middle, margin-right: 5px;"&gt;&lt;span style="color: #dd88d3, font-weight: bold;"&gt;OLD MAP&lt;/span&gt; North Necluda Sky Map #2</t>
  </si>
  <si>
    <t>{ name: "Trousers of Time", landmark: "Treasure", type: "Treasure", region: 15, level: "Depths", x: -4179, y: -697, z: -1121, weight: 0, details: '&lt;img src="icons/old-map.png" style="height: 20px, width: 20px, vertical-align: middle, margin-right: 5px;"&gt;&lt;span style="color: #dd88d3, font-weight: bold;"&gt;OLD MAP&lt;/span&gt; North Necluda Sky Map #2' },</t>
  </si>
  <si>
    <t>Defeat &lt;img src="icons/gleeok.png" style="height: 20px; width: 20px; vertical-align: middle; margin-right: 5px;"&gt;&lt;span style="color: #de878b; font-weight: bold;"&gt;KING GLEEOK&lt;/span&gt;</t>
  </si>
  <si>
    <t>Defeat &lt;img src="icons/flux-construct.png" style="height: 20px; width: 20px; vertical-align: middle; margin-right: 5px;"&gt;&lt;span style="color: #7cc9c2; font-weight: bold;"&gt;FLUX CONSTRUCT II&lt;/span&gt;</t>
  </si>
  <si>
    <t>Defeat &lt;img src="icons/flux-construct.png" style="height: 20px; width: 20px; vertical-align: middle; margin-right: 5px;"&gt;&lt;span style="color: #7cc9c2; font-weight: bold;"&gt;FLUX CONSTRUCT III&lt;/span&gt;</t>
  </si>
  <si>
    <t>{ name: "West Hebra Sky #3", landmark: "Sage's Will", type: "Sage's Will", region: 3, level: "Sky", x: -3779, y: 1572, z: 1238, weight: 0, details: `` },</t>
  </si>
  <si>
    <t>{ name: "West Hebra Sky #1", landmark: "Sage's Will", type: "Sage's Will", region: 4, level: "Sky", x: -4419, y: 2251, z: 1246, weight: 0, details: `Defeat &lt;img src="icons/gleeok.png" style="height: 20px; width: 20px; vertical-align: middle; margin-right: 5px;"&gt;&lt;span style="color: #de878b; font-weight: bold;"&gt;KING GLEEOK&lt;/span&gt;` },</t>
  </si>
  <si>
    <t>{ name: "West Hebra Sky #2", landmark: "Sage's Will", type: "Sage's Will", region: 4, level: "Sky", x: -3079, y: 2152, z: 648, weight: 0, details: `` },</t>
  </si>
  <si>
    <t>{ name: "Eldin Sky", landmark: "Sage's Will", type: "Sage's Will", region: 7, level: "Sky", x: 1764, y: 2267, z: 827, weight: 0, details: `` },</t>
  </si>
  <si>
    <t>{ name: "South Eldin Sky", landmark: "Sage's Will", type: "Sage's Will", region: 7, level: "Sky", x: 1780, y: 973, z: 1226, weight: 0, details: `` },</t>
  </si>
  <si>
    <t>{ name: "Sokkala Sky", landmark: "Sage's Will", type: "Sage's Will", region: 8, level: "Sky", x: 3810, y: 1580, z: 1144, weight: 0, details: `` },</t>
  </si>
  <si>
    <t>{ name: "Lanayru Sky #1", landmark: "Sage's Will", type: "Sage's Will", region: 9, level: "Sky", x: 2911, y: 525, z: 929, weight: 0, details: `` },</t>
  </si>
  <si>
    <t>{ name: "Lanayru Sky #2", landmark: "Sage's Will", type: "Sage's Will", region: 9, level: "Sky", x: 3014, y: -259, z: 909, weight: 0, details: `Defeat &lt;img src="icons/flux-construct.png" style="height: 20px; width: 20px; vertical-align: middle; margin-right: 5px;"&gt;&lt;span style="color: #7cc9c2; font-weight: bold;"&gt;FLUX CONSTRUCT II&lt;/span&gt;` },</t>
  </si>
  <si>
    <t>{ name: "Wellspring Island", landmark: "Sage's Will", type: "Sage's Will", region: 9, level: "Sky", x: 3397, y: 630, z: 1315, weight: 0, details: `Defeat &lt;img src="icons/flux-construct.png" style="height: 20px; width: 20px; vertical-align: middle; margin-right: 5px;"&gt;&lt;span style="color: #7cc9c2; font-weight: bold;"&gt;FLUX CONSTRUCT II&lt;/span&gt;` },</t>
  </si>
  <si>
    <t>{ name: "North Necluda Sky", landmark: "Sage's Will", type: "Sage's Will", region: 10, level: "Sky", x: 1934, y: -1062, z: 961, weight: 0, details: `` },</t>
  </si>
  <si>
    <t>{ name: "Eventide Island Sky", landmark: "Sage's Will", type: "Sage's Will", region: 12, level: "Sky", x: 4652, y: -3828, z: 1065, weight: 0, details: `Defeat &lt;img src="icons/gleeok.png" style="height: 20px; width: 20px; vertical-align: middle; margin-right: 5px;"&gt;&lt;span style="color: #de878b; font-weight: bold;"&gt;KING GLEEOK&lt;/span&gt;` },</t>
  </si>
  <si>
    <t>{ name: "South Necluda Sky", landmark: "Sage's Will", type: "Sage's Will", region: 12, level: "Sky", x: 2562, y: -3611, z: 794, weight: 0, details: `Defeat &lt;img src="icons/flux-construct.png" style="height: 20px; width: 20px; vertical-align: middle; margin-right: 5px;"&gt;&lt;span style="color: #7cc9c2; font-weight: bold;"&gt;FLUX CONSTRUCT III&lt;/span&gt;` },</t>
  </si>
  <si>
    <t>{ name: "Dragon Head Island", landmark: "Sage's Will", type: "Sage's Will", region: 13, level: "Sky", x: 1309, y: -3210, z: 459, weight: 0, details: `` },</t>
  </si>
  <si>
    <t>{ name: "Faron Sky", landmark: "Sage's Will", type: "Sage's Will", region: 13, level: "Sky", x: -307, y: -2584, z: 894, weight: 0, details: `Defeat &lt;img src="icons/flux-construct.png" style="height: 20px; width: 20px; vertical-align: middle; margin-right: 5px;"&gt;&lt;span style="color: #7cc9c2; font-weight: bold;"&gt;FLUX CONSTRUCT III&lt;/span&gt;` },</t>
  </si>
  <si>
    <t>{ name: "Thunderhead Isles", landmark: "Sage's Will", type: "Sage's Will", region: 13, level: "Sky", x: 966, y: -3306, z: 846, weight: 0, details: `` },</t>
  </si>
  <si>
    <t>{ name: "East Gerudo Sky", landmark: "Sage's Will", type: "Sage's Will", region: 14, level: "Sky", x: -1958, y: -1804, z: 1140, weight: 0, details: `` },</t>
  </si>
  <si>
    <t>{ name: "Gerudo Sky", landmark: "Sage's Will", type: "Sage's Will", region: 14, level: "Sky", x: -4398, y: -2641, z: 1490, weight: 0, details: `Defeat &lt;img src="icons/gleeok.png" style="height: 20px; width: 20px; vertical-align: middle; margin-right: 5px;"&gt;&lt;span style="color: #de878b; font-weight: bold;"&gt;KING GLEEOK&lt;/span&gt;` },</t>
  </si>
  <si>
    <t>{ name: "North Gerudo Sky", landmark: "Sage's Will", type: "Sage's Will", region: 15, level: "Sky", x: -3426, y: -318, z: 1943, weight: 0, details: `` },</t>
  </si>
  <si>
    <t>{ name: "West Hyrule Sky", landmark: "Sage's Will", type: "Sage's Will", region: 15, level: "Sky", x: -2251, y: -431, z: 923, weight: 0, details: `Defeat &lt;img src="icons/flux-construct.png" style="height: 20px; width: 20px; vertical-align: middle; margin-right: 5px;"&gt;&lt;span style="color: #7cc9c2; font-weight: bold;"&gt;FLUX CONSTRUCT III&lt;/span&gt;` },</t>
  </si>
  <si>
    <t>Complete &lt;img src="icons/main-quest.png" style="height: 20px; width: 20px; vertical-align: middle; margin-right: 5px;"&gt;&lt;span style="color: #fec043; font-weight: bold;"&gt;Mystery in the Depths&lt;/span&gt;</t>
  </si>
  <si>
    <t>Found in the &lt;img src="icons/location.png" style="height: 20px; width: 20px; vertical-align: middle; margin-right: 5px;"&gt;&lt;span style="color: #c6a96a; font-weight: bold;"&gt;Cave of Resurrection&lt;/span&gt;</t>
  </si>
  <si>
    <t>Complete &lt;img src="icons/side-quest.png" style="height: 20px; width: 20px; vertical-align: middle; margin-right: 5px;"&gt;&lt;span style="color: #c6a96a; font-weight: bold;"&gt;A Call from the Depths&lt;/span&gt;</t>
  </si>
  <si>
    <t>{ name: "Great Central Mine", landmark: "Statue", type: "Bargainer Statue", region: 2, level: "Depths", x: -778, y: -1901, z: -565, details: `Complete &lt;img src="icons/side-quest.png" style="height: 20px; width: 20px; vertical-align: middle; margin-right: 5px;"&gt;&lt;span style="color: #c6a96a; font-weight: bold;"&gt;A Call from the Depths&lt;/span&gt;` },</t>
  </si>
  <si>
    <t>Hateno Village Research Lab</t>
  </si>
  <si>
    <t>Filling Out The Compendium</t>
  </si>
  <si>
    <t>Presenting: The Travel Medallion!</t>
  </si>
  <si>
    <t>Presenting: Hero's Path Mode!</t>
  </si>
  <si>
    <t>Presenting: Sensor +!</t>
  </si>
  <si>
    <t>A Letter To Koyin</t>
  </si>
  <si>
    <t>A New Signature Food</t>
  </si>
  <si>
    <t>Team Cece Or Team Reede?</t>
  </si>
  <si>
    <t>The Mayoral Election</t>
  </si>
  <si>
    <t>Ruffian-Infested Village</t>
  </si>
  <si>
    <t>Lurelin Village Restoration Project</t>
  </si>
  <si>
    <t>Potential Princess Sightings!</t>
  </si>
  <si>
    <t>Gourmets Gone Missing</t>
  </si>
  <si>
    <t>The Beast And The Princess</t>
  </si>
  <si>
    <t>White Goats Gone Missing</t>
  </si>
  <si>
    <t>For Our Princess!</t>
  </si>
  <si>
    <t>The All-Clucking Cucco</t>
  </si>
  <si>
    <t>The Missing Farm Tools</t>
  </si>
  <si>
    <t>Princess Zelda Kidnapped?!</t>
  </si>
  <si>
    <t>An Eerie Voice</t>
  </si>
  <si>
    <t>The Blocked Well</t>
  </si>
  <si>
    <t>Honey, Bee Mine</t>
  </si>
  <si>
    <t>The Hornist's Dramatic Escape</t>
  </si>
  <si>
    <t>Serenade To A Great Fairy</t>
  </si>
  <si>
    <t>Serenade to Kaysa</t>
  </si>
  <si>
    <t>Serenade To Cotera</t>
  </si>
  <si>
    <t>Serenade To Mija</t>
  </si>
  <si>
    <t>Bring Peace To Hyrule Field!</t>
  </si>
  <si>
    <t>Bring Peace To Necluda!</t>
  </si>
  <si>
    <t>Bring Peace To Eldin!</t>
  </si>
  <si>
    <t>Bring Peace To Akkala!</t>
  </si>
  <si>
    <t>Bring Peace To Faron!</t>
  </si>
  <si>
    <t>Bring Peace To Hebra!</t>
  </si>
  <si>
    <t>The Hunt For Bubbul Gems!</t>
  </si>
  <si>
    <t>The Search For Koltin</t>
  </si>
  <si>
    <t>A Monstrous Collection I</t>
  </si>
  <si>
    <t>A Monstrous Collection II</t>
  </si>
  <si>
    <t>A Monstrous Collection III</t>
  </si>
  <si>
    <t>A Monstrous Collection IV</t>
  </si>
  <si>
    <t>A Monstrous Collection V</t>
  </si>
  <si>
    <t>Investigate The Thyphlo Ruins</t>
  </si>
  <si>
    <t>The Owl Protected By Dragons</t>
  </si>
  <si>
    <t>The Corridor Between Two Dragons</t>
  </si>
  <si>
    <t>The Six Dragons</t>
  </si>
  <si>
    <t>The Long Dragon</t>
  </si>
  <si>
    <t>Legend of the Great Sky Island</t>
  </si>
  <si>
    <t>Messages From An Ancient Era</t>
  </si>
  <si>
    <t>A Deal With The Statue</t>
  </si>
  <si>
    <t>Who Goes There?</t>
  </si>
  <si>
    <t>A Call From The Depths</t>
  </si>
  <si>
    <t>Temple Of Time Ruins</t>
  </si>
  <si>
    <t>Infiltrating The Yiga Clan</t>
  </si>
  <si>
    <t>The Yiga Clan Exam</t>
  </si>
  <si>
    <t>Master Kohga Of The Yiga Clan</t>
  </si>
  <si>
    <t>Mattison's Independence</t>
  </si>
  <si>
    <t>Reede's Secret</t>
  </si>
  <si>
    <t>Cece's Secret</t>
  </si>
  <si>
    <t>Zelda's Golden Horse</t>
  </si>
  <si>
    <t>The Flute Player's Plan</t>
  </si>
  <si>
    <t>Hestu's Concerns</t>
  </si>
  <si>
    <t>The Beckoning Woman</t>
  </si>
  <si>
    <t>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</si>
  <si>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</si>
  <si>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</si>
  <si>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</si>
  <si>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</t>
  </si>
  <si>
    <t>&lt;strong&gt;Start:&lt;/strong&gt; Talk to Hudson&lt;br&gt;&lt;strong&gt;Reward:&lt;/strong&gt; 200 Rupees</t>
  </si>
  <si>
    <t>&lt;strong&gt;Start:&lt;/strong&gt; Talk to Koyin&lt;br&gt;&lt;strong&gt;Reward:&lt;/strong&gt; Hateno Cheese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</si>
  <si>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</t>
  </si>
  <si>
    <t>&lt;strong&gt;Start:&lt;/strong&gt; Talk to Cece&lt;br&gt;&lt;strong&gt;Reward:&lt;/strong&gt; Use of Clothing Shop</t>
  </si>
  <si>
    <t>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</t>
  </si>
  <si>
    <t>&lt;strong&gt;Start:&lt;/strong&gt; Talk to Rozel&lt;br&gt;&lt;strong&gt;Reward:&lt;/strong&gt; Lurelin Village Restored</t>
  </si>
  <si>
    <t>&lt;strong&gt;Start:&lt;/strong&gt; Talk to Bolson&lt;br&gt;&lt;strong&gt;Reward:&lt;/strong&gt; Free Village Services</t>
  </si>
  <si>
    <t>&lt;strong&gt;Start:&lt;/strong&gt; Talk to Penn&lt;br&gt;&lt;strong&gt;Reward:&lt;/strong&gt; Rupees</t>
  </si>
  <si>
    <t>&lt;strong&gt;Start:&lt;/strong&gt; Talk to Penn&lt;br&gt;&lt;strong&gt;Reward:&lt;/strong&gt; Zelda's Golden Horse, Royal Bridle, Royal Saddle</t>
  </si>
  <si>
    <t>&lt;strong&gt;Start:&lt;/strong&gt; Talk to Pyper&lt;br&gt;&lt;strong&gt;Reward:&lt;/strong&gt; Big Hearty Truffle</t>
  </si>
  <si>
    <t>&lt;strong&gt;Start:&lt;/strong&gt; Talk to Beetz&lt;br&gt;&lt;strong&gt;Reward:&lt;/strong&gt; 100 Rupees</t>
  </si>
  <si>
    <t>&lt;strong&gt;Start:&lt;/strong&gt; Talk to Penn&lt;br&gt;&lt;strong&gt;Reward:&lt;/strong&gt;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</si>
  <si>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</si>
  <si>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</si>
  <si>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</t>
  </si>
  <si>
    <t>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</t>
  </si>
  <si>
    <t>&lt;strong&gt;Start:&lt;/strong&gt; Talk to Kilton&lt;br&gt;&lt;strong&gt;Reward:&lt;/strong&gt; Monster Extract</t>
  </si>
  <si>
    <t>&lt;strong&gt;Start:&lt;/strong&gt; Talk to Kilton&lt;br&gt;&lt;strong&gt;Reward:&lt;/strong&gt; Sneaky Monster Soup, Monster Extract</t>
  </si>
  <si>
    <t>&lt;strong&gt;Start:&lt;/strong&gt; Talk to Kilton&lt;br&gt;&lt;strong&gt;Reward:&lt;/strong&gt; Monster Bridle, Monster Extract</t>
  </si>
  <si>
    <t>&lt;strong&gt;Start:&lt;/strong&gt; Talk to Kilton&lt;br&gt;&lt;strong&gt;Reward:&lt;/strong&gt; Monster Saddle, Monster Extract</t>
  </si>
  <si>
    <t>&lt;strong&gt;Start:&lt;/strong&gt; Talk to Kilton&lt;br&gt;&lt;strong&gt;Reward:&lt;/strong&gt; Diamond, Monster Extract</t>
  </si>
  <si>
    <t>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</t>
  </si>
  <si>
    <t>&lt;strong&gt;Start:&lt;/strong&gt; Talk to Steward Construct&lt;br&gt;&lt;strong&gt;Reward:&lt;/strong&gt; Zonai Fabric</t>
  </si>
  <si>
    <t>&lt;strong&gt;Start:&lt;/strong&gt; Talk to Wortsworth&lt;br&gt;&lt;strong&gt;Reward:&lt;/strong&gt; Rupees, Zonai Survey Team Paraglider Fabric</t>
  </si>
  <si>
    <t>&lt;strong&gt;Start:&lt;/strong&gt; Talk to Horned Statue&lt;br&gt;&lt;strong&gt;Reward:&lt;/strong&gt; Ability to swap Stamina and Heart containers</t>
  </si>
  <si>
    <t>&lt;strong&gt;Start:&lt;/strong&gt; Talk to Statue&lt;br&gt;&lt;strong&gt;Reward:&lt;/strong&gt; 1 Heart Container or Stamina Essence</t>
  </si>
  <si>
    <t>&lt;strong&gt;Start:&lt;/strong&gt; Talk to Mimos&lt;br&gt;&lt;strong&gt;Reward:&lt;/strong&gt; Access to the Yiga Clan Hideout, Earthwake Technique, Thunder Helm</t>
  </si>
  <si>
    <t>&lt;strong&gt;Start:&lt;/strong&gt; Talk to Yiga Blademaster&lt;br&gt;&lt;strong&gt;Reward:&lt;/strong&gt; Ruby, Eightfold Longblade (Untarnished)</t>
  </si>
  <si>
    <t>&lt;strong&gt;Start:&lt;/strong&gt; Talk to Kohga&lt;br&gt;&lt;strong&gt;Reward:&lt;/strong&gt; Schema Stones</t>
  </si>
  <si>
    <t>&lt;strong&gt;Start:&lt;/strong&gt; Talk to Jerrin&lt;br&gt;&lt;strong&gt;Reward:&lt;/strong&gt; Red Rupee</t>
  </si>
  <si>
    <t>&lt;strong&gt;Start:&lt;/strong&gt; Talk to Clavia&lt;br&gt;&lt;strong&gt;Reward:&lt;/strong&gt; 10x Hylian Tomatoes</t>
  </si>
  <si>
    <t>&lt;strong&gt;Start:&lt;/strong&gt; Talk to Sophie&lt;br&gt;&lt;strong&gt;Reward:&lt;/strong&gt; 10x Ironshrooms</t>
  </si>
  <si>
    <t>&lt;strong&gt;Start:&lt;/strong&gt; Talk to Traysi&lt;br&gt;&lt;strong&gt;Reward:&lt;/strong&gt; Froggy Armor, Lucky Clover Gazette Fabric</t>
  </si>
  <si>
    <t>&lt;strong&gt;Start:&lt;/strong&gt; Talk to Eustus&lt;br&gt;&lt;strong&gt;Reward:&lt;/strong&gt; 3x Courser Bee Honey</t>
  </si>
  <si>
    <t>{ name: "Typhlo Ruins", landmark: "Tower", type: "Skyview Tower", region: 6, level: "Surface", x: 345, y: 3142, z: 180, details: "" },</t>
  </si>
  <si>
    <t>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</t>
  </si>
  <si>
    <t>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</t>
  </si>
  <si>
    <t>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</t>
  </si>
  <si>
    <t>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</t>
  </si>
  <si>
    <t>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</t>
  </si>
  <si>
    <t>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</t>
  </si>
  <si>
    <t>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</t>
  </si>
  <si>
    <t>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</t>
  </si>
  <si>
    <t>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</t>
  </si>
  <si>
    <t>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</t>
  </si>
  <si>
    <t>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</t>
  </si>
  <si>
    <t>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</t>
  </si>
  <si>
    <t>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</t>
  </si>
  <si>
    <t>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</t>
  </si>
  <si>
    <t>&lt;strong&gt;Start:&lt;/strong&gt; Talk to Hoz&lt;br&gt;&lt;strong&gt;Reward:&lt;/strong&gt; 100 Rupees</t>
  </si>
  <si>
    <t>&lt;strong&gt;Start:&lt;/strong&gt; Talk to Toren&lt;br&gt;&lt;strong&gt;Reward:&lt;/strong&gt; 100 Rupees</t>
  </si>
  <si>
    <t>&lt;strong&gt;Start:&lt;/strong&gt; Talk to Flaxel&lt;br&gt;&lt;strong&gt;Reward:&lt;/strong&gt; 100 Rupees</t>
  </si>
  <si>
    <t>&lt;strong&gt;Start:&lt;/strong&gt; Talk to Hyrule Ridge&lt;br&gt;&lt;strong&gt;Reward:&lt;/strong&gt; Inventory Expansion</t>
  </si>
  <si>
    <t>&lt;strong&gt;Start:&lt;/strong&gt; Talk to Koltin&lt;br&gt;&lt;strong&gt;Reward:&lt;/strong&gt; Bokoblin Mask</t>
  </si>
  <si>
    <t>&lt;strong&gt;Start:&lt;/strong&gt; Talk to Kazul&lt;br&gt;&lt;strong&gt;Reward:&lt;/strong&gt; Sapphire x3</t>
  </si>
  <si>
    <t>&lt;strong&gt;Start:&lt;/strong&gt; Talk to Kazul&lt;br&gt;&lt;strong&gt;Reward:&lt;/strong&gt; Ruby x3</t>
  </si>
  <si>
    <t>&lt;strong&gt;Start:&lt;/strong&gt; Talk to Kazul&lt;br&gt;&lt;strong&gt;Reward:&lt;/strong&gt; Opal x5</t>
  </si>
  <si>
    <t>&lt;strong&gt;Start:&lt;/strong&gt; Talk to Kazul&lt;br&gt;&lt;strong&gt;Reward:&lt;/strong&gt; Topaz x3</t>
  </si>
  <si>
    <t>The Satori Mountain Crystal</t>
  </si>
  <si>
    <t>The White Bird's Guidance</t>
  </si>
  <si>
    <t>The Gisa Crater Crystal</t>
  </si>
  <si>
    <t>The North Hebra Mountains Crystal</t>
  </si>
  <si>
    <t>The Northwest Hebra Cave Crystal</t>
  </si>
  <si>
    <t>A Pretty Stone and Five Golden Apples</t>
  </si>
  <si>
    <t>None Shall Pass</t>
  </si>
  <si>
    <t>Maca's Special Place</t>
  </si>
  <si>
    <t>The Death Caldera Crystal</t>
  </si>
  <si>
    <t>The Lake Intenoch Cave Crystal</t>
  </si>
  <si>
    <t>Rock for Sale</t>
  </si>
  <si>
    <t>Dyeing to Find It</t>
  </si>
  <si>
    <t>The High Spring and the Light Rings</t>
  </si>
  <si>
    <t>The Lanayru Road Crystal</t>
  </si>
  <si>
    <t>The Ralis Channel Crystal</t>
  </si>
  <si>
    <t>Keys Born of Water</t>
  </si>
  <si>
    <t>The Oakle's Navel Cave Crystal</t>
  </si>
  <si>
    <t>Ride the Giant Horse</t>
  </si>
  <si>
    <t>The Lake Hylia Crystal</t>
  </si>
  <si>
    <t>Legend of the Soaring Spear</t>
  </si>
  <si>
    <t>The Gerudo Canyon Crystal</t>
  </si>
  <si>
    <t>The North Hyrule Sky Crystal</t>
  </si>
  <si>
    <t>The South Hyrule Sky Crystal</t>
  </si>
  <si>
    <t>The Tabantha Sky Crystal</t>
  </si>
  <si>
    <t>The East Hebra Sky Crystal</t>
  </si>
  <si>
    <t>Tauninoud Shrine</t>
  </si>
  <si>
    <t>The Sky Mine Crystal</t>
  </si>
  <si>
    <t>The Sokkala Sky Crystal</t>
  </si>
  <si>
    <t>The South Lanayru Sky Crystal</t>
  </si>
  <si>
    <t>The North Necluda Sky Crystal</t>
  </si>
  <si>
    <t>The West Necluda Sky Crystal</t>
  </si>
  <si>
    <t>The Necluda Sky Crystal</t>
  </si>
  <si>
    <t>Guardian of the Tabantha Sky Archipelago</t>
  </si>
  <si>
    <t>Guardian of the West Hebra Sky Archipelago</t>
  </si>
  <si>
    <t>Guardian of the Wellspring Island</t>
  </si>
  <si>
    <t>Guardian of the Lanayru Sky Archipelago</t>
  </si>
  <si>
    <t>Guardian of the Necluda Sky Archipelago</t>
  </si>
  <si>
    <t>Guardian of the South Necluda Sky Archipelago</t>
  </si>
  <si>
    <t>Guardian of the Faron Sky Archipelago</t>
  </si>
  <si>
    <t>Guardian of the Thunderhead Isles</t>
  </si>
  <si>
    <t>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</t>
  </si>
  <si>
    <t>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</si>
  <si>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</t>
  </si>
  <si>
    <t>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</si>
  <si>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</t>
  </si>
  <si>
    <t>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</t>
  </si>
  <si>
    <t>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</t>
  </si>
  <si>
    <t>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</t>
  </si>
  <si>
    <t>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</si>
  <si>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</t>
  </si>
  <si>
    <t>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</t>
  </si>
  <si>
    <t>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</t>
  </si>
  <si>
    <t>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</si>
  <si>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</si>
  <si>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</t>
  </si>
  <si>
    <t>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</si>
  <si>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</t>
  </si>
  <si>
    <t>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</t>
  </si>
  <si>
    <t>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</t>
  </si>
  <si>
    <t>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</t>
  </si>
  <si>
    <t>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</t>
  </si>
  <si>
    <t>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</si>
  <si>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</t>
  </si>
  <si>
    <t>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</t>
  </si>
  <si>
    <t>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</t>
  </si>
  <si>
    <t>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</si>
  <si>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</t>
  </si>
  <si>
    <t>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</t>
  </si>
  <si>
    <t>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</t>
  </si>
  <si>
    <t>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</t>
  </si>
  <si>
    <t>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</t>
  </si>
  <si>
    <t>&lt;strong&gt;First:&lt;/strong&gt; Complete &lt;img src="icons/shrine-quest.png" style="height: 20px; width: 20px; vertical-align: middle; margin-right: 5px;"&gt;&lt;span style="color: #7cc9c2; font-weight: bold;"&gt;The South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</si>
  <si>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Satori Mountain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</si>
  <si>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Tabantha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</si>
  <si>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Gisa Crater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</si>
  <si>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Northwest Hebra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</si>
  <si>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Hebra Mountains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</si>
  <si>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White Bird's Guidance&lt;/span&gt;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</si>
  <si>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</si>
  <si>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bold;"&gt;Maca's Special Place&lt;/span&gt; shrine quest</t>
  </si>
  <si>
    <t>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</t>
  </si>
  <si>
    <t>&lt;strong&gt;First:&lt;/strong&gt; Complete &lt;img src="icons/shrine-quest.png" style="height: 20px; width: 20px; vertical-align: middle; margin-right: 5px;"&gt;&lt;span style="color: #7cc9c2; font-weight: bold;"&gt;None Shall Pass&lt;/span&gt; shrine quest</t>
  </si>
  <si>
    <t>&lt;strong&gt;First:&lt;/strong&gt; Complete &lt;img src="icons/shrine-quest.png" style="height: 20px; width: 20px; vertical-align: middle; margin-right: 5px;"&gt;&lt;span style="color: #7cc9c2; font-weight: bold;"&gt;The Death Caldera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</si>
  <si>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Intenoch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</si>
  <si>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Sky Mine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</si>
  <si>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Sokkala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</si>
  <si>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bold;"&gt;Rock for Sale&lt;/span&gt; shrine quest</t>
  </si>
  <si>
    <t>&lt;strong&gt;First:&lt;/strong&gt; Complete &lt;img src="icons/shrine-quest.png" style="height: 20px; width: 20px; vertical-align: middle; margin-right: 5px;"&gt;&lt;span style="color: #7cc9c2; font-weight: bold;"&gt;The Ralis Channel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</si>
  <si>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</si>
  <si>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West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</si>
  <si>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bold;"&gt;Dyeing to Find It&lt;/span&gt; shrine quest</t>
  </si>
  <si>
    <t>&lt;strong&gt;First:&lt;/strong&gt; Complete &lt;img src="icons/shrine-quest.png" style="height: 20px; width: 20px; vertical-align: middle; margin-right: 5px;"&gt;&lt;span style="color: #7cc9c2; font-weight: bold;"&gt;The Lanayru Road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</si>
  <si>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South Lanayru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</si>
  <si>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High Spring and the Light Rings&lt;/span&gt; shrine quest</t>
  </si>
  <si>
    <t>&lt;strong&gt;First:&lt;/strong&gt; Complete &lt;img src="icons/shrine-quest.png" style="height: 20px; width: 20px; vertical-align: middle; margin-right: 5px;"&gt;&lt;span style="color: #7cc9c2; font-weight: bold;"&gt;The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</si>
  <si>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Oakle's Navel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</si>
  <si>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Hylia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</si>
  <si>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bold;"&gt;Ride the Giant Horse&lt;/span&gt; shrine quest</t>
  </si>
  <si>
    <t>&lt;strong&gt;First:&lt;/strong&gt; Complete &lt;img src="icons/shrine-quest.png" style="height: 20px; width: 20px; vertical-align: middle; margin-right: 5px;"&gt;&lt;span style="color: #7cc9c2; font-weight: bold;"&gt;Keys Born of Water&lt;/span&gt; shrine quest</t>
  </si>
  <si>
    <t>&lt;strong&gt;First:&lt;/strong&gt; Complete &lt;img src="icons/shrine-quest.png" style="height: 20px; width: 20px; vertical-align: middle; margin-right: 5px;"&gt;&lt;span style="color: #7cc9c2; font-weight: bold;"&gt;Legend of the Soaring Spear&lt;/span&gt; shrine quest</t>
  </si>
  <si>
    <t>&lt;strong&gt;First:&lt;/strong&gt; Complete &lt;img src="icons/shrine-quest.png" style="height: 20px; width: 20px; vertical-align: middle; margin-right: 5px;"&gt;&lt;span style="color: #7cc9c2; font-weight: bold;"&gt;The Gerudo Canyon Crystal&lt;/span&gt; shrine 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</si>
</sst>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  <xf numFmtId="0" fontId="0" fillId="0" borderId="0" xfId="0" applyFill="1"/>
    <xf numFmtId="0" fontId="4" fillId="0" borderId="0" xfId="0" applyFont="1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2408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2409</v>
      </c>
    </row>
    <row r="4" spans="1:7" x14ac:dyDescent="0.2">
      <c r="A4" s="32" t="s">
        <v>2909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2657</v>
      </c>
      <c r="B5" s="2">
        <v>6</v>
      </c>
      <c r="C5" s="14">
        <f t="shared" si="0"/>
        <v>2.4000000000000002E-3</v>
      </c>
    </row>
    <row r="6" spans="1:7" x14ac:dyDescent="0.2">
      <c r="A6" s="32" t="s">
        <v>2411</v>
      </c>
      <c r="B6" s="15">
        <v>34</v>
      </c>
      <c r="C6" s="14">
        <f>B6*0.0004</f>
        <v>1.3600000000000001E-2</v>
      </c>
    </row>
    <row r="7" spans="1:7" x14ac:dyDescent="0.2">
      <c r="A7" s="32" t="s">
        <v>2656</v>
      </c>
      <c r="B7" s="15">
        <v>10</v>
      </c>
      <c r="C7" s="14">
        <f>B7*0.0004</f>
        <v>4.0000000000000001E-3</v>
      </c>
    </row>
    <row r="8" spans="1:7" x14ac:dyDescent="0.2">
      <c r="A8" s="32" t="s">
        <v>2655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2596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2410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2907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topLeftCell="A667" workbookViewId="0">
      <selection activeCell="A708" sqref="A1:E796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2621</v>
      </c>
      <c r="B1" t="s">
        <v>2622</v>
      </c>
      <c r="C1" s="2" t="s">
        <v>2050</v>
      </c>
      <c r="D1" t="s">
        <v>2655</v>
      </c>
      <c r="E1" t="s">
        <v>848</v>
      </c>
    </row>
    <row r="2" spans="1:5" hidden="1" x14ac:dyDescent="0.2">
      <c r="A2" s="23" t="s">
        <v>1104</v>
      </c>
      <c r="B2" t="s">
        <v>2642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2642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2642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2642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2642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2642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2642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2642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2642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2642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2642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2642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2642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2642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2642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2642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2642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2642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2642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2642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2642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2642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2642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2642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2642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2642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2642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2642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2642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2642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2642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2642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2642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2642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2642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2642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2642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2642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2642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2642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2642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2642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2642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2642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2642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2396</v>
      </c>
      <c r="B47" t="s">
        <v>2642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2642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2642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2642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2642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2642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2642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2642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2642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2642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2642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2642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2642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2642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2642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2642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2642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2642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2642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2642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2642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2642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2642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2642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2642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2642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2642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2642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2642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2642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2642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2642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2642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2642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2642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2642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2642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2642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2642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2642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2642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2642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2642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2642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2642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2623</v>
      </c>
      <c r="B92" t="s">
        <v>2642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2624</v>
      </c>
      <c r="B93" t="s">
        <v>2642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2625</v>
      </c>
      <c r="B94" t="s">
        <v>2642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2626</v>
      </c>
      <c r="B95" t="s">
        <v>2642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2642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2642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2642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2642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2642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2642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2642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2642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2642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2642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2642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2642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2642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2642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2642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2642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2642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2642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2642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2642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2642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2642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2642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2642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2642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2642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2642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2642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2642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2642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2642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2642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2642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2642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2642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2642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2642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2642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2642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2642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2642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2642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2642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2642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2642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2642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2642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2642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2642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2642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2642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2642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2642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2642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2642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2642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2642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2642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2642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2642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2642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2642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2642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2642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2642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2642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2642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2642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2642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2642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2642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2642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2642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2642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2642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2642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2642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2642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2642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2642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2642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2642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2642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2642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2642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2642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2642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2642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2642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2642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2642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2642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2642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2642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2642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2642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2642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2642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2642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2642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2642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2642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2642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2642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2642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2642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2642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2642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2642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2642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2642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2642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2642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2642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2642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2642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2642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2642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2642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2642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2642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2642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2642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2642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2642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2642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2642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2642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2642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2642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2642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2642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2642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2642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2642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2642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2642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2642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2642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2642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2642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2405</v>
      </c>
      <c r="B237" t="s">
        <v>2642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2627</v>
      </c>
      <c r="B238" t="s">
        <v>2642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2628</v>
      </c>
      <c r="B239" t="s">
        <v>2642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2629</v>
      </c>
      <c r="B240" t="s">
        <v>2642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2630</v>
      </c>
      <c r="B241" t="s">
        <v>2642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2631</v>
      </c>
      <c r="B242" t="s">
        <v>2642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2632</v>
      </c>
      <c r="B243" t="s">
        <v>2642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2633</v>
      </c>
      <c r="B244" t="s">
        <v>2642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2634</v>
      </c>
      <c r="B245" t="s">
        <v>2642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2642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2642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2642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2635</v>
      </c>
      <c r="B249" t="s">
        <v>2642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2636</v>
      </c>
      <c r="B250" t="s">
        <v>2642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2637</v>
      </c>
      <c r="B251" t="s">
        <v>2642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2638</v>
      </c>
      <c r="B252" t="s">
        <v>2642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2639</v>
      </c>
      <c r="B253" t="s">
        <v>2642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2640</v>
      </c>
      <c r="B254" t="s">
        <v>2642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2641</v>
      </c>
      <c r="B255" t="s">
        <v>2642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2642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2642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2642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2642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2642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2642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2642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2642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2642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2642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2642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2642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2642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2642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2642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2642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2642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2642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2642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2642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2642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2642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2642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2642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2642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2642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2642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2642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2642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2642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2642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2642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2642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2642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2642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2642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2642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2642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2642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2642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2642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2642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2642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2642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2642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2642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2642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2642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2642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2642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2642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2642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2642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2642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2642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2642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2642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2642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2642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2642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2642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2642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2642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2642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2642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2642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2642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2642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2642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2642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2642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2642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2642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2642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2642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2642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2642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2642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2642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2642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2642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2642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2642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2642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2642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2642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2642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2642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2642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2642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2642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2642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2642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2642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2642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2642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2642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2642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2642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2642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2642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2642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2642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2642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2642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2642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2642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2642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2642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2642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2642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2642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2642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2642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2642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2642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2642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2642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2642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2642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2642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2642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2642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2642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2642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2642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2642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2642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2642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2642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2642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2642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2642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2642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2642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2642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2642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2642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2642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2642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2642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2642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2642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2642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2642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2642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2642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2642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2642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2642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2642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2642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2642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2642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2642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2642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2642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2642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2642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2642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2642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2642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2642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2642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2642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2642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2642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2642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2642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2642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2642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2642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2642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2642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2642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2642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2642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2642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2642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2642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2642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2642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2642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2642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2642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2642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2642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2642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2642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2642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2642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2642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2642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2642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2642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2642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2642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2642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2642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2642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2642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2642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2642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2642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2642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2642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2642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2642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2642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2642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2642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2642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2642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2642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2642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2642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2642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2642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2642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2642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2642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2642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2642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2642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2642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2642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2642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2642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2642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2642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2642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2642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2642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2642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2642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2642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2642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2642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2642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2642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2642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2642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2642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2642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2642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2642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2642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2642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2642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2642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2642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2642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2642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2642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2642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2642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2642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2642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2642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2642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2642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2642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2642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2647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2647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2647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2647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2647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2647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2647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2647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2647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2647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2647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2647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2647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2647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2647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2647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2647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2647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2647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2647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2647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2647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2351</v>
      </c>
      <c r="B541" t="s">
        <v>2647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2647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2647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2647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2647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2647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2647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2647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2647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2647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2647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2647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2647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2647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2647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2647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2647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2406</v>
      </c>
      <c r="B558" t="s">
        <v>2647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2643</v>
      </c>
      <c r="B559" t="s">
        <v>2647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2407</v>
      </c>
      <c r="B560" t="s">
        <v>2647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2644</v>
      </c>
      <c r="B561" t="s">
        <v>2647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2645</v>
      </c>
      <c r="B562" t="s">
        <v>2647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2646</v>
      </c>
      <c r="B563" t="s">
        <v>2647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2653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2653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2653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2653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2653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2653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2653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2599</v>
      </c>
      <c r="B571" t="s">
        <v>2653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2653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2653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2394</v>
      </c>
      <c r="B574" t="s">
        <v>2653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2576</v>
      </c>
      <c r="B575" t="s">
        <v>2653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2393</v>
      </c>
      <c r="B576" t="s">
        <v>2653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2653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2653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2653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2653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2392</v>
      </c>
      <c r="B581" t="s">
        <v>2653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2395</v>
      </c>
      <c r="B582" t="s">
        <v>2653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2653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2653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2653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2653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2653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2653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2653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2653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2653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2653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2653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2653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2653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2653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2653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2653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2653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2653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2653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2653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2653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2653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2653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2653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2653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2653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2653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2653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2653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2653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2653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2653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2653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2653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2653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2653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2653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2653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2653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2653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2653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2653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2653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2653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2653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2653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2653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2653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2653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2653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2653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2653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2653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2653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2653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2653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2653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2653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2653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2653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2653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2653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2653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2653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2600</v>
      </c>
      <c r="B647" t="s">
        <v>2653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2653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2653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2653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2653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2653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2653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2653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2653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2404</v>
      </c>
      <c r="B656" t="s">
        <v>2653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2648</v>
      </c>
      <c r="B657" t="s">
        <v>2653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2649</v>
      </c>
      <c r="B658" t="s">
        <v>2653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2650</v>
      </c>
      <c r="B659" t="s">
        <v>2653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2651</v>
      </c>
      <c r="B660" t="s">
        <v>2653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2652</v>
      </c>
      <c r="B661" t="s">
        <v>2653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2653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2653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2653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2653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2653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2402</v>
      </c>
      <c r="B667" t="s">
        <v>2653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2599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2600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2402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2610</v>
      </c>
      <c r="B689" t="s">
        <v>2654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2617</v>
      </c>
      <c r="B690" t="s">
        <v>2654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2613</v>
      </c>
      <c r="B691" t="s">
        <v>2654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2606</v>
      </c>
      <c r="B692" t="s">
        <v>2654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2607</v>
      </c>
      <c r="B693" t="s">
        <v>2654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2609</v>
      </c>
      <c r="B694" t="s">
        <v>2654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2614</v>
      </c>
      <c r="B695" t="s">
        <v>2654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2615</v>
      </c>
      <c r="B696" t="s">
        <v>2654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2608</v>
      </c>
      <c r="B697" t="s">
        <v>2654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2620</v>
      </c>
      <c r="B698" t="s">
        <v>2654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2612</v>
      </c>
      <c r="B699" t="s">
        <v>2654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2619</v>
      </c>
      <c r="B700" t="s">
        <v>2654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2616</v>
      </c>
      <c r="B701" t="s">
        <v>2654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2618</v>
      </c>
      <c r="B702" t="s">
        <v>2654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2611</v>
      </c>
      <c r="B703" t="s">
        <v>2654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2654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2654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2654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2654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2654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2654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2654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2654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2654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2654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2654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2654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2654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2654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2654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2654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2654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2654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2654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2654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2654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2654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2654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2654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2654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2654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2654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2654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2654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2654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2654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2654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2654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2601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2601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2601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2601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2654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2654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2602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2601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2605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2605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2601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2654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2601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2654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2654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2654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2601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2604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2601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2601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2601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2603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3B20-ECF8-4E4A-BEEB-E11119F3A0F4}">
  <sheetPr>
    <tabColor theme="7"/>
  </sheetPr>
  <dimension ref="A1:J24"/>
  <sheetViews>
    <sheetView workbookViewId="0">
      <selection activeCell="A7" sqref="A7"/>
    </sheetView>
  </sheetViews>
  <sheetFormatPr baseColWidth="10" defaultRowHeight="16" x14ac:dyDescent="0.2"/>
  <cols>
    <col min="1" max="1" width="30.1640625" bestFit="1" customWidth="1"/>
    <col min="2" max="2" width="17.5" bestFit="1" customWidth="1"/>
    <col min="3" max="8" width="10.83203125" style="2"/>
    <col min="9" max="9" width="28.832031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s="7" t="s">
        <v>4352</v>
      </c>
      <c r="B2" t="s">
        <v>1668</v>
      </c>
      <c r="C2" s="2">
        <v>0</v>
      </c>
      <c r="D2" s="2" t="s">
        <v>783</v>
      </c>
      <c r="E2" s="2">
        <v>453</v>
      </c>
      <c r="F2" s="2">
        <v>-1313</v>
      </c>
      <c r="G2" s="2">
        <v>1535</v>
      </c>
      <c r="H2" s="2">
        <v>0</v>
      </c>
      <c r="I2" t="s">
        <v>4375</v>
      </c>
      <c r="J2" t="str">
        <f>"{ name: "&amp;CHAR(34)&amp;A2&amp;CHAR(34)&amp;", landmark: "&amp;CHAR(34)&amp;"Main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"Find Princess Zelda", landmark: "Main Quest", type: "Temple of Time", region: 0, level: "Sky", x: 453, y: -1313, z: 1535, weight: 0, details: "Talk to Steward Construct" },</v>
      </c>
    </row>
    <row r="3" spans="1:10" x14ac:dyDescent="0.2">
      <c r="A3" s="7" t="s">
        <v>4353</v>
      </c>
      <c r="B3" t="s">
        <v>1668</v>
      </c>
      <c r="C3" s="2">
        <v>0</v>
      </c>
      <c r="D3" s="2" t="s">
        <v>783</v>
      </c>
      <c r="E3" s="2">
        <v>453</v>
      </c>
      <c r="F3" s="2">
        <v>-859</v>
      </c>
      <c r="G3" s="2">
        <v>1450</v>
      </c>
      <c r="H3" s="2">
        <v>0</v>
      </c>
      <c r="I3" t="s">
        <v>4376</v>
      </c>
      <c r="J3" t="str">
        <f>"{ name: "&amp;CHAR(34)&amp;A3&amp;CHAR(34)&amp;", landmark: "&amp;CHAR(34)&amp;"Main Quest"&amp;CHAR(34)&amp;",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"The Closed Door", landmark: "Main Quest", type: "Temple of Time", region: 0, level: "Sky", x: 453, y: -859, z: 1450, weight: 0, details: "Talk to Rauru" },</v>
      </c>
    </row>
    <row r="4" spans="1:10" x14ac:dyDescent="0.2">
      <c r="A4" s="7" t="s">
        <v>4354</v>
      </c>
      <c r="B4" t="s">
        <v>1668</v>
      </c>
      <c r="C4" s="2">
        <v>0</v>
      </c>
      <c r="D4" s="2" t="s">
        <v>783</v>
      </c>
      <c r="E4" s="2">
        <v>444</v>
      </c>
      <c r="F4" s="2">
        <v>-631</v>
      </c>
      <c r="G4" s="2">
        <v>1472</v>
      </c>
      <c r="H4" s="2">
        <v>0</v>
      </c>
      <c r="I4" t="s">
        <v>4377</v>
      </c>
      <c r="J4" t="str">
        <f>"{ name: "&amp;CHAR(34)&amp;A4&amp;CHAR(34)&amp;", landmark: "&amp;CHAR(34)&amp;"Main Quest"&amp;CHAR(34)&amp;", type: "&amp;CHAR(34)&amp;B4&amp;CHAR(34)&amp;", region: "&amp;C4&amp;", level: "&amp;CHAR(34)&amp;D4&amp;CHAR(34)&amp;", x: "&amp;E4&amp;", y: "&amp;F4&amp;", z: "&amp;G4&amp;", weight: "&amp;H4&amp;", details: "&amp;CHAR(34)&amp;I4&amp;CHAR(34)&amp;" },"</f>
        <v>{ name: "To the Kingdom of Hyrule", landmark: "Main Quest", type: "Temple of Time", region: 0, level: "Sky", x: 444, y: -631, z: 1472, weight: 0, details: "Talk to Zelda's Voice" },</v>
      </c>
    </row>
    <row r="5" spans="1:10" x14ac:dyDescent="0.2">
      <c r="A5" s="7" t="s">
        <v>4371</v>
      </c>
      <c r="B5" t="s">
        <v>795</v>
      </c>
      <c r="C5" s="2">
        <v>13</v>
      </c>
      <c r="D5" s="2" t="s">
        <v>783</v>
      </c>
      <c r="E5" s="2">
        <v>1363</v>
      </c>
      <c r="F5" s="2">
        <v>-3263</v>
      </c>
      <c r="G5" s="2">
        <v>431</v>
      </c>
      <c r="H5" s="2">
        <v>0</v>
      </c>
      <c r="I5" t="s">
        <v>4388</v>
      </c>
      <c r="J5" t="str">
        <f>"{ name: "&amp;CHAR(34)&amp;A5&amp;CHAR(34)&amp;", landmark: "&amp;CHAR(34)&amp;"Main Quest"&amp;CHAR(34)&amp;", type: "&amp;CHAR(34)&amp;B5&amp;CHAR(34)&amp;", region: "&amp;C5&amp;", level: "&amp;CHAR(34)&amp;D5&amp;CHAR(34)&amp;", x: "&amp;E5&amp;", y: "&amp;F5&amp;", z: "&amp;G5&amp;", weight: "&amp;H5&amp;", details: "&amp;CHAR(34)&amp;I5&amp;CHAR(34)&amp;" },"</f>
        <v>{ name: "Guidance from Ages Past", landmark: "Main Quest", type: "Dragonhead Island", region: 13, level: "Sky", x: 1363, y: -3263, z: 431, weight: 0, details: "Talk to Zonai Relic" },</v>
      </c>
    </row>
    <row r="6" spans="1:10" x14ac:dyDescent="0.2">
      <c r="A6" s="7" t="s">
        <v>4355</v>
      </c>
      <c r="B6" t="s">
        <v>1441</v>
      </c>
      <c r="C6" s="2">
        <v>1</v>
      </c>
      <c r="D6" s="2" t="s">
        <v>785</v>
      </c>
      <c r="E6" s="2">
        <v>-271</v>
      </c>
      <c r="F6" s="2">
        <v>153</v>
      </c>
      <c r="G6" s="2">
        <v>26</v>
      </c>
      <c r="H6" s="2">
        <v>0</v>
      </c>
      <c r="I6" t="s">
        <v>4378</v>
      </c>
      <c r="J6" t="str">
        <f>"{ name: "&amp;CHAR(34)&amp;A6&amp;CHAR(34)&amp;", landmark: "&amp;CHAR(34)&amp;"Main Quest"&amp;CHAR(34)&amp;", type: "&amp;CHAR(34)&amp;B6&amp;CHAR(34)&amp;", region: "&amp;C6&amp;", level: "&amp;CHAR(34)&amp;D6&amp;CHAR(34)&amp;", x: "&amp;E6&amp;", y: "&amp;F6&amp;", z: "&amp;G6&amp;", weight: "&amp;H6&amp;", details: "&amp;CHAR(34)&amp;I6&amp;CHAR(34)&amp;" },"</f>
        <v>{ name: "Crisis at Hyrule Castle", landmark: "Main Quest", type: "Lookout Landing", region: 1, level: "Surface", x: -271, y: 153, z: 26, weight: 0, details: "Talk to Purah" },</v>
      </c>
    </row>
    <row r="7" spans="1:10" x14ac:dyDescent="0.2">
      <c r="A7" s="7" t="s">
        <v>4356</v>
      </c>
      <c r="B7" t="s">
        <v>1441</v>
      </c>
      <c r="C7" s="2">
        <v>1</v>
      </c>
      <c r="D7" s="2" t="s">
        <v>785</v>
      </c>
      <c r="E7" s="2">
        <v>-259</v>
      </c>
      <c r="F7" s="2">
        <v>153</v>
      </c>
      <c r="G7" s="2">
        <v>26</v>
      </c>
      <c r="H7" s="2">
        <v>0</v>
      </c>
      <c r="I7" t="s">
        <v>4378</v>
      </c>
      <c r="J7" t="str">
        <f>"{ name: "&amp;CHAR(34)&amp;A7&amp;CHAR(34)&amp;", landmark: "&amp;CHAR(34)&amp;"Main Quest"&amp;CHAR(34)&amp;", type: "&amp;CHAR(34)&amp;B7&amp;CHAR(34)&amp;", region: "&amp;C7&amp;", level: "&amp;CHAR(34)&amp;D7&amp;CHAR(34)&amp;", x: "&amp;E7&amp;", y: "&amp;F7&amp;", z: "&amp;G7&amp;", weight: "&amp;H7&amp;", details: "&amp;CHAR(34)&amp;I7&amp;CHAR(34)&amp;" },"</f>
        <v>{ name: "Regional Phenomena", landmark: "Main Quest", type: "Lookout Landing", region: 1, level: "Surface", x: -259, y: 153, z: 26, weight: 0, details: "Talk to Purah" },</v>
      </c>
    </row>
    <row r="8" spans="1:10" x14ac:dyDescent="0.2">
      <c r="A8" s="7" t="s">
        <v>4357</v>
      </c>
      <c r="B8" t="s">
        <v>1441</v>
      </c>
      <c r="C8" s="2">
        <v>1</v>
      </c>
      <c r="D8" s="2" t="s">
        <v>785</v>
      </c>
      <c r="E8" s="2">
        <v>-252</v>
      </c>
      <c r="F8" s="2">
        <v>146</v>
      </c>
      <c r="G8" s="2">
        <v>20</v>
      </c>
      <c r="H8" s="2">
        <v>0</v>
      </c>
      <c r="I8" t="s">
        <v>4379</v>
      </c>
      <c r="J8" t="str">
        <f>"{ name: "&amp;CHAR(34)&amp;A8&amp;CHAR(34)&amp;", landmark: "&amp;CHAR(34)&amp;"Main Quest"&amp;CHAR(34)&amp;", type: "&amp;CHAR(34)&amp;B8&amp;CHAR(34)&amp;", region: "&amp;C8&amp;", level: "&amp;CHAR(34)&amp;D8&amp;CHAR(34)&amp;", x: "&amp;E8&amp;", y: "&amp;F8&amp;", z: "&amp;G8&amp;", weight: "&amp;H8&amp;", details: "&amp;CHAR(34)&amp;I8&amp;CHAR(34)&amp;" },"</f>
        <v>{ name: "Camera Work in the Depths", landmark: "Main Quest", type: "Lookout Landing", region: 1, level: "Surface", x: -252, y: 146, z: 20, weight: 0, details: "Talk to Josha" },</v>
      </c>
    </row>
    <row r="9" spans="1:10" x14ac:dyDescent="0.2">
      <c r="A9" s="7" t="s">
        <v>4360</v>
      </c>
      <c r="B9" t="s">
        <v>1441</v>
      </c>
      <c r="C9" s="2">
        <v>1</v>
      </c>
      <c r="D9" s="2" t="s">
        <v>785</v>
      </c>
      <c r="E9" s="2">
        <v>-255</v>
      </c>
      <c r="F9" s="2">
        <v>138</v>
      </c>
      <c r="G9" s="2">
        <v>19</v>
      </c>
      <c r="H9" s="2">
        <v>0</v>
      </c>
      <c r="I9" t="s">
        <v>4379</v>
      </c>
      <c r="J9" t="str">
        <f>"{ name: "&amp;CHAR(34)&amp;A9&amp;CHAR(34)&amp;", landmark: "&amp;CHAR(34)&amp;"Main Quest"&amp;CHAR(34)&amp;", type: "&amp;CHAR(34)&amp;B9&amp;CHAR(34)&amp;", region: "&amp;C9&amp;", level: "&amp;CHAR(34)&amp;D9&amp;CHAR(34)&amp;", x: "&amp;E9&amp;", y: "&amp;F9&amp;", z: "&amp;G9&amp;", weight: "&amp;H9&amp;", details: "&amp;CHAR(34)&amp;I9&amp;CHAR(34)&amp;" },"</f>
        <v>{ name: "A Mystery in the Depths", landmark: "Main Quest", type: "Lookout Landing", region: 1, level: "Surface", x: -255, y: 138, z: 19, weight: 0, details: "Talk to Josha" },</v>
      </c>
    </row>
    <row r="10" spans="1:10" x14ac:dyDescent="0.2">
      <c r="A10" s="7" t="s">
        <v>4369</v>
      </c>
      <c r="B10" t="s">
        <v>1441</v>
      </c>
      <c r="C10" s="2">
        <v>1</v>
      </c>
      <c r="D10" s="2" t="s">
        <v>785</v>
      </c>
      <c r="E10" s="2">
        <v>-247</v>
      </c>
      <c r="F10" s="2">
        <v>153</v>
      </c>
      <c r="G10" s="2">
        <v>26</v>
      </c>
      <c r="H10" s="2">
        <v>0</v>
      </c>
      <c r="I10" t="s">
        <v>4378</v>
      </c>
      <c r="J10" t="str">
        <f>"{ name: "&amp;CHAR(34)&amp;A10&amp;CHAR(34)&amp;", landmark: "&amp;CHAR(34)&amp;"Main Quest"&amp;CHAR(34)&amp;", type: "&amp;CHAR(34)&amp;B10&amp;CHAR(34)&amp;", region: "&amp;C10&amp;", level: "&amp;CHAR(34)&amp;D10&amp;CHAR(34)&amp;", x: "&amp;E10&amp;", y: "&amp;F10&amp;", z: "&amp;G10&amp;", weight: "&amp;H10&amp;", details: "&amp;CHAR(34)&amp;I10&amp;CHAR(34)&amp;" },"</f>
        <v>{ name: "Find the Fifth Sage", landmark: "Main Quest", type: "Lookout Landing", region: 1, level: "Surface", x: -247, y: 153, z: 26, weight: 0, details: "Talk to Purah" },</v>
      </c>
    </row>
    <row r="11" spans="1:10" x14ac:dyDescent="0.2">
      <c r="A11" s="7" t="s">
        <v>4374</v>
      </c>
      <c r="B11" t="s">
        <v>1441</v>
      </c>
      <c r="C11" s="2">
        <v>1</v>
      </c>
      <c r="D11" s="2" t="s">
        <v>785</v>
      </c>
      <c r="E11" s="2">
        <v>-235</v>
      </c>
      <c r="F11" s="2">
        <v>153</v>
      </c>
      <c r="G11" s="2">
        <v>26</v>
      </c>
      <c r="H11" s="2">
        <v>0</v>
      </c>
      <c r="I11" t="s">
        <v>4378</v>
      </c>
      <c r="J11" t="str">
        <f>"{ name: "&amp;CHAR(34)&amp;A11&amp;CHAR(34)&amp;", landmark: "&amp;CHAR(34)&amp;"Main Quest"&amp;CHAR(34)&amp;", type: "&amp;CHAR(34)&amp;B11&amp;CHAR(34)&amp;", region: "&amp;C11&amp;", level: "&amp;CHAR(34)&amp;D11&amp;CHAR(34)&amp;", x: "&amp;E11&amp;", y: "&amp;F11&amp;", z: "&amp;G11&amp;", weight: "&amp;H11&amp;", details: "&amp;CHAR(34)&amp;I11&amp;CHAR(34)&amp;" },"</f>
        <v>{ name: "Destroy Ganondorf", landmark: "Main Quest", type: "Lookout Landing", region: 1, level: "Surface", x: -235, y: 153, z: 26, weight: 0, details: "Talk to Purah" },</v>
      </c>
    </row>
    <row r="12" spans="1:10" x14ac:dyDescent="0.2">
      <c r="A12" s="7" t="s">
        <v>4358</v>
      </c>
      <c r="B12" t="s">
        <v>1506</v>
      </c>
      <c r="C12" s="2">
        <v>3</v>
      </c>
      <c r="D12" s="2" t="s">
        <v>785</v>
      </c>
      <c r="E12" s="2">
        <v>-1621</v>
      </c>
      <c r="F12" s="2">
        <v>558</v>
      </c>
      <c r="G12" s="2">
        <v>32</v>
      </c>
      <c r="H12" s="2">
        <v>0</v>
      </c>
      <c r="I12" t="s">
        <v>4380</v>
      </c>
      <c r="J12" t="str">
        <f>"{ name: "&amp;CHAR(34)&amp;A12&amp;CHAR(34)&amp;", landmark: "&amp;CHAR(34)&amp;"Main Quest"&amp;CHAR(34)&amp;", type: "&amp;CHAR(34)&amp;B12&amp;CHAR(34)&amp;", region: "&amp;C12&amp;", level: "&amp;CHAR(34)&amp;D12&amp;CHAR(34)&amp;", x: "&amp;E12&amp;", y: "&amp;F12&amp;", z: "&amp;G12&amp;", weight: "&amp;H12&amp;", details: "&amp;CHAR(34)&amp;I12&amp;CHAR(34)&amp;" },"</f>
        <v>{ name: "Impa and the Geoglyphs", landmark: "Main Quest", type: "New Serenne Stable", region: 3, level: "Surface", x: -1621, y: 558, z: 32, weight: 0, details: "Talk to Cado" },</v>
      </c>
    </row>
    <row r="13" spans="1:10" x14ac:dyDescent="0.2">
      <c r="A13" s="7" t="s">
        <v>4368</v>
      </c>
      <c r="B13" t="s">
        <v>1506</v>
      </c>
      <c r="C13" s="2">
        <v>3</v>
      </c>
      <c r="D13" s="2" t="s">
        <v>785</v>
      </c>
      <c r="E13" s="2">
        <v>-1609</v>
      </c>
      <c r="F13" s="2">
        <v>558</v>
      </c>
      <c r="G13" s="2">
        <v>32</v>
      </c>
      <c r="H13" s="2">
        <v>0</v>
      </c>
      <c r="I13" t="s">
        <v>4386</v>
      </c>
      <c r="J13" t="str">
        <f>"{ name: "&amp;CHAR(34)&amp;A13&amp;CHAR(34)&amp;", landmark: "&amp;CHAR(34)&amp;"Main Quest"&amp;CHAR(34)&amp;", type: "&amp;CHAR(34)&amp;B13&amp;CHAR(34)&amp;", region: "&amp;C13&amp;", level: "&amp;CHAR(34)&amp;D13&amp;CHAR(34)&amp;", x: "&amp;E13&amp;", y: "&amp;F13&amp;", z: "&amp;G13&amp;", weight: "&amp;H13&amp;", details: "&amp;CHAR(34)&amp;I13&amp;CHAR(34)&amp;" },"</f>
        <v>{ name: "The Dragon's Tears", landmark: "Main Quest", type: "New Serenne Stable", region: 3, level: "Surface", x: -1609, y: 558, z: 32, weight: 0, details: "Talk to Impa" },</v>
      </c>
    </row>
    <row r="14" spans="1:10" x14ac:dyDescent="0.2">
      <c r="A14" s="7" t="s">
        <v>4359</v>
      </c>
      <c r="B14" t="s">
        <v>847</v>
      </c>
      <c r="C14" s="2">
        <v>4</v>
      </c>
      <c r="D14" s="2" t="s">
        <v>785</v>
      </c>
      <c r="E14" s="2">
        <v>-3596</v>
      </c>
      <c r="F14" s="2">
        <v>1802</v>
      </c>
      <c r="G14" s="2">
        <v>212</v>
      </c>
      <c r="H14" s="2">
        <v>0</v>
      </c>
      <c r="I14" t="s">
        <v>4381</v>
      </c>
      <c r="J14" t="str">
        <f>"{ name: "&amp;CHAR(34)&amp;A14&amp;CHAR(34)&amp;", landmark: "&amp;CHAR(34)&amp;"Main Quest"&amp;CHAR(34)&amp;", type: "&amp;CHAR(34)&amp;B14&amp;CHAR(34)&amp;", region: "&amp;C14&amp;", level: "&amp;CHAR(34)&amp;D14&amp;CHAR(34)&amp;", x: "&amp;E14&amp;", y: "&amp;F14&amp;", z: "&amp;G14&amp;", weight: "&amp;H14&amp;", details: "&amp;CHAR(34)&amp;I14&amp;CHAR(34)&amp;" },"</f>
        <v>{ name: "Tulin of Rito Village", landmark: "Main Quest", type: "Rito Village", region: 4, level: "Surface", x: -3596, y: 1802, z: 212, weight: 0, details: "Talk to Teba" },</v>
      </c>
    </row>
    <row r="15" spans="1:10" x14ac:dyDescent="0.2">
      <c r="A15" s="7" t="s">
        <v>4373</v>
      </c>
      <c r="B15" t="s">
        <v>1399</v>
      </c>
      <c r="C15" s="2">
        <v>6</v>
      </c>
      <c r="D15" s="2" t="s">
        <v>785</v>
      </c>
      <c r="E15" s="2">
        <v>429</v>
      </c>
      <c r="F15" s="2">
        <v>2146</v>
      </c>
      <c r="G15" s="2">
        <v>162</v>
      </c>
      <c r="H15" s="2">
        <v>0</v>
      </c>
      <c r="I15" t="s">
        <v>4390</v>
      </c>
      <c r="J15" t="str">
        <f>"{ name: "&amp;CHAR(34)&amp;A15&amp;CHAR(34)&amp;", landmark: "&amp;CHAR(34)&amp;"Main Quest"&amp;CHAR(34)&amp;", type: "&amp;CHAR(34)&amp;B15&amp;CHAR(34)&amp;", region: "&amp;C15&amp;", level: "&amp;CHAR(34)&amp;D15&amp;CHAR(34)&amp;", x: "&amp;E15&amp;", y: "&amp;F15&amp;", z: "&amp;G15&amp;", weight: "&amp;H15&amp;", details: "&amp;CHAR(34)&amp;I15&amp;CHAR(34)&amp;" },"</f>
        <v>{ name: "Recovering the Hero's Sword", landmark: "Main Quest", type: "Korok Forest", region: 6, level: "Surface", x: 429, y: 2146, z: 162, weight: 0, details: "Talk to Great Deku Tree" },</v>
      </c>
    </row>
    <row r="16" spans="1:10" x14ac:dyDescent="0.2">
      <c r="A16" s="7" t="s">
        <v>4362</v>
      </c>
      <c r="B16" t="s">
        <v>1302</v>
      </c>
      <c r="C16" s="2">
        <v>7</v>
      </c>
      <c r="D16" s="2" t="s">
        <v>785</v>
      </c>
      <c r="E16" s="2">
        <v>1649</v>
      </c>
      <c r="F16" s="2">
        <v>2447</v>
      </c>
      <c r="G16" s="2">
        <v>381</v>
      </c>
      <c r="H16" s="2">
        <v>0</v>
      </c>
      <c r="I16" t="s">
        <v>4383</v>
      </c>
      <c r="J16" t="str">
        <f>"{ name: "&amp;CHAR(34)&amp;A16&amp;CHAR(34)&amp;", landmark: "&amp;CHAR(34)&amp;"Main Quest"&amp;CHAR(34)&amp;", type: "&amp;CHAR(34)&amp;B16&amp;CHAR(34)&amp;", region: "&amp;C16&amp;", level: "&amp;CHAR(34)&amp;D16&amp;CHAR(34)&amp;", x: "&amp;E16&amp;", y: "&amp;F16&amp;", z: "&amp;G16&amp;", weight: "&amp;H16&amp;", details: "&amp;CHAR(34)&amp;I16&amp;CHAR(34)&amp;" },"</f>
        <v>{ name: "Yunobo of Goron City", landmark: "Main Quest", type: "Goron City", region: 7, level: "Surface", x: 1649, y: 2447, z: 381, weight: 0, details: "Talk to Yunobo" },</v>
      </c>
    </row>
    <row r="17" spans="1:10" x14ac:dyDescent="0.2">
      <c r="A17" s="7" t="s">
        <v>4363</v>
      </c>
      <c r="B17" t="s">
        <v>1730</v>
      </c>
      <c r="C17" s="2">
        <v>9</v>
      </c>
      <c r="D17" s="2" t="s">
        <v>785</v>
      </c>
      <c r="E17" s="2">
        <v>3298</v>
      </c>
      <c r="F17" s="2">
        <v>463</v>
      </c>
      <c r="G17" s="2">
        <v>139</v>
      </c>
      <c r="H17" s="2">
        <v>0</v>
      </c>
      <c r="I17" t="s">
        <v>4391</v>
      </c>
      <c r="J17" t="str">
        <f>"{ name: "&amp;CHAR(34)&amp;A17&amp;CHAR(34)&amp;", landmark: "&amp;CHAR(34)&amp;"Main Quest"&amp;CHAR(34)&amp;", type: "&amp;CHAR(34)&amp;B17&amp;CHAR(34)&amp;", region: "&amp;C17&amp;", level: "&amp;CHAR(34)&amp;D17&amp;CHAR(34)&amp;", x: "&amp;E17&amp;", y: "&amp;F17&amp;", z: "&amp;G17&amp;", weight: "&amp;H17&amp;", details: "&amp;CHAR(34)&amp;I17&amp;CHAR(34)&amp;" },"</f>
        <v>{ name: "The Sludge-Covered Statue", landmark: "Main Quest", type: "Zora's Domain", region: 9, level: "Surface", x: 3298, y: 463, z: 139, weight: 0, details: "Approach the Zora near the statue" },</v>
      </c>
    </row>
    <row r="18" spans="1:10" x14ac:dyDescent="0.2">
      <c r="A18" s="7" t="s">
        <v>4364</v>
      </c>
      <c r="B18" t="s">
        <v>1730</v>
      </c>
      <c r="C18" s="2">
        <v>9</v>
      </c>
      <c r="D18" s="2" t="s">
        <v>785</v>
      </c>
      <c r="E18" s="2">
        <v>3310</v>
      </c>
      <c r="F18" s="2">
        <v>464</v>
      </c>
      <c r="G18" s="2">
        <v>139</v>
      </c>
      <c r="H18" s="2">
        <v>0</v>
      </c>
      <c r="I18" t="s">
        <v>4384</v>
      </c>
      <c r="J18" t="str">
        <f>"{ name: "&amp;CHAR(34)&amp;A18&amp;CHAR(34)&amp;", landmark: "&amp;CHAR(34)&amp;"Main Quest"&amp;CHAR(34)&amp;", type: "&amp;CHAR(34)&amp;B18&amp;CHAR(34)&amp;", region: "&amp;C18&amp;", level: "&amp;CHAR(34)&amp;D18&amp;CHAR(34)&amp;", x: "&amp;E18&amp;", y: "&amp;F18&amp;", z: "&amp;G18&amp;", weight: "&amp;H18&amp;", details: "&amp;CHAR(34)&amp;I18&amp;CHAR(34)&amp;" },"</f>
        <v>{ name: "Sidon of the Zora", landmark: "Main Quest", type: "Zora's Domain", region: 9, level: "Surface", x: 3310, y: 464, z: 139, weight: 0, details: "Talk to Yona" },</v>
      </c>
    </row>
    <row r="19" spans="1:10" x14ac:dyDescent="0.2">
      <c r="A19" s="7" t="s">
        <v>4365</v>
      </c>
      <c r="B19" t="s">
        <v>1678</v>
      </c>
      <c r="C19" s="2">
        <v>9</v>
      </c>
      <c r="D19" s="2" t="s">
        <v>785</v>
      </c>
      <c r="E19" s="2">
        <v>3405</v>
      </c>
      <c r="F19" s="2">
        <v>886</v>
      </c>
      <c r="G19" s="2">
        <v>400</v>
      </c>
      <c r="H19" s="2">
        <v>0</v>
      </c>
      <c r="I19" t="s">
        <v>4385</v>
      </c>
      <c r="J19" t="str">
        <f>"{ name: "&amp;CHAR(34)&amp;A19&amp;CHAR(34)&amp;", landmark: "&amp;CHAR(34)&amp;"Main Quest"&amp;CHAR(34)&amp;", type: "&amp;CHAR(34)&amp;B19&amp;CHAR(34)&amp;", region: "&amp;C19&amp;", level: "&amp;CHAR(34)&amp;D19&amp;CHAR(34)&amp;", x: "&amp;E19&amp;", y: "&amp;F19&amp;", z: "&amp;G19&amp;", weight: "&amp;H19&amp;", details: "&amp;CHAR(34)&amp;I19&amp;CHAR(34)&amp;" },"</f>
        <v>{ name: "The Broken Slate", landmark: "Main Quest", type: "Toto Lake", region: 9, level: "Surface", x: 3405, y: 886, z: 400, weight: 0, details: "Talk to Jiahto" },</v>
      </c>
    </row>
    <row r="20" spans="1:10" x14ac:dyDescent="0.2">
      <c r="A20" s="7" t="s">
        <v>4366</v>
      </c>
      <c r="B20" t="s">
        <v>1678</v>
      </c>
      <c r="C20" s="2">
        <v>9</v>
      </c>
      <c r="D20" s="2" t="s">
        <v>785</v>
      </c>
      <c r="E20" s="2">
        <v>3404</v>
      </c>
      <c r="F20" s="2">
        <v>874</v>
      </c>
      <c r="G20" s="2">
        <v>399</v>
      </c>
      <c r="H20" s="2">
        <v>0</v>
      </c>
      <c r="I20" t="s">
        <v>4385</v>
      </c>
      <c r="J20" t="str">
        <f>"{ name: "&amp;CHAR(34)&amp;A20&amp;CHAR(34)&amp;", landmark: "&amp;CHAR(34)&amp;"Main Quest"&amp;CHAR(34)&amp;", type: "&amp;CHAR(34)&amp;B20&amp;CHAR(34)&amp;", region: "&amp;C20&amp;", level: "&amp;CHAR(34)&amp;D20&amp;CHAR(34)&amp;", x: "&amp;E20&amp;", y: "&amp;F20&amp;", z: "&amp;G20&amp;", weight: "&amp;H20&amp;", details: "&amp;CHAR(34)&amp;I20&amp;CHAR(34)&amp;" },"</f>
        <v>{ name: "Clues to the Sky", landmark: "Main Quest", type: "Toto Lake", region: 9, level: "Surface", x: 3404, y: 874, z: 399, weight: 0, details: "Talk to Jiahto" },</v>
      </c>
    </row>
    <row r="21" spans="1:10" x14ac:dyDescent="0.2">
      <c r="A21" s="7" t="s">
        <v>4367</v>
      </c>
      <c r="B21" t="s">
        <v>1730</v>
      </c>
      <c r="C21" s="2">
        <v>9</v>
      </c>
      <c r="D21" s="2" t="s">
        <v>785</v>
      </c>
      <c r="E21" s="2">
        <v>3845</v>
      </c>
      <c r="F21" s="2">
        <v>568</v>
      </c>
      <c r="G21" s="2">
        <v>485</v>
      </c>
      <c r="H21" s="2">
        <v>0</v>
      </c>
      <c r="I21" t="s">
        <v>4384</v>
      </c>
      <c r="J21" t="str">
        <f>"{ name: "&amp;CHAR(34)&amp;A21&amp;CHAR(34)&amp;", landmark: "&amp;CHAR(34)&amp;"Main Quest"&amp;CHAR(34)&amp;", type: "&amp;CHAR(34)&amp;B21&amp;CHAR(34)&amp;", region: "&amp;C21&amp;", level: "&amp;CHAR(34)&amp;D21&amp;CHAR(34)&amp;", x: "&amp;E21&amp;", y: "&amp;F21&amp;", z: "&amp;G21&amp;", weight: "&amp;H21&amp;", details: "&amp;CHAR(34)&amp;I21&amp;CHAR(34)&amp;" },"</f>
        <v>{ name: "Restoring the Zora Armor", landmark: "Main Quest", type: "Zora's Domain", region: 9, level: "Surface", x: 3845, y: 568, z: 485, weight: 0, details: "Talk to Yona" },</v>
      </c>
    </row>
    <row r="22" spans="1:10" x14ac:dyDescent="0.2">
      <c r="A22" s="7" t="s">
        <v>4370</v>
      </c>
      <c r="B22" t="s">
        <v>999</v>
      </c>
      <c r="C22" s="2">
        <v>10</v>
      </c>
      <c r="D22" s="2" t="s">
        <v>785</v>
      </c>
      <c r="E22" s="2">
        <v>1814</v>
      </c>
      <c r="F22" s="2">
        <v>-951</v>
      </c>
      <c r="G22" s="2">
        <v>113</v>
      </c>
      <c r="H22" s="2">
        <v>0</v>
      </c>
      <c r="I22" t="s">
        <v>4387</v>
      </c>
      <c r="J22" t="str">
        <f>"{ name: "&amp;CHAR(34)&amp;A22&amp;CHAR(34)&amp;", landmark: "&amp;CHAR(34)&amp;"Main Quest"&amp;CHAR(34)&amp;", type: "&amp;CHAR(34)&amp;B22&amp;CHAR(34)&amp;", region: "&amp;C22&amp;", level: "&amp;CHAR(34)&amp;D22&amp;CHAR(34)&amp;", x: "&amp;E22&amp;", y: "&amp;F22&amp;", z: "&amp;G22&amp;", weight: "&amp;H22&amp;", details: "&amp;CHAR(34)&amp;I22&amp;CHAR(34)&amp;" },"</f>
        <v>{ name: "Secret of the Ring Ruins", landmark: "Main Quest", type: "Kakariko Village", region: 10, level: "Surface", x: 1814, y: -951, z: 113, weight: 0, details: "Talk to Tauro" },</v>
      </c>
    </row>
    <row r="23" spans="1:10" x14ac:dyDescent="0.2">
      <c r="A23" s="7" t="s">
        <v>4361</v>
      </c>
      <c r="B23" t="s">
        <v>1284</v>
      </c>
      <c r="C23" s="2">
        <v>14</v>
      </c>
      <c r="D23" s="2" t="s">
        <v>785</v>
      </c>
      <c r="E23" s="2">
        <v>-3889</v>
      </c>
      <c r="F23" s="2">
        <v>-2969</v>
      </c>
      <c r="G23" s="2">
        <v>43</v>
      </c>
      <c r="H23" s="2">
        <v>0</v>
      </c>
      <c r="I23" t="s">
        <v>4382</v>
      </c>
      <c r="J23" t="str">
        <f>"{ name: "&amp;CHAR(34)&amp;A23&amp;CHAR(34)&amp;", landmark: "&amp;CHAR(34)&amp;"Main Quest"&amp;CHAR(34)&amp;", type: "&amp;CHAR(34)&amp;B23&amp;CHAR(34)&amp;", region: "&amp;C23&amp;", level: "&amp;CHAR(34)&amp;D23&amp;CHAR(34)&amp;", x: "&amp;E23&amp;", y: "&amp;F23&amp;", z: "&amp;G23&amp;", weight: "&amp;H23&amp;", details: "&amp;CHAR(34)&amp;I23&amp;CHAR(34)&amp;" },"</f>
        <v>{ name: "Riju of Gerudo Town", landmark: "Main Quest", type: "Gerudo Town", region: 14, level: "Surface", x: -3889, y: -2969, z: 43, weight: 0, details: "Talk to Riju" },</v>
      </c>
    </row>
    <row r="24" spans="1:10" x14ac:dyDescent="0.2">
      <c r="A24" s="7" t="s">
        <v>4372</v>
      </c>
      <c r="B24" t="s">
        <v>2402</v>
      </c>
      <c r="C24" s="2">
        <v>13</v>
      </c>
      <c r="D24" s="2" t="s">
        <v>994</v>
      </c>
      <c r="E24" s="2">
        <v>1367</v>
      </c>
      <c r="F24" s="2">
        <v>-3309</v>
      </c>
      <c r="G24" s="2">
        <v>-737</v>
      </c>
      <c r="H24" s="2">
        <v>0</v>
      </c>
      <c r="I24" t="s">
        <v>4389</v>
      </c>
      <c r="J24" t="str">
        <f>"{ name: "&amp;CHAR(34)&amp;A24&amp;CHAR(34)&amp;", landmark: "&amp;CHAR(34)&amp;"Main Quest"&amp;CHAR(34)&amp;", type: "&amp;CHAR(34)&amp;B24&amp;CHAR(34)&amp;", region: "&amp;C24&amp;", level: "&amp;CHAR(34)&amp;D24&amp;CHAR(34)&amp;", x: "&amp;E24&amp;", y: "&amp;F24&amp;", z: "&amp;G24&amp;", weight: "&amp;H24&amp;", details: "&amp;CHAR(34)&amp;I24&amp;CHAR(34)&amp;" },"</f>
        <v>{ name: "Trail of the Master Sword", landmark: "Main Quest", type: "Spirit Temple", region: 13, level: "Depths", x: 1367, y: -3309, z: -737, weight: 0, details: "Talk to Mineru" },</v>
      </c>
    </row>
  </sheetData>
  <autoFilter ref="A1:J23" xr:uid="{9B66D1FE-B66F-F348-9F83-5F8C8FFF29B7}">
    <sortState xmlns:xlrd2="http://schemas.microsoft.com/office/spreadsheetml/2017/richdata2" ref="A2:J23">
      <sortCondition ref="C1:C2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33"/>
  <sheetViews>
    <sheetView workbookViewId="0">
      <selection activeCell="E13" sqref="E13"/>
    </sheetView>
  </sheetViews>
  <sheetFormatPr baseColWidth="10" defaultRowHeight="16" x14ac:dyDescent="0.2"/>
  <cols>
    <col min="1" max="1" width="30.1640625" bestFit="1" customWidth="1"/>
    <col min="2" max="2" width="4.83203125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3194</v>
      </c>
      <c r="C2" s="2">
        <v>13</v>
      </c>
      <c r="D2" s="2" t="s">
        <v>994</v>
      </c>
      <c r="E2" s="2">
        <v>1337</v>
      </c>
      <c r="F2" s="2">
        <v>-3356</v>
      </c>
      <c r="G2" s="2">
        <v>-737</v>
      </c>
      <c r="H2" s="2">
        <v>0</v>
      </c>
      <c r="I2" t="s">
        <v>3238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"Ancient Blades Below", landmark: "Side Quest", type: "", region: 13, level: "Depths", x: 1337, y: -3356, z: -737, weight: 0, details: `&lt;strong&gt;Start:&lt;/strong&gt; Talk to the Mining Construct after Finishing the Spirit Temple&lt;br&gt;&lt;strong&gt;Reward:&lt;/strong&gt; Ancient Blade` },</v>
      </c>
    </row>
    <row r="3" spans="1:10" x14ac:dyDescent="0.2">
      <c r="A3" t="s">
        <v>3092</v>
      </c>
      <c r="C3" s="2">
        <v>1</v>
      </c>
      <c r="D3" s="2" t="s">
        <v>785</v>
      </c>
      <c r="E3" s="2">
        <v>780</v>
      </c>
      <c r="F3" s="2">
        <v>7</v>
      </c>
      <c r="G3" s="2">
        <v>16</v>
      </c>
      <c r="H3" s="2">
        <v>0</v>
      </c>
      <c r="I3" t="s">
        <v>4397</v>
      </c>
      <c r="J3" t="str">
        <f t="shared" ref="J3:J66" si="0"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"Fell Into a Well", landmark: "Side Quest", type: "", region: 1, level: "Surface", x: 780, y: 7, z: 16, weight: 0, details: `&lt;strong&gt;Start:&lt;/strong&gt; 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Rupee` },</v>
      </c>
    </row>
    <row r="4" spans="1:10" x14ac:dyDescent="0.2">
      <c r="A4" t="s">
        <v>3093</v>
      </c>
      <c r="C4" s="2">
        <v>1</v>
      </c>
      <c r="D4" s="2" t="s">
        <v>785</v>
      </c>
      <c r="E4" s="2">
        <v>-250</v>
      </c>
      <c r="F4" s="2">
        <v>52</v>
      </c>
      <c r="G4" s="2">
        <v>19</v>
      </c>
      <c r="H4" s="2">
        <v>0</v>
      </c>
      <c r="I4" t="s">
        <v>3246</v>
      </c>
      <c r="J4" t="str">
        <f t="shared" si="0"/>
        <v>{ name: "Spotting Spot", landmark: "Side Quest", type: "", region: 1, level: "Surface", x: -250, y: 52, z: 19, weight: 0, details: `&lt;strong&gt;Start:&lt;/strong&gt; Talk to Lester&lt;br&gt;&lt;strong&gt;Reward:&lt;/strong&gt; Purple Rupee, Swift Carrot` },</v>
      </c>
    </row>
    <row r="5" spans="1:10" x14ac:dyDescent="0.2">
      <c r="A5" t="s">
        <v>3094</v>
      </c>
      <c r="C5" s="2">
        <v>1</v>
      </c>
      <c r="D5" s="2" t="s">
        <v>785</v>
      </c>
      <c r="E5" s="2">
        <v>-245</v>
      </c>
      <c r="F5" s="2">
        <v>60</v>
      </c>
      <c r="G5" s="2">
        <v>19</v>
      </c>
      <c r="H5" s="2">
        <v>0</v>
      </c>
      <c r="I5" t="s">
        <v>4398</v>
      </c>
      <c r="J5" t="str">
        <f t="shared" si="0"/>
        <v>{ name: "The Incomplete Stable", landmark: "Side Quest", type: "", region: 1, level: "Surface", x: -245, y: 60, z: 19, weight: 0, details: `&lt;strong&gt;Start:&lt;/strong&gt; Talk to Karson&lt;br&gt;&lt;strong&gt;Reward:&lt;/strong&gt; Unlocked Stable` },</v>
      </c>
    </row>
    <row r="6" spans="1:10" x14ac:dyDescent="0.2">
      <c r="A6" t="s">
        <v>3097</v>
      </c>
      <c r="C6" s="2">
        <v>1</v>
      </c>
      <c r="D6" s="2" t="s">
        <v>785</v>
      </c>
      <c r="E6" s="2">
        <v>-266</v>
      </c>
      <c r="F6" s="2">
        <v>98</v>
      </c>
      <c r="G6" s="2">
        <v>8</v>
      </c>
      <c r="H6" s="2">
        <v>0</v>
      </c>
      <c r="I6" t="s">
        <v>4400</v>
      </c>
      <c r="J6" t="str">
        <f t="shared" si="0"/>
        <v>{ name: "Today's Menu", landmark: "Side Quest", type: "", region: 1, level: "Surface", x: -266, y: 98, z: 8, weight: 0, details: `&lt;strong&gt;Start:&lt;/strong&gt; 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Mix` },</v>
      </c>
    </row>
    <row r="7" spans="1:10" x14ac:dyDescent="0.2">
      <c r="A7" t="s">
        <v>3098</v>
      </c>
      <c r="C7" s="2">
        <v>1</v>
      </c>
      <c r="D7" s="2" t="s">
        <v>785</v>
      </c>
      <c r="E7" s="2">
        <v>-254</v>
      </c>
      <c r="F7" s="2">
        <v>88</v>
      </c>
      <c r="G7" s="2">
        <v>8</v>
      </c>
      <c r="H7" s="2">
        <v>0</v>
      </c>
      <c r="I7" t="s">
        <v>4399</v>
      </c>
      <c r="J7" t="str">
        <f t="shared" si="0"/>
        <v>{ name: "Unknown Huge Silhouette", landmark: "Side Quest", type: "", region: 1, level: "Surface", x: -254, y: 88,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8" spans="1:10" x14ac:dyDescent="0.2">
      <c r="A8" t="s">
        <v>3099</v>
      </c>
      <c r="C8" s="2">
        <v>1</v>
      </c>
      <c r="D8" s="2" t="s">
        <v>785</v>
      </c>
      <c r="E8" s="2">
        <v>-264</v>
      </c>
      <c r="F8" s="2">
        <v>80</v>
      </c>
      <c r="G8" s="2">
        <v>8</v>
      </c>
      <c r="H8" s="2">
        <v>0</v>
      </c>
      <c r="I8" t="s">
        <v>4399</v>
      </c>
      <c r="J8" t="str">
        <f t="shared" si="0"/>
        <v>{ name: "Unknown Sky Giant", landmark: "Side Quest", type: "", region: 1, level: "Surface", x: -264,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9" spans="1:10" x14ac:dyDescent="0.2">
      <c r="A9" t="s">
        <v>3100</v>
      </c>
      <c r="C9" s="2">
        <v>1</v>
      </c>
      <c r="D9" s="2" t="s">
        <v>785</v>
      </c>
      <c r="E9" s="2">
        <v>-244</v>
      </c>
      <c r="F9" s="2">
        <v>80</v>
      </c>
      <c r="G9" s="2">
        <v>8</v>
      </c>
      <c r="H9" s="2">
        <v>0</v>
      </c>
      <c r="I9" t="s">
        <v>4399</v>
      </c>
      <c r="J9" t="str">
        <f t="shared" si="0"/>
        <v>{ name: "Unknown Three-Headed Monster", landmark: "Side Quest", type: "", region: 1, level: "Surface", x: -244,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0" spans="1:10" x14ac:dyDescent="0.2">
      <c r="A10" t="s">
        <v>3101</v>
      </c>
      <c r="C10" s="2">
        <v>1</v>
      </c>
      <c r="D10" s="2" t="s">
        <v>785</v>
      </c>
      <c r="E10" s="2">
        <v>-209</v>
      </c>
      <c r="F10" s="2">
        <v>81</v>
      </c>
      <c r="G10" s="2">
        <v>19</v>
      </c>
      <c r="H10" s="2">
        <v>0</v>
      </c>
      <c r="I10" t="s">
        <v>3216</v>
      </c>
      <c r="J10" t="str">
        <f t="shared" si="0"/>
        <v>{ name: "Village Attacked by Pirates", landmark: "Side Quest", type: "", region: 1, level: "Surface", x: -209, y: 81, z: 19, weight: 0, details: `&lt;strong&gt;Start:&lt;/strong&gt; Talk to Garini&lt;br&gt;&lt;strong&gt;Reward:&lt;/strong&gt; Mighty Salt-Grilled Crab` },</v>
      </c>
    </row>
    <row r="11" spans="1:10" x14ac:dyDescent="0.2">
      <c r="A11" t="s">
        <v>3102</v>
      </c>
      <c r="C11" s="2">
        <v>1</v>
      </c>
      <c r="D11" s="2" t="s">
        <v>785</v>
      </c>
      <c r="E11" s="2">
        <v>-244</v>
      </c>
      <c r="F11" s="2">
        <v>96</v>
      </c>
      <c r="G11" s="2">
        <v>8</v>
      </c>
      <c r="H11" s="2">
        <v>0</v>
      </c>
      <c r="I11" t="s">
        <v>4399</v>
      </c>
      <c r="J11" t="str">
        <f t="shared" si="0"/>
        <v>{ name: "Wanted Hinox", landmark: "Side Quest", type: "", region: 1, level: "Surface", x: -244, y: 96,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2" spans="1:10" x14ac:dyDescent="0.2">
      <c r="A12" t="s">
        <v>3103</v>
      </c>
      <c r="C12" s="2">
        <v>1</v>
      </c>
      <c r="D12" s="2" t="s">
        <v>785</v>
      </c>
      <c r="E12" s="2">
        <v>-254</v>
      </c>
      <c r="F12" s="2">
        <v>104</v>
      </c>
      <c r="G12" s="2">
        <v>8</v>
      </c>
      <c r="H12" s="2">
        <v>0</v>
      </c>
      <c r="I12" t="s">
        <v>4399</v>
      </c>
      <c r="J12" t="str">
        <f t="shared" si="0"/>
        <v>{ name: "Wanted Molduga", landmark: "Side Quest", type: "", region: 1, level: "Surface", x: -254, y: 104,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3" spans="1:10" x14ac:dyDescent="0.2">
      <c r="A13" t="s">
        <v>3104</v>
      </c>
      <c r="C13" s="2">
        <v>1</v>
      </c>
      <c r="D13" s="2" t="s">
        <v>785</v>
      </c>
      <c r="E13" s="2">
        <v>-244</v>
      </c>
      <c r="F13" s="2">
        <v>112</v>
      </c>
      <c r="G13" s="2">
        <v>8</v>
      </c>
      <c r="H13" s="2">
        <v>0</v>
      </c>
      <c r="I13" t="s">
        <v>4399</v>
      </c>
      <c r="J13" t="str">
        <f t="shared" si="0"/>
        <v>{ name: "Wanted Stone Talus", landmark: "Side Quest", type: "", region: 1, level: "Surface", x: -244, y: 112,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4" spans="1:10" x14ac:dyDescent="0.2">
      <c r="A14" t="s">
        <v>3089</v>
      </c>
      <c r="C14" s="2">
        <v>2</v>
      </c>
      <c r="D14" s="2" t="s">
        <v>785</v>
      </c>
      <c r="E14" s="2">
        <v>-1452</v>
      </c>
      <c r="F14" s="2">
        <v>-1259</v>
      </c>
      <c r="G14" s="2">
        <v>32</v>
      </c>
      <c r="H14" s="2">
        <v>0</v>
      </c>
      <c r="I14" t="s">
        <v>4659</v>
      </c>
      <c r="J14" t="str">
        <f t="shared" si="0"/>
        <v>{ name: "A Picture for Outskirt Stable", landmark: "Side Quest", type: "", region: 2, level: "Surface", x: -1452, y: -1259, z: 32, weight: 0, details: `&lt;strong&gt;Start:&lt;/strong&gt; 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Tart` },</v>
      </c>
    </row>
    <row r="15" spans="1:10" x14ac:dyDescent="0.2">
      <c r="A15" t="s">
        <v>3090</v>
      </c>
      <c r="C15" s="2">
        <v>2</v>
      </c>
      <c r="D15" s="2" t="s">
        <v>785</v>
      </c>
      <c r="E15" s="2">
        <v>329</v>
      </c>
      <c r="F15" s="2">
        <v>-1085</v>
      </c>
      <c r="G15" s="2">
        <v>10</v>
      </c>
      <c r="H15" s="2">
        <v>0</v>
      </c>
      <c r="I15" t="s">
        <v>4660</v>
      </c>
      <c r="J15" t="str">
        <f t="shared" si="0"/>
        <v>{ name: "A Picture for Riverside Stable", landmark: "Side Quest", type: "", region: 2, level: "Surface", x: 329, y: -1085, z: 10, weight: 0, details: `&lt;strong&gt;Start:&lt;/strong&gt; 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Stir-Fry` },</v>
      </c>
    </row>
    <row r="16" spans="1:10" x14ac:dyDescent="0.2">
      <c r="A16" t="s">
        <v>3091</v>
      </c>
      <c r="C16" s="2">
        <v>2</v>
      </c>
      <c r="D16" s="2" t="s">
        <v>785</v>
      </c>
      <c r="E16" s="2">
        <v>367</v>
      </c>
      <c r="F16" s="2">
        <v>-1103</v>
      </c>
      <c r="G16" s="2">
        <v>9</v>
      </c>
      <c r="H16" s="2">
        <v>0</v>
      </c>
      <c r="I16" t="s">
        <v>3214</v>
      </c>
      <c r="J16" t="str">
        <f t="shared" si="0"/>
        <v>{ name: "Feathered Fugitives", landmark: "Side Quest", type: "", region: 2, level: "Surface", x: 367, y: -1103, z: 9, weight: 0, details: `&lt;strong&gt;Start:&lt;/strong&gt; Talk to Teli&lt;br&gt;&lt;strong&gt;Reward:&lt;/strong&gt; Silver Rupee` },</v>
      </c>
    </row>
    <row r="17" spans="1:10" x14ac:dyDescent="0.2">
      <c r="A17" t="s">
        <v>3116</v>
      </c>
      <c r="C17" s="2">
        <v>2</v>
      </c>
      <c r="D17" s="2" t="s">
        <v>785</v>
      </c>
      <c r="E17" s="2">
        <v>-1449</v>
      </c>
      <c r="F17" s="2">
        <v>-1251</v>
      </c>
      <c r="G17" s="2">
        <v>32</v>
      </c>
      <c r="H17" s="2">
        <v>0</v>
      </c>
      <c r="I17" t="s">
        <v>4402</v>
      </c>
      <c r="J17" t="str">
        <f t="shared" si="0"/>
        <v>{ name: "The Horse Guard's Request", landmark: "Side Quest", type: "", region: 2, level: "Surface", x: -1449, y: -1251, z: 32, weight: 0, details: `&lt;strong&gt;Start:&lt;/strong&gt; Speak with Toffa&lt;br&gt;&lt;strong&gt;Reward:&lt;/strong&gt; Purple Rupee, Silver Rupee, 2 Pony Points` },</v>
      </c>
    </row>
    <row r="18" spans="1:10" x14ac:dyDescent="0.2">
      <c r="A18" t="s">
        <v>3088</v>
      </c>
      <c r="C18" s="2">
        <v>3</v>
      </c>
      <c r="D18" s="2" t="s">
        <v>785</v>
      </c>
      <c r="E18" s="2">
        <v>-1360</v>
      </c>
      <c r="F18" s="2">
        <v>727</v>
      </c>
      <c r="G18" s="2">
        <v>86</v>
      </c>
      <c r="H18" s="2">
        <v>0</v>
      </c>
      <c r="I18" t="s">
        <v>4661</v>
      </c>
      <c r="J18" t="str">
        <f t="shared" si="0"/>
        <v>{ name: "A Picture for New Serenne Stable", landmark: "Side Quest", type: "", region: 3, level: "Surface", x: -1360, y: 727, z: 86, weight: 0, details: `&lt;strong&gt;Start:&lt;/strong&gt; 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Point` },</v>
      </c>
    </row>
    <row r="19" spans="1:10" x14ac:dyDescent="0.2">
      <c r="A19" t="s">
        <v>4349</v>
      </c>
      <c r="C19" s="2">
        <v>3</v>
      </c>
      <c r="D19" s="2" t="s">
        <v>785</v>
      </c>
      <c r="E19" s="2">
        <v>-2933</v>
      </c>
      <c r="F19" s="2">
        <v>540</v>
      </c>
      <c r="G19" s="2">
        <v>169</v>
      </c>
      <c r="H19" s="2">
        <v>0</v>
      </c>
      <c r="I19" t="s">
        <v>4662</v>
      </c>
      <c r="J19" t="str">
        <f t="shared" si="0"/>
        <v>{ name: "A Picture for Tabantha Bridge Stable", landmark: "Side Quest", type: "", region: 3, level: "Surface", x: -2933, y: 540, z: 169, weight: 0, details: `&lt;strong&gt;Start:&lt;/strong&gt; 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Elixir` },</v>
      </c>
    </row>
    <row r="20" spans="1:10" x14ac:dyDescent="0.2">
      <c r="A20" t="s">
        <v>3105</v>
      </c>
      <c r="C20" s="2">
        <v>3</v>
      </c>
      <c r="D20" s="2" t="s">
        <v>785</v>
      </c>
      <c r="E20" s="2">
        <v>-2987</v>
      </c>
      <c r="F20" s="2">
        <v>1655</v>
      </c>
      <c r="G20" s="2">
        <v>199</v>
      </c>
      <c r="H20" s="2">
        <v>0</v>
      </c>
      <c r="I20" t="s">
        <v>4407</v>
      </c>
      <c r="J20" t="str">
        <f t="shared" si="0"/>
        <v>{ name: "Cave Mushrooms That Glow", landmark: "Side Quest", type: "", region: 3, level: "Surface", x: -2987, y: 1655, z: 199, weight: 0, details: `&lt;strong&gt;Start:&lt;/strong&gt; Talk to Nat&lt;br&gt;&lt;strong&gt;Reward:&lt;/strong&gt; Spicy Tomato Mushroom Stew` },</v>
      </c>
    </row>
    <row r="21" spans="1:10" x14ac:dyDescent="0.2">
      <c r="A21" t="s">
        <v>3109</v>
      </c>
      <c r="C21" s="2">
        <v>3</v>
      </c>
      <c r="D21" s="2" t="s">
        <v>785</v>
      </c>
      <c r="E21" s="2">
        <v>-1333</v>
      </c>
      <c r="F21" s="2">
        <v>723</v>
      </c>
      <c r="G21" s="2">
        <v>85</v>
      </c>
      <c r="H21" s="2">
        <v>0</v>
      </c>
      <c r="I21" t="s">
        <v>4401</v>
      </c>
      <c r="J21" t="str">
        <f t="shared" si="0"/>
        <v>{ name: "Horse-Drawn Dreams", landmark: "Side Quest", type: "", region: 3, level: "Surface", x: -1333, y: 723, z: 85, weight: 0, details: `&lt;strong&gt;Start:&lt;/strong&gt; Speak With Zumi&lt;br&gt;&lt;strong&gt;Reward:&lt;/strong&gt; 100 Rupees` },</v>
      </c>
    </row>
    <row r="22" spans="1:10" x14ac:dyDescent="0.2">
      <c r="A22" t="s">
        <v>3113</v>
      </c>
      <c r="C22" s="2">
        <v>3</v>
      </c>
      <c r="D22" s="2" t="s">
        <v>785</v>
      </c>
      <c r="E22" s="2">
        <v>-2682</v>
      </c>
      <c r="F22" s="2">
        <v>1673</v>
      </c>
      <c r="G22" s="2">
        <v>258</v>
      </c>
      <c r="H22" s="2">
        <v>0</v>
      </c>
      <c r="I22" t="s">
        <v>3247</v>
      </c>
      <c r="J22" t="str">
        <f t="shared" si="0"/>
        <v>{ name: "Open the Door", landmark: "Side Quest", type: "", region: 3, level: "Surface", x: -2682, y: 1673, z: 258, weight: 0, details: `&lt;strong&gt;Start:&lt;/strong&gt; Talk to Jogo Through the Door of the Hut&lt;br&gt;&lt;strong&gt;Reward:&lt;/strong&gt; Spicy Elixir, Traveler's Shield` },</v>
      </c>
    </row>
    <row r="23" spans="1:10" x14ac:dyDescent="0.2">
      <c r="A23" t="s">
        <v>3118</v>
      </c>
      <c r="C23" s="2">
        <v>3</v>
      </c>
      <c r="D23" s="2" t="s">
        <v>785</v>
      </c>
      <c r="E23" s="2">
        <v>-3296</v>
      </c>
      <c r="F23" s="2">
        <v>1802</v>
      </c>
      <c r="G23" s="2">
        <v>121</v>
      </c>
      <c r="H23" s="2">
        <v>0</v>
      </c>
      <c r="I23" t="s">
        <v>4408</v>
      </c>
      <c r="J23" t="str">
        <f t="shared" si="0"/>
        <v>{ name: "The Rito Rope Bridge", landmark: "Side Quest", type: "", region: 3, level: "Surface", x: -3296, y: 1802, z: 121, weight: 0, details: `&lt;strong&gt;Start:&lt;/strong&gt; 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Rupee` },</v>
      </c>
    </row>
    <row r="24" spans="1:10" x14ac:dyDescent="0.2">
      <c r="A24" t="s">
        <v>3120</v>
      </c>
      <c r="C24" s="2">
        <v>3</v>
      </c>
      <c r="D24" s="2" t="s">
        <v>785</v>
      </c>
      <c r="E24" s="2">
        <v>-2947</v>
      </c>
      <c r="F24" s="2">
        <v>513</v>
      </c>
      <c r="G24" s="2">
        <v>144</v>
      </c>
      <c r="H24" s="2">
        <v>0</v>
      </c>
      <c r="I24" t="s">
        <v>4409</v>
      </c>
      <c r="J24" t="str">
        <f t="shared" si="0"/>
        <v>{ name: "Where Are the Wells", landmark: "Side Quest", type: "", region: 3, level: "Surface", x: -2947, y: 513, z: 144, weight: 0, details: `&lt;strong&gt;Start:&lt;/strong&gt; Talk to Fera&lt;br&gt;&lt;strong&gt;Reward:&lt;/strong&gt; All's Well` },</v>
      </c>
    </row>
    <row r="25" spans="1:10" x14ac:dyDescent="0.2">
      <c r="A25" t="s">
        <v>3106</v>
      </c>
      <c r="C25" s="2">
        <v>4</v>
      </c>
      <c r="D25" s="2" t="s">
        <v>785</v>
      </c>
      <c r="E25" s="2">
        <v>-3217</v>
      </c>
      <c r="F25" s="2">
        <v>2456</v>
      </c>
      <c r="G25" s="2">
        <v>347</v>
      </c>
      <c r="H25" s="2">
        <v>0</v>
      </c>
      <c r="I25" t="s">
        <v>4410</v>
      </c>
      <c r="J25" t="str">
        <f t="shared" si="0"/>
        <v>{ name: "Crossing the Cold Pool", landmark: "Side Quest", type: "", region: 4, level: "Surface", x: -3217, y: 2456, z: 347, weight: 0, details: `&lt;strong&gt;Start:&lt;/strong&gt; Speak With Verla&lt;br&gt;&lt;strong&gt;Reward:&lt;/strong&gt; 50 Rupees` },</v>
      </c>
    </row>
    <row r="26" spans="1:10" x14ac:dyDescent="0.2">
      <c r="A26" t="s">
        <v>3107</v>
      </c>
      <c r="C26" s="2">
        <v>4</v>
      </c>
      <c r="D26" s="2" t="s">
        <v>785</v>
      </c>
      <c r="E26" s="2">
        <v>-3654</v>
      </c>
      <c r="F26" s="2">
        <v>1763</v>
      </c>
      <c r="G26" s="2">
        <v>214</v>
      </c>
      <c r="H26" s="2">
        <v>0</v>
      </c>
      <c r="I26" t="s">
        <v>4411</v>
      </c>
      <c r="J26" t="str">
        <f t="shared" si="0"/>
        <v>{ name: "Fish for Fletching", landmark: "Side Quest", type: "", region: 4, level: "Surface", x: -3654, y: 1763, z: 214, weight: 0, details: `&lt;strong&gt;Start:&lt;/strong&gt; 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x10` },</v>
      </c>
    </row>
    <row r="27" spans="1:10" x14ac:dyDescent="0.2">
      <c r="A27" t="s">
        <v>3108</v>
      </c>
      <c r="C27" s="2">
        <v>4</v>
      </c>
      <c r="D27" s="2" t="s">
        <v>785</v>
      </c>
      <c r="E27" s="2">
        <v>-3641</v>
      </c>
      <c r="F27" s="2">
        <v>1820</v>
      </c>
      <c r="G27" s="2">
        <v>184</v>
      </c>
      <c r="H27" s="2">
        <v>0</v>
      </c>
      <c r="I27" t="s">
        <v>3217</v>
      </c>
      <c r="J27" t="str">
        <f t="shared" si="0"/>
        <v>{ name: "Genli's Home Cooking", landmark: "Side Quest", type: "", region: 4, level: "Surface", x: -3641, y: 1820, z: 184, weight: 0, details: `&lt;strong&gt;Start:&lt;/strong&gt; Talk to Genli at the General Store&lt;br&gt;&lt;strong&gt;Reward:&lt;/strong&gt; Biting Simmered Fruit` },</v>
      </c>
    </row>
    <row r="28" spans="1:10" x14ac:dyDescent="0.2">
      <c r="A28" t="s">
        <v>3122</v>
      </c>
      <c r="C28" s="2">
        <v>4</v>
      </c>
      <c r="D28" s="2" t="s">
        <v>785</v>
      </c>
      <c r="E28" s="2">
        <v>-3883</v>
      </c>
      <c r="F28" s="2">
        <v>3691</v>
      </c>
      <c r="G28" s="2">
        <v>223</v>
      </c>
      <c r="H28" s="2">
        <v>0</v>
      </c>
      <c r="I28" t="s">
        <v>4412</v>
      </c>
      <c r="J28" t="str">
        <f t="shared" si="0"/>
        <v>{ name: "Gerudo's Colossal Fossil", landmark: "Side Quest", type: "", region: 4, level: "Surface", x: -3883, y: 3691, z: 223, weight: 0, details: `&lt;strong&gt;Start:&lt;/strong&gt; Finish &lt;img src="icons/side-quest.png" style="height: 20px; width: 20px; vertical-align: middle; margin-right: 5px;"&gt;&lt;span style="color: #c6a96a; font-weight: bold;"&gt;Hebra's Colossal Fossil&lt;/span&gt;&lt;br&gt;&lt;strong&gt;Reward:&lt;/strong&gt; Purple Rupee` },</v>
      </c>
    </row>
    <row r="29" spans="1:10" x14ac:dyDescent="0.2">
      <c r="A29" t="s">
        <v>3110</v>
      </c>
      <c r="C29" s="2">
        <v>4</v>
      </c>
      <c r="D29" s="2" t="s">
        <v>785</v>
      </c>
      <c r="E29" s="2">
        <v>-3794</v>
      </c>
      <c r="F29" s="2">
        <v>2319</v>
      </c>
      <c r="G29" s="2">
        <v>161</v>
      </c>
      <c r="H29" s="2">
        <v>0</v>
      </c>
      <c r="I29" t="s">
        <v>4413</v>
      </c>
      <c r="J29" t="str">
        <f t="shared" si="0"/>
        <v>{ name: "Kaneli's Flight Training", landmark: "Side Quest", type: "", region: 4, level: "Surface", x: -3794, y: 2319, z: 161, weight: 0, details: `&lt;strong&gt;Start:&lt;/strong&gt; Talk to Kaneli&lt;br&gt;&lt;strong&gt;Reward:&lt;/strong&gt; Purple Rupee` },</v>
      </c>
    </row>
    <row r="30" spans="1:10" x14ac:dyDescent="0.2">
      <c r="A30" t="s">
        <v>3111</v>
      </c>
      <c r="C30" s="2">
        <v>4</v>
      </c>
      <c r="D30" s="2" t="s">
        <v>785</v>
      </c>
      <c r="E30" s="2">
        <v>-3609</v>
      </c>
      <c r="F30" s="2">
        <v>1824</v>
      </c>
      <c r="G30" s="2">
        <v>218</v>
      </c>
      <c r="H30" s="2">
        <v>0</v>
      </c>
      <c r="I30" t="s">
        <v>4414</v>
      </c>
      <c r="J30" t="str">
        <f t="shared" si="0"/>
        <v>{ name: "Legacy of the Rito", landmark: "Side Quest", type: "", region: 4, level: "Surface", x: -3609, y: 1824, z: 218, weight: 0, details: `&lt;strong&gt;Start:&lt;/strong&gt; 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Bow` },</v>
      </c>
    </row>
    <row r="31" spans="1:10" x14ac:dyDescent="0.2">
      <c r="A31" t="s">
        <v>3112</v>
      </c>
      <c r="C31" s="2">
        <v>4</v>
      </c>
      <c r="D31" s="2" t="s">
        <v>785</v>
      </c>
      <c r="E31" s="2">
        <v>-3616</v>
      </c>
      <c r="F31" s="2">
        <v>1793</v>
      </c>
      <c r="G31" s="2">
        <v>214</v>
      </c>
      <c r="H31" s="2">
        <v>0</v>
      </c>
      <c r="I31" t="s">
        <v>4415</v>
      </c>
      <c r="J31" t="str">
        <f t="shared" si="0"/>
        <v>{ name: "Molli the Fletcher's Quest", landmark: "Side Quest", type: "", region: 4, level: "Surface", x: -3616, y: 1793, z: 214, weight: 0, details: `&lt;strong&gt;Start:&lt;/strong&gt; Speak With Molli in Her Home&lt;br&gt;&lt;strong&gt;Reward:&lt;/strong&gt; Arrow x10` },</v>
      </c>
    </row>
    <row r="32" spans="1:10" x14ac:dyDescent="0.2">
      <c r="A32" t="s">
        <v>3115</v>
      </c>
      <c r="C32" s="2">
        <v>4</v>
      </c>
      <c r="D32" s="2" t="s">
        <v>785</v>
      </c>
      <c r="E32" s="2">
        <v>-3581</v>
      </c>
      <c r="F32" s="2">
        <v>2474</v>
      </c>
      <c r="G32" s="2">
        <v>228</v>
      </c>
      <c r="H32" s="2">
        <v>0</v>
      </c>
      <c r="I32" t="s">
        <v>4416</v>
      </c>
      <c r="J32" t="str">
        <f t="shared" si="0"/>
        <v>{ name: "The Blocked Cave", landmark: "Side Quest", type: "", region: 4, level: "Surface", x: -3581, y: 2474, z: 228, weight: 0, details: `&lt;strong&gt;Start:&lt;/strong&gt; Find and Talk to Mazli&lt;br&gt;&lt;strong&gt;Reward:&lt;/strong&gt; Red Rupee` },</v>
      </c>
    </row>
    <row r="33" spans="1:10" x14ac:dyDescent="0.2">
      <c r="A33" t="s">
        <v>3124</v>
      </c>
      <c r="C33" s="2">
        <v>4</v>
      </c>
      <c r="D33" s="2" t="s">
        <v>785</v>
      </c>
      <c r="E33" s="2">
        <v>-2954</v>
      </c>
      <c r="F33" s="2">
        <v>3140</v>
      </c>
      <c r="G33" s="2">
        <v>572</v>
      </c>
      <c r="H33" s="2">
        <v>0</v>
      </c>
      <c r="I33" t="s">
        <v>4418</v>
      </c>
      <c r="J33" t="str">
        <f t="shared" si="0"/>
        <v>{ name: "The Duchess Who Disappeared", landmark: "Side Quest", type: "", region: 4, level: "Surface", x: -2954, y: 3140, z: 572, weight: 0, details: `&lt;strong&gt;Start:&lt;/strong&gt; 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Shield` },</v>
      </c>
    </row>
    <row r="34" spans="1:10" x14ac:dyDescent="0.2">
      <c r="A34" t="s">
        <v>3119</v>
      </c>
      <c r="C34" s="2">
        <v>4</v>
      </c>
      <c r="D34" s="2" t="s">
        <v>785</v>
      </c>
      <c r="E34" s="2">
        <v>-3610</v>
      </c>
      <c r="F34" s="2">
        <v>1812</v>
      </c>
      <c r="G34" s="2">
        <v>218</v>
      </c>
      <c r="H34" s="2">
        <v>0</v>
      </c>
      <c r="I34" t="s">
        <v>4417</v>
      </c>
      <c r="J34" t="str">
        <f t="shared" si="0"/>
        <v>{ name: "Treasure of the Secret Springs", landmark: "Side Quest", type: "", region: 4, level: "Surface", x: -3610, y: 1812, z: 218, weight: 0, details: `&lt;strong&gt;Start:&lt;/strong&gt; 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Helm` },</v>
      </c>
    </row>
    <row r="35" spans="1:10" x14ac:dyDescent="0.2">
      <c r="A35" t="s">
        <v>3121</v>
      </c>
      <c r="C35" s="2">
        <v>5</v>
      </c>
      <c r="D35" s="2" t="s">
        <v>785</v>
      </c>
      <c r="E35" s="2">
        <v>-1650</v>
      </c>
      <c r="F35" s="2">
        <v>2572</v>
      </c>
      <c r="G35" s="2">
        <v>234</v>
      </c>
      <c r="H35" s="2">
        <v>0</v>
      </c>
      <c r="I35" t="s">
        <v>4663</v>
      </c>
      <c r="J35" t="str">
        <f t="shared" si="0"/>
        <v>{ name: "A Picture for Snowfield Stable", landmark: "Side Quest", type: "", region: 5, level: "Surface", x: -1650, y: 2572, z: 234, weight: 0, details: `&lt;strong&gt;Start:&lt;/strong&gt; 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Stew` },</v>
      </c>
    </row>
    <row r="36" spans="1:10" x14ac:dyDescent="0.2">
      <c r="A36" t="s">
        <v>3114</v>
      </c>
      <c r="C36" s="2">
        <v>5</v>
      </c>
      <c r="D36" s="2" t="s">
        <v>785</v>
      </c>
      <c r="E36" s="2">
        <v>-2175</v>
      </c>
      <c r="F36" s="2">
        <v>2028</v>
      </c>
      <c r="G36" s="2">
        <v>363</v>
      </c>
      <c r="H36" s="2">
        <v>0</v>
      </c>
      <c r="I36" t="s">
        <v>3218</v>
      </c>
      <c r="J36" t="str">
        <f t="shared" si="0"/>
        <v>{ name: "Supply-Eyeing Fliers", landmark: "Side Quest", type: "", region: 5, level: "Surface", x: -2175, y: 2028, z: 363, weight: 0, details: `&lt;strong&gt;Start:&lt;/strong&gt; Talk to Huck&lt;br&gt;&lt;strong&gt;Reward:&lt;/strong&gt; Purple Rupee` },</v>
      </c>
    </row>
    <row r="37" spans="1:10" x14ac:dyDescent="0.2">
      <c r="A37" t="s">
        <v>3123</v>
      </c>
      <c r="C37" s="2">
        <v>5</v>
      </c>
      <c r="D37" s="2" t="s">
        <v>785</v>
      </c>
      <c r="E37" s="2">
        <v>-1661</v>
      </c>
      <c r="F37" s="2">
        <v>2542</v>
      </c>
      <c r="G37" s="2">
        <v>233</v>
      </c>
      <c r="H37" s="2">
        <v>0</v>
      </c>
      <c r="I37" t="s">
        <v>4421</v>
      </c>
      <c r="J37" t="str">
        <f t="shared" si="0"/>
        <v>{ name: "The Captured Tent", landmark: "Side Quest", type: "", region: 5, level: "Surface", x: -1661, y: 2542, z: 233, weight: 0, details: `&lt;strong&gt;Start:&lt;/strong&gt; 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Mushrooms` },</v>
      </c>
    </row>
    <row r="38" spans="1:10" x14ac:dyDescent="0.2">
      <c r="A38" t="s">
        <v>3117</v>
      </c>
      <c r="C38" s="2">
        <v>5</v>
      </c>
      <c r="D38" s="2" t="s">
        <v>785</v>
      </c>
      <c r="E38" s="2">
        <v>-1068</v>
      </c>
      <c r="F38" s="2">
        <v>2684</v>
      </c>
      <c r="G38" s="2">
        <v>-81</v>
      </c>
      <c r="H38" s="2">
        <v>0</v>
      </c>
      <c r="I38" t="s">
        <v>4419</v>
      </c>
      <c r="J38" t="str">
        <f t="shared" si="0"/>
        <v>{ name: "The Mother Goddess Statue", landmark: "Side Quest", type: "", region: 5, level: "Surface", x: -1068, y: 2684, z: -81, weight: 0, details: `&lt;strong&gt;Start:&lt;/strong&gt; 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Sky` },</v>
      </c>
    </row>
    <row r="39" spans="1:10" x14ac:dyDescent="0.2">
      <c r="A39" t="s">
        <v>3125</v>
      </c>
      <c r="C39" s="2">
        <v>5</v>
      </c>
      <c r="D39" s="2" t="s">
        <v>785</v>
      </c>
      <c r="E39" s="2">
        <v>-799</v>
      </c>
      <c r="F39" s="2">
        <v>3535</v>
      </c>
      <c r="G39" s="2">
        <v>235</v>
      </c>
      <c r="H39" s="2">
        <v>0</v>
      </c>
      <c r="I39" t="s">
        <v>3219</v>
      </c>
      <c r="J39" t="str">
        <f t="shared" si="0"/>
        <v>{ name: "The North Lomei Prophecy", landmark: "Side Quest", type: "", region: 5, level: "Surface", x: -799, y: 3535, z: 235, weight: 0, details: `&lt;strong&gt;Start:&lt;/strong&gt; Activate the North Lomei Labyrinth Terminal&lt;br&gt;&lt;strong&gt;Reward:&lt;/strong&gt; Evil Spirit Greaves` },</v>
      </c>
    </row>
    <row r="40" spans="1:10" x14ac:dyDescent="0.2">
      <c r="A40" t="s">
        <v>3095</v>
      </c>
      <c r="C40" s="2">
        <v>5</v>
      </c>
      <c r="D40" s="2" t="s">
        <v>785</v>
      </c>
      <c r="E40" s="2">
        <v>-1106</v>
      </c>
      <c r="F40" s="2">
        <v>2658</v>
      </c>
      <c r="G40" s="2">
        <v>0</v>
      </c>
      <c r="H40" s="2">
        <v>0</v>
      </c>
      <c r="I40" t="s">
        <v>4420</v>
      </c>
      <c r="J40" t="str">
        <f t="shared" si="0"/>
        <v>{ name: "The Shrine Explorer", landmark: "Side Quest", type: "", region: 5, level: "Surface", x: -1106, y: 2658, z: 0, weight: 0, details: `&lt;strong&gt;Start:&lt;/strong&gt; 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Aspect` },</v>
      </c>
    </row>
    <row r="41" spans="1:10" x14ac:dyDescent="0.2">
      <c r="A41" t="s">
        <v>3126</v>
      </c>
      <c r="C41" s="2">
        <v>5</v>
      </c>
      <c r="D41" s="2" t="s">
        <v>785</v>
      </c>
      <c r="E41" s="2">
        <v>-1654</v>
      </c>
      <c r="F41" s="2">
        <v>2533</v>
      </c>
      <c r="G41" s="2">
        <v>233</v>
      </c>
      <c r="H41" s="2">
        <v>0</v>
      </c>
      <c r="I41" t="s">
        <v>4422</v>
      </c>
      <c r="J41" t="str">
        <f t="shared" si="0"/>
        <v>{ name: "Who Finds the Haven", landmark: "Side Quest", type: "", region: 5, level: "Surface", x: -1654, y: 2533, z: 233, weight: 0, details: `&lt;strong&gt;Start:&lt;/strong&gt; 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Mushrooms` },</v>
      </c>
    </row>
    <row r="42" spans="1:10" x14ac:dyDescent="0.2">
      <c r="A42" t="s">
        <v>3145</v>
      </c>
      <c r="C42" s="2">
        <v>6</v>
      </c>
      <c r="D42" s="2" t="s">
        <v>785</v>
      </c>
      <c r="E42" s="2">
        <v>1670</v>
      </c>
      <c r="F42" s="2">
        <v>3668</v>
      </c>
      <c r="G42" s="2">
        <v>100</v>
      </c>
      <c r="H42" s="2">
        <v>0</v>
      </c>
      <c r="I42" t="s">
        <v>4423</v>
      </c>
      <c r="J42" t="str">
        <f t="shared" si="0"/>
        <v>{ name: "Hebra's Colossal Fossil", landmark: "Side Quest", type: "", region: 6, level: "Surface", x: 1670, y: 3668, z: 100, weight: 0, details: `&lt;strong&gt;Start:&lt;/strong&gt; Finish &lt;img src="icons/side-quest.png" style="height: 20px; width: 20px; vertical-align: middle; margin-right: 5px;"&gt;&lt;span style="color: #c6a96a; font-weight: bold;"&gt;Eldin's Colossal Fossil&lt;/span&gt;&lt;br&gt;&lt;strong&gt;Reward:&lt;/strong&gt; Purple Rupee` },</v>
      </c>
    </row>
    <row r="43" spans="1:10" x14ac:dyDescent="0.2">
      <c r="A43" t="s">
        <v>3127</v>
      </c>
      <c r="C43" s="2">
        <v>6</v>
      </c>
      <c r="D43" s="2" t="s">
        <v>785</v>
      </c>
      <c r="E43" s="2">
        <v>413</v>
      </c>
      <c r="F43" s="2">
        <v>2178</v>
      </c>
      <c r="G43" s="2">
        <v>179</v>
      </c>
      <c r="H43" s="2">
        <v>0</v>
      </c>
      <c r="I43" t="s">
        <v>3220</v>
      </c>
      <c r="J43" t="str">
        <f t="shared" si="0"/>
        <v>{ name: "The Secret Room", landmark: "Side Quest", type: "", region: 6, level: "Surface", x: 413, y: 2178, z: 179, weight: 0, details: `&lt;strong&gt;Start:&lt;/strong&gt; Talk to Oaki&lt;br&gt;&lt;strong&gt;Reward:&lt;/strong&gt; Korok Fabric` },</v>
      </c>
    </row>
    <row r="44" spans="1:10" x14ac:dyDescent="0.2">
      <c r="A44" t="s">
        <v>3096</v>
      </c>
      <c r="C44" s="2">
        <v>6</v>
      </c>
      <c r="D44" s="2" t="s">
        <v>785</v>
      </c>
      <c r="E44" s="2">
        <v>600</v>
      </c>
      <c r="F44" s="2">
        <v>1283</v>
      </c>
      <c r="G44" s="2">
        <v>47</v>
      </c>
      <c r="H44" s="2">
        <v>0</v>
      </c>
      <c r="I44" t="s">
        <v>3215</v>
      </c>
      <c r="J44" t="str">
        <f t="shared" si="0"/>
        <v>{ name: "The Treasure Hunters", landmark: "Side Quest", type: "", region: 6, level: "Surface", x: 600, y: 1283, z: 47, weight: 0, details: `&lt;strong&gt;Start:&lt;/strong&gt; Talk to Domidak&lt;br&gt;&lt;strong&gt;Reward:&lt;/strong&gt; Bomb Flowers` },</v>
      </c>
    </row>
    <row r="45" spans="1:10" x14ac:dyDescent="0.2">
      <c r="A45" t="s">
        <v>3128</v>
      </c>
      <c r="C45" s="2">
        <v>6</v>
      </c>
      <c r="D45" s="2" t="s">
        <v>785</v>
      </c>
      <c r="E45" s="2">
        <v>421</v>
      </c>
      <c r="F45" s="2">
        <v>2181</v>
      </c>
      <c r="G45" s="2">
        <v>227</v>
      </c>
      <c r="H45" s="2">
        <v>0</v>
      </c>
      <c r="I45" t="s">
        <v>3221</v>
      </c>
      <c r="J45" t="str">
        <f t="shared" si="0"/>
        <v>{ name: "Walton's Treasure Hunt", landmark: "Side Quest", type: "", region: 6, level: "Surface", x: 421, y: 2181, z: 227, weight: 0, details: `&lt;strong&gt;Start:&lt;/strong&gt; Talk to Walton&lt;br&gt;&lt;strong&gt;Reward:&lt;/strong&gt; Forest Dweller's Bow` },</v>
      </c>
    </row>
    <row r="46" spans="1:10" x14ac:dyDescent="0.2">
      <c r="A46" t="s">
        <v>3129</v>
      </c>
      <c r="C46" s="2">
        <v>6</v>
      </c>
      <c r="D46" s="2" t="s">
        <v>785</v>
      </c>
      <c r="E46" s="2">
        <v>418</v>
      </c>
      <c r="F46" s="2">
        <v>2132</v>
      </c>
      <c r="G46" s="2">
        <v>143</v>
      </c>
      <c r="H46" s="2">
        <v>0</v>
      </c>
      <c r="I46" t="s">
        <v>3222</v>
      </c>
      <c r="J46" t="str">
        <f t="shared" si="0"/>
        <v>{ name: "Whirly Swirly Things", landmark: "Side Quest", type: "", region: 6, level: "Surface", x: 418, y: 2132, z: 143, weight: 0, details: `&lt;strong&gt;Start:&lt;/strong&gt; Talk to Kula After Curing the Deku Tree&lt;br&gt;&lt;strong&gt;Reward:&lt;/strong&gt; Endura Carrot x5` },</v>
      </c>
    </row>
    <row r="47" spans="1:10" x14ac:dyDescent="0.2">
      <c r="A47" t="s">
        <v>3141</v>
      </c>
      <c r="C47" s="2">
        <v>7</v>
      </c>
      <c r="D47" s="2" t="s">
        <v>785</v>
      </c>
      <c r="E47" s="2">
        <v>2611</v>
      </c>
      <c r="F47" s="2">
        <v>1140</v>
      </c>
      <c r="G47" s="2">
        <v>148</v>
      </c>
      <c r="H47" s="2">
        <v>0</v>
      </c>
      <c r="I47" t="s">
        <v>4664</v>
      </c>
      <c r="J47" t="str">
        <f t="shared" si="0"/>
        <v>{ name: "A Picture for Foothill Stable", landmark: "Side Quest", type: "", region: 7, level: "Surface", x: 2611, y: 1140, z: 148, weight: 0, details: `&lt;strong&gt;Start:&lt;/strong&gt; 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Elixir` },</v>
      </c>
    </row>
    <row r="48" spans="1:10" x14ac:dyDescent="0.2">
      <c r="A48" t="s">
        <v>3142</v>
      </c>
      <c r="C48" s="2">
        <v>7</v>
      </c>
      <c r="D48" s="2" t="s">
        <v>785</v>
      </c>
      <c r="E48" s="2">
        <v>1061</v>
      </c>
      <c r="F48" s="2">
        <v>1127</v>
      </c>
      <c r="G48" s="2">
        <v>22</v>
      </c>
      <c r="H48" s="2">
        <v>0</v>
      </c>
      <c r="I48" t="s">
        <v>4665</v>
      </c>
      <c r="J48" t="str">
        <f t="shared" si="0"/>
        <v>{ name: "A Picture for Woodland Stable", landmark: "Side Quest", type: "", region: 7, level: "Surface", x: 1061, y: 1127, z: 22, weight: 0, details: `&lt;strong&gt;Start:&lt;/strong&gt; 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Curry` },</v>
      </c>
    </row>
    <row r="49" spans="1:10" x14ac:dyDescent="0.2">
      <c r="A49" t="s">
        <v>3143</v>
      </c>
      <c r="C49" s="2">
        <v>7</v>
      </c>
      <c r="D49" s="2" t="s">
        <v>785</v>
      </c>
      <c r="E49" s="2">
        <v>1660</v>
      </c>
      <c r="F49" s="2">
        <v>2469</v>
      </c>
      <c r="G49" s="2">
        <v>386</v>
      </c>
      <c r="H49" s="2">
        <v>0</v>
      </c>
      <c r="I49" t="s">
        <v>3249</v>
      </c>
      <c r="J49" t="str">
        <f t="shared" si="0"/>
        <v>{ name: "Amber Dealer", landmark: "Side Quest", type: "", region: 7, level: "Surface", x: 1660, y: 2469, z: 386, weight: 0, details: `&lt;strong&gt;Start:&lt;/strong&gt; Talk to Ramella&lt;br&gt;&lt;strong&gt;Reward:&lt;/strong&gt; Rupees x200, Selling Ores to Ramella` },</v>
      </c>
    </row>
    <row r="50" spans="1:10" x14ac:dyDescent="0.2">
      <c r="A50" t="s">
        <v>3144</v>
      </c>
      <c r="C50" s="2">
        <v>7</v>
      </c>
      <c r="D50" s="2" t="s">
        <v>785</v>
      </c>
      <c r="E50" s="2">
        <v>1751</v>
      </c>
      <c r="F50" s="2">
        <v>1537</v>
      </c>
      <c r="G50" s="2">
        <v>278</v>
      </c>
      <c r="H50" s="2">
        <v>0</v>
      </c>
      <c r="I50" t="s">
        <v>3227</v>
      </c>
      <c r="J50" t="str">
        <f t="shared" si="0"/>
        <v>{ name: "Cash In on Ripened Flint", landmark: "Side Quest", type: "", region: 7, level: "Surface", x: 1751, y: 1537, z: 278, weight: 0, details: `&lt;strong&gt;Start:&lt;/strong&gt; Talk to Gomo&lt;br&gt;&lt;strong&gt;Reward:&lt;/strong&gt; Rupees x1000` },</v>
      </c>
    </row>
    <row r="51" spans="1:10" x14ac:dyDescent="0.2">
      <c r="A51" t="s">
        <v>4424</v>
      </c>
      <c r="C51" s="2">
        <v>7</v>
      </c>
      <c r="D51" s="2" t="s">
        <v>785</v>
      </c>
      <c r="E51" s="2">
        <v>1828</v>
      </c>
      <c r="F51" s="2">
        <v>2077</v>
      </c>
      <c r="G51" s="2">
        <v>321</v>
      </c>
      <c r="H51" s="2">
        <v>0</v>
      </c>
      <c r="I51" t="s">
        <v>4430</v>
      </c>
      <c r="J51" t="str">
        <f t="shared" si="0"/>
        <v>{ name: "Mine-Cart Land: Quickshot Course", landmark: "Side Quest", type: "", region: 7, level: "Surface", x: 1828, y: 2077,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Rupee` },</v>
      </c>
    </row>
    <row r="52" spans="1:10" x14ac:dyDescent="0.2">
      <c r="A52" t="s">
        <v>4425</v>
      </c>
      <c r="C52" s="2">
        <v>7</v>
      </c>
      <c r="D52" s="2" t="s">
        <v>785</v>
      </c>
      <c r="E52" s="2">
        <v>2582</v>
      </c>
      <c r="F52" s="2">
        <v>1426</v>
      </c>
      <c r="G52" s="2">
        <v>134</v>
      </c>
      <c r="H52" s="2">
        <v>0</v>
      </c>
      <c r="I52" t="s">
        <v>4426</v>
      </c>
      <c r="J52" t="str">
        <f t="shared" si="0"/>
        <v>{ name: "Misko's Treasure: The Fierce Deity", landmark: "Side Quest", type: "", region: 7, level: "Surface", x: 2582, y: 1426, z: 134, weight: 0, details: `&lt;strong&gt;Start:&lt;/strong&gt; 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Sword` },</v>
      </c>
    </row>
    <row r="53" spans="1:10" x14ac:dyDescent="0.2">
      <c r="A53" t="s">
        <v>3157</v>
      </c>
      <c r="C53" s="2">
        <v>7</v>
      </c>
      <c r="D53" s="2" t="s">
        <v>785</v>
      </c>
      <c r="E53" s="2">
        <v>1648</v>
      </c>
      <c r="F53" s="2">
        <v>2439</v>
      </c>
      <c r="G53" s="2">
        <v>381</v>
      </c>
      <c r="H53" s="2">
        <v>0</v>
      </c>
      <c r="I53" t="s">
        <v>4393</v>
      </c>
      <c r="J53" t="str">
        <f t="shared" si="0"/>
        <v>{ name: "Lakes", landmark: "Side Quest", type: "", region: 7, level: "Surface", x: 1648, y: 2439, z: 381, weight: 0, details: `&lt;strong&gt;Start:&lt;/strong&gt; Talk to Bludo&lt;br&gt;&lt;strong&gt;Reward:&lt;/strong&gt; Vah Rudania Divine Helm` },</v>
      </c>
    </row>
    <row r="54" spans="1:10" x14ac:dyDescent="0.2">
      <c r="A54" t="s">
        <v>3150</v>
      </c>
      <c r="C54" s="2">
        <v>7</v>
      </c>
      <c r="D54" s="2" t="s">
        <v>785</v>
      </c>
      <c r="E54" s="2">
        <v>2603</v>
      </c>
      <c r="F54" s="2">
        <v>1319</v>
      </c>
      <c r="G54" s="2">
        <v>150</v>
      </c>
      <c r="H54" s="2">
        <v>0</v>
      </c>
      <c r="I54" t="s">
        <v>4427</v>
      </c>
      <c r="J54" t="str">
        <f t="shared" si="0"/>
        <v>{ name: "Manuscript", landmark: "Side Quest", type: "", region: 7, level: "Surface", x: 2603, y: 1319, z: 150, weight: 0, details: `&lt;strong&gt;Start:&lt;/strong&gt; Speak with Domidak and Prissen&lt;br&gt;&lt;strong&gt;Reward:&lt;/strong&gt; Tingle's Hood, Tingle's Tights, Tingle's Shirt` },</v>
      </c>
    </row>
    <row r="55" spans="1:10" x14ac:dyDescent="0.2">
      <c r="A55" t="s">
        <v>3146</v>
      </c>
      <c r="C55" s="2">
        <v>7</v>
      </c>
      <c r="D55" s="2" t="s">
        <v>785</v>
      </c>
      <c r="E55" s="2">
        <v>1757</v>
      </c>
      <c r="F55" s="2">
        <v>1548</v>
      </c>
      <c r="G55" s="2">
        <v>279</v>
      </c>
      <c r="H55" s="2">
        <v>0</v>
      </c>
      <c r="I55" t="s">
        <v>3228</v>
      </c>
      <c r="J55" t="str">
        <f t="shared" si="0"/>
        <v>{ name: "Meat for Meat", landmark: "Side Quest", type: "", region: 7, level: "Surface", x: 1757, y: 1548, z: 279, weight: 0, details: `&lt;strong&gt;Start:&lt;/strong&gt; Talk to Mezer&lt;br&gt;&lt;strong&gt;Reward:&lt;/strong&gt; Large Zonai Charge` },</v>
      </c>
    </row>
    <row r="56" spans="1:10" x14ac:dyDescent="0.2">
      <c r="A56" t="s">
        <v>3147</v>
      </c>
      <c r="C56" s="2">
        <v>7</v>
      </c>
      <c r="D56" s="2" t="s">
        <v>785</v>
      </c>
      <c r="E56" s="2">
        <v>1820</v>
      </c>
      <c r="F56" s="2">
        <v>2069</v>
      </c>
      <c r="G56" s="2">
        <v>321</v>
      </c>
      <c r="H56" s="2">
        <v>0</v>
      </c>
      <c r="I56" t="s">
        <v>4431</v>
      </c>
      <c r="J56" t="str">
        <f t="shared" si="0"/>
        <v>{ name: "Mine-Cart Land: Death Mountain", landmark: "Side Quest", type: "", region: 7, level: "Surface", x: 1820, y: 2069,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Fabric` },</v>
      </c>
    </row>
    <row r="57" spans="1:10" x14ac:dyDescent="0.2">
      <c r="A57" t="s">
        <v>4392</v>
      </c>
      <c r="C57" s="2">
        <v>7</v>
      </c>
      <c r="D57" s="2" t="s">
        <v>785</v>
      </c>
      <c r="E57" s="2">
        <v>1836</v>
      </c>
      <c r="F57" s="2">
        <v>2069</v>
      </c>
      <c r="G57" s="2">
        <v>321</v>
      </c>
      <c r="H57" s="2">
        <v>0</v>
      </c>
      <c r="I57" t="s">
        <v>4396</v>
      </c>
      <c r="J57" t="str">
        <f t="shared" si="0"/>
        <v>{ name: "Mine-Cart Land: Open For Business!", landmark: "Side Quest", type: "", region: 7, level: "Surface", x: 1836, y: 2069, z: 321, weight: 0, details: `&lt;strong&gt;Start:&lt;/strong&gt; Talk to Bayge&lt;br&gt;&lt;strong&gt;Reward:&lt;/strong&gt; Red Rupee` },</v>
      </c>
    </row>
    <row r="58" spans="1:10" x14ac:dyDescent="0.2">
      <c r="A58" t="s">
        <v>3148</v>
      </c>
      <c r="C58" s="2">
        <v>7</v>
      </c>
      <c r="D58" s="2" t="s">
        <v>785</v>
      </c>
      <c r="E58" s="2">
        <v>2611</v>
      </c>
      <c r="F58" s="2">
        <v>1327</v>
      </c>
      <c r="G58" s="2">
        <v>150</v>
      </c>
      <c r="H58" s="2">
        <v>0</v>
      </c>
      <c r="I58" t="s">
        <v>4428</v>
      </c>
      <c r="J58" t="str">
        <f t="shared" si="0"/>
        <v>{ name: "Misko's Cave of Chests", landmark: "Side Quest", type: "", region: 7, level: "Surface", x: 2611, y: 1327, z: 150, weight: 0, details: `&lt;strong&gt;Start:&lt;/strong&gt; Talk to Domidak and Prissen&lt;br&gt;&lt;strong&gt;Reward:&lt;/strong&gt; Ember Trousers` },</v>
      </c>
    </row>
    <row r="59" spans="1:10" x14ac:dyDescent="0.2">
      <c r="A59" t="s">
        <v>3149</v>
      </c>
      <c r="C59" s="2">
        <v>7</v>
      </c>
      <c r="D59" s="2" t="s">
        <v>785</v>
      </c>
      <c r="E59" s="2">
        <v>1379</v>
      </c>
      <c r="F59" s="2">
        <v>2258</v>
      </c>
      <c r="G59" s="2">
        <v>294</v>
      </c>
      <c r="H59" s="2">
        <v>0</v>
      </c>
      <c r="I59" t="s">
        <v>3250</v>
      </c>
      <c r="J59" t="str">
        <f t="shared" si="0"/>
        <v>{ name: "Misko's Treasure of Awakening", landmark: "Side Quest", type: "", region: 7, level: "Surface", x: 1379, y: 2258, z: 294, weight: 0, details: `&lt;strong&gt;Start:&lt;/strong&gt; Find the Ember Shirt and Misko's Letter&lt;br&gt;&lt;strong&gt;Reward:&lt;/strong&gt; Tunic of Awakening, Trousers of Awakening, Mask of Awakening` },</v>
      </c>
    </row>
    <row r="60" spans="1:10" x14ac:dyDescent="0.2">
      <c r="A60" t="s">
        <v>3151</v>
      </c>
      <c r="C60" s="2">
        <v>7</v>
      </c>
      <c r="D60" s="2" t="s">
        <v>785</v>
      </c>
      <c r="E60" s="2">
        <v>1677</v>
      </c>
      <c r="F60" s="2">
        <v>2427</v>
      </c>
      <c r="G60" s="2">
        <v>383</v>
      </c>
      <c r="H60" s="2">
        <v>0</v>
      </c>
      <c r="I60" t="s">
        <v>4429</v>
      </c>
      <c r="J60" t="str">
        <f t="shared" si="0"/>
        <v>{ name: "Moon-Gazing Gorons", landmark: "Side Quest", type: "", region: 7, level: "Surface", x: 1677, y: 2427, z: 383, weight: 0, details: `&lt;strong&gt;Start:&lt;/strong&gt; 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Rupees` },</v>
      </c>
    </row>
    <row r="61" spans="1:10" x14ac:dyDescent="0.2">
      <c r="A61" t="s">
        <v>3152</v>
      </c>
      <c r="C61" s="2">
        <v>7</v>
      </c>
      <c r="D61" s="2" t="s">
        <v>785</v>
      </c>
      <c r="E61" s="2">
        <v>1765</v>
      </c>
      <c r="F61" s="2">
        <v>1548</v>
      </c>
      <c r="G61" s="2">
        <v>279</v>
      </c>
      <c r="H61" s="2">
        <v>0</v>
      </c>
      <c r="I61" t="s">
        <v>3229</v>
      </c>
      <c r="J61" t="str">
        <f t="shared" si="0"/>
        <v>{ name: "Rock Roast or Dust", landmark: "Side Quest", type: "", region: 7, level: "Surface", x: 1765, y: 1548, z: 279, weight: 0, details: `&lt;strong&gt;Start:&lt;/strong&gt; Talk to Cooke&lt;br&gt;&lt;strong&gt;Reward:&lt;/strong&gt; Seared Gourmet Steak` },</v>
      </c>
    </row>
    <row r="62" spans="1:10" x14ac:dyDescent="0.2">
      <c r="A62" t="s">
        <v>3153</v>
      </c>
      <c r="C62" s="2">
        <v>7</v>
      </c>
      <c r="D62" s="2" t="s">
        <v>785</v>
      </c>
      <c r="E62" s="2">
        <v>1705</v>
      </c>
      <c r="F62" s="2">
        <v>2423</v>
      </c>
      <c r="G62" s="2">
        <v>392</v>
      </c>
      <c r="H62" s="2">
        <v>0</v>
      </c>
      <c r="I62" t="s">
        <v>3230</v>
      </c>
      <c r="J62" t="str">
        <f t="shared" si="0"/>
        <v>{ name: "Simmerstone Springs", landmark: "Side Quest", type: "", region: 7, level: "Surface", x: 1705, y: 2423, z: 392, weight: 0, details: `&lt;strong&gt;Start:&lt;/strong&gt; Talk to Kima&lt;br&gt;&lt;strong&gt;Reward:&lt;/strong&gt; Silver Rupee` },</v>
      </c>
    </row>
    <row r="63" spans="1:10" x14ac:dyDescent="0.2">
      <c r="A63" t="s">
        <v>3154</v>
      </c>
      <c r="C63" s="2">
        <v>7</v>
      </c>
      <c r="D63" s="2" t="s">
        <v>785</v>
      </c>
      <c r="E63" s="2">
        <v>1690</v>
      </c>
      <c r="F63" s="2">
        <v>2498</v>
      </c>
      <c r="G63" s="2">
        <v>396</v>
      </c>
      <c r="H63" s="2">
        <v>0</v>
      </c>
      <c r="I63" t="s">
        <v>4432</v>
      </c>
      <c r="J63" t="str">
        <f t="shared" si="0"/>
        <v>{ name: "Soul of the Gorons", landmark: "Side Quest", type: "", region: 7, level: "Surface", x: 1690, y: 2498, z: 396, weight: 0, details: `&lt;strong&gt;Start:&lt;/strong&gt; 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Breaker` },</v>
      </c>
    </row>
    <row r="64" spans="1:10" x14ac:dyDescent="0.2">
      <c r="A64" t="s">
        <v>3155</v>
      </c>
      <c r="C64" s="2">
        <v>7</v>
      </c>
      <c r="D64" s="2" t="s">
        <v>785</v>
      </c>
      <c r="E64" s="2">
        <v>2345</v>
      </c>
      <c r="F64" s="2">
        <v>2680</v>
      </c>
      <c r="G64" s="2">
        <v>514</v>
      </c>
      <c r="H64" s="2">
        <v>0</v>
      </c>
      <c r="I64" t="s">
        <v>4433</v>
      </c>
      <c r="J64" t="str">
        <f t="shared" si="0"/>
        <v>{ name: "The Abandoned Laborer", landmark: "Side Quest", type: "", region: 7, level: "Surface", x: 2345, y: 2680, z: 514, weight: 0, details: `&lt;strong&gt;Start:&lt;/strong&gt; 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Charge` },</v>
      </c>
    </row>
    <row r="65" spans="1:10" x14ac:dyDescent="0.2">
      <c r="A65" t="s">
        <v>3156</v>
      </c>
      <c r="C65" s="2">
        <v>7</v>
      </c>
      <c r="D65" s="2" t="s">
        <v>785</v>
      </c>
      <c r="E65" s="2">
        <v>1745</v>
      </c>
      <c r="F65" s="2">
        <v>2579</v>
      </c>
      <c r="G65" s="2">
        <v>427</v>
      </c>
      <c r="H65" s="2">
        <v>0</v>
      </c>
      <c r="I65" t="s">
        <v>4434</v>
      </c>
      <c r="J65" t="str">
        <f t="shared" si="0"/>
        <v>{ name: "The Ancient City Gorondia", landmark: "Side Quest", type: "", region: 7, level: "Surface", x: 1745, y: 2579, z: 427, weight: 0, details: `&lt;strong&gt;Start:&lt;/strong&gt; Talk to Dugby&lt;br&gt;&lt;strong&gt;Reward:&lt;/strong&gt; Zonai Charge, Large Zonai Charge` },</v>
      </c>
    </row>
    <row r="66" spans="1:10" x14ac:dyDescent="0.2">
      <c r="A66" t="s">
        <v>3130</v>
      </c>
      <c r="C66" s="2">
        <v>8</v>
      </c>
      <c r="D66" s="2" t="s">
        <v>785</v>
      </c>
      <c r="E66" s="2">
        <v>4235</v>
      </c>
      <c r="F66" s="2">
        <v>2736</v>
      </c>
      <c r="G66" s="2">
        <v>125</v>
      </c>
      <c r="H66" s="2">
        <v>0</v>
      </c>
      <c r="I66" t="s">
        <v>4666</v>
      </c>
      <c r="J66" t="str">
        <f t="shared" si="0"/>
        <v>{ name: "A Picture for East Akkala Stable", landmark: "Side Quest", type: "", region: 8, level: "Surface", x: 4235, y: 2736, z: 125, weight: 0, details: `&lt;strong&gt;Start:&lt;/strong&gt; 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Bowl` },</v>
      </c>
    </row>
    <row r="67" spans="1:10" x14ac:dyDescent="0.2">
      <c r="A67" t="s">
        <v>4350</v>
      </c>
      <c r="C67" s="2">
        <v>8</v>
      </c>
      <c r="D67" s="2" t="s">
        <v>785</v>
      </c>
      <c r="E67" s="2">
        <v>3141</v>
      </c>
      <c r="F67" s="2">
        <v>1679</v>
      </c>
      <c r="G67" s="2">
        <v>201</v>
      </c>
      <c r="H67" s="2">
        <v>0</v>
      </c>
      <c r="I67" t="s">
        <v>4667</v>
      </c>
      <c r="J67" t="str">
        <f t="shared" ref="J67:J130" si="1">"{ name: "&amp;CHAR(34)&amp;A67&amp;CHAR(34)&amp;", landmark: "&amp;CHAR(34)&amp;"Side Quest"&amp;CHAR(34)&amp;", type: "&amp;CHAR(34)&amp;B67&amp;CHAR(34)&amp;", region: "&amp;C67&amp;", level: "&amp;CHAR(34)&amp;D67&amp;CHAR(34)&amp;", x: "&amp;E67&amp;", y: "&amp;F67&amp;", z: "&amp;G67&amp;", weight: "&amp;H67&amp;", details: `&lt;strong&gt;Start:&lt;/strong&gt; "&amp;I67&amp;"` },"</f>
        <v>{ name: "A Picture for South Akkala Stable", landmark: "Side Quest", type: "", region: 8, level: "Surface", x: 3141, y: 1679, z: 201, weight: 0, details: `&lt;strong&gt;Start:&lt;/strong&gt; 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Stew` },</v>
      </c>
    </row>
    <row r="68" spans="1:10" x14ac:dyDescent="0.2">
      <c r="A68" t="s">
        <v>3131</v>
      </c>
      <c r="C68" s="2">
        <v>8</v>
      </c>
      <c r="D68" s="2" t="s">
        <v>785</v>
      </c>
      <c r="E68" s="2">
        <v>4339</v>
      </c>
      <c r="F68" s="2">
        <v>2816</v>
      </c>
      <c r="G68" s="2">
        <v>142</v>
      </c>
      <c r="H68" s="2">
        <v>0</v>
      </c>
      <c r="I68" t="s">
        <v>3223</v>
      </c>
      <c r="J68" t="str">
        <f t="shared" si="1"/>
        <v>{ name: "Eldin's Colossal Fossil", landmark: "Side Quest", type: "", region: 8, level: "Surface", x: 4339, y: 2816, z: 142, weight: 0, details: `&lt;strong&gt;Start:&lt;/strong&gt; Talk to Loone&lt;br&gt;&lt;strong&gt;Reward:&lt;/strong&gt; Purple Rupee` },</v>
      </c>
    </row>
    <row r="69" spans="1:10" x14ac:dyDescent="0.2">
      <c r="A69" t="s">
        <v>3132</v>
      </c>
      <c r="C69" s="2">
        <v>8</v>
      </c>
      <c r="D69" s="2" t="s">
        <v>785</v>
      </c>
      <c r="E69" s="2">
        <v>3758</v>
      </c>
      <c r="F69" s="2">
        <v>2676</v>
      </c>
      <c r="G69" s="2">
        <v>3</v>
      </c>
      <c r="H69" s="2">
        <v>0</v>
      </c>
      <c r="I69" t="s">
        <v>4435</v>
      </c>
      <c r="J69" t="str">
        <f t="shared" si="1"/>
        <v>{ name: "Goddess Statue of Power", landmark: "Side Quest", type: "", region: 8, level: "Surface", x: 3758, y: 2676, z: 3, weight: 0, details: `&lt;strong&gt;Start:&lt;/strong&gt; Talk to the &lt;img src="icons/goddess-statue.png" style="height: 20px; width: 20px; vertical-align: middle; margin-right: 5px;"&gt;&lt;span style="color: #7cc9c2; font-weight: bold;"&gt;Goddess Statue of Power&lt;/span&gt;&lt;br&gt;&lt;strong&gt;Reward:&lt;/strong&gt; Ruby` },</v>
      </c>
    </row>
    <row r="70" spans="1:10" x14ac:dyDescent="0.2">
      <c r="A70" t="s">
        <v>3133</v>
      </c>
      <c r="C70" s="2">
        <v>8</v>
      </c>
      <c r="D70" s="2" t="s">
        <v>785</v>
      </c>
      <c r="E70" s="2">
        <v>3946</v>
      </c>
      <c r="F70" s="2">
        <v>1596</v>
      </c>
      <c r="G70" s="2">
        <v>128</v>
      </c>
      <c r="H70" s="2">
        <v>0</v>
      </c>
      <c r="I70" t="s">
        <v>3224</v>
      </c>
      <c r="J70" t="str">
        <f t="shared" si="1"/>
        <v>{ name: "Home on Arrange", landmark: "Side Quest", type: "", region: 8, level: "Surface", x: 3946, y: 1596, z: 128, weight: 0, details: `&lt;strong&gt;Start:&lt;/strong&gt; Speak with Rhondson in Tarrey Town&lt;br&gt;&lt;strong&gt;Reward:&lt;/strong&gt; Hudson Construction Fabric` },</v>
      </c>
    </row>
    <row r="71" spans="1:10" x14ac:dyDescent="0.2">
      <c r="A71" t="s">
        <v>3134</v>
      </c>
      <c r="C71" s="2">
        <v>8</v>
      </c>
      <c r="D71" s="2" t="s">
        <v>785</v>
      </c>
      <c r="E71" s="2">
        <v>3755</v>
      </c>
      <c r="F71" s="2">
        <v>1677</v>
      </c>
      <c r="G71" s="2">
        <v>92</v>
      </c>
      <c r="H71" s="2">
        <v>0</v>
      </c>
      <c r="I71" t="s">
        <v>4436</v>
      </c>
      <c r="J71" t="str">
        <f t="shared" si="1"/>
        <v>{ name: "Master the Vehicle Prototype", landmark: "Side Quest", type: "", region: 8, level: "Surface", x: 3755, y: 1677, z: 92, weight: 0, details: `&lt;strong&gt;Start:&lt;/strong&gt; Talk to Fernison&lt;br&gt;&lt;strong&gt;Reward:&lt;/strong&gt; 100 Rupees, Sleepover Ticket` },</v>
      </c>
    </row>
    <row r="72" spans="1:10" x14ac:dyDescent="0.2">
      <c r="A72" t="s">
        <v>3135</v>
      </c>
      <c r="C72" s="2">
        <v>8</v>
      </c>
      <c r="D72" s="2" t="s">
        <v>785</v>
      </c>
      <c r="E72" s="2">
        <v>3085</v>
      </c>
      <c r="F72" s="2">
        <v>1672</v>
      </c>
      <c r="G72" s="2">
        <v>201</v>
      </c>
      <c r="H72" s="2">
        <v>0</v>
      </c>
      <c r="I72" t="s">
        <v>4403</v>
      </c>
      <c r="J72" t="str">
        <f t="shared" si="1"/>
        <v>{ name: "One-Hit Wonder", landmark: "Side Quest", type: "", region: 8, level: "Surface", x: 3085, y: 1672, z: 201, weight: 0, details: `&lt;strong&gt;Start:&lt;/strong&gt; Talk to Parcy&lt;br&gt;&lt;strong&gt;Reward:&lt;/strong&gt; Random gems` },</v>
      </c>
    </row>
    <row r="73" spans="1:10" x14ac:dyDescent="0.2">
      <c r="A73" t="s">
        <v>3139</v>
      </c>
      <c r="C73" s="2">
        <v>8</v>
      </c>
      <c r="D73" s="2" t="s">
        <v>785</v>
      </c>
      <c r="E73" s="2">
        <v>4655</v>
      </c>
      <c r="F73" s="2">
        <v>3682</v>
      </c>
      <c r="G73" s="2">
        <v>129</v>
      </c>
      <c r="H73" s="2">
        <v>0</v>
      </c>
      <c r="I73" t="s">
        <v>3226</v>
      </c>
      <c r="J73" t="str">
        <f t="shared" si="1"/>
        <v>{ name: "Prophecy", landmark: "Side Quest", type: "", region: 8, level: "Surface", x: 4655, y: 3682, z: 129, weight: 0, details: `&lt;strong&gt;Start:&lt;/strong&gt; Activate the Lomei Labyrinth Island Terminal&lt;br&gt;&lt;strong&gt;Reward:&lt;/strong&gt; Evil Spirit Armor` },</v>
      </c>
    </row>
    <row r="74" spans="1:10" x14ac:dyDescent="0.2">
      <c r="A74" t="s">
        <v>3136</v>
      </c>
      <c r="C74" s="2">
        <v>8</v>
      </c>
      <c r="D74" s="2" t="s">
        <v>785</v>
      </c>
      <c r="E74" s="2">
        <v>3798</v>
      </c>
      <c r="F74" s="2">
        <v>1564</v>
      </c>
      <c r="G74" s="2">
        <v>91</v>
      </c>
      <c r="H74" s="2">
        <v>0</v>
      </c>
      <c r="I74" t="s">
        <v>4394</v>
      </c>
      <c r="J74" t="str">
        <f t="shared" si="1"/>
        <v>{ name: "Secrets Within", landmark: "Side Quest", type: "", region: 8, level: "Surface", x: 3798, y: 1564, z: 91, weight: 0, details: `&lt;strong&gt;Start:&lt;/strong&gt; Talk to Pulcho&lt;br&gt;&lt;strong&gt;Reward:&lt;/strong&gt; Sundelion` },</v>
      </c>
    </row>
    <row r="75" spans="1:10" x14ac:dyDescent="0.2">
      <c r="A75" t="s">
        <v>3137</v>
      </c>
      <c r="C75" s="2">
        <v>8</v>
      </c>
      <c r="D75" s="2" t="s">
        <v>785</v>
      </c>
      <c r="E75" s="2">
        <v>4200</v>
      </c>
      <c r="F75" s="2">
        <v>2766</v>
      </c>
      <c r="G75" s="2">
        <v>127</v>
      </c>
      <c r="H75" s="2">
        <v>0</v>
      </c>
      <c r="I75" t="s">
        <v>3225</v>
      </c>
      <c r="J75" t="str">
        <f t="shared" si="1"/>
        <v>{ name: "Strongest in the World", landmark: "Side Quest", type: "", region: 8, level: "Surface", x: 4200, y: 2766, z: 127, weight: 0, details: `&lt;strong&gt;Start:&lt;/strong&gt; Talk to Chabi&lt;br&gt;&lt;strong&gt;Reward:&lt;/strong&gt; Rupees` },</v>
      </c>
    </row>
    <row r="76" spans="1:10" x14ac:dyDescent="0.2">
      <c r="A76" t="s">
        <v>3138</v>
      </c>
      <c r="C76" s="2">
        <v>8</v>
      </c>
      <c r="D76" s="2" t="s">
        <v>785</v>
      </c>
      <c r="E76" s="2">
        <v>4240</v>
      </c>
      <c r="F76" s="2">
        <v>2724</v>
      </c>
      <c r="G76" s="2">
        <v>126</v>
      </c>
      <c r="H76" s="2">
        <v>0</v>
      </c>
      <c r="I76" t="s">
        <v>3248</v>
      </c>
      <c r="J76" t="str">
        <f t="shared" si="1"/>
        <v>{ name: "The Gathering Pirates", landmark: "Side Quest", type: "", region: 8, level: "Surface", x: 4240, y: 2724, z: 126, weight: 0, details: `&lt;strong&gt;Start:&lt;/strong&gt; Talk to Aya&lt;br&gt;&lt;strong&gt;Reward:&lt;/strong&gt; Pony Points, Endura Carrot` },</v>
      </c>
    </row>
    <row r="77" spans="1:10" x14ac:dyDescent="0.2">
      <c r="A77" t="s">
        <v>3140</v>
      </c>
      <c r="C77" s="2">
        <v>8</v>
      </c>
      <c r="D77" s="2" t="s">
        <v>785</v>
      </c>
      <c r="E77" s="2">
        <v>3742</v>
      </c>
      <c r="F77" s="2">
        <v>1678</v>
      </c>
      <c r="G77" s="2">
        <v>92</v>
      </c>
      <c r="H77" s="2">
        <v>0</v>
      </c>
      <c r="I77" t="s">
        <v>4437</v>
      </c>
      <c r="J77" t="str">
        <f t="shared" si="1"/>
        <v>{ name: "The Tarrey Town Race is On", landmark: "Side Quest", type: "", region: 8, level: "Surface", x: 3742, y: 1678, z: 92, weight: 0, details: `&lt;strong&gt;Start:&lt;/strong&gt; 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Minigame` },</v>
      </c>
    </row>
    <row r="78" spans="1:10" x14ac:dyDescent="0.2">
      <c r="A78" t="s">
        <v>3158</v>
      </c>
      <c r="C78" s="2">
        <v>9</v>
      </c>
      <c r="D78" s="2" t="s">
        <v>785</v>
      </c>
      <c r="E78" s="2">
        <v>3323</v>
      </c>
      <c r="F78" s="2">
        <v>490</v>
      </c>
      <c r="G78" s="2">
        <v>139</v>
      </c>
      <c r="H78" s="2">
        <v>0</v>
      </c>
      <c r="I78" t="s">
        <v>4438</v>
      </c>
      <c r="J78" t="str">
        <f t="shared" si="1"/>
        <v>{ name: "A Crabulous Deal", landmark: "Side Quest", type: "", region: 9, level: "Surface", x: 3323, y: 490, z: 139, weight: 0, details: `&lt;strong&gt;Start:&lt;/strong&gt; 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item` },</v>
      </c>
    </row>
    <row r="79" spans="1:10" x14ac:dyDescent="0.2">
      <c r="A79" t="s">
        <v>3160</v>
      </c>
      <c r="C79" s="2">
        <v>9</v>
      </c>
      <c r="D79" s="2" t="s">
        <v>785</v>
      </c>
      <c r="E79" s="2">
        <v>3307</v>
      </c>
      <c r="F79" s="2">
        <v>488</v>
      </c>
      <c r="G79" s="2">
        <v>150</v>
      </c>
      <c r="H79" s="2">
        <v>0</v>
      </c>
      <c r="I79" t="s">
        <v>4439</v>
      </c>
      <c r="J79" t="str">
        <f t="shared" si="1"/>
        <v>{ name: "A Token of Friendship", landmark: "Side Quest", type: "", region: 9, level: "Surface", x: 3307, y: 488, z: 150, weight: 0, details: `&lt;strong&gt;Start:&lt;/strong&gt; Talk to Yona&lt;br&gt;&lt;strong&gt;Reward:&lt;/strong&gt; Zora Greaves` },</v>
      </c>
    </row>
    <row r="80" spans="1:10" x14ac:dyDescent="0.2">
      <c r="A80" t="s">
        <v>3161</v>
      </c>
      <c r="C80" s="2">
        <v>9</v>
      </c>
      <c r="D80" s="2" t="s">
        <v>785</v>
      </c>
      <c r="E80" s="2">
        <v>3290</v>
      </c>
      <c r="F80" s="2">
        <v>440</v>
      </c>
      <c r="G80" s="2">
        <v>139</v>
      </c>
      <c r="H80" s="2">
        <v>0</v>
      </c>
      <c r="I80" t="s">
        <v>4442</v>
      </c>
      <c r="J80" t="str">
        <f t="shared" si="1"/>
        <v>{ name: "A Wife Wafted Away", landmark: "Side Quest", type: "", region: 9, level: "Surface", x: 3290, y: 440, z: 139, weight: 0, details: `&lt;strong&gt;Start:&lt;/strong&gt; 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Skewer` },</v>
      </c>
    </row>
    <row r="81" spans="1:10" x14ac:dyDescent="0.2">
      <c r="A81" t="s">
        <v>3166</v>
      </c>
      <c r="C81" s="2">
        <v>9</v>
      </c>
      <c r="D81" s="2" t="s">
        <v>785</v>
      </c>
      <c r="E81" s="2">
        <v>3340</v>
      </c>
      <c r="F81" s="2">
        <v>542</v>
      </c>
      <c r="G81" s="2">
        <v>163</v>
      </c>
      <c r="H81" s="2">
        <v>0</v>
      </c>
      <c r="I81" t="s">
        <v>4440</v>
      </c>
      <c r="J81" t="str">
        <f t="shared" si="1"/>
        <v>{ name: "Fish", landmark: "Side Quest", type: "", region: 9, level: "Surface", x: 3340, y: 542, z: 163, weight: 0, details: `&lt;strong&gt;Start:&lt;/strong&gt; 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Helm` },</v>
      </c>
    </row>
    <row r="82" spans="1:10" x14ac:dyDescent="0.2">
      <c r="A82" t="s">
        <v>3163</v>
      </c>
      <c r="C82" s="2">
        <v>9</v>
      </c>
      <c r="D82" s="2" t="s">
        <v>785</v>
      </c>
      <c r="E82" s="2">
        <v>3335</v>
      </c>
      <c r="F82" s="2">
        <v>491</v>
      </c>
      <c r="G82" s="2">
        <v>140</v>
      </c>
      <c r="H82" s="2">
        <v>0</v>
      </c>
      <c r="I82" t="s">
        <v>4441</v>
      </c>
      <c r="J82" t="str">
        <f t="shared" si="1"/>
        <v>{ name: "Glory of the Zora", landmark: "Side Quest", type: "", region: 9, level: "Surface", x: 3335, y: 491, z: 140, weight: 0, details: `&lt;strong&gt;Start:&lt;/strong&gt; 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Trident` },</v>
      </c>
    </row>
    <row r="83" spans="1:10" x14ac:dyDescent="0.2">
      <c r="A83" t="s">
        <v>3165</v>
      </c>
      <c r="C83" s="2">
        <v>9</v>
      </c>
      <c r="D83" s="2" t="s">
        <v>785</v>
      </c>
      <c r="E83" s="2">
        <v>2846</v>
      </c>
      <c r="F83" s="2">
        <v>585</v>
      </c>
      <c r="G83" s="2">
        <v>375</v>
      </c>
      <c r="H83" s="2">
        <v>0</v>
      </c>
      <c r="I83" t="s">
        <v>4443</v>
      </c>
      <c r="J83" t="str">
        <f t="shared" si="1"/>
        <v>{ name: "Mired in Muck", landmark: "Side Quest", type: "", region: 9, level: "Surface", x: 2846, y: 585, z: 375, weight: 0, details: `&lt;strong&gt;Start:&lt;/strong&gt; Talk to Bazz&lt;br&gt;&lt;strong&gt;Reward:&lt;/strong&gt; Zora Spear` },</v>
      </c>
    </row>
    <row r="84" spans="1:10" x14ac:dyDescent="0.2">
      <c r="A84" t="s">
        <v>3167</v>
      </c>
      <c r="C84" s="2">
        <v>9</v>
      </c>
      <c r="D84" s="2" t="s">
        <v>785</v>
      </c>
      <c r="E84" s="2">
        <v>3596</v>
      </c>
      <c r="F84" s="2">
        <v>338</v>
      </c>
      <c r="G84" s="2">
        <v>211</v>
      </c>
      <c r="H84" s="2">
        <v>0</v>
      </c>
      <c r="I84" t="s">
        <v>4444</v>
      </c>
      <c r="J84" t="str">
        <f t="shared" si="1"/>
        <v>{ name: "The Blue Stone", landmark: "Side Quest", type: "", region: 9, level: "Surface", x: 3596, y: 338, z: 211, weight: 0, details: `&lt;strong&gt;Start:&lt;/strong&gt; Talk to Ledo&lt;br&gt;&lt;strong&gt;Reward:&lt;/strong&gt; Zora Fabric` },</v>
      </c>
    </row>
    <row r="85" spans="1:10" x14ac:dyDescent="0.2">
      <c r="A85" s="35" t="s">
        <v>3168</v>
      </c>
      <c r="B85" s="35"/>
      <c r="C85" s="2">
        <v>9</v>
      </c>
      <c r="D85" s="2" t="s">
        <v>785</v>
      </c>
      <c r="E85" s="8">
        <v>3470</v>
      </c>
      <c r="F85" s="8">
        <v>485</v>
      </c>
      <c r="G85" s="8">
        <v>155</v>
      </c>
      <c r="H85" s="2">
        <v>0</v>
      </c>
      <c r="I85" s="35" t="s">
        <v>4445</v>
      </c>
      <c r="J85" t="str">
        <f t="shared" si="1"/>
        <v>{ name: "The Fort at Ja'Abu Ridge", landmark: "Side Quest", type: "", region: 9, level: "Surface", x: 3470, y: 485, z: 155, weight: 0, details: `&lt;strong&gt;Start:&lt;/strong&gt; 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Rupees` },</v>
      </c>
    </row>
    <row r="86" spans="1:10" x14ac:dyDescent="0.2">
      <c r="A86" s="35" t="s">
        <v>3169</v>
      </c>
      <c r="B86" s="35"/>
      <c r="C86" s="2">
        <v>9</v>
      </c>
      <c r="D86" s="2" t="s">
        <v>785</v>
      </c>
      <c r="E86" s="8">
        <v>3273</v>
      </c>
      <c r="F86" s="8">
        <v>542</v>
      </c>
      <c r="G86" s="8">
        <v>155</v>
      </c>
      <c r="H86" s="2">
        <v>0</v>
      </c>
      <c r="I86" s="35" t="s">
        <v>4446</v>
      </c>
      <c r="J86" t="str">
        <f t="shared" si="1"/>
        <v>{ name: "The Moonlit Princess", landmark: "Side Quest", type: "", region: 9, level: "Surface", x: 3273, y: 542, z: 155, weight: 0, details: `&lt;strong&gt;Start:&lt;/strong&gt; 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Sword` },</v>
      </c>
    </row>
    <row r="87" spans="1:10" s="35" customFormat="1" x14ac:dyDescent="0.2">
      <c r="A87" t="s">
        <v>3170</v>
      </c>
      <c r="B87"/>
      <c r="C87" s="2">
        <v>9</v>
      </c>
      <c r="D87" s="2" t="s">
        <v>785</v>
      </c>
      <c r="E87" s="2">
        <v>3322</v>
      </c>
      <c r="F87" s="2">
        <v>548</v>
      </c>
      <c r="G87" s="2">
        <v>163</v>
      </c>
      <c r="H87" s="2">
        <v>0</v>
      </c>
      <c r="I87" t="s">
        <v>4447</v>
      </c>
      <c r="J87" t="str">
        <f t="shared" si="1"/>
        <v>{ name: "The Never-Ending Lecture", landmark: "Side Quest", type: "", region: 9, level: "Surface", x: 3322, y: 548, z: 163, weight: 0, details: `&lt;strong&gt;Start:&lt;/strong&gt; Talk to Chroma&lt;br&gt;&lt;strong&gt;Reward:&lt;/strong&gt; Zora Helm` },</v>
      </c>
    </row>
    <row r="88" spans="1:10" s="35" customFormat="1" x14ac:dyDescent="0.2">
      <c r="A88" t="s">
        <v>3172</v>
      </c>
      <c r="B88"/>
      <c r="C88" s="2">
        <v>9</v>
      </c>
      <c r="D88" s="2" t="s">
        <v>785</v>
      </c>
      <c r="E88" s="2">
        <v>3295</v>
      </c>
      <c r="F88" s="2">
        <v>511</v>
      </c>
      <c r="G88" s="2">
        <v>140</v>
      </c>
      <c r="H88" s="2">
        <v>0</v>
      </c>
      <c r="I88" t="s">
        <v>4448</v>
      </c>
      <c r="J88" t="str">
        <f t="shared" si="1"/>
        <v>{ name: "True Treasure", landmark: "Side Quest", type: "", region: 9, level: "Surface", x: 3295, y: 511, z: 140, weight: 0, details: `&lt;strong&gt;Start:&lt;/strong&gt; 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Shrine` },</v>
      </c>
    </row>
    <row r="89" spans="1:10" x14ac:dyDescent="0.2">
      <c r="A89" t="s">
        <v>3159</v>
      </c>
      <c r="C89" s="2">
        <v>10</v>
      </c>
      <c r="D89" s="2" t="s">
        <v>785</v>
      </c>
      <c r="E89" s="2">
        <v>897</v>
      </c>
      <c r="F89" s="2">
        <v>-146</v>
      </c>
      <c r="G89" s="2">
        <v>26</v>
      </c>
      <c r="H89" s="2">
        <v>0</v>
      </c>
      <c r="I89" t="s">
        <v>4668</v>
      </c>
      <c r="J89" t="str">
        <f t="shared" si="1"/>
        <v>{ name: "A Picture for Wetland Stable", landmark: "Side Quest", type: "", region: 10, level: "Surface", x: 897, y: -146, z: 26, weight: 0, details: `&lt;strong&gt;Start:&lt;/strong&gt; 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Elixir` },</v>
      </c>
    </row>
    <row r="90" spans="1:10" x14ac:dyDescent="0.2">
      <c r="A90" t="s">
        <v>3175</v>
      </c>
      <c r="C90" s="2">
        <v>10</v>
      </c>
      <c r="D90" s="2" t="s">
        <v>785</v>
      </c>
      <c r="E90" s="2">
        <v>1843</v>
      </c>
      <c r="F90" s="2">
        <v>-970</v>
      </c>
      <c r="G90" s="2">
        <v>115</v>
      </c>
      <c r="H90" s="2">
        <v>0</v>
      </c>
      <c r="I90" t="s">
        <v>4449</v>
      </c>
      <c r="J90" t="str">
        <f t="shared" si="1"/>
        <v>{ name: "A Trip through History", landmark: "Side Quest", type: "", region: 10, level: "Surface", x: 1843, y: -970, z: 115, weight: 0, details: `&lt;strong&gt;Start:&lt;/strong&gt; Talk to Bugut&lt;br&gt;&lt;strong&gt;Reward:&lt;/strong&gt; Thunderwing Butterfly x3` },</v>
      </c>
    </row>
    <row r="91" spans="1:10" x14ac:dyDescent="0.2">
      <c r="A91" t="s">
        <v>3162</v>
      </c>
      <c r="C91" s="2">
        <v>10</v>
      </c>
      <c r="D91" s="2" t="s">
        <v>785</v>
      </c>
      <c r="E91" s="2">
        <v>865</v>
      </c>
      <c r="F91" s="2">
        <v>-171</v>
      </c>
      <c r="G91" s="2">
        <v>25</v>
      </c>
      <c r="H91" s="2">
        <v>0</v>
      </c>
      <c r="I91" t="s">
        <v>4404</v>
      </c>
      <c r="J91" t="str">
        <f t="shared" si="1"/>
        <v>{ name: "An Uninvited Guest", landmark: "Side Quest", type: "", region: 10, level: "Surface", x: 865, y: -171, z: 25, weight: 0, details: `&lt;strong&gt;Start:&lt;/strong&gt; Speak with Ami&lt;br&gt;&lt;strong&gt;Reward:&lt;/strong&gt; Two Pony Points` },</v>
      </c>
    </row>
    <row r="92" spans="1:10" x14ac:dyDescent="0.2">
      <c r="A92" t="s">
        <v>3177</v>
      </c>
      <c r="C92" s="2">
        <v>10</v>
      </c>
      <c r="D92" s="2" t="s">
        <v>785</v>
      </c>
      <c r="E92" s="2">
        <v>1790</v>
      </c>
      <c r="F92" s="2">
        <v>-1030</v>
      </c>
      <c r="G92" s="2">
        <v>115</v>
      </c>
      <c r="H92" s="2">
        <v>0</v>
      </c>
      <c r="I92" t="s">
        <v>3233</v>
      </c>
      <c r="J92" t="str">
        <f t="shared" si="1"/>
        <v>{ name: "Codgers' Quarrel", landmark: "Side Quest", type: "", region: 10, level: "Surface", x: 1790, y: -1030, z: 115, weight: 0, details: `&lt;strong&gt;Start:&lt;/strong&gt; Talk to Trissa&lt;br&gt;&lt;strong&gt;Reward:&lt;/strong&gt; Endura Carrot` },</v>
      </c>
    </row>
    <row r="93" spans="1:10" x14ac:dyDescent="0.2">
      <c r="A93" t="s">
        <v>3180</v>
      </c>
      <c r="C93" s="2">
        <v>10</v>
      </c>
      <c r="D93" s="2" t="s">
        <v>785</v>
      </c>
      <c r="E93" s="2">
        <v>1801</v>
      </c>
      <c r="F93" s="2">
        <v>-1028</v>
      </c>
      <c r="G93" s="2">
        <v>115</v>
      </c>
      <c r="H93" s="2">
        <v>0</v>
      </c>
      <c r="I93" t="s">
        <v>4450</v>
      </c>
      <c r="J93" t="str">
        <f t="shared" si="1"/>
        <v>{ name: "Follow the Cuccos", landmark: "Side Quest", type: "", region: 10, level: "Surface", x: 1801, y: -1028, z: 115, weight: 0, details: `&lt;strong&gt;Start:&lt;/strong&gt; Talk to Trissa After Finishing &lt;img src="icons/side-quest.png" style="height: 20px; width: 20px; vertical-align: middle; margin-right: 5px;"&gt;&lt;span style="color: #c6a96a; font-weight: bold;"&gt;Codger's Quarrel&lt;/span&gt;&lt;br&gt;&lt;strong&gt;Reward:&lt;/strong&gt; Purple Rupee` },</v>
      </c>
    </row>
    <row r="94" spans="1:10" x14ac:dyDescent="0.2">
      <c r="A94" t="s">
        <v>3181</v>
      </c>
      <c r="C94" s="2">
        <v>10</v>
      </c>
      <c r="D94" s="2" t="s">
        <v>785</v>
      </c>
      <c r="E94" s="2">
        <v>1908</v>
      </c>
      <c r="F94" s="2">
        <v>-999</v>
      </c>
      <c r="G94" s="2">
        <v>127</v>
      </c>
      <c r="H94" s="2">
        <v>0</v>
      </c>
      <c r="I94" t="s">
        <v>4451</v>
      </c>
      <c r="J94" t="str">
        <f t="shared" si="1"/>
        <v>{ name: "Gloom-Borne Illness", landmark: "Side Quest", type: "", region: 10, level: "Surface", x: 1908, y: -999, z: 127, weight: 0, details: `&lt;strong&gt;Start:&lt;/strong&gt; Speak with Lasli&lt;br&gt;&lt;strong&gt;Reward:&lt;/strong&gt; Energizing Veggie Porridge` },</v>
      </c>
    </row>
    <row r="95" spans="1:10" x14ac:dyDescent="0.2">
      <c r="A95" t="s">
        <v>3186</v>
      </c>
      <c r="C95" s="2">
        <v>10</v>
      </c>
      <c r="D95" s="2" t="s">
        <v>785</v>
      </c>
      <c r="E95" s="2">
        <v>1836</v>
      </c>
      <c r="F95" s="2">
        <v>-1022</v>
      </c>
      <c r="G95" s="2">
        <v>116</v>
      </c>
      <c r="H95" s="2">
        <v>0</v>
      </c>
      <c r="I95" t="s">
        <v>4452</v>
      </c>
      <c r="J95" t="str">
        <f t="shared" si="1"/>
        <v>{ name: "Out of the Inn", landmark: "Side Quest", type: "", region: 10, level: "Surface", x: 1836, y: -1022, z: 116, weight: 0, details: `&lt;strong&gt;Start:&lt;/strong&gt; Talk to Dai&lt;br&gt;&lt;strong&gt;Reward:&lt;/strong&gt; Sticky Elixir` },</v>
      </c>
    </row>
    <row r="96" spans="1:10" x14ac:dyDescent="0.2">
      <c r="A96" t="s">
        <v>3171</v>
      </c>
      <c r="C96" s="2">
        <v>10</v>
      </c>
      <c r="D96" s="2" t="s">
        <v>785</v>
      </c>
      <c r="E96" s="2">
        <v>1711</v>
      </c>
      <c r="F96" s="2">
        <v>-653</v>
      </c>
      <c r="G96" s="2">
        <v>13</v>
      </c>
      <c r="H96" s="2">
        <v>0</v>
      </c>
      <c r="I96" t="s">
        <v>4453</v>
      </c>
      <c r="J96" t="str">
        <f t="shared" si="1"/>
        <v>{ name: "The Ultimate Dish", landmark: "Side Quest", type: "", region: 10, level: "Surface", x: 1711, y: -653, z: 13, weight: 0, details: `&lt;strong&gt;Start:&lt;/strong&gt; Talk to Moza&lt;br&gt;&lt;strong&gt;Reward:&lt;/strong&gt; Monster Stew` },</v>
      </c>
    </row>
    <row r="97" spans="1:10" x14ac:dyDescent="0.2">
      <c r="A97" t="s">
        <v>4351</v>
      </c>
      <c r="C97" s="2" t="s">
        <v>2913</v>
      </c>
      <c r="D97" s="2" t="s">
        <v>785</v>
      </c>
      <c r="E97" s="2">
        <v>1756</v>
      </c>
      <c r="F97" s="2">
        <v>-1929</v>
      </c>
      <c r="G97" s="2">
        <v>10</v>
      </c>
      <c r="H97" s="2">
        <v>0</v>
      </c>
      <c r="I97" t="s">
        <v>4669</v>
      </c>
      <c r="J97" t="str">
        <f t="shared" si="1"/>
        <v>{ name: "A Picture for Dueling Peaks Stable", landmark: "Side Quest", type: "", region: [10,12], level: "Surface", x: 1756, y: -1929, z: 10, weight: 0, details: `&lt;strong&gt;Start:&lt;/strong&gt; 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Pie` },</v>
      </c>
    </row>
    <row r="98" spans="1:10" x14ac:dyDescent="0.2">
      <c r="A98" t="s">
        <v>3173</v>
      </c>
      <c r="C98" s="2">
        <v>11</v>
      </c>
      <c r="D98" s="2" t="s">
        <v>785</v>
      </c>
      <c r="E98" s="2">
        <v>3945</v>
      </c>
      <c r="F98" s="2">
        <v>-2508</v>
      </c>
      <c r="G98" s="2">
        <v>0</v>
      </c>
      <c r="H98" s="2">
        <v>0</v>
      </c>
      <c r="I98" t="s">
        <v>3231</v>
      </c>
      <c r="J98" t="str">
        <f t="shared" si="1"/>
        <v>{ name: "A Bottled Cry for Help", landmark: "Side Quest", type: "", region: 11, level: "Surface", x: 3945, y: -2508, z: 0, weight: 0, details: `&lt;strong&gt;Start:&lt;/strong&gt; Investigate the Bottled Letter&lt;br&gt;&lt;strong&gt;Reward:&lt;/strong&gt; 100 Rupees` },</v>
      </c>
    </row>
    <row r="99" spans="1:10" x14ac:dyDescent="0.2">
      <c r="A99" t="s">
        <v>3174</v>
      </c>
      <c r="C99" s="2">
        <v>11</v>
      </c>
      <c r="D99" s="2" t="s">
        <v>785</v>
      </c>
      <c r="E99" s="2">
        <v>3306</v>
      </c>
      <c r="F99" s="2">
        <v>-2297</v>
      </c>
      <c r="G99" s="2">
        <v>112</v>
      </c>
      <c r="H99" s="2">
        <v>0</v>
      </c>
      <c r="I99" t="s">
        <v>3232</v>
      </c>
      <c r="J99" t="str">
        <f t="shared" si="1"/>
        <v>{ name: "A New Champion's Tunic", landmark: "Side Quest", type: "", region: 11, level: "Surface", x: 3306, y: -2297, z: 112, weight: 0, details: `&lt;strong&gt;Start:&lt;/strong&gt; Examine Zelda's Diary&lt;br&gt;&lt;strong&gt;Reward:&lt;/strong&gt; Champion's Leathers` },</v>
      </c>
    </row>
    <row r="100" spans="1:10" x14ac:dyDescent="0.2">
      <c r="A100" t="s">
        <v>3179</v>
      </c>
      <c r="C100" s="2">
        <v>11</v>
      </c>
      <c r="D100" s="2" t="s">
        <v>785</v>
      </c>
      <c r="E100" s="2">
        <v>3626</v>
      </c>
      <c r="F100" s="2">
        <v>-2075</v>
      </c>
      <c r="G100" s="2">
        <v>178</v>
      </c>
      <c r="H100" s="2">
        <v>0</v>
      </c>
      <c r="I100" t="s">
        <v>3235</v>
      </c>
      <c r="J100" t="str">
        <f t="shared" si="1"/>
        <v>{ name: "Dantz's Prize Cows", landmark: "Side Quest", type: "", region: 11, level: "Surface", x: 3626, y: -2075, z: 178, weight: 0, details: `&lt;strong&gt;Start:&lt;/strong&gt; Speak With Dantz&lt;br&gt;&lt;strong&gt;Reward:&lt;/strong&gt; Fresh Milk` },</v>
      </c>
    </row>
    <row r="101" spans="1:10" x14ac:dyDescent="0.2">
      <c r="A101" t="s">
        <v>3164</v>
      </c>
      <c r="C101" s="2">
        <v>11</v>
      </c>
      <c r="D101" s="2" t="s">
        <v>785</v>
      </c>
      <c r="E101" s="2">
        <v>3906</v>
      </c>
      <c r="F101" s="2">
        <v>-1328</v>
      </c>
      <c r="G101" s="2">
        <v>467</v>
      </c>
      <c r="H101" s="2">
        <v>0</v>
      </c>
      <c r="I101" t="s">
        <v>4454</v>
      </c>
      <c r="J101" t="str">
        <f t="shared" si="1"/>
        <v>{ name: "Goddess Statue of Wisdom", landmark: "Side Quest", type: "", region: 11, level: "Surface", x: 3906, y: -1328, z: 467, weight: 0, details: `&lt;strong&gt;Start:&lt;/strong&gt; Talk to the &lt;img src="icons/goddess-statue.png" style="height: 20px; width: 20px; vertical-align: middle; margin-right: 5px;"&gt;&lt;span style="color: #7cc9c2; font-weight: bold;"&gt;Goddess Statue of Wisdom&lt;/span&gt;&lt;br&gt;&lt;strong&gt;Reward:&lt;/strong&gt; Sapphire` },</v>
      </c>
    </row>
    <row r="102" spans="1:10" x14ac:dyDescent="0.2">
      <c r="A102" t="s">
        <v>3182</v>
      </c>
      <c r="C102" s="2">
        <v>11</v>
      </c>
      <c r="D102" s="2" t="s">
        <v>785</v>
      </c>
      <c r="E102" s="2">
        <v>3298</v>
      </c>
      <c r="F102" s="2">
        <v>-2123</v>
      </c>
      <c r="G102" s="2">
        <v>109</v>
      </c>
      <c r="H102" s="2">
        <v>0</v>
      </c>
      <c r="I102" t="s">
        <v>4455</v>
      </c>
      <c r="J102" t="str">
        <f t="shared" si="1"/>
        <v>{ name: "Homegrown in Hateno", landmark: "Side Quest", type: "", region: 11, level: "Surface", x: 3298, y: -2123, z: 109, weight: 0, details: `&lt;strong&gt;Start:&lt;/strong&gt; 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x5` },</v>
      </c>
    </row>
    <row r="103" spans="1:10" x14ac:dyDescent="0.2">
      <c r="A103" t="s">
        <v>3184</v>
      </c>
      <c r="C103" s="2">
        <v>11</v>
      </c>
      <c r="D103" s="2" t="s">
        <v>785</v>
      </c>
      <c r="E103" s="2">
        <v>3375</v>
      </c>
      <c r="F103" s="2">
        <v>-2131</v>
      </c>
      <c r="G103" s="2">
        <v>129</v>
      </c>
      <c r="H103" s="2">
        <v>0</v>
      </c>
      <c r="I103" t="s">
        <v>4456</v>
      </c>
      <c r="J103" t="str">
        <f t="shared" si="1"/>
        <v>{ name: "Manny's Beloved", landmark: "Side Quest", type: "", region: 11, level: "Surface", x: 3375, y: -2131, z: 129, weight: 0, details: `&lt;strong&gt;Start:&lt;/strong&gt; Talk to Manny&lt;br&gt;&lt;strong&gt;Reward:&lt;/strong&gt; Rushroom` },</v>
      </c>
    </row>
    <row r="104" spans="1:10" x14ac:dyDescent="0.2">
      <c r="A104" t="s">
        <v>3187</v>
      </c>
      <c r="C104" s="2">
        <v>11</v>
      </c>
      <c r="D104" s="2" t="s">
        <v>785</v>
      </c>
      <c r="E104" s="2">
        <v>3409</v>
      </c>
      <c r="F104" s="2">
        <v>-2150</v>
      </c>
      <c r="G104" s="2">
        <v>121</v>
      </c>
      <c r="H104" s="2">
        <v>0</v>
      </c>
      <c r="I104" t="s">
        <v>4457</v>
      </c>
      <c r="J104" t="str">
        <f t="shared" si="1"/>
        <v>{ name: "Photographing a Chuchu", landmark: "Side Quest", type: "", region: 11, level: "Surface", x: 3409, y: -2150, z: 121, weight: 0, details: `&lt;strong&gt;Start:&lt;/strong&gt; Talk to Sayge&lt;br&gt;&lt;strong&gt;Reward:&lt;/strong&gt; Chuchu Fabric` },</v>
      </c>
    </row>
    <row r="105" spans="1:10" x14ac:dyDescent="0.2">
      <c r="A105" t="s">
        <v>3190</v>
      </c>
      <c r="C105" s="2">
        <v>11</v>
      </c>
      <c r="D105" s="2" t="s">
        <v>785</v>
      </c>
      <c r="E105" s="2">
        <v>3361</v>
      </c>
      <c r="F105" s="2">
        <v>-1969</v>
      </c>
      <c r="G105" s="2">
        <v>129</v>
      </c>
      <c r="H105" s="2">
        <v>0</v>
      </c>
      <c r="I105" t="s">
        <v>3236</v>
      </c>
      <c r="J105" t="str">
        <f t="shared" si="1"/>
        <v>{ name: "Teach Me a Lesson", landmark: "Side Quest", type: "", region: 11, level: "Surface", x: 3361, y: -1969, z: 129, weight: 0, details: `&lt;strong&gt;Start:&lt;/strong&gt; Talk to Symin During Class&lt;br&gt;&lt;strong&gt;Reward:&lt;/strong&gt; Hylian Rice` },</v>
      </c>
    </row>
    <row r="106" spans="1:10" x14ac:dyDescent="0.2">
      <c r="A106" t="s">
        <v>3191</v>
      </c>
      <c r="C106" s="2">
        <v>11</v>
      </c>
      <c r="D106" s="2" t="s">
        <v>785</v>
      </c>
      <c r="E106" s="2">
        <v>3335</v>
      </c>
      <c r="F106" s="2">
        <v>-2036</v>
      </c>
      <c r="G106" s="2">
        <v>117</v>
      </c>
      <c r="H106" s="2">
        <v>0</v>
      </c>
      <c r="I106" t="s">
        <v>3237</v>
      </c>
      <c r="J106" t="str">
        <f t="shared" si="1"/>
        <v>{ name: "Uma's Garden", landmark: "Side Quest", type: "", region: 11, level: "Surface", x: 3335, y: -2036, z: 117, weight: 0, details: `&lt;strong&gt;Start:&lt;/strong&gt; Talk to Uma at the School Field&lt;br&gt;&lt;strong&gt;Reward:&lt;/strong&gt; ` },</v>
      </c>
    </row>
    <row r="107" spans="1:10" x14ac:dyDescent="0.2">
      <c r="A107" t="s">
        <v>3176</v>
      </c>
      <c r="C107" s="2">
        <v>12</v>
      </c>
      <c r="D107" s="2" t="s">
        <v>785</v>
      </c>
      <c r="E107" s="2">
        <v>2957</v>
      </c>
      <c r="F107" s="2">
        <v>-3492</v>
      </c>
      <c r="G107" s="2">
        <v>1</v>
      </c>
      <c r="H107" s="2">
        <v>0</v>
      </c>
      <c r="I107" t="s">
        <v>4459</v>
      </c>
      <c r="J107" t="str">
        <f t="shared" si="1"/>
        <v>{ name: "A Way to Trade, Washed Away", landmark: "Side Quest", type: "", region: 12, level: "Surface", x: 2957, y: -3492, z: 1, weight: 0, details: `&lt;strong&gt;Start:&lt;/strong&gt; 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Fragment` },</v>
      </c>
    </row>
    <row r="108" spans="1:10" x14ac:dyDescent="0.2">
      <c r="A108" t="s">
        <v>3178</v>
      </c>
      <c r="C108" s="2">
        <v>12</v>
      </c>
      <c r="D108" s="2" t="s">
        <v>785</v>
      </c>
      <c r="E108" s="2">
        <v>2892</v>
      </c>
      <c r="F108" s="2">
        <v>-3433</v>
      </c>
      <c r="G108" s="2">
        <v>0</v>
      </c>
      <c r="H108" s="2">
        <v>0</v>
      </c>
      <c r="I108" t="s">
        <v>3234</v>
      </c>
      <c r="J108" t="str">
        <f t="shared" si="1"/>
        <v>{ name: "Dad's Blue Shirt", landmark: "Side Quest", type: "", region: 12, level: "Surface", x: 2892, y: -3433, z: 0, weight: 0, details: `&lt;strong&gt;Start:&lt;/strong&gt; Talk to Zuta&lt;br&gt;&lt;strong&gt;Reward:&lt;/strong&gt; Island Lobster Shirt` },</v>
      </c>
    </row>
    <row r="109" spans="1:10" x14ac:dyDescent="0.2">
      <c r="A109" t="s">
        <v>3183</v>
      </c>
      <c r="C109" s="2">
        <v>12</v>
      </c>
      <c r="D109" s="2" t="s">
        <v>785</v>
      </c>
      <c r="E109" s="2">
        <v>2858</v>
      </c>
      <c r="F109" s="2">
        <v>-3516</v>
      </c>
      <c r="G109" s="2">
        <v>0</v>
      </c>
      <c r="H109" s="2">
        <v>0</v>
      </c>
      <c r="I109" t="s">
        <v>4458</v>
      </c>
      <c r="J109" t="str">
        <f t="shared" si="1"/>
        <v>{ name: "Lurelin Resort Project", landmark: "Side Quest", type: "", region: 12, level: "Surface", x: 2858, y: -3516, z: 0, weight: 0, details: `&lt;strong&gt;Start:&lt;/strong&gt; 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Rally` },</v>
      </c>
    </row>
    <row r="110" spans="1:10" x14ac:dyDescent="0.2">
      <c r="A110" t="s">
        <v>3188</v>
      </c>
      <c r="C110" s="2">
        <v>12</v>
      </c>
      <c r="D110" s="2" t="s">
        <v>785</v>
      </c>
      <c r="E110" s="2">
        <v>2845</v>
      </c>
      <c r="F110" s="2">
        <v>-3462</v>
      </c>
      <c r="G110" s="2">
        <v>4</v>
      </c>
      <c r="H110" s="2">
        <v>0</v>
      </c>
      <c r="I110" t="s">
        <v>4395</v>
      </c>
      <c r="J110" t="str">
        <f t="shared" si="1"/>
        <v>{ name: "Rattled Ralera", landmark: "Side Quest", type: "", region: 12, level: "Surface", x: 2845, y: -3462, z: 4, weight: 0, details: `&lt;strong&gt;Start:&lt;/strong&gt; Talk to Ralera&lt;br&gt;&lt;strong&gt;Reward:&lt;/strong&gt; Lurelin Village Fabric` },</v>
      </c>
    </row>
    <row r="111" spans="1:10" x14ac:dyDescent="0.2">
      <c r="A111" t="s">
        <v>3189</v>
      </c>
      <c r="C111" s="2">
        <v>12</v>
      </c>
      <c r="D111" s="2" t="s">
        <v>785</v>
      </c>
      <c r="E111" s="2">
        <v>4508</v>
      </c>
      <c r="F111" s="2">
        <v>-3503</v>
      </c>
      <c r="G111" s="2">
        <v>0</v>
      </c>
      <c r="H111" s="2">
        <v>0</v>
      </c>
      <c r="I111" t="s">
        <v>4460</v>
      </c>
      <c r="J111" t="str">
        <f t="shared" si="1"/>
        <v>{ name: "Seeking the Pirate Hideout", landmark: "Side Quest", type: "", region: 12, level: "Surface", x: 4508, y: -3503, z: 0, weight: 0, details: `&lt;strong&gt;Start:&lt;/strong&gt; Talk to Sesami&lt;br&gt;&lt;strong&gt;Reward:&lt;/strong&gt; Blue-Maned Lynel Saber Horn` },</v>
      </c>
    </row>
    <row r="112" spans="1:10" x14ac:dyDescent="0.2">
      <c r="A112" t="s">
        <v>3192</v>
      </c>
      <c r="C112" s="2">
        <v>13</v>
      </c>
      <c r="D112" s="2" t="s">
        <v>785</v>
      </c>
      <c r="E112" s="2">
        <v>523</v>
      </c>
      <c r="F112" s="2">
        <v>-3458</v>
      </c>
      <c r="G112" s="2">
        <v>47</v>
      </c>
      <c r="H112" s="2">
        <v>0</v>
      </c>
      <c r="I112" t="s">
        <v>4670</v>
      </c>
      <c r="J112" t="str">
        <f t="shared" si="1"/>
        <v>{ name: "A Picture for Highland Stable", landmark: "Side Quest", type: "", region: 13, level: "Surface", x: 523, y: -3458, z: 47, weight: 0, details: `&lt;strong&gt;Start:&lt;/strong&gt; 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Crepe` },</v>
      </c>
    </row>
    <row r="113" spans="1:10" x14ac:dyDescent="0.2">
      <c r="A113" t="s">
        <v>3193</v>
      </c>
      <c r="C113" s="2">
        <v>13</v>
      </c>
      <c r="D113" s="2" t="s">
        <v>785</v>
      </c>
      <c r="E113" s="2">
        <v>1551</v>
      </c>
      <c r="F113" s="2">
        <v>-3533</v>
      </c>
      <c r="G113" s="2">
        <v>61</v>
      </c>
      <c r="H113" s="2">
        <v>0</v>
      </c>
      <c r="I113" t="s">
        <v>4671</v>
      </c>
      <c r="J113" t="str">
        <f t="shared" si="1"/>
        <v>{ name: "A Picture for Lakeside Stable", landmark: "Side Quest", type: "", region: 13, level: "Surface", x: 1551, y: -3533, z: 61, weight: 0, details: `&lt;strong&gt;Start:&lt;/strong&gt; 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Soup` },</v>
      </c>
    </row>
    <row r="114" spans="1:10" x14ac:dyDescent="0.2">
      <c r="A114" t="s">
        <v>3195</v>
      </c>
      <c r="C114" s="2">
        <v>13</v>
      </c>
      <c r="D114" s="2" t="s">
        <v>785</v>
      </c>
      <c r="E114" s="2">
        <v>873</v>
      </c>
      <c r="F114" s="2">
        <v>-2354</v>
      </c>
      <c r="G114" s="2">
        <v>17</v>
      </c>
      <c r="H114" s="2">
        <v>0</v>
      </c>
      <c r="I114" t="s">
        <v>4461</v>
      </c>
      <c r="J114" t="str">
        <f t="shared" si="1"/>
        <v>{ name: "Goddess Statue of Courage", landmark: "Side Quest", type: "", region: 13, level: "Surface", x: 873, y: -2354, z: 17, weight: 0, details: `&lt;strong&gt;Start:&lt;/strong&gt; Talk to the &lt;img src="icons/goddess-statue.png" style="height: 20px; width: 20px; vertical-align: middle; margin-right: 5px;"&gt;&lt;span style="color: #7cc9c2; font-weight: bold;"&gt;Goddess Statue of Courage&lt;/span&gt;&lt;br&gt;&lt;strong&gt;Reward:&lt;/strong&gt; Topaz` },</v>
      </c>
    </row>
    <row r="115" spans="1:10" x14ac:dyDescent="0.2">
      <c r="A115" t="s">
        <v>3185</v>
      </c>
      <c r="C115" s="2">
        <v>13</v>
      </c>
      <c r="D115" s="2" t="s">
        <v>785</v>
      </c>
      <c r="E115" s="2">
        <v>1562</v>
      </c>
      <c r="F115" s="2">
        <v>-3529</v>
      </c>
      <c r="G115" s="2">
        <v>60</v>
      </c>
      <c r="H115" s="2">
        <v>0</v>
      </c>
      <c r="I115" t="s">
        <v>4405</v>
      </c>
      <c r="J115" t="str">
        <f t="shared" si="1"/>
        <v>{ name: "Ousting the Giants", landmark: "Side Quest", type: "", region: 13, level: "Surface", x: 1562, y: -3529, z: 60, weight: 0, details: `&lt;strong&gt;Start:&lt;/strong&gt; Talk to Kampo&lt;br&gt;&lt;strong&gt;Reward:&lt;/strong&gt; Mighty Fried Bananas` },</v>
      </c>
    </row>
    <row r="116" spans="1:10" x14ac:dyDescent="0.2">
      <c r="A116" t="s">
        <v>3196</v>
      </c>
      <c r="C116" s="2">
        <v>14</v>
      </c>
      <c r="D116" s="2" t="s">
        <v>785</v>
      </c>
      <c r="E116" s="2">
        <v>-2812</v>
      </c>
      <c r="F116" s="2">
        <v>-2219</v>
      </c>
      <c r="G116" s="2">
        <v>29</v>
      </c>
      <c r="H116" s="2">
        <v>0</v>
      </c>
      <c r="I116" t="s">
        <v>4672</v>
      </c>
      <c r="J116" t="str">
        <f t="shared" si="1"/>
        <v>{ name: "A Picture for the Closed Stable", landmark: "Side Quest", type: "", region: 14, level: "Surface", x: -2812, y: -2219,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17" spans="1:10" x14ac:dyDescent="0.2">
      <c r="A117" t="s">
        <v>3197</v>
      </c>
      <c r="C117" s="2">
        <v>14</v>
      </c>
      <c r="D117" s="2" t="s">
        <v>785</v>
      </c>
      <c r="E117" s="2">
        <v>-1380</v>
      </c>
      <c r="F117" s="2">
        <v>-3364</v>
      </c>
      <c r="G117" s="2">
        <v>469</v>
      </c>
      <c r="H117" s="2">
        <v>0</v>
      </c>
      <c r="I117" t="s">
        <v>4462</v>
      </c>
      <c r="J117" t="str">
        <f t="shared" si="1"/>
        <v>{ name: "Cold-Endurance Contest", landmark: "Side Quest", type: "", region: 14, level: "Surface", x: -1380, y: -3364, z: 469, weight: 0, details: `&lt;strong&gt;Start:&lt;/strong&gt; Talk to Rahdo&lt;br&gt;&lt;strong&gt;Reward:&lt;/strong&gt; Silver Rupee` },</v>
      </c>
    </row>
    <row r="118" spans="1:10" x14ac:dyDescent="0.2">
      <c r="A118" t="s">
        <v>3198</v>
      </c>
      <c r="C118" s="2">
        <v>14</v>
      </c>
      <c r="D118" s="2" t="s">
        <v>785</v>
      </c>
      <c r="E118" s="2">
        <v>-3814</v>
      </c>
      <c r="F118" s="2">
        <v>-2874</v>
      </c>
      <c r="G118" s="2">
        <v>43</v>
      </c>
      <c r="H118" s="2">
        <v>0</v>
      </c>
      <c r="I118" t="s">
        <v>4463</v>
      </c>
      <c r="J118" t="str">
        <f t="shared" si="1"/>
        <v>{ name: "Dalia's Game", landmark: "Side Quest", type: "", region: 14, level: "Surface", x: -3814, y: -2874, z: 43, weight: 0, details: `&lt;strong&gt;Start:&lt;/strong&gt; Speak with Dalia&lt;br&gt;&lt;strong&gt;Reward:&lt;/strong&gt; An Orb related to The Mysterious Eighth side quest` },</v>
      </c>
    </row>
    <row r="119" spans="1:10" x14ac:dyDescent="0.2">
      <c r="A119" t="s">
        <v>3199</v>
      </c>
      <c r="C119" s="2">
        <v>14</v>
      </c>
      <c r="D119" s="2" t="s">
        <v>785</v>
      </c>
      <c r="E119" s="2">
        <v>-3226</v>
      </c>
      <c r="F119" s="2">
        <v>-2518</v>
      </c>
      <c r="G119" s="2">
        <v>23</v>
      </c>
      <c r="H119" s="2">
        <v>0</v>
      </c>
      <c r="I119" t="s">
        <v>3239</v>
      </c>
      <c r="J119" t="str">
        <f t="shared" si="1"/>
        <v>{ name: "Decorate with Passion", landmark: "Side Quest", type: "", region: 14, level: "Surface", x: -3226, y: -2518, z: 23, weight: 0, details: `&lt;strong&gt;Start:&lt;/strong&gt; Talk to Boraa&lt;br&gt;&lt;strong&gt;Reward:&lt;/strong&gt; Electric Keese Wing` },</v>
      </c>
    </row>
    <row r="120" spans="1:10" x14ac:dyDescent="0.2">
      <c r="A120" t="s">
        <v>3200</v>
      </c>
      <c r="C120" s="2">
        <v>14</v>
      </c>
      <c r="D120" s="2" t="s">
        <v>785</v>
      </c>
      <c r="E120" s="2">
        <v>-1660</v>
      </c>
      <c r="F120" s="2">
        <v>-2013</v>
      </c>
      <c r="G120" s="2">
        <v>-15</v>
      </c>
      <c r="H120" s="2">
        <v>0</v>
      </c>
      <c r="I120" t="s">
        <v>3240</v>
      </c>
      <c r="J120" t="str">
        <f t="shared" si="1"/>
        <v>{ name: "Disaster in Gerudo Canyon", landmark: "Side Quest", type: "", region: 14, level: "Surface", x: -1660, y: -2013, z: -15, weight: 0, details: `&lt;strong&gt;Start:&lt;/strong&gt; Talk to Quince&lt;br&gt;&lt;strong&gt;Reward:&lt;/strong&gt; Bomb Flower x10` },</v>
      </c>
    </row>
    <row r="121" spans="1:10" x14ac:dyDescent="0.2">
      <c r="A121" t="s">
        <v>3201</v>
      </c>
      <c r="C121" s="2">
        <v>14</v>
      </c>
      <c r="D121" s="2" t="s">
        <v>785</v>
      </c>
      <c r="E121" s="2">
        <v>-2726</v>
      </c>
      <c r="F121" s="2">
        <v>-2336</v>
      </c>
      <c r="G121" s="2">
        <v>62</v>
      </c>
      <c r="H121" s="2">
        <v>0</v>
      </c>
      <c r="I121" t="s">
        <v>3241</v>
      </c>
      <c r="J121" t="str">
        <f t="shared" si="1"/>
        <v>{ name: "Gleeok Guts", landmark: "Side Quest", type: "", region: 14, level: "Surface", x: -2726, y: -2336, z: 62, weight: 0, details: `&lt;strong&gt;Start:&lt;/strong&gt; Talk to Malena&lt;br&gt;&lt;strong&gt;Reward:&lt;/strong&gt; Gold Rupee` },</v>
      </c>
    </row>
    <row r="122" spans="1:10" x14ac:dyDescent="0.2">
      <c r="A122" t="s">
        <v>3202</v>
      </c>
      <c r="C122" s="2">
        <v>14</v>
      </c>
      <c r="D122" s="2" t="s">
        <v>785</v>
      </c>
      <c r="E122" s="2">
        <v>-1380</v>
      </c>
      <c r="F122" s="2">
        <v>-3440</v>
      </c>
      <c r="G122" s="2">
        <v>469</v>
      </c>
      <c r="H122" s="2">
        <v>0</v>
      </c>
      <c r="I122" t="s">
        <v>4464</v>
      </c>
      <c r="J122" t="str">
        <f t="shared" si="1"/>
        <v>{ name: "Heat-Endurance Contest", landmark: "Side Quest", type: "", region: 14, level: "Surface", x: -1380, y: -3440, z: 469, weight: 0, details: `&lt;strong&gt;Start:&lt;/strong&gt; 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Rupee` },</v>
      </c>
    </row>
    <row r="123" spans="1:10" x14ac:dyDescent="0.2">
      <c r="A123" t="s">
        <v>3203</v>
      </c>
      <c r="C123" s="2">
        <v>14</v>
      </c>
      <c r="D123" s="2" t="s">
        <v>785</v>
      </c>
      <c r="E123" s="2">
        <v>-3273</v>
      </c>
      <c r="F123" s="2">
        <v>-2581</v>
      </c>
      <c r="G123" s="2">
        <v>23</v>
      </c>
      <c r="H123" s="2">
        <v>0</v>
      </c>
      <c r="I123" t="s">
        <v>4465</v>
      </c>
      <c r="J123" t="str">
        <f t="shared" si="1"/>
        <v>{ name: "Lost in the Dunes", landmark: "Side Quest", type: "", region: 14, level: "Surface", x: -3273, y: -2581, z: 23, weight: 0, details: `&lt;strong&gt;Start:&lt;/strong&gt; Speak with Banja&lt;br&gt;&lt;strong&gt;Reward:&lt;/strong&gt; An Orb related to The Mysterious Eighth side quest` },</v>
      </c>
    </row>
    <row r="124" spans="1:10" x14ac:dyDescent="0.2">
      <c r="A124" t="s">
        <v>3204</v>
      </c>
      <c r="C124" s="2">
        <v>14</v>
      </c>
      <c r="D124" s="2" t="s">
        <v>785</v>
      </c>
      <c r="E124" s="2">
        <v>-2802</v>
      </c>
      <c r="F124" s="2">
        <v>-2226</v>
      </c>
      <c r="G124" s="2">
        <v>29</v>
      </c>
      <c r="H124" s="2">
        <v>0</v>
      </c>
      <c r="I124" t="s">
        <v>4406</v>
      </c>
      <c r="J124" t="str">
        <f t="shared" si="1"/>
        <v>{ name: "Piaffe, Packed Away", landmark: "Side Quest", type: "", region: 14, level: "Surface", x: -2802, y: -2226, z: 29, weight: 0, details: `&lt;strong&gt;Start:&lt;/strong&gt; Speak to Piaffe&lt;br&gt;&lt;strong&gt;Reward:&lt;/strong&gt; 1 Pony Point` },</v>
      </c>
    </row>
    <row r="125" spans="1:10" x14ac:dyDescent="0.2">
      <c r="A125" s="35" t="s">
        <v>3205</v>
      </c>
      <c r="B125" s="35"/>
      <c r="C125" s="2">
        <v>14</v>
      </c>
      <c r="D125" s="2" t="s">
        <v>785</v>
      </c>
      <c r="E125" s="8">
        <v>-3827</v>
      </c>
      <c r="F125" s="8">
        <v>-2885</v>
      </c>
      <c r="G125" s="8">
        <v>43</v>
      </c>
      <c r="H125" s="2">
        <v>0</v>
      </c>
      <c r="I125" s="35" t="s">
        <v>4466</v>
      </c>
      <c r="J125" t="str">
        <f t="shared" si="1"/>
        <v>{ name: "Pride of the Gerudo", landmark: "Side Quest", type: "", region: 14, level: "Surface", x: -3827, y: -2885, z: 43, weight: 0, details: `&lt;strong&gt;Start:&lt;/strong&gt; Talk to Isha&lt;br&gt;&lt;strong&gt;Reward:&lt;/strong&gt; Scimitar of the Seven, Daybreaker` },</v>
      </c>
    </row>
    <row r="126" spans="1:10" s="35" customFormat="1" x14ac:dyDescent="0.2">
      <c r="A126" t="s">
        <v>3206</v>
      </c>
      <c r="B126"/>
      <c r="C126" s="2">
        <v>14</v>
      </c>
      <c r="D126" s="2" t="s">
        <v>785</v>
      </c>
      <c r="E126" s="2">
        <v>-1005</v>
      </c>
      <c r="F126" s="2">
        <v>-3582</v>
      </c>
      <c r="G126" s="2">
        <v>219</v>
      </c>
      <c r="H126" s="2">
        <v>0</v>
      </c>
      <c r="I126" t="s">
        <v>3242</v>
      </c>
      <c r="J126" t="str">
        <f t="shared" si="1"/>
        <v>{ name: "The Great Tumbleweed Purge", landmark: "Side Quest", type: "", region: 14, level: "Surface", x: -1005, y: -3582, z: 219, weight: 0, details: `&lt;strong&gt;Start:&lt;/strong&gt; Talk to Barles&lt;br&gt;&lt;strong&gt;Reward:&lt;/strong&gt; Royal Shield` },</v>
      </c>
    </row>
    <row r="127" spans="1:10" x14ac:dyDescent="0.2">
      <c r="A127" t="s">
        <v>3207</v>
      </c>
      <c r="C127" s="2">
        <v>14</v>
      </c>
      <c r="D127" s="2" t="s">
        <v>785</v>
      </c>
      <c r="E127" s="2">
        <v>-3881</v>
      </c>
      <c r="F127" s="2">
        <v>-2970</v>
      </c>
      <c r="G127" s="2">
        <v>33</v>
      </c>
      <c r="H127" s="2">
        <v>0</v>
      </c>
      <c r="I127" t="s">
        <v>3243</v>
      </c>
      <c r="J127" t="str">
        <f t="shared" si="1"/>
        <v>{ name: "The Heroines' Secret", landmark: "Side Quest", type: "", region: 14, level: "Surface", x: -3881, y: -2970, z: 33, weight: 0, details: `&lt;strong&gt;Start:&lt;/strong&gt; Talk to Rotana&lt;br&gt;&lt;strong&gt;Reward:&lt;/strong&gt; 100 Rupees` },</v>
      </c>
    </row>
    <row r="128" spans="1:10" x14ac:dyDescent="0.2">
      <c r="A128" t="s">
        <v>3208</v>
      </c>
      <c r="C128" s="2">
        <v>14</v>
      </c>
      <c r="D128" s="2" t="s">
        <v>785</v>
      </c>
      <c r="E128" s="2">
        <v>-3754</v>
      </c>
      <c r="F128" s="2">
        <v>-2276</v>
      </c>
      <c r="G128" s="2">
        <v>33</v>
      </c>
      <c r="H128" s="2">
        <v>0</v>
      </c>
      <c r="I128" t="s">
        <v>3244</v>
      </c>
      <c r="J128" t="str">
        <f t="shared" si="1"/>
        <v>{ name: "The Iceless Icehouse", landmark: "Side Quest", type: "", region: 14, level: "Surface", x: -3754, y: -2276, z: 33, weight: 0, details: `&lt;strong&gt;Start:&lt;/strong&gt; Talk to Anche&lt;br&gt;&lt;strong&gt;Reward:&lt;/strong&gt; Purple Rupee` },</v>
      </c>
    </row>
    <row r="129" spans="1:10" x14ac:dyDescent="0.2">
      <c r="A129" t="s">
        <v>3209</v>
      </c>
      <c r="C129" s="2">
        <v>14</v>
      </c>
      <c r="D129" s="2" t="s">
        <v>785</v>
      </c>
      <c r="E129" s="2">
        <v>-3871</v>
      </c>
      <c r="F129" s="2">
        <v>-2960</v>
      </c>
      <c r="G129" s="2">
        <v>33</v>
      </c>
      <c r="H129" s="2">
        <v>0</v>
      </c>
      <c r="I129" t="s">
        <v>4467</v>
      </c>
      <c r="J129" t="str">
        <f t="shared" si="1"/>
        <v>{ name: "The Missing Owner", landmark: "Side Quest", type: "", region: 14, level: "Surface", x: -3871, y: -2960, z: 33, weight: 0, details: `&lt;strong&gt;Start:&lt;/strong&gt; Speak With Cara&lt;br&gt;&lt;strong&gt;Reward:&lt;/strong&gt; Diamond` },</v>
      </c>
    </row>
    <row r="130" spans="1:10" x14ac:dyDescent="0.2">
      <c r="A130" t="s">
        <v>3210</v>
      </c>
      <c r="C130" s="2">
        <v>14</v>
      </c>
      <c r="D130" s="2" t="s">
        <v>785</v>
      </c>
      <c r="E130" s="2">
        <v>-3828</v>
      </c>
      <c r="F130" s="2">
        <v>-2971</v>
      </c>
      <c r="G130" s="2">
        <v>29</v>
      </c>
      <c r="H130" s="2">
        <v>0</v>
      </c>
      <c r="I130" t="s">
        <v>4468</v>
      </c>
      <c r="J130" t="str">
        <f t="shared" si="1"/>
        <v>{ name: "The Mysterious Eighth", landmark: "Side Quest", type: "", region: 14, level: "Surface", x: -3828, y: -2971, z: 29, weight: 0, details: `&lt;strong&gt;Start:&lt;/strong&gt; 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Diamond` },</v>
      </c>
    </row>
    <row r="131" spans="1:10" x14ac:dyDescent="0.2">
      <c r="A131" t="s">
        <v>3211</v>
      </c>
      <c r="C131" s="2">
        <v>14</v>
      </c>
      <c r="D131" s="2" t="s">
        <v>785</v>
      </c>
      <c r="E131" s="2">
        <v>-1794</v>
      </c>
      <c r="F131" s="2">
        <v>-3440</v>
      </c>
      <c r="G131" s="2">
        <v>46</v>
      </c>
      <c r="H131" s="2">
        <v>0</v>
      </c>
      <c r="I131" t="s">
        <v>3245</v>
      </c>
      <c r="J131" t="str">
        <f t="shared" ref="J131:J133" si="2">"{ name: "&amp;CHAR(34)&amp;A131&amp;CHAR(34)&amp;", landmark: "&amp;CHAR(34)&amp;"Side Quest"&amp;CHAR(34)&amp;", type: "&amp;CHAR(34)&amp;B131&amp;CHAR(34)&amp;", region: "&amp;C131&amp;", level: "&amp;CHAR(34)&amp;D131&amp;CHAR(34)&amp;", x: "&amp;E131&amp;", y: "&amp;F131&amp;", z: "&amp;G131&amp;", weight: "&amp;H131&amp;", details: `&lt;strong&gt;Start:&lt;/strong&gt; "&amp;I131&amp;"` },"</f>
        <v>{ name: "The South Lomei Prophecy", landmark: "Side Quest", type: "", region: 14, level: "Surface", x: -1794, y: -3440, z: 46, weight: 0, details: `&lt;strong&gt;Start:&lt;/strong&gt; Activate the South Lomei Labyrinth Terminal&lt;br&gt;&lt;strong&gt;Reward:&lt;/strong&gt; Evil Spirit Mask` },</v>
      </c>
    </row>
    <row r="132" spans="1:10" x14ac:dyDescent="0.2">
      <c r="A132" t="s">
        <v>3212</v>
      </c>
      <c r="C132" s="2">
        <v>14</v>
      </c>
      <c r="D132" s="2" t="s">
        <v>785</v>
      </c>
      <c r="E132" s="2">
        <v>-3778</v>
      </c>
      <c r="F132" s="2">
        <v>-2921</v>
      </c>
      <c r="G132" s="2">
        <v>43</v>
      </c>
      <c r="H132" s="2">
        <v>0</v>
      </c>
      <c r="I132" t="s">
        <v>4469</v>
      </c>
      <c r="J132" t="str">
        <f t="shared" si="2"/>
        <v>{ name: "To the Ruins", landmark: "Side Quest", type: "", region: 14, level: "Surface", x: -3778, y: -2921, z: 43, weight: 0, details: `&lt;strong&gt;Start:&lt;/strong&gt; 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Rupee` },</v>
      </c>
    </row>
    <row r="133" spans="1:10" x14ac:dyDescent="0.2">
      <c r="A133" t="s">
        <v>3213</v>
      </c>
      <c r="C133" s="2">
        <v>14</v>
      </c>
      <c r="D133" s="2" t="s">
        <v>785</v>
      </c>
      <c r="E133" s="2">
        <v>-3885</v>
      </c>
      <c r="F133" s="2">
        <v>-2961</v>
      </c>
      <c r="G133" s="2">
        <v>51</v>
      </c>
      <c r="H133" s="2">
        <v>0</v>
      </c>
      <c r="I133" t="s">
        <v>4470</v>
      </c>
      <c r="J133" t="str">
        <f t="shared" si="2"/>
        <v>{ name: "Treasure of the Gerudo Desert", landmark: "Side Quest", type: "", region: 14, level: "Surface", x: -3885, y: -2961, z: 51, weight: 0, details: `&lt;strong&gt;Start:&lt;/strong&gt; 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Helm` },</v>
      </c>
    </row>
  </sheetData>
  <autoFilter ref="A1:J133" xr:uid="{9B66D1FE-B66F-F348-9F83-5F8C8FFF29B7}">
    <sortState xmlns:xlrd2="http://schemas.microsoft.com/office/spreadsheetml/2017/richdata2" ref="A2:J133">
      <sortCondition ref="D1:D133"/>
    </sortState>
  </autoFilter>
  <sortState xmlns:xlrd2="http://schemas.microsoft.com/office/spreadsheetml/2017/richdata2" ref="A2:J133">
    <sortCondition ref="A88:A133"/>
  </sortState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F4A0-354D-3E4C-84C8-01BD62C83A7D}">
  <sheetPr>
    <tabColor theme="7"/>
  </sheetPr>
  <dimension ref="A1:J32"/>
  <sheetViews>
    <sheetView workbookViewId="0">
      <selection activeCell="I5" sqref="I5"/>
    </sheetView>
  </sheetViews>
  <sheetFormatPr baseColWidth="10" defaultRowHeight="16" x14ac:dyDescent="0.2"/>
  <cols>
    <col min="1" max="1" width="41.33203125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85" style="19" customWidth="1"/>
  </cols>
  <sheetData>
    <row r="1" spans="1:10" s="6" customFormat="1" ht="17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37" t="s">
        <v>2081</v>
      </c>
      <c r="J1" s="6" t="s">
        <v>2075</v>
      </c>
    </row>
    <row r="2" spans="1:10" ht="68" x14ac:dyDescent="0.2">
      <c r="A2" s="36" t="s">
        <v>4704</v>
      </c>
      <c r="B2" s="7" t="s">
        <v>1923</v>
      </c>
      <c r="C2" s="2">
        <v>2</v>
      </c>
      <c r="D2" s="2" t="s">
        <v>783</v>
      </c>
      <c r="E2" s="2">
        <v>-1343</v>
      </c>
      <c r="F2" s="2">
        <v>-1382</v>
      </c>
      <c r="G2" s="2">
        <v>1008</v>
      </c>
      <c r="H2" s="2">
        <v>0</v>
      </c>
      <c r="I2" s="19" t="s">
        <v>4742</v>
      </c>
      <c r="J2" t="str">
        <f t="shared" ref="J2:J4" si="0">"{ name: "&amp;CHAR(34)&amp;A2&amp;CHAR(34)&amp;", landmark: "&amp;CHAR(34)&amp;"Shrine Quest"&amp;CHAR(34)&amp;", type: "&amp;CHAR(34)&amp;B2&amp;" Quest"&amp;CHAR(34)&amp;", region: "&amp;C2&amp;", level: "&amp;CHAR(34)&amp;D2&amp;CHAR(34)&amp;", x: "&amp;E2&amp;", y: "&amp;F2&amp;", z: "&amp;G2&amp;", weight: "&amp;H2&amp;", details: `"&amp;I2&amp;"` },"</f>
        <v>{ name: "The South Hyrule Sky Crystal", landmark: "Shrine Quest", type: "Jinodok Shrine Quest", region: 2, level: "Sky", x: -1343, y: -1382, z: 1008, weight: 0, details: `&lt;strong&gt;Task:&lt;/strong&gt;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Shrine&lt;/span&gt;` },</v>
      </c>
    </row>
    <row r="3" spans="1:10" ht="102" x14ac:dyDescent="0.2">
      <c r="A3" s="36" t="s">
        <v>4705</v>
      </c>
      <c r="B3" s="7" t="s">
        <v>1920</v>
      </c>
      <c r="C3" s="2">
        <v>3</v>
      </c>
      <c r="D3" s="2" t="s">
        <v>783</v>
      </c>
      <c r="E3" s="2">
        <v>-3440</v>
      </c>
      <c r="F3" s="2">
        <v>658</v>
      </c>
      <c r="G3" s="2">
        <v>1421</v>
      </c>
      <c r="H3" s="2">
        <v>0</v>
      </c>
      <c r="I3" s="19" t="s">
        <v>4743</v>
      </c>
      <c r="J3" t="str">
        <f t="shared" si="0"/>
        <v>{ name: "The Tabantha Sky Crystal", landmark: "Shrine Quest", type: "Ganos Shrine Quest", region: 3, level: "Sky", x: -3440, y: 658, z: 1421, weight: 0, details: `&lt;strong&gt;Task:&lt;/strong&gt;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Shrine&lt;/span&gt;` },</v>
      </c>
    </row>
    <row r="4" spans="1:10" ht="68" x14ac:dyDescent="0.2">
      <c r="A4" s="36" t="s">
        <v>4706</v>
      </c>
      <c r="B4" s="7" t="s">
        <v>4707</v>
      </c>
      <c r="C4" s="2">
        <v>5</v>
      </c>
      <c r="D4" s="2" t="s">
        <v>783</v>
      </c>
      <c r="E4" s="2">
        <v>-1723</v>
      </c>
      <c r="F4" s="2">
        <v>3533</v>
      </c>
      <c r="G4" s="2">
        <v>944</v>
      </c>
      <c r="H4" s="2">
        <v>0</v>
      </c>
      <c r="I4" s="19" t="s">
        <v>4744</v>
      </c>
      <c r="J4" t="str">
        <f t="shared" si="0"/>
        <v>{ name: "The East Hebra Sky Crystal", landmark: "Shrine Quest", type: "Tauninoud Shrine Quest", region: 5, level: "Sky", x: -1723, y: 3533, z: 944,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Shrine&lt;/span&gt;` },</v>
      </c>
    </row>
    <row r="5" spans="1:10" ht="68" x14ac:dyDescent="0.2">
      <c r="A5" s="36" t="s">
        <v>4703</v>
      </c>
      <c r="B5" s="7" t="s">
        <v>2009</v>
      </c>
      <c r="C5" s="2">
        <v>6</v>
      </c>
      <c r="D5" s="2" t="s">
        <v>783</v>
      </c>
      <c r="E5" s="2">
        <v>506</v>
      </c>
      <c r="F5" s="2">
        <v>2589</v>
      </c>
      <c r="G5" s="2">
        <v>1665</v>
      </c>
      <c r="H5" s="2">
        <v>0</v>
      </c>
      <c r="I5" s="19" t="s">
        <v>4750</v>
      </c>
      <c r="J5" t="str">
        <f>"{ name: "&amp;CHAR(34)&amp;A5&amp;CHAR(34)&amp;", landmark: "&amp;CHAR(34)&amp;"Shrine Quest"&amp;CHAR(34)&amp;", type: "&amp;CHAR(34)&amp;B5&amp;" Quest"&amp;CHAR(34)&amp;", region: "&amp;C5&amp;", level: "&amp;CHAR(34)&amp;D5&amp;CHAR(34)&amp;", x: "&amp;E5&amp;", y: "&amp;F5&amp;", z: "&amp;G5&amp;", weight: "&amp;H5&amp;", details: `"&amp;I5&amp;"` },"</f>
        <v>{ name: "The North Hyrule Sky Crystal", landmark: "Shrine Quest", type: "Mayam Shrine Quest", region: 6, level: "Sky", x: 506, y: 2589, z: 1665, weight: 0, details: `&lt;strong&gt;Task:&lt;/strong&gt;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Shrine&lt;/span&gt;` },</v>
      </c>
    </row>
    <row r="6" spans="1:10" ht="68" x14ac:dyDescent="0.2">
      <c r="A6" s="36" t="s">
        <v>4708</v>
      </c>
      <c r="B6" s="7" t="s">
        <v>2041</v>
      </c>
      <c r="C6" s="2">
        <v>8</v>
      </c>
      <c r="D6" s="2" t="s">
        <v>783</v>
      </c>
      <c r="E6" s="2">
        <v>4522</v>
      </c>
      <c r="F6" s="2">
        <v>2104</v>
      </c>
      <c r="G6" s="2">
        <v>1440</v>
      </c>
      <c r="H6" s="2">
        <v>0</v>
      </c>
      <c r="I6" s="19" t="s">
        <v>4745</v>
      </c>
      <c r="J6" t="str">
        <f t="shared" ref="J6:J32" si="1">"{ name: "&amp;CHAR(34)&amp;A6&amp;CHAR(34)&amp;", landmark: "&amp;CHAR(34)&amp;"Shrine Quest"&amp;CHAR(34)&amp;", type: "&amp;CHAR(34)&amp;B6&amp;" Quest"&amp;CHAR(34)&amp;", region: "&amp;C6&amp;", level: "&amp;CHAR(34)&amp;D6&amp;CHAR(34)&amp;", x: "&amp;E6&amp;", y: "&amp;F6&amp;", z: "&amp;G6&amp;", weight: "&amp;H6&amp;", details: `"&amp;I6&amp;"` },"</f>
        <v>{ name: "The Sky Mine Crystal", landmark: "Shrine Quest", type: "Gikaku Shrine Quest", region: 8, level: "Sky", x: 4522, y: 2104, z: 1440, weight: 0, details: `&lt;strong&gt;Task:&lt;/strong&gt;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Shrine&lt;/span&gt;` },</v>
      </c>
    </row>
    <row r="7" spans="1:10" ht="68" x14ac:dyDescent="0.2">
      <c r="A7" s="36" t="s">
        <v>4709</v>
      </c>
      <c r="B7" s="7" t="s">
        <v>2033</v>
      </c>
      <c r="C7" s="2">
        <v>8</v>
      </c>
      <c r="D7" s="2" t="s">
        <v>783</v>
      </c>
      <c r="E7" s="2">
        <v>3818</v>
      </c>
      <c r="F7" s="2">
        <v>1588</v>
      </c>
      <c r="G7" s="2">
        <v>1165</v>
      </c>
      <c r="H7" s="2">
        <v>0</v>
      </c>
      <c r="I7" s="19" t="s">
        <v>4746</v>
      </c>
      <c r="J7" t="str">
        <f t="shared" si="1"/>
        <v>{ name: "The Sokkala Sky Crystal", landmark: "Shrine Quest", type: "Natak Shrine Quest", region: 8, level: "Sky", x: 3818, y: 1588, z: 1165, weight: 0, details: `&lt;strong&gt;Task:&lt;/strong&gt;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Shrine&lt;/span&gt;` },</v>
      </c>
    </row>
    <row r="8" spans="1:10" ht="68" x14ac:dyDescent="0.2">
      <c r="A8" s="36" t="s">
        <v>4711</v>
      </c>
      <c r="B8" s="7" t="s">
        <v>1973</v>
      </c>
      <c r="C8" s="2">
        <v>10</v>
      </c>
      <c r="D8" s="2" t="s">
        <v>783</v>
      </c>
      <c r="E8" s="2">
        <v>1826</v>
      </c>
      <c r="F8" s="2">
        <v>-1368</v>
      </c>
      <c r="G8" s="2">
        <v>923</v>
      </c>
      <c r="H8" s="2">
        <v>0</v>
      </c>
      <c r="I8" s="19" t="s">
        <v>4748</v>
      </c>
      <c r="J8" t="str">
        <f t="shared" si="1"/>
        <v>{ name: "The North Necluda Sky Crystal", landmark: "Shrine Quest", type: "Josiu Shrine Quest", region: 10, level: "Sky", x: 1826, y: -1368, z: 923,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Shrine&lt;/span&gt;` },</v>
      </c>
    </row>
    <row r="9" spans="1:10" ht="68" x14ac:dyDescent="0.2">
      <c r="A9" s="36" t="s">
        <v>4712</v>
      </c>
      <c r="B9" s="7" t="s">
        <v>1952</v>
      </c>
      <c r="C9" s="2">
        <v>10</v>
      </c>
      <c r="D9" s="2" t="s">
        <v>783</v>
      </c>
      <c r="E9" s="2">
        <v>1704</v>
      </c>
      <c r="F9" s="2">
        <v>-1846</v>
      </c>
      <c r="G9" s="2">
        <v>650</v>
      </c>
      <c r="H9" s="2">
        <v>0</v>
      </c>
      <c r="I9" s="19" t="s">
        <v>4751</v>
      </c>
      <c r="J9" t="str">
        <f t="shared" si="1"/>
        <v>{ name: "The West Necluda Sky Crystal", landmark: "Shrine Quest", type: "Ukoojisi Shrine Quest", region: 10, level: "Sky", x: 1704, y: -1846, z: 650, weight: 0, details: `&lt;strong&gt;Task:&lt;/strong&gt;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Shrine&lt;/span&gt;` },</v>
      </c>
    </row>
    <row r="10" spans="1:10" ht="68" x14ac:dyDescent="0.2">
      <c r="A10" s="36" t="s">
        <v>4710</v>
      </c>
      <c r="B10" s="7" t="s">
        <v>2015</v>
      </c>
      <c r="C10" s="2">
        <v>11</v>
      </c>
      <c r="D10" s="2" t="s">
        <v>783</v>
      </c>
      <c r="E10" s="2">
        <v>4826</v>
      </c>
      <c r="F10" s="2">
        <v>-789</v>
      </c>
      <c r="G10" s="2">
        <v>1896</v>
      </c>
      <c r="H10" s="2">
        <v>0</v>
      </c>
      <c r="I10" s="19" t="s">
        <v>4747</v>
      </c>
      <c r="J10" t="str">
        <f t="shared" si="1"/>
        <v>{ name: "The South Lanayru Sky Crystal", landmark: "Shrine Quest", type: "Mayanas Shrine Quest", region: 11, level: "Sky", x: 4826, y: -789, z: 1896, weight: 0, details: `&lt;strong&gt;Task:&lt;/strong&gt;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Shrine&lt;/span&gt;` },</v>
      </c>
    </row>
    <row r="11" spans="1:10" ht="68" x14ac:dyDescent="0.2">
      <c r="A11" s="36" t="s">
        <v>4713</v>
      </c>
      <c r="B11" s="7" t="s">
        <v>1966</v>
      </c>
      <c r="C11" s="2">
        <v>12</v>
      </c>
      <c r="D11" s="2" t="s">
        <v>783</v>
      </c>
      <c r="E11" s="2">
        <v>3044</v>
      </c>
      <c r="F11" s="2">
        <v>-2767</v>
      </c>
      <c r="G11" s="2">
        <v>1192</v>
      </c>
      <c r="H11" s="2">
        <v>0</v>
      </c>
      <c r="I11" s="19" t="s">
        <v>4752</v>
      </c>
      <c r="J11" t="str">
        <f t="shared" si="1"/>
        <v>{ name: "The Necluda Sky Crystal", landmark: "Shrine Quest", type: "Kumamayn Shrine Quest", region: 12, level: "Sky", x: 3044, y: -2767, z: 1192, weight: 0, details: `&lt;strong&gt;Task:&lt;/strong&gt;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Shrine&lt;/span&gt;` },</v>
      </c>
    </row>
    <row r="12" spans="1:10" ht="85" x14ac:dyDescent="0.2">
      <c r="A12" s="36" t="s">
        <v>4682</v>
      </c>
      <c r="B12" s="7" t="s">
        <v>1919</v>
      </c>
      <c r="C12" s="2">
        <v>3</v>
      </c>
      <c r="D12" s="2" t="s">
        <v>785</v>
      </c>
      <c r="E12" s="2">
        <v>-2215</v>
      </c>
      <c r="F12" s="2">
        <v>650</v>
      </c>
      <c r="G12" s="2">
        <v>105</v>
      </c>
      <c r="H12" s="2">
        <v>0</v>
      </c>
      <c r="I12" s="19" t="s">
        <v>4722</v>
      </c>
      <c r="J12" t="str">
        <f t="shared" si="1"/>
        <v>{ name: "The Satori Mountain Crystal", landmark: "Shrine Quest", type: "Usazum Shrine Quest", region: 3, level: "Surface", x: -2215, y: 650, z: 105, weight: 0, details: `&lt;strong&gt;Task:&lt;/strong&gt;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Shrine&lt;/span&gt;` },</v>
      </c>
    </row>
    <row r="13" spans="1:10" ht="85" x14ac:dyDescent="0.2">
      <c r="A13" s="36" t="s">
        <v>4684</v>
      </c>
      <c r="B13" s="7" t="s">
        <v>1921</v>
      </c>
      <c r="C13" s="2">
        <v>3</v>
      </c>
      <c r="D13" s="2" t="s">
        <v>785</v>
      </c>
      <c r="E13" s="2">
        <v>-3940</v>
      </c>
      <c r="F13" s="2">
        <v>1056</v>
      </c>
      <c r="G13" s="2">
        <v>73</v>
      </c>
      <c r="H13" s="2">
        <v>0</v>
      </c>
      <c r="I13" s="19" t="s">
        <v>4724</v>
      </c>
      <c r="J13" t="str">
        <f t="shared" si="1"/>
        <v>{ name: "The Gisa Crater Crystal", landmark: "Shrine Quest", type: "Ikatak Shrine Quest", region: 3, level: "Surface", x: -3940, y: 1056, z: 73, weight: 0, details: `&lt;strong&gt;Task:&lt;/strong&gt;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Shrine&lt;/span&gt;` },</v>
      </c>
    </row>
    <row r="14" spans="1:10" ht="102" x14ac:dyDescent="0.2">
      <c r="A14" s="36" t="s">
        <v>4683</v>
      </c>
      <c r="B14" s="7" t="s">
        <v>1931</v>
      </c>
      <c r="C14" s="2">
        <v>4</v>
      </c>
      <c r="D14" s="2" t="s">
        <v>785</v>
      </c>
      <c r="E14" s="2">
        <v>-3632</v>
      </c>
      <c r="F14" s="2">
        <v>1827</v>
      </c>
      <c r="G14" s="2">
        <v>204</v>
      </c>
      <c r="H14" s="2">
        <v>0</v>
      </c>
      <c r="I14" s="19" t="s">
        <v>4723</v>
      </c>
      <c r="J14" t="str">
        <f t="shared" si="1"/>
        <v>{ name: "The White Bird's Guidance", landmark: "Shrine Quest", type: "Wao-os Shrine Quest", region: 4, level: "Surface", x: -3632, y: 1827, z: 204, weight: 0, details: `&lt;strong&gt;Task:&lt;/strong&gt;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Shrine&lt;/span&gt;` },</v>
      </c>
    </row>
    <row r="15" spans="1:10" ht="85" x14ac:dyDescent="0.2">
      <c r="A15" s="36" t="s">
        <v>4685</v>
      </c>
      <c r="B15" s="7" t="s">
        <v>1977</v>
      </c>
      <c r="C15" s="2">
        <v>4</v>
      </c>
      <c r="D15" s="2" t="s">
        <v>785</v>
      </c>
      <c r="E15" s="2">
        <v>-2675</v>
      </c>
      <c r="F15" s="2">
        <v>3353</v>
      </c>
      <c r="G15" s="2">
        <v>249</v>
      </c>
      <c r="H15" s="2">
        <v>0</v>
      </c>
      <c r="I15" s="19" t="s">
        <v>4725</v>
      </c>
      <c r="J15" t="str">
        <f t="shared" si="1"/>
        <v>{ name: "The North Hebra Mountains Crystal", landmark: "Shrine Quest", type: "Sisuran Shrine Quest", region: 4, level: "Surface", x: -2675, y: 3353, z: 249, weight: 0, details: `&lt;strong&gt;Task:&lt;/strong&gt;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Shrine&lt;/span&gt;` },</v>
      </c>
    </row>
    <row r="16" spans="1:10" ht="85" x14ac:dyDescent="0.2">
      <c r="A16" s="36" t="s">
        <v>4686</v>
      </c>
      <c r="B16" s="7" t="s">
        <v>1969</v>
      </c>
      <c r="C16" s="2">
        <v>4</v>
      </c>
      <c r="D16" s="2" t="s">
        <v>785</v>
      </c>
      <c r="E16" s="2">
        <v>-2994</v>
      </c>
      <c r="F16" s="2">
        <v>3157</v>
      </c>
      <c r="G16" s="2">
        <v>501</v>
      </c>
      <c r="H16" s="2">
        <v>0</v>
      </c>
      <c r="I16" s="19" t="s">
        <v>4726</v>
      </c>
      <c r="J16" t="str">
        <f t="shared" si="1"/>
        <v>{ name: "The Northwest Hebra Cave Crystal", landmark: "Shrine Quest", type: "Rutafu-um Shrine Quest", region: 4, level: "Surface", x: -2994, y: 3157, z: 501, weight: 0, details: `&lt;strong&gt;Task:&lt;/strong&gt;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Shrine&lt;/span&gt;` },</v>
      </c>
    </row>
    <row r="17" spans="1:10" ht="68" x14ac:dyDescent="0.2">
      <c r="A17" s="36" t="s">
        <v>4687</v>
      </c>
      <c r="B17" s="7" t="s">
        <v>2007</v>
      </c>
      <c r="C17" s="2">
        <v>6</v>
      </c>
      <c r="D17" s="2" t="s">
        <v>785</v>
      </c>
      <c r="E17" s="2">
        <v>561</v>
      </c>
      <c r="F17" s="2">
        <v>2159</v>
      </c>
      <c r="G17" s="2">
        <v>158</v>
      </c>
      <c r="H17" s="2">
        <v>0</v>
      </c>
      <c r="I17" s="19" t="s">
        <v>4727</v>
      </c>
      <c r="J17" t="str">
        <f t="shared" si="1"/>
        <v>{ name: "A Pretty Stone and Five Golden Apples", landmark: "Shrine Quest", type: "Pupunke Shrine Quest", region: 6, level: "Surface", x: 561, y: 2159, z: 158, weight: 0, details: `&lt;strong&gt;Task:&lt;/strong&gt;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Shrine&lt;/span&gt;` },</v>
      </c>
    </row>
    <row r="18" spans="1:10" ht="68" x14ac:dyDescent="0.2">
      <c r="A18" s="36" t="s">
        <v>4688</v>
      </c>
      <c r="B18" s="7" t="s">
        <v>2003</v>
      </c>
      <c r="C18" s="2">
        <v>6</v>
      </c>
      <c r="D18" s="2" t="s">
        <v>785</v>
      </c>
      <c r="E18" s="2">
        <v>108</v>
      </c>
      <c r="F18" s="2">
        <v>2370</v>
      </c>
      <c r="G18" s="2">
        <v>185</v>
      </c>
      <c r="H18" s="2">
        <v>0</v>
      </c>
      <c r="I18" s="19" t="s">
        <v>4728</v>
      </c>
      <c r="J18" t="str">
        <f t="shared" si="1"/>
        <v>{ name: "None Shall Pass", landmark: "Shrine Quest", type: "Sakunbomar Shrine Quest", region: 6, level: "Surface", x: 108, y: 2370, z: 185, weight: 0, details: `&lt;strong&gt;Task:&lt;/strong&gt;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Shrine&lt;/span&gt;` },</v>
      </c>
    </row>
    <row r="19" spans="1:10" ht="102" x14ac:dyDescent="0.2">
      <c r="A19" s="36" t="s">
        <v>4689</v>
      </c>
      <c r="B19" s="7" t="s">
        <v>1998</v>
      </c>
      <c r="C19" s="2">
        <v>6</v>
      </c>
      <c r="D19" s="2" t="s">
        <v>785</v>
      </c>
      <c r="E19" s="2">
        <v>382</v>
      </c>
      <c r="F19" s="2">
        <v>2084</v>
      </c>
      <c r="G19" s="2">
        <v>145</v>
      </c>
      <c r="H19" s="2">
        <v>0</v>
      </c>
      <c r="I19" s="19" t="s">
        <v>4729</v>
      </c>
      <c r="J19" t="str">
        <f t="shared" si="1"/>
        <v>{ name: "Maca's Special Place", landmark: "Shrine Quest", type: "Ninjis Shrine Quest", region: 6, level: "Surface", x: 382, y: 2084, z: 145, weight: 0, details: `&lt;strong&gt;Task:&lt;/strong&gt;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Shrine&lt;/span&gt;` },</v>
      </c>
    </row>
    <row r="20" spans="1:10" ht="85" x14ac:dyDescent="0.2">
      <c r="A20" s="36" t="s">
        <v>4690</v>
      </c>
      <c r="B20" s="7" t="s">
        <v>2037</v>
      </c>
      <c r="C20" s="2">
        <v>7</v>
      </c>
      <c r="D20" s="2" t="s">
        <v>785</v>
      </c>
      <c r="E20" s="2">
        <v>2630</v>
      </c>
      <c r="F20" s="2">
        <v>2735</v>
      </c>
      <c r="G20" s="2">
        <v>533</v>
      </c>
      <c r="H20" s="2">
        <v>0</v>
      </c>
      <c r="I20" s="19" t="s">
        <v>4730</v>
      </c>
      <c r="J20" t="str">
        <f t="shared" si="1"/>
        <v>{ name: "The Death Caldera Crystal", landmark: "Shrine Quest", type: "Momosik Shrine Quest", region: 7, level: "Surface", x: 2630, y: 2735, z: 533, weight: 0, details: `&lt;strong&gt;Task:&lt;/strong&gt;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Shrine&lt;/span&gt;` },</v>
      </c>
    </row>
    <row r="21" spans="1:10" ht="85" x14ac:dyDescent="0.2">
      <c r="A21" s="36" t="s">
        <v>4691</v>
      </c>
      <c r="B21" s="7" t="s">
        <v>2025</v>
      </c>
      <c r="C21" s="2">
        <v>7</v>
      </c>
      <c r="D21" s="2" t="s">
        <v>785</v>
      </c>
      <c r="E21" s="2">
        <v>2494</v>
      </c>
      <c r="F21" s="2">
        <v>1861</v>
      </c>
      <c r="G21" s="2">
        <v>132</v>
      </c>
      <c r="H21" s="2">
        <v>0</v>
      </c>
      <c r="I21" s="19" t="s">
        <v>4731</v>
      </c>
      <c r="J21" t="str">
        <f t="shared" si="1"/>
        <v>{ name: "The Lake Intenoch Cave Crystal", landmark: "Shrine Quest", type: "Moshapin Shrine Quest", region: 7, level: "Surface", x: 2494, y: 1861, z: 132, weight: 0, details: `&lt;strong&gt;Task:&lt;/strong&gt;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Shrine&lt;/span&gt;` },</v>
      </c>
    </row>
    <row r="22" spans="1:10" ht="68" x14ac:dyDescent="0.2">
      <c r="A22" s="36" t="s">
        <v>4692</v>
      </c>
      <c r="B22" s="7" t="s">
        <v>2032</v>
      </c>
      <c r="C22" s="2">
        <v>8</v>
      </c>
      <c r="D22" s="2" t="s">
        <v>785</v>
      </c>
      <c r="E22" s="2">
        <v>3925</v>
      </c>
      <c r="F22" s="2">
        <v>1600</v>
      </c>
      <c r="G22" s="2">
        <v>130</v>
      </c>
      <c r="H22" s="2">
        <v>0</v>
      </c>
      <c r="I22" s="19" t="s">
        <v>4732</v>
      </c>
      <c r="J22" t="str">
        <f t="shared" si="1"/>
        <v>{ name: "Rock for Sale", landmark: "Shrine Quest", type: "Jochi-ihiga Shrine Quest", region: 8, level: "Surface", x: 3925, y: 1600, z: 130, weight: 0, details: `&lt;strong&gt;Task:&lt;/strong&gt;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Shrine&lt;/span&gt;` },</v>
      </c>
    </row>
    <row r="23" spans="1:10" ht="68" x14ac:dyDescent="0.2">
      <c r="A23" s="36" t="s">
        <v>4693</v>
      </c>
      <c r="B23" s="7" t="s">
        <v>1993</v>
      </c>
      <c r="C23" s="2">
        <v>10</v>
      </c>
      <c r="D23" s="2" t="s">
        <v>785</v>
      </c>
      <c r="E23" s="2">
        <v>2397</v>
      </c>
      <c r="F23" s="2">
        <v>-519</v>
      </c>
      <c r="G23" s="2">
        <v>154</v>
      </c>
      <c r="H23" s="2">
        <v>0</v>
      </c>
      <c r="I23" s="19" t="s">
        <v>4733</v>
      </c>
      <c r="J23" t="str">
        <f t="shared" si="1"/>
        <v>{ name: "Dyeing to Find It", landmark: "Shrine Quest", type: "Kurakat Shrine Quest", region: 10, level: "Surface", x: 2397, y: -519, z: 154, weight: 0, details: `&lt;strong&gt;Task:&lt;/strong&gt;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Shrine&lt;/span&gt;` },</v>
      </c>
    </row>
    <row r="24" spans="1:10" ht="85" x14ac:dyDescent="0.2">
      <c r="A24" s="36" t="s">
        <v>4695</v>
      </c>
      <c r="B24" s="7" t="s">
        <v>1990</v>
      </c>
      <c r="C24" s="2">
        <v>10</v>
      </c>
      <c r="D24" s="2" t="s">
        <v>785</v>
      </c>
      <c r="E24" s="2">
        <v>2679</v>
      </c>
      <c r="F24" s="2">
        <v>-1373</v>
      </c>
      <c r="G24" s="2">
        <v>124</v>
      </c>
      <c r="H24" s="2">
        <v>0</v>
      </c>
      <c r="I24" s="19" t="s">
        <v>4735</v>
      </c>
      <c r="J24" t="str">
        <f t="shared" si="1"/>
        <v>{ name: "The Lanayru Road Crystal", landmark: "Shrine Quest", type: "O-ogim Shrine Quest", region: 10, level: "Surface", x: 2679, y: -1373, z: 124, weight: 0, details: `&lt;strong&gt;Task:&lt;/strong&gt;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Shrine&lt;/span&gt;` },</v>
      </c>
    </row>
    <row r="25" spans="1:10" ht="85" x14ac:dyDescent="0.2">
      <c r="A25" s="36" t="s">
        <v>4696</v>
      </c>
      <c r="B25" s="7" t="s">
        <v>2010</v>
      </c>
      <c r="C25" s="2">
        <v>9</v>
      </c>
      <c r="D25" s="2" t="s">
        <v>785</v>
      </c>
      <c r="E25" s="2">
        <v>2924</v>
      </c>
      <c r="F25" s="2">
        <v>219</v>
      </c>
      <c r="G25" s="2">
        <v>151</v>
      </c>
      <c r="H25" s="2">
        <v>0</v>
      </c>
      <c r="I25" s="19" t="s">
        <v>4736</v>
      </c>
      <c r="J25" t="str">
        <f t="shared" si="1"/>
        <v>{ name: "The Ralis Channel Crystal", landmark: "Shrine Quest", type: "Joniu Shrine Quest", region: 9, level: "Surface", x: 2924, y: 219, z: 151, weight: 0, details: `&lt;strong&gt;Task:&lt;/strong&gt;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Shrine&lt;/span&gt;` },</v>
      </c>
    </row>
    <row r="26" spans="1:10" ht="68" x14ac:dyDescent="0.2">
      <c r="A26" s="36" t="s">
        <v>4697</v>
      </c>
      <c r="B26" s="7" t="s">
        <v>1949</v>
      </c>
      <c r="C26" s="2">
        <v>13</v>
      </c>
      <c r="D26" s="2" t="s">
        <v>785</v>
      </c>
      <c r="E26" s="2">
        <v>944</v>
      </c>
      <c r="F26" s="2">
        <v>-1905</v>
      </c>
      <c r="G26" s="2">
        <v>17</v>
      </c>
      <c r="H26" s="2">
        <v>0</v>
      </c>
      <c r="I26" s="19" t="s">
        <v>4737</v>
      </c>
      <c r="J26" t="str">
        <f t="shared" si="1"/>
        <v>{ name: "Keys Born of Water", landmark: "Shrine Quest", type: "Jochisiu Shrine Quest", region: 13, level: "Surface", x: 944, y: -1905, z: 17, weight: 0, details: `&lt;strong&gt;Task:&lt;/strong&gt;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Shrine&lt;/span&gt;` },</v>
      </c>
    </row>
    <row r="27" spans="1:10" ht="68" x14ac:dyDescent="0.2">
      <c r="A27" s="36" t="s">
        <v>4694</v>
      </c>
      <c r="B27" s="7" t="s">
        <v>1994</v>
      </c>
      <c r="C27" s="2">
        <v>11</v>
      </c>
      <c r="D27" s="2" t="s">
        <v>785</v>
      </c>
      <c r="E27" s="2">
        <v>3960</v>
      </c>
      <c r="F27" s="2">
        <v>-1360</v>
      </c>
      <c r="G27" s="2">
        <v>435</v>
      </c>
      <c r="H27" s="2">
        <v>0</v>
      </c>
      <c r="I27" s="19" t="s">
        <v>4734</v>
      </c>
      <c r="J27" t="str">
        <f t="shared" si="1"/>
        <v>{ name: "The High Spring and the Light Rings", landmark: "Shrine Quest", type: "Zakusu Shrine Quest", region: 11, level: "Surface", x: 3960, y: -1360, z: 435, weight: 0, details: `&lt;strong&gt;Task:&lt;/strong&gt;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Shrine&lt;/span&gt;` },</v>
      </c>
    </row>
    <row r="28" spans="1:10" ht="85" x14ac:dyDescent="0.2">
      <c r="A28" s="36" t="s">
        <v>4698</v>
      </c>
      <c r="B28" s="7" t="s">
        <v>1965</v>
      </c>
      <c r="C28" s="2">
        <v>11</v>
      </c>
      <c r="D28" s="2" t="s">
        <v>785</v>
      </c>
      <c r="E28" s="2">
        <v>2447</v>
      </c>
      <c r="F28" s="2">
        <v>-2190</v>
      </c>
      <c r="G28" s="2">
        <v>-29</v>
      </c>
      <c r="H28" s="2">
        <v>0</v>
      </c>
      <c r="I28" s="19" t="s">
        <v>4738</v>
      </c>
      <c r="J28" t="str">
        <f t="shared" si="1"/>
        <v>{ name: "The Oakle's Navel Cave Crystal", landmark: "Shrine Quest", type: "Tokiy Shrine Quest", region: 11, level: "Surface", x: 2447, y: -2190, z: -29, weight: 0, details: `&lt;strong&gt;Task:&lt;/strong&gt;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Shrine&lt;/span&gt;` },</v>
      </c>
    </row>
    <row r="29" spans="1:10" ht="102" x14ac:dyDescent="0.2">
      <c r="A29" s="36" t="s">
        <v>4701</v>
      </c>
      <c r="B29" s="7" t="s">
        <v>1945</v>
      </c>
      <c r="C29" s="2">
        <v>13</v>
      </c>
      <c r="D29" s="2" t="s">
        <v>785</v>
      </c>
      <c r="E29" s="2">
        <v>1205</v>
      </c>
      <c r="F29" s="2">
        <v>-2489</v>
      </c>
      <c r="G29" s="2">
        <v>96</v>
      </c>
      <c r="H29" s="2">
        <v>0</v>
      </c>
      <c r="I29" s="19" t="s">
        <v>4740</v>
      </c>
      <c r="J29" t="str">
        <f t="shared" si="1"/>
        <v>{ name: "Legend of the Soaring Spear", landmark: "Shrine Quest", type: "Utojis Shrine Quest", region: 13, level: "Surface", x: 1205, y: -2489, z: 96, weight: 0, details: `&lt;strong&gt;Task:&lt;/strong&gt;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Shrine&lt;/span&gt;` },</v>
      </c>
    </row>
    <row r="30" spans="1:10" ht="102" x14ac:dyDescent="0.2">
      <c r="A30" s="36" t="s">
        <v>4699</v>
      </c>
      <c r="B30" s="7" t="s">
        <v>1911</v>
      </c>
      <c r="C30" s="2">
        <v>13</v>
      </c>
      <c r="D30" s="2" t="s">
        <v>785</v>
      </c>
      <c r="E30" s="2">
        <v>-695</v>
      </c>
      <c r="F30" s="2">
        <v>-3398</v>
      </c>
      <c r="G30" s="2">
        <v>172</v>
      </c>
      <c r="H30" s="2">
        <v>0</v>
      </c>
      <c r="I30" s="19" t="s">
        <v>4749</v>
      </c>
      <c r="J30" t="str">
        <f t="shared" si="1"/>
        <v>{ name: "Ride the Giant Horse", landmark: "Shrine Quest", type: "Ishokin Shrine Quest", region: 13, level: "Surface", x: -695, y: -3398, z: 172, weight: 0, details: `&lt;strong&gt;Task:&lt;/strong&gt;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Shrine&lt;/span&gt;` },</v>
      </c>
    </row>
    <row r="31" spans="1:10" ht="102" x14ac:dyDescent="0.2">
      <c r="A31" s="36" t="s">
        <v>4700</v>
      </c>
      <c r="B31" s="7" t="s">
        <v>1926</v>
      </c>
      <c r="C31" s="2">
        <v>13</v>
      </c>
      <c r="D31" s="2" t="s">
        <v>785</v>
      </c>
      <c r="E31" s="2">
        <v>132</v>
      </c>
      <c r="F31" s="2">
        <v>-2494</v>
      </c>
      <c r="G31" s="2">
        <v>692</v>
      </c>
      <c r="H31" s="2">
        <v>0</v>
      </c>
      <c r="I31" s="19" t="s">
        <v>4739</v>
      </c>
      <c r="J31" t="str">
        <f t="shared" si="1"/>
        <v>{ name: "The Lake Hylia Crystal", landmark: "Shrine Quest", type: "En-oma Shrine Quest", region: 13, level: "Surface", x: 132, y: -2494, z: 692, weight: 0, details: `&lt;strong&gt;Task:&lt;/strong&gt;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Shrine&lt;/span&gt;` },</v>
      </c>
    </row>
    <row r="32" spans="1:10" ht="68" x14ac:dyDescent="0.2">
      <c r="A32" s="36" t="s">
        <v>4702</v>
      </c>
      <c r="B32" s="7" t="s">
        <v>1913</v>
      </c>
      <c r="C32" s="2">
        <v>14</v>
      </c>
      <c r="D32" s="2" t="s">
        <v>785</v>
      </c>
      <c r="E32" s="2">
        <v>-1895</v>
      </c>
      <c r="F32" s="2">
        <v>-2344</v>
      </c>
      <c r="G32" s="2">
        <v>-2</v>
      </c>
      <c r="H32" s="2">
        <v>0</v>
      </c>
      <c r="I32" s="19" t="s">
        <v>4741</v>
      </c>
      <c r="J32" t="str">
        <f t="shared" si="1"/>
        <v>{ name: "The Gerudo Canyon Crystal", landmark: "Shrine Quest", type: "Rakakudaj Shrine Quest", region: 14, level: "Surface", x: -1895, y: -2344, z: -2, weight: 0, details: `&lt;strong&gt;Task:&lt;/strong&gt;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Shrine&lt;/span&gt;` },</v>
      </c>
    </row>
  </sheetData>
  <autoFilter ref="A1:J54" xr:uid="{9B66D1FE-B66F-F348-9F83-5F8C8FFF29B7}">
    <sortState xmlns:xlrd2="http://schemas.microsoft.com/office/spreadsheetml/2017/richdata2" ref="A2:J41">
      <sortCondition ref="D1:D54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AB90-D0D2-9643-B5AA-63A9E6C42F0B}">
  <sheetPr>
    <tabColor theme="7"/>
  </sheetPr>
  <dimension ref="A1:J61"/>
  <sheetViews>
    <sheetView topLeftCell="D41" workbookViewId="0">
      <selection activeCell="J61" sqref="J2:J61"/>
    </sheetView>
  </sheetViews>
  <sheetFormatPr baseColWidth="10" defaultRowHeight="16" x14ac:dyDescent="0.2"/>
  <cols>
    <col min="1" max="1" width="30.1640625" bestFit="1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4558</v>
      </c>
      <c r="B2" s="7" t="s">
        <v>1441</v>
      </c>
      <c r="C2" s="2">
        <v>1</v>
      </c>
      <c r="D2" s="2" t="s">
        <v>785</v>
      </c>
      <c r="E2" s="2">
        <v>-264</v>
      </c>
      <c r="F2" s="2">
        <v>133</v>
      </c>
      <c r="G2" s="2">
        <v>19</v>
      </c>
      <c r="H2" s="2">
        <v>0</v>
      </c>
      <c r="I2" t="s">
        <v>4619</v>
      </c>
      <c r="J2" t="str">
        <f t="shared" ref="J2:J61" si="0"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"Hateno Village Research Lab", landmark: "Side Quest", type: "Lookout Landing", region: 1, level: "Surface", x: -264, y: 133, z: 19, weight: 0, details: `&lt;strong&gt;Start:&lt;/strong&gt; 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Sensor` },</v>
      </c>
    </row>
    <row r="3" spans="1:10" x14ac:dyDescent="0.2">
      <c r="A3" t="s">
        <v>4559</v>
      </c>
      <c r="B3" s="7" t="s">
        <v>1324</v>
      </c>
      <c r="C3" s="2">
        <v>11</v>
      </c>
      <c r="D3" s="2" t="s">
        <v>785</v>
      </c>
      <c r="E3" s="2">
        <v>3767</v>
      </c>
      <c r="F3" s="2">
        <v>-2132</v>
      </c>
      <c r="G3" s="2">
        <v>230</v>
      </c>
      <c r="H3" s="2">
        <v>0</v>
      </c>
      <c r="I3" t="s">
        <v>4620</v>
      </c>
      <c r="J3" t="str">
        <f t="shared" si="0"/>
        <v>{ name: "Filling Out The Compendium", landmark: "Side Quest", type: "Hateno Ancient Tech Lab", region: 11, level: "Surface", x: 3767, y: -2132,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Fabric` },</v>
      </c>
    </row>
    <row r="4" spans="1:10" x14ac:dyDescent="0.2">
      <c r="A4" t="s">
        <v>4560</v>
      </c>
      <c r="B4" s="7" t="s">
        <v>1324</v>
      </c>
      <c r="C4" s="2">
        <v>11</v>
      </c>
      <c r="D4" s="2" t="s">
        <v>785</v>
      </c>
      <c r="E4" s="2">
        <v>3789</v>
      </c>
      <c r="F4" s="2">
        <v>-2119</v>
      </c>
      <c r="G4" s="2">
        <v>230</v>
      </c>
      <c r="H4" s="2">
        <v>0</v>
      </c>
      <c r="I4" t="s">
        <v>4621</v>
      </c>
      <c r="J4" t="str">
        <f t="shared" si="0"/>
        <v>{ name: "Presenting: The Travel Medallion!", landmark: "Side Quest", type: "Hateno Ancient Tech Lab", region: 11, level: "Surface", x: 3789, y: -2119,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Medallion` },</v>
      </c>
    </row>
    <row r="5" spans="1:10" x14ac:dyDescent="0.2">
      <c r="A5" t="s">
        <v>4561</v>
      </c>
      <c r="B5" s="7" t="s">
        <v>1324</v>
      </c>
      <c r="C5" s="2">
        <v>11</v>
      </c>
      <c r="D5" s="2" t="s">
        <v>785</v>
      </c>
      <c r="E5" s="2">
        <v>3787</v>
      </c>
      <c r="F5" s="2">
        <v>-2129</v>
      </c>
      <c r="G5" s="2">
        <v>230</v>
      </c>
      <c r="H5" s="2">
        <v>0</v>
      </c>
      <c r="I5" t="s">
        <v>4622</v>
      </c>
      <c r="J5" t="str">
        <f t="shared" si="0"/>
        <v>{ name: "Presenting: Hero's Path Mode!", landmark: "Side Quest", type: "Hateno Ancient Tech Lab", region: 11, level: "Surface", x: 3787, y: -2129,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Mode` },</v>
      </c>
    </row>
    <row r="6" spans="1:10" x14ac:dyDescent="0.2">
      <c r="A6" t="s">
        <v>4562</v>
      </c>
      <c r="B6" s="7" t="s">
        <v>1324</v>
      </c>
      <c r="C6" s="2">
        <v>11</v>
      </c>
      <c r="D6" s="2" t="s">
        <v>785</v>
      </c>
      <c r="E6" s="2">
        <v>3783</v>
      </c>
      <c r="F6" s="2">
        <v>-2137</v>
      </c>
      <c r="G6" s="2">
        <v>230</v>
      </c>
      <c r="H6" s="2">
        <v>0</v>
      </c>
      <c r="I6" t="s">
        <v>4623</v>
      </c>
      <c r="J6" t="str">
        <f t="shared" si="0"/>
        <v>{ name: "Presenting: Sensor +!", landmark: "Side Quest", type: "Hateno Ancient Tech Lab", region: 11, level: "Surface", x: 3783, y: -2137,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+` },</v>
      </c>
    </row>
    <row r="7" spans="1:10" x14ac:dyDescent="0.2">
      <c r="A7" t="s">
        <v>4612</v>
      </c>
      <c r="B7" s="7" t="s">
        <v>1664</v>
      </c>
      <c r="C7" s="2">
        <v>8</v>
      </c>
      <c r="D7" s="2" t="s">
        <v>785</v>
      </c>
      <c r="E7" s="2">
        <v>3939</v>
      </c>
      <c r="F7" s="2">
        <v>1587</v>
      </c>
      <c r="G7" s="2">
        <v>128</v>
      </c>
      <c r="H7" s="2">
        <v>0</v>
      </c>
      <c r="I7" t="s">
        <v>4624</v>
      </c>
      <c r="J7" t="str">
        <f t="shared" si="0"/>
        <v>{ name: "Mattison's Independence", landmark: "Side Quest", type: "Tarrey Town", region: 8, level: "Surface", x: 3939, y: 1587, z: 128, weight: 0, details: `&lt;strong&gt;Start:&lt;/strong&gt; &lt;strong&gt;Start:&lt;/strong&gt; Talk to Hudson&lt;br&gt;&lt;strong&gt;Reward:&lt;/strong&gt; 200 Rupees` },</v>
      </c>
    </row>
    <row r="8" spans="1:10" x14ac:dyDescent="0.2">
      <c r="A8" t="s">
        <v>4563</v>
      </c>
      <c r="B8" s="7" t="s">
        <v>1329</v>
      </c>
      <c r="C8" s="2">
        <v>11</v>
      </c>
      <c r="D8" s="2" t="s">
        <v>785</v>
      </c>
      <c r="E8" s="2">
        <v>3631</v>
      </c>
      <c r="F8" s="2">
        <v>-2046</v>
      </c>
      <c r="G8" s="2">
        <v>178</v>
      </c>
      <c r="H8" s="2">
        <v>0</v>
      </c>
      <c r="I8" t="s">
        <v>4625</v>
      </c>
      <c r="J8" t="str">
        <f t="shared" si="0"/>
        <v>{ name: "A Letter To Koyin", landmark: "Side Quest", type: "Hateno Village", region: 11, level: "Surface", x: 3631, y: -2046, z: 178, weight: 0, details: `&lt;strong&gt;Start:&lt;/strong&gt; &lt;strong&gt;Start:&lt;/strong&gt; Talk to Koyin&lt;br&gt;&lt;strong&gt;Reward:&lt;/strong&gt; Hateno Cheese` },</v>
      </c>
    </row>
    <row r="9" spans="1:10" x14ac:dyDescent="0.2">
      <c r="A9" t="s">
        <v>4564</v>
      </c>
      <c r="B9" s="7" t="s">
        <v>1329</v>
      </c>
      <c r="C9" s="2">
        <v>11</v>
      </c>
      <c r="D9" s="2" t="s">
        <v>785</v>
      </c>
      <c r="E9" s="2">
        <v>3432</v>
      </c>
      <c r="F9" s="2">
        <v>-2084</v>
      </c>
      <c r="G9" s="2">
        <v>150</v>
      </c>
      <c r="H9" s="2">
        <v>0</v>
      </c>
      <c r="I9" t="s">
        <v>4626</v>
      </c>
      <c r="J9" t="str">
        <f t="shared" si="0"/>
        <v>{ name: "A New Signature Food", landmark: "Side Quest", type: "Hateno Village", region: 11, level: "Surface", x: 3432, y: -2084, z: 150,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Rupees` },</v>
      </c>
    </row>
    <row r="10" spans="1:10" x14ac:dyDescent="0.2">
      <c r="A10" t="s">
        <v>4613</v>
      </c>
      <c r="B10" s="7" t="s">
        <v>1329</v>
      </c>
      <c r="C10" s="2">
        <v>11</v>
      </c>
      <c r="D10" s="2" t="s">
        <v>785</v>
      </c>
      <c r="E10" s="2">
        <v>3445</v>
      </c>
      <c r="F10" s="2">
        <v>-2091</v>
      </c>
      <c r="G10" s="2">
        <v>150</v>
      </c>
      <c r="H10" s="2">
        <v>0</v>
      </c>
      <c r="I10" t="s">
        <v>4654</v>
      </c>
      <c r="J10" t="str">
        <f t="shared" si="0"/>
        <v>{ name: "Reede's Secret", landmark: "Side Quest", type: "Hateno Village", region: 11, level: "Surface", x: 3445, y: -2091, z: 150, weight: 0, details: `&lt;strong&gt;Start:&lt;/strong&gt; &lt;strong&gt;Start:&lt;/strong&gt; Talk to Clavia&lt;br&gt;&lt;strong&gt;Reward:&lt;/strong&gt; 10x Hylian Tomatoes` },</v>
      </c>
    </row>
    <row r="11" spans="1:10" x14ac:dyDescent="0.2">
      <c r="A11" t="s">
        <v>4614</v>
      </c>
      <c r="B11" s="7" t="s">
        <v>1329</v>
      </c>
      <c r="C11" s="2">
        <v>11</v>
      </c>
      <c r="D11" s="2" t="s">
        <v>785</v>
      </c>
      <c r="E11" s="2">
        <v>3355</v>
      </c>
      <c r="F11" s="2">
        <v>-2139</v>
      </c>
      <c r="G11" s="2">
        <v>115</v>
      </c>
      <c r="H11" s="2">
        <v>0</v>
      </c>
      <c r="I11" t="s">
        <v>4655</v>
      </c>
      <c r="J11" t="str">
        <f t="shared" si="0"/>
        <v>{ name: "Cece's Secret", landmark: "Side Quest", type: "Hateno Village", region: 11, level: "Surface", x: 3355, y: -2139, z: 115, weight: 0, details: `&lt;strong&gt;Start:&lt;/strong&gt; &lt;strong&gt;Start:&lt;/strong&gt; Talk to Sophie&lt;br&gt;&lt;strong&gt;Reward:&lt;/strong&gt; 10x Ironshrooms` },</v>
      </c>
    </row>
    <row r="12" spans="1:10" x14ac:dyDescent="0.2">
      <c r="A12" t="s">
        <v>4565</v>
      </c>
      <c r="B12" s="7" t="s">
        <v>1329</v>
      </c>
      <c r="C12" s="2">
        <v>11</v>
      </c>
      <c r="D12" s="2" t="s">
        <v>785</v>
      </c>
      <c r="E12" s="2">
        <v>3364</v>
      </c>
      <c r="F12" s="2">
        <v>-2127</v>
      </c>
      <c r="G12" s="2">
        <v>115</v>
      </c>
      <c r="H12" s="2">
        <v>0</v>
      </c>
      <c r="I12" t="s">
        <v>4627</v>
      </c>
      <c r="J12" t="str">
        <f t="shared" si="0"/>
        <v>{ name: "Team Cece Or Team Reede?", landmark: "Side Quest", type: "Hateno Village", region: 11, level: "Surface", x: 3364, y: -2127, z: 115, weight: 0, details: `&lt;strong&gt;Start:&lt;/strong&gt; &lt;strong&gt;Start:&lt;/strong&gt; Talk to Cece&lt;br&gt;&lt;strong&gt;Reward:&lt;/strong&gt; Use of Clothing Shop` },</v>
      </c>
    </row>
    <row r="13" spans="1:10" x14ac:dyDescent="0.2">
      <c r="A13" t="s">
        <v>4566</v>
      </c>
      <c r="B13" s="7" t="s">
        <v>1329</v>
      </c>
      <c r="C13" s="2">
        <v>11</v>
      </c>
      <c r="D13" s="2" t="s">
        <v>785</v>
      </c>
      <c r="E13" s="2">
        <v>3352</v>
      </c>
      <c r="F13" s="2">
        <v>-2125</v>
      </c>
      <c r="G13" s="2">
        <v>115</v>
      </c>
      <c r="H13" s="2">
        <v>0</v>
      </c>
      <c r="I13" t="s">
        <v>4628</v>
      </c>
      <c r="J13" t="str">
        <f t="shared" si="0"/>
        <v>{ name: "The Mayoral Election", landmark: "Side Quest", type: "Hateno Village", region: 11, level: "Surface", x: 3352, y: -2125, z: 115,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hat` },</v>
      </c>
    </row>
    <row r="14" spans="1:10" x14ac:dyDescent="0.2">
      <c r="A14" t="s">
        <v>4567</v>
      </c>
      <c r="B14" s="7" t="s">
        <v>1447</v>
      </c>
      <c r="C14" s="2">
        <v>12</v>
      </c>
      <c r="D14" s="2" t="s">
        <v>785</v>
      </c>
      <c r="E14" s="2">
        <v>2780</v>
      </c>
      <c r="F14" s="2">
        <v>-3264</v>
      </c>
      <c r="G14" s="2">
        <v>85</v>
      </c>
      <c r="H14" s="2">
        <v>0</v>
      </c>
      <c r="I14" t="s">
        <v>4629</v>
      </c>
      <c r="J14" t="str">
        <f t="shared" si="0"/>
        <v>{ name: "Ruffian-Infested Village", landmark: "Side Quest", type: "Lurelin Village", region: 12, level: "Surface", x: 2780, y: -3264, z: 85, weight: 0, details: `&lt;strong&gt;Start:&lt;/strong&gt; &lt;strong&gt;Start:&lt;/strong&gt; Talk to Rozel&lt;br&gt;&lt;strong&gt;Reward:&lt;/strong&gt; Lurelin Village Restored` },</v>
      </c>
    </row>
    <row r="15" spans="1:10" x14ac:dyDescent="0.2">
      <c r="A15" t="s">
        <v>4568</v>
      </c>
      <c r="B15" s="7" t="s">
        <v>1447</v>
      </c>
      <c r="C15" s="2">
        <v>12</v>
      </c>
      <c r="D15" s="2" t="s">
        <v>785</v>
      </c>
      <c r="E15" s="2">
        <v>2870</v>
      </c>
      <c r="F15" s="2">
        <v>-3446</v>
      </c>
      <c r="G15" s="2">
        <v>10</v>
      </c>
      <c r="H15" s="2">
        <v>0</v>
      </c>
      <c r="I15" t="s">
        <v>4630</v>
      </c>
      <c r="J15" t="str">
        <f t="shared" si="0"/>
        <v>{ name: "Lurelin Village Restoration Project", landmark: "Side Quest", type: "Lurelin Village", region: 12, level: "Surface", x: 2870, y: -3446, z: 10, weight: 0, details: `&lt;strong&gt;Start:&lt;/strong&gt; &lt;strong&gt;Start:&lt;/strong&gt; Talk to Bolson&lt;br&gt;&lt;strong&gt;Reward:&lt;/strong&gt; Free Village Services` },</v>
      </c>
    </row>
    <row r="16" spans="1:10" x14ac:dyDescent="0.2">
      <c r="A16" t="s">
        <v>4569</v>
      </c>
      <c r="B16" s="7" t="s">
        <v>1444</v>
      </c>
      <c r="C16" s="2">
        <v>3</v>
      </c>
      <c r="D16" s="2" t="s">
        <v>785</v>
      </c>
      <c r="E16" s="2">
        <v>-3248</v>
      </c>
      <c r="F16" s="2">
        <v>1758</v>
      </c>
      <c r="G16" s="2">
        <v>151</v>
      </c>
      <c r="H16" s="2">
        <v>0</v>
      </c>
      <c r="I16" t="s">
        <v>4656</v>
      </c>
      <c r="J16" t="str">
        <f t="shared" si="0"/>
        <v>{ name: "Potential Princess Sightings!", landmark: "Side Quest", type: "Lucky Clover Gazette", region: 3, level: "Surface", x: -3248, y: 1758, z: 151, weight: 0, details: `&lt;strong&gt;Start:&lt;/strong&gt; &lt;strong&gt;Start:&lt;/strong&gt; Talk to Traysi&lt;br&gt;&lt;strong&gt;Reward:&lt;/strong&gt; Froggy Armor, Lucky Clover Gazette Fabric` },</v>
      </c>
    </row>
    <row r="17" spans="1:10" x14ac:dyDescent="0.2">
      <c r="A17" t="s">
        <v>4618</v>
      </c>
      <c r="B17" s="7" t="s">
        <v>1529</v>
      </c>
      <c r="C17" s="2">
        <v>2</v>
      </c>
      <c r="D17" s="2" t="s">
        <v>785</v>
      </c>
      <c r="E17" s="2">
        <v>-1414</v>
      </c>
      <c r="F17" s="2">
        <v>-1291</v>
      </c>
      <c r="G17" s="2">
        <v>30</v>
      </c>
      <c r="H17" s="2">
        <v>0</v>
      </c>
      <c r="I17" t="s">
        <v>4631</v>
      </c>
      <c r="J17" t="str">
        <f t="shared" si="0"/>
        <v>{ name: "The Beckoning Woman", landmark: "Side Quest", type: "Outskirt Stable", region: 2, level: "Surface", x: -1414, y: -1291, z: 30, weight: 0, details: `&lt;strong&gt;Start:&lt;/strong&gt; &lt;strong&gt;Start:&lt;/strong&gt; Talk to Penn&lt;br&gt;&lt;strong&gt;Reward:&lt;/strong&gt; Rupees` },</v>
      </c>
    </row>
    <row r="18" spans="1:10" x14ac:dyDescent="0.2">
      <c r="A18" t="s">
        <v>4570</v>
      </c>
      <c r="B18" s="7" t="s">
        <v>1578</v>
      </c>
      <c r="C18" s="2">
        <v>2</v>
      </c>
      <c r="D18" s="2" t="s">
        <v>785</v>
      </c>
      <c r="E18" s="2">
        <v>387</v>
      </c>
      <c r="F18" s="2">
        <v>-1045</v>
      </c>
      <c r="G18" s="2">
        <v>10</v>
      </c>
      <c r="H18" s="2">
        <v>0</v>
      </c>
      <c r="I18" t="s">
        <v>4631</v>
      </c>
      <c r="J18" t="str">
        <f t="shared" si="0"/>
        <v>{ name: "Gourmets Gone Missing", landmark: "Side Quest", type: "Riverside Stable", region: 2, level: "Surface", x: 387, y: -1045, z: 10, weight: 0, details: `&lt;strong&gt;Start:&lt;/strong&gt; &lt;strong&gt;Start:&lt;/strong&gt; Talk to Penn&lt;br&gt;&lt;strong&gt;Reward:&lt;/strong&gt; Rupees` },</v>
      </c>
    </row>
    <row r="19" spans="1:10" x14ac:dyDescent="0.2">
      <c r="A19" t="s">
        <v>4571</v>
      </c>
      <c r="B19" s="7" t="s">
        <v>1506</v>
      </c>
      <c r="C19" s="2">
        <v>3</v>
      </c>
      <c r="D19" s="2" t="s">
        <v>785</v>
      </c>
      <c r="E19" s="2">
        <v>-1346</v>
      </c>
      <c r="F19" s="2">
        <v>730</v>
      </c>
      <c r="G19" s="2">
        <v>86</v>
      </c>
      <c r="H19" s="2">
        <v>0</v>
      </c>
      <c r="I19" t="s">
        <v>4631</v>
      </c>
      <c r="J19" t="str">
        <f t="shared" si="0"/>
        <v>{ name: "The Beast And The Princess", landmark: "Side Quest", type: "New Serenne Stable", region: 3, level: "Surface", x: -1346, y: 730, z: 86, weight: 0, details: `&lt;strong&gt;Start:&lt;/strong&gt; &lt;strong&gt;Start:&lt;/strong&gt; Talk to Penn&lt;br&gt;&lt;strong&gt;Reward:&lt;/strong&gt; Rupees` },</v>
      </c>
    </row>
    <row r="20" spans="1:10" x14ac:dyDescent="0.2">
      <c r="A20" t="s">
        <v>4615</v>
      </c>
      <c r="B20" s="7" t="s">
        <v>1619</v>
      </c>
      <c r="C20" s="2">
        <v>5</v>
      </c>
      <c r="D20" s="2" t="s">
        <v>785</v>
      </c>
      <c r="E20" s="2">
        <v>-1639</v>
      </c>
      <c r="F20" s="2">
        <v>2584</v>
      </c>
      <c r="G20" s="2">
        <v>234</v>
      </c>
      <c r="H20" s="2">
        <v>0</v>
      </c>
      <c r="I20" t="s">
        <v>4632</v>
      </c>
      <c r="J20" t="str">
        <f t="shared" si="0"/>
        <v>{ name: "Zelda's Golden Horse", landmark: "Side Quest", type: "Snowfield Stable", region: 5, level: "Surface", x: -1639, y: 2584, z: 234, weight: 0, details: `&lt;strong&gt;Start:&lt;/strong&gt; &lt;strong&gt;Start:&lt;/strong&gt; Talk to Penn&lt;br&gt;&lt;strong&gt;Reward:&lt;/strong&gt; Zelda's Golden Horse, Royal Bridle, Royal Saddle` },</v>
      </c>
    </row>
    <row r="21" spans="1:10" x14ac:dyDescent="0.2">
      <c r="A21" t="s">
        <v>4572</v>
      </c>
      <c r="B21" s="7" t="s">
        <v>1650</v>
      </c>
      <c r="C21" s="2">
        <v>3</v>
      </c>
      <c r="D21" s="2" t="s">
        <v>785</v>
      </c>
      <c r="E21" s="2">
        <v>-2914</v>
      </c>
      <c r="F21" s="2">
        <v>529</v>
      </c>
      <c r="G21" s="2">
        <v>170</v>
      </c>
      <c r="H21" s="2">
        <v>0</v>
      </c>
      <c r="I21" t="s">
        <v>4631</v>
      </c>
      <c r="J21" t="str">
        <f t="shared" si="0"/>
        <v>{ name: "White Goats Gone Missing", landmark: "Side Quest", type: "Tabantha Bridge Stable", region: 3, level: "Surface", x: -2914, y: 529, z: 170, weight: 0, details: `&lt;strong&gt;Start:&lt;/strong&gt; &lt;strong&gt;Start:&lt;/strong&gt; Talk to Penn&lt;br&gt;&lt;strong&gt;Reward:&lt;/strong&gt; Rupees` },</v>
      </c>
    </row>
    <row r="22" spans="1:10" x14ac:dyDescent="0.2">
      <c r="A22" t="s">
        <v>4573</v>
      </c>
      <c r="B22" s="7" t="s">
        <v>1031</v>
      </c>
      <c r="C22" s="2">
        <v>7</v>
      </c>
      <c r="D22" s="2" t="s">
        <v>785</v>
      </c>
      <c r="E22" s="2">
        <v>2587</v>
      </c>
      <c r="F22" s="2">
        <v>1154</v>
      </c>
      <c r="G22" s="2">
        <v>145</v>
      </c>
      <c r="H22" s="2">
        <v>0</v>
      </c>
      <c r="I22" t="s">
        <v>4631</v>
      </c>
      <c r="J22" t="str">
        <f t="shared" si="0"/>
        <v>{ name: "For Our Princess!", landmark: "Side Quest", type: "Foothill Stable", region: 7, level: "Surface", x: 2587, y: 1154, z: 145, weight: 0, details: `&lt;strong&gt;Start:&lt;/strong&gt; &lt;strong&gt;Start:&lt;/strong&gt; Talk to Penn&lt;br&gt;&lt;strong&gt;Reward:&lt;/strong&gt; Rupees` },</v>
      </c>
    </row>
    <row r="23" spans="1:10" x14ac:dyDescent="0.2">
      <c r="A23" t="s">
        <v>4574</v>
      </c>
      <c r="B23" s="7" t="s">
        <v>1078</v>
      </c>
      <c r="C23" s="2">
        <v>8</v>
      </c>
      <c r="D23" s="2" t="s">
        <v>785</v>
      </c>
      <c r="E23" s="2">
        <v>3166</v>
      </c>
      <c r="F23" s="2">
        <v>1715</v>
      </c>
      <c r="G23" s="2">
        <v>200</v>
      </c>
      <c r="H23" s="2">
        <v>0</v>
      </c>
      <c r="I23" t="s">
        <v>4631</v>
      </c>
      <c r="J23" t="str">
        <f t="shared" si="0"/>
        <v>{ name: "The All-Clucking Cucco", landmark: "Side Quest", type: "South Akkala Stable", region: 8, level: "Surface", x: 3166, y: 1715, z: 200, weight: 0, details: `&lt;strong&gt;Start:&lt;/strong&gt; &lt;strong&gt;Start:&lt;/strong&gt; Talk to Penn&lt;br&gt;&lt;strong&gt;Reward:&lt;/strong&gt; Rupees` },</v>
      </c>
    </row>
    <row r="24" spans="1:10" x14ac:dyDescent="0.2">
      <c r="A24" t="s">
        <v>4575</v>
      </c>
      <c r="B24" s="7" t="s">
        <v>1710</v>
      </c>
      <c r="C24" s="2">
        <v>10</v>
      </c>
      <c r="D24" s="2" t="s">
        <v>785</v>
      </c>
      <c r="E24" s="2">
        <v>880</v>
      </c>
      <c r="F24" s="2">
        <v>-151</v>
      </c>
      <c r="G24" s="2">
        <v>25</v>
      </c>
      <c r="H24" s="2">
        <v>0</v>
      </c>
      <c r="I24" t="s">
        <v>4631</v>
      </c>
      <c r="J24" t="str">
        <f t="shared" si="0"/>
        <v>{ name: "The Missing Farm Tools", landmark: "Side Quest", type: "Wetland Stable", region: 10, level: "Surface", x: 880, y: -151, z: 25, weight: 0, details: `&lt;strong&gt;Start:&lt;/strong&gt; &lt;strong&gt;Start:&lt;/strong&gt; Talk to Penn&lt;br&gt;&lt;strong&gt;Reward:&lt;/strong&gt; Rupees` },</v>
      </c>
    </row>
    <row r="25" spans="1:10" x14ac:dyDescent="0.2">
      <c r="A25" t="s">
        <v>4576</v>
      </c>
      <c r="B25" s="7" t="s">
        <v>1221</v>
      </c>
      <c r="C25" s="2">
        <v>10</v>
      </c>
      <c r="D25" s="2" t="s">
        <v>785</v>
      </c>
      <c r="E25" s="2">
        <v>1779</v>
      </c>
      <c r="F25" s="2">
        <v>-1904</v>
      </c>
      <c r="G25" s="2">
        <v>10</v>
      </c>
      <c r="H25" s="2">
        <v>0</v>
      </c>
      <c r="I25" t="s">
        <v>4631</v>
      </c>
      <c r="J25" t="str">
        <f t="shared" si="0"/>
        <v>{ name: "Princess Zelda Kidnapped?!", landmark: "Side Quest", type: "Dueling Peaks Stable", region: 10, level: "Surface", x: 1779, y: -1904, z: 10, weight: 0, details: `&lt;strong&gt;Start:&lt;/strong&gt; &lt;strong&gt;Start:&lt;/strong&gt; Talk to Penn&lt;br&gt;&lt;strong&gt;Reward:&lt;/strong&gt; Rupees` },</v>
      </c>
    </row>
    <row r="26" spans="1:10" x14ac:dyDescent="0.2">
      <c r="A26" t="s">
        <v>4577</v>
      </c>
      <c r="B26" s="7" t="s">
        <v>1353</v>
      </c>
      <c r="C26" s="2">
        <v>13</v>
      </c>
      <c r="D26" s="2" t="s">
        <v>785</v>
      </c>
      <c r="E26" s="2">
        <v>511</v>
      </c>
      <c r="F26" s="2">
        <v>-3440</v>
      </c>
      <c r="G26" s="2">
        <v>47</v>
      </c>
      <c r="H26" s="2">
        <v>0</v>
      </c>
      <c r="I26" t="s">
        <v>4631</v>
      </c>
      <c r="J26" t="str">
        <f t="shared" si="0"/>
        <v>{ name: "An Eerie Voice", landmark: "Side Quest", type: "Highland Stable", region: 13, level: "Surface", x: 511, y: -3440, z: 47, weight: 0, details: `&lt;strong&gt;Start:&lt;/strong&gt; &lt;strong&gt;Start:&lt;/strong&gt; Talk to Penn&lt;br&gt;&lt;strong&gt;Reward:&lt;/strong&gt; Rupees` },</v>
      </c>
    </row>
    <row r="27" spans="1:10" x14ac:dyDescent="0.2">
      <c r="A27" t="s">
        <v>4578</v>
      </c>
      <c r="B27" s="7" t="s">
        <v>1034</v>
      </c>
      <c r="C27" s="2">
        <v>14</v>
      </c>
      <c r="D27" s="2" t="s">
        <v>785</v>
      </c>
      <c r="E27" s="2">
        <v>-2823</v>
      </c>
      <c r="F27" s="2">
        <v>-2219</v>
      </c>
      <c r="G27" s="2">
        <v>29</v>
      </c>
      <c r="H27" s="2">
        <v>0</v>
      </c>
      <c r="I27" t="s">
        <v>4631</v>
      </c>
      <c r="J27" t="str">
        <f t="shared" si="0"/>
        <v>{ name: "The Blocked Well", landmark: "Side Quest", type: "Gerudo Canyon Stable", region: 14, level: "Surface", x: -2823, y: -2219, z: 29, weight: 0, details: `&lt;strong&gt;Start:&lt;/strong&gt; &lt;strong&gt;Start:&lt;/strong&gt; Talk to Penn&lt;br&gt;&lt;strong&gt;Reward:&lt;/strong&gt; Rupees` },</v>
      </c>
    </row>
    <row r="28" spans="1:10" x14ac:dyDescent="0.2">
      <c r="A28" t="s">
        <v>4616</v>
      </c>
      <c r="B28" s="7" t="s">
        <v>1353</v>
      </c>
      <c r="C28" s="2">
        <v>13</v>
      </c>
      <c r="D28" s="2" t="s">
        <v>785</v>
      </c>
      <c r="E28" s="2">
        <v>526</v>
      </c>
      <c r="F28" s="2">
        <v>-3398</v>
      </c>
      <c r="G28" s="2">
        <v>47</v>
      </c>
      <c r="H28" s="2">
        <v>0</v>
      </c>
      <c r="I28" t="s">
        <v>4633</v>
      </c>
      <c r="J28" t="str">
        <f t="shared" si="0"/>
        <v>{ name: "The Flute Player's Plan", landmark: "Side Quest", type: "Highland Stable", region: 13, level: "Surface", x: 526, y: -3398, z: 47, weight: 0, details: `&lt;strong&gt;Start:&lt;/strong&gt; &lt;strong&gt;Start:&lt;/strong&gt; Talk to Pyper&lt;br&gt;&lt;strong&gt;Reward:&lt;/strong&gt; Big Hearty Truffle` },</v>
      </c>
    </row>
    <row r="29" spans="1:10" x14ac:dyDescent="0.2">
      <c r="A29" t="s">
        <v>4579</v>
      </c>
      <c r="B29" s="7" t="s">
        <v>806</v>
      </c>
      <c r="C29" s="2">
        <v>10</v>
      </c>
      <c r="D29" s="2" t="s">
        <v>785</v>
      </c>
      <c r="E29" s="2">
        <v>2170</v>
      </c>
      <c r="F29" s="2">
        <v>1378</v>
      </c>
      <c r="G29" s="2">
        <v>85</v>
      </c>
      <c r="H29" s="2">
        <v>0</v>
      </c>
      <c r="I29" t="s">
        <v>4634</v>
      </c>
      <c r="J29" t="str">
        <f t="shared" si="0"/>
        <v>{ name: "Honey, Bee Mine", landmark: "Side Quest", type: "West Necluda", region: 10, level: "Surface", x: 2170, y: 1378, z: 85, weight: 0, details: `&lt;strong&gt;Start:&lt;/strong&gt; &lt;strong&gt;Start:&lt;/strong&gt; Talk to Beetz&lt;br&gt;&lt;strong&gt;Reward:&lt;/strong&gt; 100 Rupees` },</v>
      </c>
    </row>
    <row r="30" spans="1:10" x14ac:dyDescent="0.2">
      <c r="A30" t="s">
        <v>4580</v>
      </c>
      <c r="B30" s="7" t="s">
        <v>799</v>
      </c>
      <c r="C30" s="2">
        <v>3</v>
      </c>
      <c r="D30" s="2" t="s">
        <v>785</v>
      </c>
      <c r="E30" s="2">
        <v>-3650</v>
      </c>
      <c r="F30" s="2">
        <v>770</v>
      </c>
      <c r="G30" s="2">
        <v>-130</v>
      </c>
      <c r="H30" s="2">
        <v>0</v>
      </c>
      <c r="I30" t="s">
        <v>4657</v>
      </c>
      <c r="J30" t="str">
        <f t="shared" si="0"/>
        <v>{ name: "The Hornist's Dramatic Escape", landmark: "Side Quest", type: "Tabantha Frontier", region: 3, level: "Surface", x: -3650, y: 770, z: -130, weight: 0, details: `&lt;strong&gt;Start:&lt;/strong&gt; &lt;strong&gt;Start:&lt;/strong&gt; Talk to Eustus&lt;br&gt;&lt;strong&gt;Reward:&lt;/strong&gt; 3x Courser Bee Honey` },</v>
      </c>
    </row>
    <row r="31" spans="1:10" x14ac:dyDescent="0.2">
      <c r="A31" t="s">
        <v>4581</v>
      </c>
      <c r="B31" s="7" t="s">
        <v>1716</v>
      </c>
      <c r="C31" s="2">
        <v>7</v>
      </c>
      <c r="D31" s="2" t="s">
        <v>785</v>
      </c>
      <c r="E31" s="2">
        <v>1040</v>
      </c>
      <c r="F31" s="2">
        <v>1145</v>
      </c>
      <c r="G31" s="2">
        <v>20</v>
      </c>
      <c r="H31" s="2">
        <v>0</v>
      </c>
      <c r="I31" t="s">
        <v>4635</v>
      </c>
      <c r="J31" t="str">
        <f t="shared" si="0"/>
        <v>{ name: "Serenade To A Great Fairy", landmark: "Side Quest", type: "Woodland Stable", region: 7, level: "Surface", x: 1040, y: 1145, z: 20, weight: 0, details: `&lt;strong&gt;Start:&lt;/strong&gt; &lt;strong&gt;Start:&lt;/strong&gt; Talk to Penn&lt;br&gt;&lt;strong&gt;Reward:&lt;/strong&gt; 100 Rupees` },</v>
      </c>
    </row>
    <row r="32" spans="1:10" x14ac:dyDescent="0.2">
      <c r="A32" t="s">
        <v>4582</v>
      </c>
      <c r="B32" s="7" t="s">
        <v>1529</v>
      </c>
      <c r="C32" s="2">
        <v>2</v>
      </c>
      <c r="D32" s="2" t="s">
        <v>785</v>
      </c>
      <c r="E32" s="2">
        <v>-1402</v>
      </c>
      <c r="F32" s="2">
        <v>-1261</v>
      </c>
      <c r="G32" s="2">
        <v>30</v>
      </c>
      <c r="H32" s="2">
        <v>0</v>
      </c>
      <c r="I32" t="s">
        <v>4636</v>
      </c>
      <c r="J32" t="str">
        <f t="shared" si="0"/>
        <v>{ name: "Serenade to Kaysa", landmark: "Side Quest", type: "Outskirt Stable", region: 2, level: "Surface", x: -1402, y: -1261, z: 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Rupees` },</v>
      </c>
    </row>
    <row r="33" spans="1:10" x14ac:dyDescent="0.2">
      <c r="A33" t="s">
        <v>4583</v>
      </c>
      <c r="B33" s="7" t="s">
        <v>1221</v>
      </c>
      <c r="C33" s="2">
        <v>12</v>
      </c>
      <c r="D33" s="2" t="s">
        <v>785</v>
      </c>
      <c r="E33" s="2">
        <v>1738</v>
      </c>
      <c r="F33" s="2">
        <v>-1955</v>
      </c>
      <c r="G33" s="2">
        <v>10</v>
      </c>
      <c r="H33" s="2">
        <v>0</v>
      </c>
      <c r="I33" t="s">
        <v>4637</v>
      </c>
      <c r="J33" t="str">
        <f t="shared" si="0"/>
        <v>{ name: "Serenade To Cotera", landmark: "Side Quest", type: "Dueling Peaks Stable", region: 12, level: "Surface", x: 1738, y: -1955, z: 10,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Rupees` },</v>
      </c>
    </row>
    <row r="34" spans="1:10" x14ac:dyDescent="0.2">
      <c r="A34" t="s">
        <v>4584</v>
      </c>
      <c r="B34" s="7" t="s">
        <v>1619</v>
      </c>
      <c r="C34" s="2">
        <v>5</v>
      </c>
      <c r="D34" s="2" t="s">
        <v>785</v>
      </c>
      <c r="E34" s="2">
        <v>-1634</v>
      </c>
      <c r="F34" s="2">
        <v>2592</v>
      </c>
      <c r="G34" s="2">
        <v>234</v>
      </c>
      <c r="H34" s="2">
        <v>0</v>
      </c>
      <c r="I34" t="s">
        <v>4638</v>
      </c>
      <c r="J34" t="str">
        <f t="shared" si="0"/>
        <v>{ name: "Serenade To Mija", landmark: "Side Quest", type: "Snowfield Stable", region: 5, level: "Surface", x: -1634, y: 2592, z: 234,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Rupees` },</v>
      </c>
    </row>
    <row r="35" spans="1:10" x14ac:dyDescent="0.2">
      <c r="A35" t="s">
        <v>4585</v>
      </c>
      <c r="B35" s="7" t="s">
        <v>788</v>
      </c>
      <c r="C35" s="2">
        <v>2</v>
      </c>
      <c r="D35" s="2" t="s">
        <v>785</v>
      </c>
      <c r="E35" s="2">
        <v>-476</v>
      </c>
      <c r="F35" s="2">
        <v>-539</v>
      </c>
      <c r="G35" s="2">
        <v>27</v>
      </c>
      <c r="H35" s="2">
        <v>0</v>
      </c>
      <c r="I35" t="s">
        <v>4673</v>
      </c>
      <c r="J35" t="str">
        <f t="shared" si="0"/>
        <v>{ name: "Bring Peace To Hyrule Field!", landmark: "Side Quest", type: "Central Hyrule", region: 2, level: "Surface", x: -476, y: -539, z: 27, weight: 0, details: `&lt;strong&gt;Start:&lt;/strong&gt; &lt;strong&gt;Start:&lt;/strong&gt; Talk to Hoz&lt;br&gt;&lt;strong&gt;Reward:&lt;/strong&gt; 100 Rupees` },</v>
      </c>
    </row>
    <row r="36" spans="1:10" x14ac:dyDescent="0.2">
      <c r="A36" t="s">
        <v>4586</v>
      </c>
      <c r="B36" s="7" t="s">
        <v>788</v>
      </c>
      <c r="C36" s="2">
        <v>1</v>
      </c>
      <c r="D36" s="2" t="s">
        <v>785</v>
      </c>
      <c r="E36" s="2">
        <v>2233</v>
      </c>
      <c r="F36" s="2">
        <v>-1785</v>
      </c>
      <c r="G36" s="2">
        <v>16</v>
      </c>
      <c r="H36" s="2">
        <v>0</v>
      </c>
      <c r="I36" t="s">
        <v>4673</v>
      </c>
      <c r="J36" t="str">
        <f t="shared" si="0"/>
        <v>{ name: "Bring Peace To Necluda!", landmark: "Side Quest", type: "Central Hyrule", region: 1, level: "Surface", x: 2233, y: -1785, z: 16, weight: 0, details: `&lt;strong&gt;Start:&lt;/strong&gt; &lt;strong&gt;Start:&lt;/strong&gt; Talk to Hoz&lt;br&gt;&lt;strong&gt;Reward:&lt;/strong&gt; 100 Rupees` },</v>
      </c>
    </row>
    <row r="37" spans="1:10" x14ac:dyDescent="0.2">
      <c r="A37" t="s">
        <v>4587</v>
      </c>
      <c r="B37" s="7" t="s">
        <v>791</v>
      </c>
      <c r="C37" s="2">
        <v>7</v>
      </c>
      <c r="D37" s="2" t="s">
        <v>785</v>
      </c>
      <c r="E37" s="2">
        <v>2366</v>
      </c>
      <c r="F37" s="2">
        <v>3057</v>
      </c>
      <c r="G37" s="2">
        <v>449</v>
      </c>
      <c r="H37" s="2">
        <v>0</v>
      </c>
      <c r="I37" t="s">
        <v>4674</v>
      </c>
      <c r="J37" t="str">
        <f t="shared" si="0"/>
        <v>{ name: "Bring Peace To Eldin!", landmark: "Side Quest", type: "Eldin Canyon", region: 7, level: "Surface", x: 2366, y: 3057, z: 449, weight: 0, details: `&lt;strong&gt;Start:&lt;/strong&gt; &lt;strong&gt;Start:&lt;/strong&gt; Talk to Toren&lt;br&gt;&lt;strong&gt;Reward:&lt;/strong&gt; 100 Rupees` },</v>
      </c>
    </row>
    <row r="38" spans="1:10" x14ac:dyDescent="0.2">
      <c r="A38" t="s">
        <v>4588</v>
      </c>
      <c r="B38" s="7" t="s">
        <v>791</v>
      </c>
      <c r="C38" s="2">
        <v>7</v>
      </c>
      <c r="D38" s="2" t="s">
        <v>785</v>
      </c>
      <c r="E38" s="2">
        <v>3006</v>
      </c>
      <c r="F38" s="2">
        <v>1107</v>
      </c>
      <c r="G38" s="2">
        <v>400</v>
      </c>
      <c r="H38" s="2">
        <v>0</v>
      </c>
      <c r="I38" t="s">
        <v>4674</v>
      </c>
      <c r="J38" t="str">
        <f t="shared" si="0"/>
        <v>{ name: "Bring Peace To Akkala!", landmark: "Side Quest", type: "Eldin Canyon", region: 7, level: "Surface", x: 3006, y: 1107, z: 400, weight: 0, details: `&lt;strong&gt;Start:&lt;/strong&gt; &lt;strong&gt;Start:&lt;/strong&gt; Talk to Toren&lt;br&gt;&lt;strong&gt;Reward:&lt;/strong&gt; 100 Rupees` },</v>
      </c>
    </row>
    <row r="39" spans="1:10" x14ac:dyDescent="0.2">
      <c r="A39" t="s">
        <v>4589</v>
      </c>
      <c r="B39" s="7" t="s">
        <v>794</v>
      </c>
      <c r="C39" s="2">
        <v>13</v>
      </c>
      <c r="D39" s="2" t="s">
        <v>785</v>
      </c>
      <c r="E39" s="2">
        <v>-25</v>
      </c>
      <c r="F39" s="2">
        <v>-3417</v>
      </c>
      <c r="G39" s="2">
        <v>10</v>
      </c>
      <c r="H39" s="2">
        <v>0</v>
      </c>
      <c r="I39" t="s">
        <v>4675</v>
      </c>
      <c r="J39" t="str">
        <f t="shared" si="0"/>
        <v>{ name: "Bring Peace To Faron!", landmark: "Side Quest", type: "Faron Grasslands", region: 13, level: "Surface", x: -25, y: -3417, z: 10, weight: 0, details: `&lt;strong&gt;Start:&lt;/strong&gt; &lt;strong&gt;Start:&lt;/strong&gt; Talk to Flaxel&lt;br&gt;&lt;strong&gt;Reward:&lt;/strong&gt; 100 Rupees` },</v>
      </c>
    </row>
    <row r="40" spans="1:10" x14ac:dyDescent="0.2">
      <c r="A40" t="s">
        <v>4590</v>
      </c>
      <c r="B40" s="7" t="s">
        <v>794</v>
      </c>
      <c r="C40" s="2">
        <v>13</v>
      </c>
      <c r="D40" s="2" t="s">
        <v>785</v>
      </c>
      <c r="E40" s="2">
        <v>-1797</v>
      </c>
      <c r="F40" s="2">
        <v>2298</v>
      </c>
      <c r="G40" s="2">
        <v>264</v>
      </c>
      <c r="H40" s="2">
        <v>0</v>
      </c>
      <c r="I40" t="s">
        <v>4675</v>
      </c>
      <c r="J40" t="str">
        <f t="shared" si="0"/>
        <v>{ name: "Bring Peace To Hebra!", landmark: "Side Quest", type: "Faron Grasslands", region: 13, level: "Surface", x: -1797, y: 2298, z: 264, weight: 0, details: `&lt;strong&gt;Start:&lt;/strong&gt; &lt;strong&gt;Start:&lt;/strong&gt; Talk to Flaxel&lt;br&gt;&lt;strong&gt;Reward:&lt;/strong&gt; 100 Rupees` },</v>
      </c>
    </row>
    <row r="41" spans="1:10" x14ac:dyDescent="0.2">
      <c r="A41" t="s">
        <v>4617</v>
      </c>
      <c r="B41" s="7" t="s">
        <v>787</v>
      </c>
      <c r="C41" s="2">
        <v>3</v>
      </c>
      <c r="D41" s="2" t="s">
        <v>785</v>
      </c>
      <c r="E41" s="2">
        <v>-1748</v>
      </c>
      <c r="F41" s="2">
        <v>1124</v>
      </c>
      <c r="G41" s="2">
        <v>202</v>
      </c>
      <c r="H41" s="2">
        <v>0</v>
      </c>
      <c r="I41" t="s">
        <v>4676</v>
      </c>
      <c r="J41" t="str">
        <f t="shared" si="0"/>
        <v>{ name: "Hestu's Concerns", landmark: "Side Quest", type: "Hyrule Ridge", region: 3, level: "Surface", x: -1748, y: 1124, z: 202, weight: 0, details: `&lt;strong&gt;Start:&lt;/strong&gt; &lt;strong&gt;Start:&lt;/strong&gt; Talk to Hyrule Ridge&lt;br&gt;&lt;strong&gt;Reward:&lt;/strong&gt; Inventory Expansion` },</v>
      </c>
    </row>
    <row r="42" spans="1:10" x14ac:dyDescent="0.2">
      <c r="A42" t="s">
        <v>4591</v>
      </c>
      <c r="B42" s="7" t="s">
        <v>791</v>
      </c>
      <c r="C42" s="2">
        <v>7</v>
      </c>
      <c r="D42" s="2" t="s">
        <v>785</v>
      </c>
      <c r="E42" s="2">
        <v>1227</v>
      </c>
      <c r="F42" s="2">
        <v>1216</v>
      </c>
      <c r="G42" s="2">
        <v>20</v>
      </c>
      <c r="H42" s="2">
        <v>0</v>
      </c>
      <c r="I42" t="s">
        <v>4677</v>
      </c>
      <c r="J42" t="str">
        <f t="shared" si="0"/>
        <v>{ name: "The Hunt For Bubbul Gems!", landmark: "Side Quest", type: "Eldin Canyon", region: 7, level: "Surface", x: 1227, y: 1216, z: 20, weight: 0, details: `&lt;strong&gt;Start:&lt;/strong&gt; &lt;strong&gt;Start:&lt;/strong&gt; Talk to Koltin&lt;br&gt;&lt;strong&gt;Reward:&lt;/strong&gt; Bokoblin Mask` },</v>
      </c>
    </row>
    <row r="43" spans="1:10" x14ac:dyDescent="0.2">
      <c r="A43" t="s">
        <v>4592</v>
      </c>
      <c r="B43" s="7" t="s">
        <v>791</v>
      </c>
      <c r="C43" s="2">
        <v>7</v>
      </c>
      <c r="D43" s="2" t="s">
        <v>785</v>
      </c>
      <c r="E43" s="2">
        <v>1219</v>
      </c>
      <c r="F43" s="2">
        <v>1223</v>
      </c>
      <c r="G43" s="2">
        <v>15</v>
      </c>
      <c r="H43" s="2">
        <v>0</v>
      </c>
      <c r="I43" t="s">
        <v>4639</v>
      </c>
      <c r="J43" t="str">
        <f t="shared" si="0"/>
        <v>{ name: "The Search For Koltin", landmark: "Side Quest", type: "Eldin Canyon", region: 7, level: "Surface", x: 1219, y: 1223, z: 15, weight: 0, details: `&lt;strong&gt;Start:&lt;/strong&gt; 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Shop` },</v>
      </c>
    </row>
    <row r="44" spans="1:10" x14ac:dyDescent="0.2">
      <c r="A44" t="s">
        <v>4593</v>
      </c>
      <c r="B44" s="7" t="s">
        <v>1664</v>
      </c>
      <c r="C44" s="2">
        <v>8</v>
      </c>
      <c r="D44" s="2" t="s">
        <v>785</v>
      </c>
      <c r="E44" s="2">
        <v>3950</v>
      </c>
      <c r="F44" s="2">
        <v>1644</v>
      </c>
      <c r="G44" s="2">
        <v>130</v>
      </c>
      <c r="H44" s="2">
        <v>0</v>
      </c>
      <c r="I44" t="s">
        <v>4640</v>
      </c>
      <c r="J44" t="str">
        <f t="shared" si="0"/>
        <v>{ name: "A Monstrous Collection I", landmark: "Side Quest", type: "Tarrey Town", region: 8, level: "Surface", x: 3950, y: 1644, z: 130, weight: 0, details: `&lt;strong&gt;Start:&lt;/strong&gt; &lt;strong&gt;Start:&lt;/strong&gt; Talk to Kilton&lt;br&gt;&lt;strong&gt;Reward:&lt;/strong&gt; Monster Extract` },</v>
      </c>
    </row>
    <row r="45" spans="1:10" x14ac:dyDescent="0.2">
      <c r="A45" t="s">
        <v>4594</v>
      </c>
      <c r="B45" s="7" t="s">
        <v>1664</v>
      </c>
      <c r="C45" s="2">
        <v>8</v>
      </c>
      <c r="D45" s="2" t="s">
        <v>785</v>
      </c>
      <c r="E45" s="2">
        <v>3947</v>
      </c>
      <c r="F45" s="2">
        <v>1661</v>
      </c>
      <c r="G45" s="2">
        <v>130</v>
      </c>
      <c r="H45" s="2">
        <v>0</v>
      </c>
      <c r="I45" t="s">
        <v>4641</v>
      </c>
      <c r="J45" t="str">
        <f t="shared" si="0"/>
        <v>{ name: "A Monstrous Collection II", landmark: "Side Quest", type: "Tarrey Town", region: 8, level: "Surface", x: 3947, y: 1661, z: 130, weight: 0, details: `&lt;strong&gt;Start:&lt;/strong&gt; &lt;strong&gt;Start:&lt;/strong&gt; Talk to Kilton&lt;br&gt;&lt;strong&gt;Reward:&lt;/strong&gt; Sneaky Monster Soup, Monster Extract` },</v>
      </c>
    </row>
    <row r="46" spans="1:10" x14ac:dyDescent="0.2">
      <c r="A46" t="s">
        <v>4595</v>
      </c>
      <c r="B46" s="7" t="s">
        <v>1664</v>
      </c>
      <c r="C46" s="2">
        <v>8</v>
      </c>
      <c r="D46" s="2" t="s">
        <v>785</v>
      </c>
      <c r="E46" s="2">
        <v>3960</v>
      </c>
      <c r="F46" s="2">
        <v>1663</v>
      </c>
      <c r="G46" s="2">
        <v>130</v>
      </c>
      <c r="H46" s="2">
        <v>0</v>
      </c>
      <c r="I46" t="s">
        <v>4642</v>
      </c>
      <c r="J46" t="str">
        <f t="shared" si="0"/>
        <v>{ name: "A Monstrous Collection III", landmark: "Side Quest", type: "Tarrey Town", region: 8, level: "Surface", x: 3960, y: 1663, z: 130, weight: 0, details: `&lt;strong&gt;Start:&lt;/strong&gt; &lt;strong&gt;Start:&lt;/strong&gt; Talk to Kilton&lt;br&gt;&lt;strong&gt;Reward:&lt;/strong&gt; Monster Bridle, Monster Extract` },</v>
      </c>
    </row>
    <row r="47" spans="1:10" x14ac:dyDescent="0.2">
      <c r="A47" t="s">
        <v>4596</v>
      </c>
      <c r="B47" s="7" t="s">
        <v>1664</v>
      </c>
      <c r="C47" s="2">
        <v>8</v>
      </c>
      <c r="D47" s="2" t="s">
        <v>785</v>
      </c>
      <c r="E47" s="2">
        <v>3973</v>
      </c>
      <c r="F47" s="2">
        <v>1664</v>
      </c>
      <c r="G47" s="2">
        <v>130</v>
      </c>
      <c r="H47" s="2">
        <v>0</v>
      </c>
      <c r="I47" t="s">
        <v>4643</v>
      </c>
      <c r="J47" t="str">
        <f t="shared" si="0"/>
        <v>{ name: "A Monstrous Collection IV", landmark: "Side Quest", type: "Tarrey Town", region: 8, level: "Surface", x: 3973, y: 1664, z: 130, weight: 0, details: `&lt;strong&gt;Start:&lt;/strong&gt; &lt;strong&gt;Start:&lt;/strong&gt; Talk to Kilton&lt;br&gt;&lt;strong&gt;Reward:&lt;/strong&gt; Monster Saddle, Monster Extract` },</v>
      </c>
    </row>
    <row r="48" spans="1:10" x14ac:dyDescent="0.2">
      <c r="A48" t="s">
        <v>4597</v>
      </c>
      <c r="B48" s="7" t="s">
        <v>1664</v>
      </c>
      <c r="C48" s="2">
        <v>8</v>
      </c>
      <c r="D48" s="2" t="s">
        <v>785</v>
      </c>
      <c r="E48" s="2">
        <v>3975</v>
      </c>
      <c r="F48" s="2">
        <v>1646</v>
      </c>
      <c r="G48" s="2">
        <v>130</v>
      </c>
      <c r="H48" s="2">
        <v>0</v>
      </c>
      <c r="I48" t="s">
        <v>4644</v>
      </c>
      <c r="J48" t="str">
        <f t="shared" si="0"/>
        <v>{ name: "A Monstrous Collection V", landmark: "Side Quest", type: "Tarrey Town", region: 8, level: "Surface", x: 3975, y: 1646, z: 130, weight: 0, details: `&lt;strong&gt;Start:&lt;/strong&gt; &lt;strong&gt;Start:&lt;/strong&gt; Talk to Kilton&lt;br&gt;&lt;strong&gt;Reward:&lt;/strong&gt; Diamond, Monster Extract` },</v>
      </c>
    </row>
    <row r="49" spans="1:10" x14ac:dyDescent="0.2">
      <c r="A49" t="s">
        <v>4598</v>
      </c>
      <c r="B49" s="7" t="s">
        <v>1087</v>
      </c>
      <c r="C49" s="2">
        <v>6</v>
      </c>
      <c r="D49" s="2" t="s">
        <v>785</v>
      </c>
      <c r="E49" s="2">
        <v>367</v>
      </c>
      <c r="F49" s="2">
        <v>3100</v>
      </c>
      <c r="G49" s="2">
        <v>180</v>
      </c>
      <c r="H49" s="2">
        <v>0</v>
      </c>
      <c r="I49" t="s">
        <v>4645</v>
      </c>
      <c r="J49" t="str">
        <f t="shared" si="0"/>
        <v>{ name: "Investigate The Thyphlo Ruins", landmark: "Side Quest", type: "Thyphlo Ruins", region: 6, level: "Surface", x: 367, y: 3100, z: 180, weight: 0, details: `&lt;strong&gt;Start:&lt;/strong&gt; 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Diamond` },</v>
      </c>
    </row>
    <row r="50" spans="1:10" x14ac:dyDescent="0.2">
      <c r="A50" t="s">
        <v>4599</v>
      </c>
      <c r="B50" s="7" t="s">
        <v>1087</v>
      </c>
      <c r="C50" s="2">
        <v>6</v>
      </c>
      <c r="D50" s="2" t="s">
        <v>785</v>
      </c>
      <c r="E50" s="2">
        <v>365</v>
      </c>
      <c r="F50" s="2">
        <v>3059</v>
      </c>
      <c r="G50" s="2">
        <v>175</v>
      </c>
      <c r="H50" s="2">
        <v>0</v>
      </c>
      <c r="I50" t="s">
        <v>4678</v>
      </c>
      <c r="J50" t="str">
        <f t="shared" si="0"/>
        <v>{ name: "The Owl Protected By Dragons", landmark: "Side Quest", type: "Thyphlo Ruins", region: 6, level: "Surface", x: 365, y: 3059, z: 175, weight: 0, details: `&lt;strong&gt;Start:&lt;/strong&gt; &lt;strong&gt;Start:&lt;/strong&gt; Talk to Kazul&lt;br&gt;&lt;strong&gt;Reward:&lt;/strong&gt; Sapphire x3` },</v>
      </c>
    </row>
    <row r="51" spans="1:10" x14ac:dyDescent="0.2">
      <c r="A51" t="s">
        <v>4600</v>
      </c>
      <c r="B51" s="7" t="s">
        <v>1087</v>
      </c>
      <c r="C51" s="2">
        <v>6</v>
      </c>
      <c r="D51" s="2" t="s">
        <v>785</v>
      </c>
      <c r="E51" s="2">
        <v>216</v>
      </c>
      <c r="F51" s="2">
        <v>3121</v>
      </c>
      <c r="G51" s="2">
        <v>174</v>
      </c>
      <c r="H51" s="2">
        <v>0</v>
      </c>
      <c r="I51" t="s">
        <v>4679</v>
      </c>
      <c r="J51" t="str">
        <f t="shared" si="0"/>
        <v>{ name: "The Corridor Between Two Dragons", landmark: "Side Quest", type: "Thyphlo Ruins", region: 6, level: "Surface", x: 216, y: 3121, z: 174, weight: 0, details: `&lt;strong&gt;Start:&lt;/strong&gt; &lt;strong&gt;Start:&lt;/strong&gt; Talk to Kazul&lt;br&gt;&lt;strong&gt;Reward:&lt;/strong&gt; Ruby x3` },</v>
      </c>
    </row>
    <row r="52" spans="1:10" x14ac:dyDescent="0.2">
      <c r="A52" t="s">
        <v>4601</v>
      </c>
      <c r="B52" s="7" t="s">
        <v>1087</v>
      </c>
      <c r="C52" s="2">
        <v>6</v>
      </c>
      <c r="D52" s="2" t="s">
        <v>785</v>
      </c>
      <c r="E52" s="2">
        <v>185</v>
      </c>
      <c r="F52" s="2">
        <v>3181</v>
      </c>
      <c r="G52" s="2">
        <v>174</v>
      </c>
      <c r="H52" s="2">
        <v>0</v>
      </c>
      <c r="I52" t="s">
        <v>4680</v>
      </c>
      <c r="J52" t="str">
        <f t="shared" si="0"/>
        <v>{ name: "The Six Dragons", landmark: "Side Quest", type: "Thyphlo Ruins", region: 6, level: "Surface", x: 185, y: 3181, z: 174, weight: 0, details: `&lt;strong&gt;Start:&lt;/strong&gt; &lt;strong&gt;Start:&lt;/strong&gt; Talk to Kazul&lt;br&gt;&lt;strong&gt;Reward:&lt;/strong&gt; Opal x5` },</v>
      </c>
    </row>
    <row r="53" spans="1:10" x14ac:dyDescent="0.2">
      <c r="A53" t="s">
        <v>4602</v>
      </c>
      <c r="B53" s="7" t="s">
        <v>1087</v>
      </c>
      <c r="C53" s="2">
        <v>6</v>
      </c>
      <c r="D53" s="2" t="s">
        <v>785</v>
      </c>
      <c r="E53" s="2">
        <v>457</v>
      </c>
      <c r="F53" s="2">
        <v>3082</v>
      </c>
      <c r="G53" s="2">
        <v>175</v>
      </c>
      <c r="H53" s="2">
        <v>0</v>
      </c>
      <c r="I53" t="s">
        <v>4681</v>
      </c>
      <c r="J53" t="str">
        <f t="shared" si="0"/>
        <v>{ name: "The Long Dragon", landmark: "Side Quest", type: "Thyphlo Ruins", region: 6, level: "Surface", x: 457, y: 3082, z: 175, weight: 0, details: `&lt;strong&gt;Start:&lt;/strong&gt; &lt;strong&gt;Start:&lt;/strong&gt; Talk to Kazul&lt;br&gt;&lt;strong&gt;Reward:&lt;/strong&gt; Topaz x3` },</v>
      </c>
    </row>
    <row r="54" spans="1:10" x14ac:dyDescent="0.2">
      <c r="A54" t="s">
        <v>4604</v>
      </c>
      <c r="B54" s="7" t="s">
        <v>1441</v>
      </c>
      <c r="C54" s="2">
        <v>1</v>
      </c>
      <c r="D54" s="2" t="s">
        <v>785</v>
      </c>
      <c r="E54" s="2">
        <v>265</v>
      </c>
      <c r="F54" s="2">
        <v>66</v>
      </c>
      <c r="G54" s="2">
        <v>19</v>
      </c>
      <c r="H54" s="2">
        <v>0</v>
      </c>
      <c r="I54" t="s">
        <v>4647</v>
      </c>
      <c r="J54" t="str">
        <f t="shared" si="0"/>
        <v>{ name: "Messages From An Ancient Era", landmark: "Side Quest", type: "Lookout Landing", region: 1, level: "Surface", x: 265, y: 66, z: 19, weight: 0, details: `&lt;strong&gt;Start:&lt;/strong&gt; &lt;strong&gt;Start:&lt;/strong&gt; Talk to Wortsworth&lt;br&gt;&lt;strong&gt;Reward:&lt;/strong&gt; Rupees, Zonai Survey Team Paraglider Fabric` },</v>
      </c>
    </row>
    <row r="55" spans="1:10" x14ac:dyDescent="0.2">
      <c r="A55" t="s">
        <v>4605</v>
      </c>
      <c r="B55" s="7" t="s">
        <v>950</v>
      </c>
      <c r="C55" s="2">
        <v>1</v>
      </c>
      <c r="D55" s="2" t="s">
        <v>785</v>
      </c>
      <c r="E55" s="2">
        <v>-242</v>
      </c>
      <c r="F55" s="2">
        <v>146</v>
      </c>
      <c r="G55" s="2">
        <v>26</v>
      </c>
      <c r="H55" s="2">
        <v>0</v>
      </c>
      <c r="I55" t="s">
        <v>4648</v>
      </c>
      <c r="J55" t="str">
        <f t="shared" si="0"/>
        <v>{ name: "A Deal With The Statue", landmark: "Side Quest", type: "Royal Hidden Passage", region: 1, level: "Surface", x: -242, y: 146, z: 26, weight: 0, details: `&lt;strong&gt;Start:&lt;/strong&gt; &lt;strong&gt;Start:&lt;/strong&gt; Talk to Horned Statue&lt;br&gt;&lt;strong&gt;Reward:&lt;/strong&gt; Ability to swap Stamina and Heart containers` },</v>
      </c>
    </row>
    <row r="56" spans="1:10" x14ac:dyDescent="0.2">
      <c r="A56" t="s">
        <v>4606</v>
      </c>
      <c r="B56" s="7" t="s">
        <v>1441</v>
      </c>
      <c r="C56" s="2">
        <v>1</v>
      </c>
      <c r="D56" s="2" t="s">
        <v>785</v>
      </c>
      <c r="E56" s="2">
        <v>-265</v>
      </c>
      <c r="F56" s="2">
        <v>146</v>
      </c>
      <c r="G56" s="2">
        <v>26</v>
      </c>
      <c r="H56" s="2">
        <v>0</v>
      </c>
      <c r="I56" t="s">
        <v>4653</v>
      </c>
      <c r="J56" t="str">
        <f t="shared" si="0"/>
        <v>{ name: "Who Goes There?", landmark: "Side Quest", type: "Lookout Landing", region: 1, level: "Surface", x: -265, y: 146, z: 26, weight: 0, details: `&lt;strong&gt;Start:&lt;/strong&gt; &lt;strong&gt;Start:&lt;/strong&gt; Talk to Jerrin&lt;br&gt;&lt;strong&gt;Reward:&lt;/strong&gt; Red Rupee` },</v>
      </c>
    </row>
    <row r="57" spans="1:10" x14ac:dyDescent="0.2">
      <c r="A57" t="s">
        <v>4607</v>
      </c>
      <c r="B57" s="7" t="s">
        <v>4608</v>
      </c>
      <c r="C57" s="2">
        <v>2</v>
      </c>
      <c r="D57" s="2" t="s">
        <v>785</v>
      </c>
      <c r="E57" s="2">
        <v>-820</v>
      </c>
      <c r="F57" s="2">
        <v>-2019</v>
      </c>
      <c r="G57" s="2">
        <v>144</v>
      </c>
      <c r="H57" s="2">
        <v>0</v>
      </c>
      <c r="I57" t="s">
        <v>4649</v>
      </c>
      <c r="J57" t="str">
        <f t="shared" si="0"/>
        <v>{ name: "A Call From The Depths", landmark: "Side Quest", type: "Temple Of Time Ruins", region: 2, level: "Surface", x: -820, y: -2019, z: 144, weight: 0, details: `&lt;strong&gt;Start:&lt;/strong&gt; &lt;strong&gt;Start:&lt;/strong&gt; Talk to Statue&lt;br&gt;&lt;strong&gt;Reward:&lt;/strong&gt; 1 Heart Container or Stamina Essence` },</v>
      </c>
    </row>
    <row r="58" spans="1:10" x14ac:dyDescent="0.2">
      <c r="A58" t="s">
        <v>4609</v>
      </c>
      <c r="B58" s="7" t="s">
        <v>840</v>
      </c>
      <c r="C58" s="2">
        <v>15</v>
      </c>
      <c r="D58" s="2" t="s">
        <v>785</v>
      </c>
      <c r="E58" s="2">
        <v>-3617</v>
      </c>
      <c r="F58" s="2">
        <v>-1348</v>
      </c>
      <c r="G58" s="2">
        <v>330</v>
      </c>
      <c r="H58" s="2">
        <v>0</v>
      </c>
      <c r="I58" t="s">
        <v>4650</v>
      </c>
      <c r="J58" t="str">
        <f t="shared" si="0"/>
        <v>{ name: "Infiltrating The Yiga Clan", landmark: "Side Quest", type: "Yiga Clan Hideout", region: 15, level: "Surface", x: -3617, y: -1348, z: 330, weight: 0, details: `&lt;strong&gt;Start:&lt;/strong&gt; &lt;strong&gt;Start:&lt;/strong&gt; Talk to Mimos&lt;br&gt;&lt;strong&gt;Reward:&lt;/strong&gt; Access to the Yiga Clan Hideout, Earthwake Technique, Thunder Helm` },</v>
      </c>
    </row>
    <row r="59" spans="1:10" x14ac:dyDescent="0.2">
      <c r="A59" t="s">
        <v>4610</v>
      </c>
      <c r="B59" s="7" t="s">
        <v>987</v>
      </c>
      <c r="C59" s="2">
        <v>15</v>
      </c>
      <c r="D59" s="2" t="s">
        <v>785</v>
      </c>
      <c r="E59" s="2">
        <v>-2441</v>
      </c>
      <c r="F59" s="2">
        <v>-1797</v>
      </c>
      <c r="G59" s="2">
        <v>110</v>
      </c>
      <c r="H59" s="2">
        <v>0</v>
      </c>
      <c r="I59" t="s">
        <v>4651</v>
      </c>
      <c r="J59" t="str">
        <f t="shared" si="0"/>
        <v>{ name: "The Yiga Clan Exam", landmark: "Side Quest", type: "Yiga Blademaster Station", region: 15, level: "Surface", x: -2441, y: -1797, z: 110, weight: 0, details: `&lt;strong&gt;Start:&lt;/strong&gt; &lt;strong&gt;Start:&lt;/strong&gt; Talk to Yiga Blademaster&lt;br&gt;&lt;strong&gt;Reward:&lt;/strong&gt; Ruby, Eightfold Longblade (Untarnished)` },</v>
      </c>
    </row>
    <row r="60" spans="1:10" x14ac:dyDescent="0.2">
      <c r="A60" t="s">
        <v>4603</v>
      </c>
      <c r="B60" s="7" t="s">
        <v>991</v>
      </c>
      <c r="C60" s="2">
        <v>0</v>
      </c>
      <c r="D60" s="2" t="s">
        <v>783</v>
      </c>
      <c r="E60" s="2">
        <v>458</v>
      </c>
      <c r="F60" s="2">
        <v>-790</v>
      </c>
      <c r="G60" s="2">
        <v>1556</v>
      </c>
      <c r="H60" s="2">
        <v>0</v>
      </c>
      <c r="I60" t="s">
        <v>4646</v>
      </c>
      <c r="J60" t="str">
        <f>"{ name: "&amp;CHAR(34)&amp;A60&amp;CHAR(34)&amp;", landmark: "&amp;CHAR(34)&amp;"Side Quest"&amp;CHAR(34)&amp;", type: "&amp;CHAR(34)&amp;B60&amp;CHAR(34)&amp;", region: "&amp;C60&amp;", level: "&amp;CHAR(34)&amp;D60&amp;CHAR(34)&amp;", x: "&amp;E60&amp;", y: "&amp;F60&amp;", z: "&amp;G60&amp;", weight: "&amp;H60&amp;", details: `&lt;strong&gt;Start:&lt;/strong&gt; "&amp;I60&amp;"` },"</f>
        <v>{ name: "Legend of the Great Sky Island", landmark: "Side Quest", type: "Great Sky Island", region: 0, level: "Sky", x: 458, y: -790, z: 1556, weight: 0, details: `&lt;strong&gt;Start:&lt;/strong&gt; &lt;strong&gt;Start:&lt;/strong&gt; Talk to Steward Construct&lt;br&gt;&lt;strong&gt;Reward:&lt;/strong&gt; Zonai Fabric` },</v>
      </c>
    </row>
    <row r="61" spans="1:10" x14ac:dyDescent="0.2">
      <c r="A61" t="s">
        <v>4611</v>
      </c>
      <c r="B61" s="7" t="s">
        <v>1308</v>
      </c>
      <c r="C61" s="2">
        <v>2</v>
      </c>
      <c r="D61" s="2" t="s">
        <v>994</v>
      </c>
      <c r="E61" s="2">
        <v>-797</v>
      </c>
      <c r="F61" s="2">
        <v>-1919</v>
      </c>
      <c r="G61" s="2">
        <v>-523</v>
      </c>
      <c r="H61" s="2">
        <v>0</v>
      </c>
      <c r="I61" t="s">
        <v>4652</v>
      </c>
      <c r="J61" t="str">
        <f t="shared" si="0"/>
        <v>{ name: "Master Kohga Of The Yiga Clan", landmark: "Side Quest", type: "Great Abandoned Central Mine", region: 2, level: "Depths", x: -797, y: -1919, z: -523, weight: 0, details: `&lt;strong&gt;Start:&lt;/strong&gt; &lt;strong&gt;Start:&lt;/strong&gt; Talk to Kohga&lt;br&gt;&lt;strong&gt;Reward:&lt;/strong&gt; Schema Stones` },</v>
      </c>
    </row>
  </sheetData>
  <autoFilter ref="A1:J68" xr:uid="{9B66D1FE-B66F-F348-9F83-5F8C8FFF29B7}">
    <sortState xmlns:xlrd2="http://schemas.microsoft.com/office/spreadsheetml/2017/richdata2" ref="A2:J68">
      <sortCondition ref="D1:D68"/>
    </sortState>
  </autoFilter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topLeftCell="A71" zoomScaleNormal="100" workbookViewId="0">
      <selection activeCell="A100" sqref="A100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4187</v>
      </c>
      <c r="B2" t="s">
        <v>3068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3068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4245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4188</v>
      </c>
      <c r="B5" t="s">
        <v>4245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4189</v>
      </c>
      <c r="B6" t="s">
        <v>3068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3068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3068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3068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4186</v>
      </c>
      <c r="B10" t="s">
        <v>3072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3068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3072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3071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4190</v>
      </c>
      <c r="B14" t="s">
        <v>3068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4193</v>
      </c>
      <c r="B15" t="s">
        <v>3069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4194</v>
      </c>
      <c r="B16" t="s">
        <v>3069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4192</v>
      </c>
      <c r="B17" t="s">
        <v>3069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4191</v>
      </c>
      <c r="B18" t="s">
        <v>3068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4245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3071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4195</v>
      </c>
      <c r="B21" t="s">
        <v>3072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4196</v>
      </c>
      <c r="B22" t="s">
        <v>3070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3070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4245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3070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4197</v>
      </c>
      <c r="B26" t="s">
        <v>3070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4198</v>
      </c>
      <c r="B27" t="s">
        <v>3070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3070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3072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3071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3068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4199</v>
      </c>
      <c r="B32" t="s">
        <v>3068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3068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4245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4245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4245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4245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4245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4209</v>
      </c>
      <c r="B39" t="s">
        <v>3068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4201</v>
      </c>
      <c r="B40" t="s">
        <v>4245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3068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4200</v>
      </c>
      <c r="B42" t="s">
        <v>3069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4245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4203</v>
      </c>
      <c r="B44" t="s">
        <v>4245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3068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4202</v>
      </c>
      <c r="B46" t="s">
        <v>3068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4245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3068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3071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3071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4204</v>
      </c>
      <c r="B51" t="s">
        <v>3071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3071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4205</v>
      </c>
      <c r="B53" t="s">
        <v>3069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3069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4206</v>
      </c>
      <c r="B55" t="s">
        <v>3068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3071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4207</v>
      </c>
      <c r="B57" t="s">
        <v>3072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4221</v>
      </c>
      <c r="B58" t="s">
        <v>4245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4222</v>
      </c>
      <c r="B59" t="s">
        <v>3068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4223</v>
      </c>
      <c r="B60" t="s">
        <v>3072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4224</v>
      </c>
      <c r="B61" t="s">
        <v>3071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4225</v>
      </c>
      <c r="B62" t="s">
        <v>3068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4226</v>
      </c>
      <c r="B63" t="s">
        <v>3071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4227</v>
      </c>
      <c r="B64" t="s">
        <v>3068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4228</v>
      </c>
      <c r="B65" t="s">
        <v>3071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4229</v>
      </c>
      <c r="B66" t="s">
        <v>3071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4230</v>
      </c>
      <c r="B67" t="s">
        <v>3069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4231</v>
      </c>
      <c r="B68" t="s">
        <v>3068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4232</v>
      </c>
      <c r="B69" t="s">
        <v>4245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4233</v>
      </c>
      <c r="B70" t="s">
        <v>4245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4234</v>
      </c>
      <c r="B71" t="s">
        <v>4245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4235</v>
      </c>
      <c r="B72" t="s">
        <v>3070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4210</v>
      </c>
      <c r="B73" t="s">
        <v>3070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4211</v>
      </c>
      <c r="B74" t="s">
        <v>3070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4214</v>
      </c>
      <c r="B75" t="s">
        <v>4245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4213</v>
      </c>
      <c r="B76" t="s">
        <v>3068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4215</v>
      </c>
      <c r="B77" t="s">
        <v>4245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4236</v>
      </c>
      <c r="B78" t="s">
        <v>3071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4237</v>
      </c>
      <c r="B79" t="s">
        <v>3071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4238</v>
      </c>
      <c r="B80" t="s">
        <v>4245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4239</v>
      </c>
      <c r="B81" t="s">
        <v>4245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4240</v>
      </c>
      <c r="B82" t="s">
        <v>3069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4217</v>
      </c>
      <c r="B83" t="s">
        <v>3068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4241</v>
      </c>
      <c r="B84" t="s">
        <v>3072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4242</v>
      </c>
      <c r="B85" t="s">
        <v>4245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4219</v>
      </c>
      <c r="B86" t="s">
        <v>3072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4243</v>
      </c>
      <c r="B87" t="s">
        <v>3069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4244</v>
      </c>
      <c r="B88" t="s">
        <v>3072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2915</v>
      </c>
      <c r="I90" s="6" t="s">
        <v>2081</v>
      </c>
      <c r="J90" s="6" t="s">
        <v>2075</v>
      </c>
    </row>
    <row r="91" spans="1:10" x14ac:dyDescent="0.2">
      <c r="A91" t="s">
        <v>4246</v>
      </c>
      <c r="B91" t="s">
        <v>4247</v>
      </c>
      <c r="C91" s="2" t="s">
        <v>2504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4250</v>
      </c>
      <c r="B92" t="s">
        <v>4248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4252</v>
      </c>
      <c r="B93" t="s">
        <v>4249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4714</v>
      </c>
      <c r="B94" t="s">
        <v>4248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the Tabantha Sky Archipelago", landmark: "Flux Construct", type: "Flux Construct III", region: 3, level: "Sky", x: -3450, y: 658, z: 1421, weight: 0, details: "" },</v>
      </c>
    </row>
    <row r="95" spans="1:10" x14ac:dyDescent="0.2">
      <c r="A95" t="s">
        <v>4251</v>
      </c>
      <c r="B95" t="s">
        <v>4247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4715</v>
      </c>
      <c r="B96" t="s">
        <v>4247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the West Hebra Sky Archipelago", landmark: "Flux Construct", type: "Flux Construct I", region: 4, level: "Sky", x: -3834, y: 2721, z: 547, weight: 0, details: "" },</v>
      </c>
    </row>
    <row r="97" spans="1:10" x14ac:dyDescent="0.2">
      <c r="A97" t="s">
        <v>4253</v>
      </c>
      <c r="B97" t="s">
        <v>4247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4254</v>
      </c>
      <c r="B98" t="s">
        <v>4248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4255</v>
      </c>
      <c r="B99" t="s">
        <v>4249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4716</v>
      </c>
      <c r="B100" t="s">
        <v>4249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the Wellspring Island", landmark: "Flux Construct", type: "Flux Construct II", region: 9, level: "Sky", x: 3386, y: 633, z: 1280, weight: 0, details: "" },</v>
      </c>
    </row>
    <row r="101" spans="1:10" x14ac:dyDescent="0.2">
      <c r="A101" t="s">
        <v>4717</v>
      </c>
      <c r="B101" t="s">
        <v>4249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the Lanayru Sky Archipelago", landmark: "Flux Construct", type: "Flux Construct II", region: 9, level: "Sky", x: 3000, y: -252, z: 891, weight: 0, details: "" },</v>
      </c>
    </row>
    <row r="102" spans="1:10" x14ac:dyDescent="0.2">
      <c r="A102" t="s">
        <v>4718</v>
      </c>
      <c r="B102" t="s">
        <v>4248</v>
      </c>
      <c r="C102" s="2">
        <v>12</v>
      </c>
      <c r="D102" s="2" t="s">
        <v>783</v>
      </c>
      <c r="E102" s="2">
        <v>3044</v>
      </c>
      <c r="F102" s="2">
        <v>-2777</v>
      </c>
      <c r="G102" s="2">
        <v>1192</v>
      </c>
      <c r="H102" s="2">
        <v>0</v>
      </c>
      <c r="J102" t="str">
        <f t="shared" si="3"/>
        <v>{ name: "Guardian of the Necluda Sky Archipelago", landmark: "Flux Construct", type: "Flux Construct III", region: 12, level: "Sky", x: 3044, y: -2777, z: 1192, weight: 0, details: "" },</v>
      </c>
    </row>
    <row r="103" spans="1:10" x14ac:dyDescent="0.2">
      <c r="A103" t="s">
        <v>4719</v>
      </c>
      <c r="B103" t="s">
        <v>4248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the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4720</v>
      </c>
      <c r="B104" t="s">
        <v>4248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the Faron Sky Archipelago", landmark: "Flux Construct", type: "Flux Construct III", region: 13, level: "Sky", x: -326, y: -2591, z: 891, weight: 0, details: "" },</v>
      </c>
    </row>
    <row r="105" spans="1:10" x14ac:dyDescent="0.2">
      <c r="A105" t="s">
        <v>4721</v>
      </c>
      <c r="B105" t="s">
        <v>4248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the Thunderhead Isles", landmark: "Flux Construct", type: "Flux Construct III", region: 13, level: "Sky", x: 1133, y: -3273, z: 756, weight: 0, details: "" },</v>
      </c>
    </row>
    <row r="106" spans="1:10" x14ac:dyDescent="0.2">
      <c r="A106" t="s">
        <v>4207</v>
      </c>
      <c r="B106" t="s">
        <v>4247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4208</v>
      </c>
      <c r="B107" t="s">
        <v>4248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4256</v>
      </c>
      <c r="B108" t="s">
        <v>4248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4248</v>
      </c>
      <c r="C109" s="2">
        <v>5</v>
      </c>
      <c r="D109" s="2" t="s">
        <v>994</v>
      </c>
      <c r="E109" s="2">
        <v>-815</v>
      </c>
      <c r="F109" s="2">
        <v>3534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-815, y: 3534, z: -658, weight: 0, details: "" },</v>
      </c>
    </row>
    <row r="110" spans="1:10" x14ac:dyDescent="0.2">
      <c r="A110" t="s">
        <v>4232</v>
      </c>
      <c r="B110" t="s">
        <v>4249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4233</v>
      </c>
      <c r="B111" t="s">
        <v>4249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4212</v>
      </c>
      <c r="B112" t="s">
        <v>4249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4248</v>
      </c>
      <c r="C113" s="2">
        <v>8</v>
      </c>
      <c r="D113" s="2" t="s">
        <v>994</v>
      </c>
      <c r="E113" s="2">
        <v>4655</v>
      </c>
      <c r="F113" s="2">
        <v>3697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4655, y: 3697, z: -426, weight: 0, details: "" },</v>
      </c>
    </row>
    <row r="114" spans="1:10" x14ac:dyDescent="0.2">
      <c r="A114" t="s">
        <v>4214</v>
      </c>
      <c r="B114" t="s">
        <v>4249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4215</v>
      </c>
      <c r="B115" t="s">
        <v>4249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4236</v>
      </c>
      <c r="B116" t="s">
        <v>4248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4237</v>
      </c>
      <c r="B117" t="s">
        <v>4249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4257</v>
      </c>
      <c r="B118" t="s">
        <v>4249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4216</v>
      </c>
      <c r="B119" t="s">
        <v>4249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4217</v>
      </c>
      <c r="B120" t="s">
        <v>4248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4218</v>
      </c>
      <c r="B121" t="s">
        <v>4247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4248</v>
      </c>
      <c r="C122" s="2">
        <v>14</v>
      </c>
      <c r="D122" s="2" t="s">
        <v>994</v>
      </c>
      <c r="E122" s="2">
        <v>-1795</v>
      </c>
      <c r="F122" s="2">
        <v>-3463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-1795, y: -3463, z: -501, weight: 0, details: "" },</v>
      </c>
    </row>
    <row r="123" spans="1:10" x14ac:dyDescent="0.2">
      <c r="A123" t="s">
        <v>4219</v>
      </c>
      <c r="B123" t="s">
        <v>4249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4243</v>
      </c>
      <c r="B124" t="s">
        <v>4248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4244</v>
      </c>
      <c r="B125" t="s">
        <v>4247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2915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3074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4258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3075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3075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4258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3073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4258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4259</v>
      </c>
      <c r="B135" t="s">
        <v>3075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3075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4258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4258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3073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4258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4260</v>
      </c>
      <c r="B141" t="s">
        <v>3074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4258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4261</v>
      </c>
      <c r="B143" t="s">
        <v>4258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3075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4258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3074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3075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4262</v>
      </c>
      <c r="B148" t="s">
        <v>3074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3073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3073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3075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4258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3075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3287</v>
      </c>
      <c r="B154" t="s">
        <v>3073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4264</v>
      </c>
      <c r="B155" t="s">
        <v>3073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4258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3075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4263</v>
      </c>
      <c r="B158" t="s">
        <v>4258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3075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3074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3073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4265</v>
      </c>
      <c r="B162" t="s">
        <v>3074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4266</v>
      </c>
      <c r="B163" t="s">
        <v>3073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4267</v>
      </c>
      <c r="B164" t="s">
        <v>4258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4268</v>
      </c>
      <c r="B165" t="s">
        <v>3074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3074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3074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4269</v>
      </c>
      <c r="B168" t="s">
        <v>3075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4270</v>
      </c>
      <c r="B169" t="s">
        <v>4258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4271</v>
      </c>
      <c r="B170" t="s">
        <v>3075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4221</v>
      </c>
      <c r="B171" t="s">
        <v>4258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4222</v>
      </c>
      <c r="B172" t="s">
        <v>4258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4224</v>
      </c>
      <c r="B173" t="s">
        <v>3075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4225</v>
      </c>
      <c r="B174" t="s">
        <v>3073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4272</v>
      </c>
      <c r="B175" t="s">
        <v>3074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4273</v>
      </c>
      <c r="B176" t="s">
        <v>3074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4232</v>
      </c>
      <c r="B177" t="s">
        <v>3075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4233</v>
      </c>
      <c r="B178" t="s">
        <v>3074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4210</v>
      </c>
      <c r="B179" t="s">
        <v>3075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4212</v>
      </c>
      <c r="B180" t="s">
        <v>3073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4274</v>
      </c>
      <c r="B181" t="s">
        <v>3075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4275</v>
      </c>
      <c r="B182" t="s">
        <v>3074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4236</v>
      </c>
      <c r="B183" t="s">
        <v>3075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4237</v>
      </c>
      <c r="B184" t="s">
        <v>3074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4277</v>
      </c>
      <c r="B185" t="s">
        <v>3074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4276</v>
      </c>
      <c r="B186" t="s">
        <v>3075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4241</v>
      </c>
      <c r="B187" t="s">
        <v>3075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4242</v>
      </c>
      <c r="B188" t="s">
        <v>3073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4278</v>
      </c>
      <c r="B189" t="s">
        <v>3073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4279</v>
      </c>
      <c r="B190" t="s">
        <v>3073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4280</v>
      </c>
      <c r="B191" t="s">
        <v>3073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4281</v>
      </c>
      <c r="B192" t="s">
        <v>3074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4284</v>
      </c>
      <c r="B193" t="s">
        <v>4258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4282</v>
      </c>
      <c r="B194" t="s">
        <v>3073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4283</v>
      </c>
      <c r="B195" t="s">
        <v>3075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4220</v>
      </c>
      <c r="B196" t="s">
        <v>3074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2915</v>
      </c>
      <c r="I198" s="6" t="s">
        <v>2081</v>
      </c>
      <c r="J198" s="6" t="s">
        <v>2075</v>
      </c>
    </row>
    <row r="199" spans="1:10" x14ac:dyDescent="0.2">
      <c r="A199" t="s">
        <v>4269</v>
      </c>
      <c r="B199" t="s">
        <v>3077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4270</v>
      </c>
      <c r="B200" t="s">
        <v>3077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4271</v>
      </c>
      <c r="B201" t="s">
        <v>4285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4221</v>
      </c>
      <c r="B202" t="s">
        <v>3076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4222</v>
      </c>
      <c r="B203" t="s">
        <v>4285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4223</v>
      </c>
      <c r="B204" t="s">
        <v>4285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4286</v>
      </c>
      <c r="B205" t="s">
        <v>4285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4224</v>
      </c>
      <c r="B206" t="s">
        <v>3076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4225</v>
      </c>
      <c r="B207" t="s">
        <v>3077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4226</v>
      </c>
      <c r="B208" t="s">
        <v>3076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4227</v>
      </c>
      <c r="B209" t="s">
        <v>3077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4287</v>
      </c>
      <c r="B210" t="s">
        <v>3076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4288</v>
      </c>
      <c r="B211" t="s">
        <v>3077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4289</v>
      </c>
      <c r="B212" t="s">
        <v>3077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4290</v>
      </c>
      <c r="B213" t="s">
        <v>3077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4291</v>
      </c>
      <c r="B214" t="s">
        <v>3077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4292</v>
      </c>
      <c r="B215" t="s">
        <v>3077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4232</v>
      </c>
      <c r="B216" t="s">
        <v>3076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4233</v>
      </c>
      <c r="B217" t="s">
        <v>3076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4293</v>
      </c>
      <c r="B218" t="s">
        <v>3076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4212</v>
      </c>
      <c r="B219" t="s">
        <v>4285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4213</v>
      </c>
      <c r="B220" t="s">
        <v>3076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4294</v>
      </c>
      <c r="B221" t="s">
        <v>3076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4295</v>
      </c>
      <c r="B222" t="s">
        <v>3076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4236</v>
      </c>
      <c r="B223" t="s">
        <v>3077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4237</v>
      </c>
      <c r="B224" t="s">
        <v>3076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4217</v>
      </c>
      <c r="B225" t="s">
        <v>3077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4241</v>
      </c>
      <c r="B226" t="s">
        <v>4285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4242</v>
      </c>
      <c r="B227" t="s">
        <v>4285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4278</v>
      </c>
      <c r="B228" t="s">
        <v>3076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4296</v>
      </c>
      <c r="B229" t="s">
        <v>4285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4282</v>
      </c>
      <c r="B230" t="s">
        <v>3076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4283</v>
      </c>
      <c r="B231" t="s">
        <v>3076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4297</v>
      </c>
      <c r="B232" t="s">
        <v>4285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4298</v>
      </c>
      <c r="B233" t="s">
        <v>4285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4299</v>
      </c>
      <c r="B234" t="s">
        <v>4285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4300</v>
      </c>
      <c r="B235" t="s">
        <v>4285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4301</v>
      </c>
      <c r="B236" t="s">
        <v>3076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4243</v>
      </c>
      <c r="B237" t="s">
        <v>3077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4244</v>
      </c>
      <c r="B238" t="s">
        <v>3077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2915</v>
      </c>
      <c r="I240" s="6" t="s">
        <v>2081</v>
      </c>
      <c r="J240" s="6" t="s">
        <v>2075</v>
      </c>
    </row>
    <row r="241" spans="1:10" x14ac:dyDescent="0.2">
      <c r="A241" t="s">
        <v>4302</v>
      </c>
      <c r="B241" t="s">
        <v>3078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4304</v>
      </c>
      <c r="B242" t="s">
        <v>3078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4303</v>
      </c>
      <c r="B243" t="s">
        <v>3078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3081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3080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3079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3079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4305</v>
      </c>
      <c r="B248" t="s">
        <v>3081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3080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3080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4306</v>
      </c>
      <c r="B251" t="s">
        <v>3081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3080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4307</v>
      </c>
      <c r="B253" t="s">
        <v>3079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3078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2915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4308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4308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4309</v>
      </c>
      <c r="B259" t="s">
        <v>4308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4308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2915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4310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4310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3082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4310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4310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3083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3082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3082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3082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3083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3082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3082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4312</v>
      </c>
      <c r="B275" t="s">
        <v>3082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4310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3083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4313</v>
      </c>
      <c r="B278" t="s">
        <v>3083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4314</v>
      </c>
      <c r="B279" t="s">
        <v>4311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4315</v>
      </c>
      <c r="B280" t="s">
        <v>4310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4316</v>
      </c>
      <c r="B281" t="s">
        <v>3082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4317</v>
      </c>
      <c r="B282" t="s">
        <v>3083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4318</v>
      </c>
      <c r="B283" t="s">
        <v>3084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4319</v>
      </c>
      <c r="B284" t="s">
        <v>3087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4320</v>
      </c>
      <c r="B285" t="s">
        <v>4311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4321</v>
      </c>
      <c r="B286" t="s">
        <v>3086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4322</v>
      </c>
      <c r="B287" t="s">
        <v>3086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4323</v>
      </c>
      <c r="B288" t="s">
        <v>3085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4324</v>
      </c>
      <c r="B289" t="s">
        <v>3085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4325</v>
      </c>
      <c r="B290" t="s">
        <v>3085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4326</v>
      </c>
      <c r="B291" t="s">
        <v>3085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4327</v>
      </c>
      <c r="B292" t="s">
        <v>3087</v>
      </c>
      <c r="C292" s="2" t="s">
        <v>2913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4328</v>
      </c>
      <c r="B293" t="s">
        <v>3086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4329</v>
      </c>
      <c r="B294" t="s">
        <v>3086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4330</v>
      </c>
      <c r="B295" t="s">
        <v>3085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4284</v>
      </c>
      <c r="B296" t="s">
        <v>3085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2412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2412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2934</v>
      </c>
    </row>
    <row r="4" spans="1:10" x14ac:dyDescent="0.2">
      <c r="A4" t="s">
        <v>1535</v>
      </c>
      <c r="B4" t="s">
        <v>2412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2935</v>
      </c>
    </row>
    <row r="5" spans="1:10" x14ac:dyDescent="0.2">
      <c r="A5" t="s">
        <v>2413</v>
      </c>
      <c r="B5" t="s">
        <v>2412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2936</v>
      </c>
    </row>
    <row r="6" spans="1:10" x14ac:dyDescent="0.2">
      <c r="A6" t="s">
        <v>1726</v>
      </c>
      <c r="B6" t="s">
        <v>2412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2937</v>
      </c>
    </row>
    <row r="7" spans="1:10" x14ac:dyDescent="0.2">
      <c r="A7" t="s">
        <v>1238</v>
      </c>
      <c r="B7" t="s">
        <v>2412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2938</v>
      </c>
    </row>
    <row r="8" spans="1:10" x14ac:dyDescent="0.2">
      <c r="A8" t="s">
        <v>1317</v>
      </c>
      <c r="B8" t="s">
        <v>2412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2939</v>
      </c>
    </row>
    <row r="9" spans="1:10" x14ac:dyDescent="0.2">
      <c r="A9" t="s">
        <v>1033</v>
      </c>
      <c r="B9" t="s">
        <v>2412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2940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I9" sqref="I9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2445</v>
      </c>
      <c r="C2" s="2" t="s">
        <v>2449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2445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2918</v>
      </c>
    </row>
    <row r="4" spans="1:10" x14ac:dyDescent="0.2">
      <c r="A4" t="s">
        <v>1669</v>
      </c>
      <c r="B4" t="s">
        <v>2445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2919</v>
      </c>
    </row>
    <row r="5" spans="1:10" x14ac:dyDescent="0.2">
      <c r="A5" t="s">
        <v>847</v>
      </c>
      <c r="B5" t="s">
        <v>2445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2920</v>
      </c>
    </row>
    <row r="6" spans="1:10" x14ac:dyDescent="0.2">
      <c r="A6" t="s">
        <v>1273</v>
      </c>
      <c r="B6" t="s">
        <v>2445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2921</v>
      </c>
    </row>
    <row r="7" spans="1:10" x14ac:dyDescent="0.2">
      <c r="A7" t="s">
        <v>1399</v>
      </c>
      <c r="B7" t="s">
        <v>2445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2922</v>
      </c>
    </row>
    <row r="8" spans="1:10" x14ac:dyDescent="0.2">
      <c r="A8" t="s">
        <v>1302</v>
      </c>
      <c r="B8" t="s">
        <v>2445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2923</v>
      </c>
    </row>
    <row r="9" spans="1:10" x14ac:dyDescent="0.2">
      <c r="A9" t="s">
        <v>1028</v>
      </c>
      <c r="B9" t="s">
        <v>2445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3251</v>
      </c>
      <c r="J9" t="s">
        <v>3252</v>
      </c>
    </row>
    <row r="10" spans="1:10" x14ac:dyDescent="0.2">
      <c r="A10" t="s">
        <v>1636</v>
      </c>
      <c r="B10" t="s">
        <v>2445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2924</v>
      </c>
    </row>
    <row r="11" spans="1:10" x14ac:dyDescent="0.2">
      <c r="A11" t="s">
        <v>1664</v>
      </c>
      <c r="B11" t="s">
        <v>2445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2925</v>
      </c>
    </row>
    <row r="12" spans="1:10" x14ac:dyDescent="0.2">
      <c r="A12" t="s">
        <v>1730</v>
      </c>
      <c r="B12" t="s">
        <v>2445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2926</v>
      </c>
    </row>
    <row r="13" spans="1:10" x14ac:dyDescent="0.2">
      <c r="A13" t="s">
        <v>999</v>
      </c>
      <c r="B13" t="s">
        <v>2445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2927</v>
      </c>
    </row>
    <row r="14" spans="1:10" x14ac:dyDescent="0.2">
      <c r="A14" t="s">
        <v>1080</v>
      </c>
      <c r="B14" t="s">
        <v>2445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2928</v>
      </c>
    </row>
    <row r="15" spans="1:10" x14ac:dyDescent="0.2">
      <c r="A15" t="s">
        <v>1329</v>
      </c>
      <c r="B15" t="s">
        <v>2445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2929</v>
      </c>
    </row>
    <row r="16" spans="1:10" x14ac:dyDescent="0.2">
      <c r="A16" t="s">
        <v>1637</v>
      </c>
      <c r="B16" t="s">
        <v>2445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2930</v>
      </c>
    </row>
    <row r="17" spans="1:10" x14ac:dyDescent="0.2">
      <c r="A17" t="s">
        <v>1447</v>
      </c>
      <c r="B17" t="s">
        <v>2445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2931</v>
      </c>
    </row>
    <row r="18" spans="1:10" x14ac:dyDescent="0.2">
      <c r="A18" t="s">
        <v>795</v>
      </c>
      <c r="B18" t="s">
        <v>2445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2932</v>
      </c>
    </row>
    <row r="19" spans="1:10" x14ac:dyDescent="0.2">
      <c r="A19" t="s">
        <v>1284</v>
      </c>
      <c r="B19" t="s">
        <v>2445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2933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2915</v>
      </c>
      <c r="I1" s="6" t="s">
        <v>2342</v>
      </c>
      <c r="J1" s="6" t="s">
        <v>2075</v>
      </c>
    </row>
    <row r="2" spans="1:10" x14ac:dyDescent="0.2">
      <c r="A2" t="s">
        <v>1020</v>
      </c>
      <c r="B2" t="s">
        <v>2343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2343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2941</v>
      </c>
    </row>
    <row r="4" spans="1:10" x14ac:dyDescent="0.2">
      <c r="A4" t="s">
        <v>1050</v>
      </c>
      <c r="B4" t="s">
        <v>2343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2942</v>
      </c>
    </row>
    <row r="5" spans="1:10" x14ac:dyDescent="0.2">
      <c r="A5" t="s">
        <v>1058</v>
      </c>
      <c r="B5" t="s">
        <v>2343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2943</v>
      </c>
    </row>
    <row r="6" spans="1:10" x14ac:dyDescent="0.2">
      <c r="A6" t="s">
        <v>1071</v>
      </c>
      <c r="B6" t="s">
        <v>2343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2944</v>
      </c>
    </row>
    <row r="7" spans="1:10" x14ac:dyDescent="0.2">
      <c r="A7" t="s">
        <v>1030</v>
      </c>
      <c r="B7" t="s">
        <v>2343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2945</v>
      </c>
    </row>
    <row r="8" spans="1:10" x14ac:dyDescent="0.2">
      <c r="A8" t="s">
        <v>1032</v>
      </c>
      <c r="B8" t="s">
        <v>2343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2946</v>
      </c>
    </row>
    <row r="9" spans="1:10" x14ac:dyDescent="0.2">
      <c r="A9" t="s">
        <v>1051</v>
      </c>
      <c r="B9" t="s">
        <v>2343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2947</v>
      </c>
    </row>
    <row r="10" spans="1:10" x14ac:dyDescent="0.2">
      <c r="A10" t="s">
        <v>1060</v>
      </c>
      <c r="B10" t="s">
        <v>2343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2948</v>
      </c>
    </row>
    <row r="11" spans="1:10" x14ac:dyDescent="0.2">
      <c r="A11" t="s">
        <v>1077</v>
      </c>
      <c r="B11" t="s">
        <v>2343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2949</v>
      </c>
    </row>
    <row r="12" spans="1:10" x14ac:dyDescent="0.2">
      <c r="A12" t="s">
        <v>787</v>
      </c>
      <c r="B12" t="s">
        <v>2343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2950</v>
      </c>
    </row>
    <row r="13" spans="1:10" x14ac:dyDescent="0.2">
      <c r="A13" t="s">
        <v>1040</v>
      </c>
      <c r="B13" t="s">
        <v>2343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2951</v>
      </c>
    </row>
    <row r="14" spans="1:10" x14ac:dyDescent="0.2">
      <c r="A14" t="s">
        <v>1045</v>
      </c>
      <c r="B14" t="s">
        <v>2343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2952</v>
      </c>
    </row>
    <row r="15" spans="1:10" x14ac:dyDescent="0.2">
      <c r="A15" t="s">
        <v>1049</v>
      </c>
      <c r="B15" t="s">
        <v>2343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2953</v>
      </c>
    </row>
    <row r="16" spans="1:10" x14ac:dyDescent="0.2">
      <c r="A16" t="s">
        <v>1059</v>
      </c>
      <c r="B16" t="s">
        <v>2343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2954</v>
      </c>
    </row>
    <row r="17" spans="1:10" x14ac:dyDescent="0.2">
      <c r="A17" t="s">
        <v>1072</v>
      </c>
      <c r="B17" t="s">
        <v>2343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2955</v>
      </c>
    </row>
    <row r="18" spans="1:10" x14ac:dyDescent="0.2">
      <c r="A18" t="s">
        <v>1075</v>
      </c>
      <c r="B18" t="s">
        <v>2343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2956</v>
      </c>
    </row>
    <row r="19" spans="1:10" x14ac:dyDescent="0.2">
      <c r="A19" t="s">
        <v>1082</v>
      </c>
      <c r="B19" t="s">
        <v>2343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2957</v>
      </c>
    </row>
    <row r="20" spans="1:10" x14ac:dyDescent="0.2">
      <c r="A20" t="s">
        <v>1037</v>
      </c>
      <c r="B20" t="s">
        <v>2343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2958</v>
      </c>
    </row>
    <row r="21" spans="1:10" x14ac:dyDescent="0.2">
      <c r="A21" t="s">
        <v>1081</v>
      </c>
      <c r="B21" t="s">
        <v>2343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2959</v>
      </c>
    </row>
    <row r="22" spans="1:10" x14ac:dyDescent="0.2">
      <c r="A22" t="s">
        <v>1083</v>
      </c>
      <c r="B22" t="s">
        <v>2343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2960</v>
      </c>
    </row>
    <row r="23" spans="1:10" x14ac:dyDescent="0.2">
      <c r="A23" t="s">
        <v>1056</v>
      </c>
      <c r="B23" t="s">
        <v>2343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2961</v>
      </c>
    </row>
    <row r="24" spans="1:10" x14ac:dyDescent="0.2">
      <c r="A24" t="s">
        <v>1062</v>
      </c>
      <c r="B24" t="s">
        <v>2343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2962</v>
      </c>
    </row>
    <row r="25" spans="1:10" x14ac:dyDescent="0.2">
      <c r="A25" t="s">
        <v>1069</v>
      </c>
      <c r="B25" t="s">
        <v>2343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2963</v>
      </c>
    </row>
    <row r="26" spans="1:10" x14ac:dyDescent="0.2">
      <c r="A26" t="s">
        <v>1079</v>
      </c>
      <c r="B26" t="s">
        <v>2343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2964</v>
      </c>
    </row>
    <row r="27" spans="1:10" x14ac:dyDescent="0.2">
      <c r="A27" t="s">
        <v>1026</v>
      </c>
      <c r="B27" t="s">
        <v>2343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2965</v>
      </c>
    </row>
    <row r="28" spans="1:10" x14ac:dyDescent="0.2">
      <c r="A28" t="s">
        <v>792</v>
      </c>
      <c r="B28" t="s">
        <v>2343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2966</v>
      </c>
    </row>
    <row r="29" spans="1:10" x14ac:dyDescent="0.2">
      <c r="A29" t="s">
        <v>1038</v>
      </c>
      <c r="B29" t="s">
        <v>2343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2967</v>
      </c>
    </row>
    <row r="30" spans="1:10" x14ac:dyDescent="0.2">
      <c r="A30" t="s">
        <v>1087</v>
      </c>
      <c r="B30" t="s">
        <v>2343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2968</v>
      </c>
    </row>
    <row r="31" spans="1:10" x14ac:dyDescent="0.2">
      <c r="A31" t="s">
        <v>1022</v>
      </c>
      <c r="B31" t="s">
        <v>2343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2969</v>
      </c>
    </row>
    <row r="32" spans="1:10" x14ac:dyDescent="0.2">
      <c r="A32" t="s">
        <v>793</v>
      </c>
      <c r="B32" t="s">
        <v>2343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2970</v>
      </c>
    </row>
    <row r="33" spans="1:10" x14ac:dyDescent="0.2">
      <c r="A33" t="s">
        <v>1025</v>
      </c>
      <c r="B33" t="s">
        <v>2343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2971</v>
      </c>
    </row>
    <row r="34" spans="1:10" x14ac:dyDescent="0.2">
      <c r="A34" t="s">
        <v>1031</v>
      </c>
      <c r="B34" t="s">
        <v>2343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2972</v>
      </c>
    </row>
    <row r="35" spans="1:10" x14ac:dyDescent="0.2">
      <c r="A35" t="s">
        <v>1035</v>
      </c>
      <c r="B35" t="s">
        <v>2343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2973</v>
      </c>
    </row>
    <row r="36" spans="1:10" x14ac:dyDescent="0.2">
      <c r="A36" t="s">
        <v>1054</v>
      </c>
      <c r="B36" t="s">
        <v>2343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2974</v>
      </c>
    </row>
    <row r="37" spans="1:10" x14ac:dyDescent="0.2">
      <c r="A37" t="s">
        <v>1068</v>
      </c>
      <c r="B37" t="s">
        <v>2343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2975</v>
      </c>
    </row>
    <row r="38" spans="1:10" x14ac:dyDescent="0.2">
      <c r="A38" t="s">
        <v>959</v>
      </c>
      <c r="B38" t="s">
        <v>2343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2976</v>
      </c>
    </row>
    <row r="39" spans="1:10" x14ac:dyDescent="0.2">
      <c r="A39" t="s">
        <v>1086</v>
      </c>
      <c r="B39" t="s">
        <v>2343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2977</v>
      </c>
    </row>
    <row r="40" spans="1:10" x14ac:dyDescent="0.2">
      <c r="A40" t="s">
        <v>1019</v>
      </c>
      <c r="B40" t="s">
        <v>2343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2978</v>
      </c>
    </row>
    <row r="41" spans="1:10" x14ac:dyDescent="0.2">
      <c r="A41" t="s">
        <v>1028</v>
      </c>
      <c r="B41" t="s">
        <v>2343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2979</v>
      </c>
    </row>
    <row r="42" spans="1:10" x14ac:dyDescent="0.2">
      <c r="A42" t="s">
        <v>1043</v>
      </c>
      <c r="B42" t="s">
        <v>2343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2980</v>
      </c>
    </row>
    <row r="43" spans="1:10" x14ac:dyDescent="0.2">
      <c r="A43" t="s">
        <v>1063</v>
      </c>
      <c r="B43" t="s">
        <v>2343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2981</v>
      </c>
    </row>
    <row r="44" spans="1:10" x14ac:dyDescent="0.2">
      <c r="A44" t="s">
        <v>837</v>
      </c>
      <c r="B44" t="s">
        <v>2343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2982</v>
      </c>
    </row>
    <row r="45" spans="1:10" x14ac:dyDescent="0.2">
      <c r="A45" t="s">
        <v>1078</v>
      </c>
      <c r="B45" t="s">
        <v>2343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2983</v>
      </c>
    </row>
    <row r="46" spans="1:10" x14ac:dyDescent="0.2">
      <c r="A46" t="s">
        <v>1023</v>
      </c>
      <c r="B46" t="s">
        <v>2343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2984</v>
      </c>
    </row>
    <row r="47" spans="1:10" x14ac:dyDescent="0.2">
      <c r="A47" t="s">
        <v>1048</v>
      </c>
      <c r="B47" t="s">
        <v>2343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2985</v>
      </c>
    </row>
    <row r="48" spans="1:10" x14ac:dyDescent="0.2">
      <c r="A48" t="s">
        <v>1073</v>
      </c>
      <c r="B48" t="s">
        <v>2343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2986</v>
      </c>
    </row>
    <row r="49" spans="1:10" x14ac:dyDescent="0.2">
      <c r="A49" t="s">
        <v>1076</v>
      </c>
      <c r="B49" t="s">
        <v>2343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2987</v>
      </c>
    </row>
    <row r="50" spans="1:10" x14ac:dyDescent="0.2">
      <c r="A50" t="s">
        <v>1088</v>
      </c>
      <c r="B50" t="s">
        <v>2343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2988</v>
      </c>
    </row>
    <row r="51" spans="1:10" x14ac:dyDescent="0.2">
      <c r="A51" t="s">
        <v>1089</v>
      </c>
      <c r="B51" t="s">
        <v>2343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2989</v>
      </c>
    </row>
    <row r="52" spans="1:10" x14ac:dyDescent="0.2">
      <c r="A52" t="s">
        <v>1091</v>
      </c>
      <c r="B52" t="s">
        <v>2343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2990</v>
      </c>
    </row>
    <row r="53" spans="1:10" x14ac:dyDescent="0.2">
      <c r="A53" t="s">
        <v>1047</v>
      </c>
      <c r="B53" t="s">
        <v>2343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2991</v>
      </c>
    </row>
    <row r="54" spans="1:10" x14ac:dyDescent="0.2">
      <c r="A54" t="s">
        <v>1070</v>
      </c>
      <c r="B54" t="s">
        <v>2343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2992</v>
      </c>
    </row>
    <row r="55" spans="1:10" x14ac:dyDescent="0.2">
      <c r="A55" t="s">
        <v>1074</v>
      </c>
      <c r="B55" t="s">
        <v>2343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2993</v>
      </c>
    </row>
    <row r="56" spans="1:10" x14ac:dyDescent="0.2">
      <c r="A56" t="s">
        <v>1024</v>
      </c>
      <c r="B56" t="s">
        <v>2343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2994</v>
      </c>
    </row>
    <row r="57" spans="1:10" x14ac:dyDescent="0.2">
      <c r="A57" t="s">
        <v>1052</v>
      </c>
      <c r="B57" t="s">
        <v>2343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2995</v>
      </c>
    </row>
    <row r="58" spans="1:10" x14ac:dyDescent="0.2">
      <c r="A58" t="s">
        <v>1055</v>
      </c>
      <c r="B58" t="s">
        <v>2343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2996</v>
      </c>
    </row>
    <row r="59" spans="1:10" x14ac:dyDescent="0.2">
      <c r="A59" t="s">
        <v>804</v>
      </c>
      <c r="B59" t="s">
        <v>2343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2997</v>
      </c>
    </row>
    <row r="60" spans="1:10" x14ac:dyDescent="0.2">
      <c r="A60" t="s">
        <v>1061</v>
      </c>
      <c r="B60" t="s">
        <v>2343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2998</v>
      </c>
    </row>
    <row r="61" spans="1:10" x14ac:dyDescent="0.2">
      <c r="A61" t="s">
        <v>1021</v>
      </c>
      <c r="B61" t="s">
        <v>2343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2999</v>
      </c>
    </row>
    <row r="62" spans="1:10" x14ac:dyDescent="0.2">
      <c r="A62" t="s">
        <v>1041</v>
      </c>
      <c r="B62" t="s">
        <v>2343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3000</v>
      </c>
    </row>
    <row r="63" spans="1:10" x14ac:dyDescent="0.2">
      <c r="A63" t="s">
        <v>1065</v>
      </c>
      <c r="B63" t="s">
        <v>2343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3001</v>
      </c>
    </row>
    <row r="64" spans="1:10" x14ac:dyDescent="0.2">
      <c r="A64" t="s">
        <v>1085</v>
      </c>
      <c r="B64" t="s">
        <v>2343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3002</v>
      </c>
    </row>
    <row r="65" spans="1:10" x14ac:dyDescent="0.2">
      <c r="A65" t="s">
        <v>1027</v>
      </c>
      <c r="B65" t="s">
        <v>2343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3003</v>
      </c>
    </row>
    <row r="66" spans="1:10" x14ac:dyDescent="0.2">
      <c r="A66" t="s">
        <v>1036</v>
      </c>
      <c r="B66" t="s">
        <v>2343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3004</v>
      </c>
    </row>
    <row r="67" spans="1:10" x14ac:dyDescent="0.2">
      <c r="A67" t="s">
        <v>796</v>
      </c>
      <c r="B67" t="s">
        <v>2343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3005</v>
      </c>
    </row>
    <row r="68" spans="1:10" x14ac:dyDescent="0.2">
      <c r="A68" t="s">
        <v>1046</v>
      </c>
      <c r="B68" t="s">
        <v>2343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3006</v>
      </c>
    </row>
    <row r="69" spans="1:10" x14ac:dyDescent="0.2">
      <c r="A69" t="s">
        <v>1064</v>
      </c>
      <c r="B69" t="s">
        <v>2343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3007</v>
      </c>
    </row>
    <row r="70" spans="1:10" x14ac:dyDescent="0.2">
      <c r="A70" t="s">
        <v>1067</v>
      </c>
      <c r="B70" t="s">
        <v>2343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3008</v>
      </c>
    </row>
    <row r="71" spans="1:10" x14ac:dyDescent="0.2">
      <c r="A71" t="s">
        <v>1080</v>
      </c>
      <c r="B71" t="s">
        <v>2343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3009</v>
      </c>
    </row>
    <row r="72" spans="1:10" x14ac:dyDescent="0.2">
      <c r="A72" t="s">
        <v>1029</v>
      </c>
      <c r="B72" t="s">
        <v>2343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3010</v>
      </c>
    </row>
    <row r="73" spans="1:10" x14ac:dyDescent="0.2">
      <c r="A73" t="s">
        <v>1033</v>
      </c>
      <c r="B73" t="s">
        <v>2343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3011</v>
      </c>
    </row>
    <row r="74" spans="1:10" x14ac:dyDescent="0.2">
      <c r="A74" t="s">
        <v>997</v>
      </c>
      <c r="B74" t="s">
        <v>2343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3012</v>
      </c>
    </row>
    <row r="75" spans="1:10" x14ac:dyDescent="0.2">
      <c r="A75" t="s">
        <v>1034</v>
      </c>
      <c r="B75" t="s">
        <v>2343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3013</v>
      </c>
    </row>
    <row r="76" spans="1:10" x14ac:dyDescent="0.2">
      <c r="A76" t="s">
        <v>1042</v>
      </c>
      <c r="B76" t="s">
        <v>2343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3014</v>
      </c>
    </row>
    <row r="77" spans="1:10" x14ac:dyDescent="0.2">
      <c r="A77" t="s">
        <v>1057</v>
      </c>
      <c r="B77" t="s">
        <v>2343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3015</v>
      </c>
    </row>
    <row r="78" spans="1:10" x14ac:dyDescent="0.2">
      <c r="A78" t="s">
        <v>1066</v>
      </c>
      <c r="B78" t="s">
        <v>2343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3016</v>
      </c>
    </row>
    <row r="79" spans="1:10" x14ac:dyDescent="0.2">
      <c r="A79" t="s">
        <v>1090</v>
      </c>
      <c r="B79" t="s">
        <v>2343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3017</v>
      </c>
    </row>
    <row r="80" spans="1:10" x14ac:dyDescent="0.2">
      <c r="A80" t="s">
        <v>1044</v>
      </c>
      <c r="B80" t="s">
        <v>2343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3018</v>
      </c>
    </row>
    <row r="81" spans="1:10" x14ac:dyDescent="0.2">
      <c r="A81" t="s">
        <v>1053</v>
      </c>
      <c r="B81" t="s">
        <v>2343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3019</v>
      </c>
    </row>
    <row r="82" spans="1:10" x14ac:dyDescent="0.2">
      <c r="A82" t="s">
        <v>1084</v>
      </c>
      <c r="B82" t="s">
        <v>2343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3020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I37" sqref="I37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4331</v>
      </c>
      <c r="B2" t="s">
        <v>2378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3253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#01", landmark: "Old Map", type: "Old Map", region: 2, level: "Sky", x: -1456, y: -1585, z: 1220, weight: 0, details: '&lt;img src="icons/treasure.png" style="height: 20px, width: 20px, vertical-align: middle, margin-right: 5px;"&gt;&lt;span style="color: #c6a96a, font-weight: bold;"&gt;TREASURE&lt;/span&gt; Trousers of the Hero' },</v>
      </c>
    </row>
    <row r="3" spans="1:10" x14ac:dyDescent="0.2">
      <c r="A3" t="s">
        <v>4332</v>
      </c>
      <c r="B3" t="s">
        <v>2378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3254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'"&amp;I3&amp;"' },"</f>
        <v>{ name: "South Hyrule Sky #02", landmark: "Old Map", type: "Old Map", region: 2, level: "Sky", x: -1231, y: -1403, z: 1007, weight: 0, details: '&lt;img src="icons/treasure.png" style="height: 20px, width: 20px, vertical-align: middle, margin-right: 5px;"&gt;&lt;span style="color: #c6a96a, font-weight: bold;"&gt;TREASURE&lt;/span&gt; Tunic of the Hero' },</v>
      </c>
    </row>
    <row r="4" spans="1:10" x14ac:dyDescent="0.2">
      <c r="A4" t="s">
        <v>4333</v>
      </c>
      <c r="B4" t="s">
        <v>2378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3255</v>
      </c>
      <c r="J4" t="str">
        <f t="shared" si="0"/>
        <v>{ name: "South Hyrule Sky #03", landmark: "Old Map", type: "Old Map", region: 2, level: "Sky", x: -1343, y: -1547, z: 801, weight: 0, details: '&lt;img src="icons/treasure.png" style="height: 20px, width: 20px, vertical-align: middle, margin-right: 5px;"&gt;&lt;span style="color: #c6a96a, font-weight: bold;"&gt;TREASURE&lt;/span&gt; Cap of the Hero' },</v>
      </c>
    </row>
    <row r="5" spans="1:10" x14ac:dyDescent="0.2">
      <c r="A5" t="s">
        <v>4334</v>
      </c>
      <c r="B5" t="s">
        <v>2378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3256</v>
      </c>
      <c r="J5" t="str">
        <f t="shared" si="0"/>
        <v>{ name: "South Hyrule Sky #04", landmark: "Old Map", type: "Old Map", region: 2, level: "Sky", x: -818, y: -1594, z: 861, weight: 0, details: '&lt;img src="icons/treasure.png" style="height: 20px, width: 20px, vertical-align: middle, margin-right: 5px;"&gt;&lt;span style="color: #c6a96a, font-weight: bold;"&gt;TREASURE&lt;/span&gt; Sheik's Mask' },</v>
      </c>
    </row>
    <row r="6" spans="1:10" x14ac:dyDescent="0.2">
      <c r="A6" t="s">
        <v>2442</v>
      </c>
      <c r="B6" t="s">
        <v>2378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3257</v>
      </c>
      <c r="J6" t="str">
        <f t="shared" si="0"/>
        <v>{ name: "North Tabantha Sky", landmark: "Old Map", type: "Old Map", region: 3, level: "Sky", x: -3437, y: 1431, z: 1193, weight: 0, details: '&lt;img src="icons/treasure.png" style="height: 20px, width: 20px, vertical-align: middle, margin-right: 5px;"&gt;&lt;span style="color: #c6a96a, font-weight: bold;"&gt;TREASURE&lt;/span&gt; Tunic of the Wild' },</v>
      </c>
    </row>
    <row r="7" spans="1:10" x14ac:dyDescent="0.2">
      <c r="A7" t="s">
        <v>4335</v>
      </c>
      <c r="B7" t="s">
        <v>2378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3258</v>
      </c>
      <c r="J7" t="str">
        <f t="shared" si="0"/>
        <v>{ name: "Tabantha Sky #01", landmark: "Old Map", type: "Old Map", region: 3, level: "Sky", x: -3931, y: 609, z: 1708, weight: 0, details: '&lt;img src="icons/treasure.png" style="height: 20px, width: 20px, vertical-align: middle, margin-right: 5px;"&gt;&lt;span style="color: #c6a96a, font-weight: bold;"&gt;TREASURE&lt;/span&gt; Trousers of the Wild' },</v>
      </c>
    </row>
    <row r="8" spans="1:10" x14ac:dyDescent="0.2">
      <c r="A8" t="s">
        <v>4336</v>
      </c>
      <c r="B8" t="s">
        <v>2378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3259</v>
      </c>
      <c r="J8" t="str">
        <f t="shared" si="0"/>
        <v>{ name: "Tabantha Sky #02", landmark: "Old Map", type: "Old Map", region: 3, level: "Sky", x: -3636, y: 466, z: 1661, weight: 0, details: '&lt;img src="icons/treasure.png" style="height: 20px, width: 20px, vertical-align: middle, margin-right: 5px;"&gt;&lt;span style="color: #c6a96a, font-weight: bold;"&gt;TREASURE&lt;/span&gt; Cap of the Wild' },</v>
      </c>
    </row>
    <row r="9" spans="1:10" x14ac:dyDescent="0.2">
      <c r="A9" t="s">
        <v>2351</v>
      </c>
      <c r="B9" t="s">
        <v>2378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3260</v>
      </c>
      <c r="J9" t="str">
        <f t="shared" si="0"/>
        <v>{ name: "Rising Island Chain", landmark: "Old Map", type: "Old Map", region: 4, level: "Sky", x: -3470, y: 3518, z: 930, weight: 0, details: '&lt;img src="icons/treasure.png" style="height: 20px, width: 20px, vertical-align: middle, margin-right: 5px;"&gt;&lt;span style="color: #c6a96a, font-weight: bold;"&gt;TREASURE&lt;/span&gt; Miner's Mask' },</v>
      </c>
    </row>
    <row r="10" spans="1:10" x14ac:dyDescent="0.2">
      <c r="A10" t="s">
        <v>4337</v>
      </c>
      <c r="B10" t="s">
        <v>2378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3261</v>
      </c>
      <c r="J10" t="str">
        <f t="shared" si="0"/>
        <v>{ name: "West Hebra Sky #01", landmark: "Old Map", type: "Old Map", region: 4, level: "Sky", x: -3860, y: 2922, z: 747, weight: 0, details: '&lt;img src="icons/treasure.png" style="height: 20px, width: 20px, vertical-align: middle, margin-right: 5px;"&gt;&lt;span style="color: #c6a96a, font-weight: bold;"&gt;TREASURE&lt;/span&gt; Miner's Top' },</v>
      </c>
    </row>
    <row r="11" spans="1:10" x14ac:dyDescent="0.2">
      <c r="A11" t="s">
        <v>4338</v>
      </c>
      <c r="B11" t="s">
        <v>2378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3262</v>
      </c>
      <c r="J11" t="str">
        <f t="shared" si="0"/>
        <v>{ name: "West Hebra Sky #02", landmark: "Old Map", type: "Old Map", region: 4, level: "Sky", x: -3834, y: 2720, z: 544, weight: 0, details: '&lt;img src="icons/treasure.png" style="height: 20px, width: 20px, vertical-align: middle, margin-right: 5px;"&gt;&lt;span style="color: #c6a96a, font-weight: bold;"&gt;TREASURE&lt;/span&gt; Miner's Trousers' },</v>
      </c>
    </row>
    <row r="12" spans="1:10" x14ac:dyDescent="0.2">
      <c r="A12" t="s">
        <v>2273</v>
      </c>
      <c r="B12" t="s">
        <v>2378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3263</v>
      </c>
      <c r="J12" t="str">
        <f t="shared" si="0"/>
        <v>{ name: "East Hebra Sky", landmark: "Old Map", type: "Old Map", region: 5, level: "Sky", x: -1648, y: 3508, z: 747, weight: 0, details: '&lt;img src="icons/treasure.png" style="height: 20px, width: 20px, vertical-align: middle, margin-right: 5px;"&gt;&lt;span style="color: #c6a96a, font-weight: bold;"&gt;TREASURE&lt;/span&gt; Ravio's Hood' },</v>
      </c>
    </row>
    <row r="13" spans="1:10" x14ac:dyDescent="0.2">
      <c r="A13" t="s">
        <v>2274</v>
      </c>
      <c r="B13" t="s">
        <v>2378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3264</v>
      </c>
      <c r="J13" t="str">
        <f t="shared" si="0"/>
        <v>{ name: "North Hyrule Sky", landmark: "Old Map", type: "Old Map", region: 6, level: "Sky", x: 435, y: 2196, z: 2243, weight: 0, details: '&lt;img src="icons/treasure.png" style="height: 20px, width: 20px, vertical-align: middle, margin-right: 5px;"&gt;&lt;span style="color: #c6a96a, font-weight: bold;"&gt;TREASURE&lt;/span&gt; Korok Mask' },</v>
      </c>
    </row>
    <row r="14" spans="1:10" x14ac:dyDescent="0.2">
      <c r="A14" t="s">
        <v>2277</v>
      </c>
      <c r="B14" t="s">
        <v>2378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3265</v>
      </c>
      <c r="J14" t="str">
        <f t="shared" si="0"/>
        <v>{ name: "South Eldin Sky", landmark: "Old Map", type: "Old Map", region: 7, level: "Sky", x: 1809, y: 1014, z: 1183, weight: 0, details: '&lt;img src="icons/treasure.png" style="height: 20px, width: 20px, vertical-align: middle, margin-right: 5px;"&gt;&lt;span style="color: #c6a96a, font-weight: bold;"&gt;TREASURE&lt;/span&gt; Biggoron's Sword' },</v>
      </c>
    </row>
    <row r="15" spans="1:10" x14ac:dyDescent="0.2">
      <c r="A15" t="s">
        <v>4339</v>
      </c>
      <c r="B15" t="s">
        <v>2378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3266</v>
      </c>
      <c r="J15" t="str">
        <f t="shared" si="0"/>
        <v>{ name: "North Akkala Sky #01", landmark: "Old Map", type: "Old Map", region: 8, level: "Sky", x: 4267, y: 3108, z: 783, weight: 0, details: '&lt;img src="icons/treasure.png" style="height: 20px, width: 20px, vertical-align: middle, margin-right: 5px;"&gt;&lt;span style="color: #c6a96a, font-weight: bold;"&gt;TREASURE&lt;/span&gt; Trousers of Twilight' },</v>
      </c>
    </row>
    <row r="16" spans="1:10" x14ac:dyDescent="0.2">
      <c r="A16" t="s">
        <v>4340</v>
      </c>
      <c r="B16" t="s">
        <v>2378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3267</v>
      </c>
      <c r="J16" t="str">
        <f t="shared" si="0"/>
        <v>{ name: "North Akkala Sky #02", landmark: "Old Map", type: "Old Map", region: 8, level: "Sky", x: 3285, y: 3444, z: 794, weight: 0, details: '&lt;img src="icons/treasure.png" style="height: 20px, width: 20px, vertical-align: middle, margin-right: 5px;"&gt;&lt;span style="color: #c6a96a, font-weight: bold;"&gt;TREASURE&lt;/span&gt; Cap of Twilight' },</v>
      </c>
    </row>
    <row r="17" spans="1:10" x14ac:dyDescent="0.2">
      <c r="A17" t="s">
        <v>2276</v>
      </c>
      <c r="B17" t="s">
        <v>2378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3268</v>
      </c>
      <c r="J17" t="str">
        <f t="shared" si="0"/>
        <v>{ name: "Sokkala Sky", landmark: "Old Map", type: "Old Map", region: 8, level: "Sky", x: 3661, y: 1800, z: 988, weight: 0, details: '&lt;img src="icons/treasure.png" style="height: 20px, width: 20px, vertical-align: middle, margin-right: 5px;"&gt;&lt;span style="color: #c6a96a, font-weight: bold;"&gt;TREASURE&lt;/span&gt; Tunic of Twilight' },</v>
      </c>
    </row>
    <row r="18" spans="1:10" x14ac:dyDescent="0.2">
      <c r="A18" t="s">
        <v>4341</v>
      </c>
      <c r="B18" t="s">
        <v>2378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3269</v>
      </c>
      <c r="J18" t="str">
        <f t="shared" si="0"/>
        <v>{ name: "Wellspring Island #01", landmark: "Old Map", type: "Old Map", region: 9, level: "Sky", x: 3691, y: 592, z: 1245, weight: 0, details: '&lt;img src="icons/treasure.png" style="height: 20px, width: 20px, vertical-align: middle, margin-right: 5px;"&gt;&lt;span style="color: #c6a96a, font-weight: bold;"&gt;TREASURE&lt;/span&gt; Trousers of the Wind' },</v>
      </c>
    </row>
    <row r="19" spans="1:10" x14ac:dyDescent="0.2">
      <c r="A19" t="s">
        <v>4342</v>
      </c>
      <c r="B19" t="s">
        <v>2378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3270</v>
      </c>
      <c r="J19" t="str">
        <f t="shared" si="0"/>
        <v>{ name: "Wellspring Island #02", landmark: "Old Map", type: "Old Map", region: 9, level: "Sky", x: 3201, y: 598, z: 1417, weight: 0, details: '&lt;img src="icons/treasure.png" style="height: 20px, width: 20px, vertical-align: middle, margin-right: 5px;"&gt;&lt;span style="color: #c6a96a, font-weight: bold;"&gt;TREASURE&lt;/span&gt; Cap of the Wind' },</v>
      </c>
    </row>
    <row r="20" spans="1:10" x14ac:dyDescent="0.2">
      <c r="A20" t="s">
        <v>1423</v>
      </c>
      <c r="B20" t="s">
        <v>2378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3271</v>
      </c>
      <c r="J20" t="str">
        <f t="shared" si="0"/>
        <v>{ name: "Lanayru Sky", landmark: "Old Map", type: "Old Map", region: 9, level: "Sky", x: 3167, y: 459, z: 935, weight: 0, details: '&lt;img src="icons/treasure.png" style="height: 20px, width: 20px, vertical-align: middle, margin-right: 5px;"&gt;&lt;span style="color: #c6a96a, font-weight: bold;"&gt;TREASURE&lt;/span&gt; Tunic of the Wind' },</v>
      </c>
    </row>
    <row r="21" spans="1:10" x14ac:dyDescent="0.2">
      <c r="A21" t="s">
        <v>1162</v>
      </c>
      <c r="B21" t="s">
        <v>2378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3272</v>
      </c>
      <c r="J21" t="str">
        <f t="shared" si="0"/>
        <v>{ name: "Central Hyrule Sky", landmark: "Old Map", type: "Old Map", region: 10, level: "Sky", x: 1662, y: -352, z: 400, weight: 0, details: '&lt;img src="icons/treasure.png" style="height: 20px, width: 20px, vertical-align: middle, margin-right: 5px;"&gt;&lt;span style="color: #c6a96a, font-weight: bold;"&gt;TREASURE&lt;/span&gt; Cap of Time' },</v>
      </c>
    </row>
    <row r="22" spans="1:10" x14ac:dyDescent="0.2">
      <c r="A22" t="s">
        <v>4343</v>
      </c>
      <c r="B22" t="s">
        <v>2378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3273</v>
      </c>
      <c r="J22" t="str">
        <f t="shared" si="0"/>
        <v>{ name: "North Necluda Sky #01", landmark: "Old Map", type: "Old Map", region: 10, level: "Sky", x: 1852, y: -980, z: 927, weight: 0, details: '&lt;img src="icons/treasure.png" style="height: 20px, width: 20px, vertical-align: middle, margin-right: 5px;"&gt;&lt;span style="color: #c6a96a, font-weight: bold;"&gt;TREASURE&lt;/span&gt; Tunic of Time' },</v>
      </c>
    </row>
    <row r="23" spans="1:10" x14ac:dyDescent="0.2">
      <c r="A23" t="s">
        <v>4344</v>
      </c>
      <c r="B23" t="s">
        <v>2378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3274</v>
      </c>
      <c r="J23" t="str">
        <f t="shared" si="0"/>
        <v>{ name: "North Necluda Sky #02", landmark: "Old Map", type: "Old Map", region: 10, level: "Sky", x: 1814, y: -1324, z: 890, weight: 0, details: '&lt;img src="icons/treasure.png" style="height: 20px, width: 20px, vertical-align: middle, margin-right: 5px;"&gt;&lt;span style="color: #c6a96a, font-weight: bold;"&gt;TREASURE&lt;/span&gt; Trousers of Time' },</v>
      </c>
    </row>
    <row r="24" spans="1:10" x14ac:dyDescent="0.2">
      <c r="A24" t="s">
        <v>2367</v>
      </c>
      <c r="B24" t="s">
        <v>2378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3275</v>
      </c>
      <c r="J24" t="str">
        <f t="shared" si="0"/>
        <v>{ name: "East Necluda Sky", landmark: "Old Map", type: "Old Map", region: 10, level: "Sky", x: 2644, y: -1415, z: 1477, weight: 0, details: '&lt;img src="icons/treasure.png" style="height: 20px, width: 20px, vertical-align: middle, margin-right: 5px;"&gt;&lt;span style="color: #c6a96a, font-weight: bold;"&gt;TREASURE&lt;/span&gt; Sea-Breeze Shield' },</v>
      </c>
    </row>
    <row r="25" spans="1:10" x14ac:dyDescent="0.2">
      <c r="A25" t="s">
        <v>2282</v>
      </c>
      <c r="B25" t="s">
        <v>2378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3276</v>
      </c>
      <c r="J25" t="str">
        <f t="shared" si="0"/>
        <v>{ name: "West Necluda Sky", landmark: "Old Map", type: "Old Map", region: 10, level: "Sky", x: 1651, y: -2190, z: 565, weight: 0, details: '&lt;img src="icons/treasure.png" style="height: 20px, width: 20px, vertical-align: middle, margin-right: 5px;"&gt;&lt;span style="color: #c6a96a, font-weight: bold;"&gt;TREASURE&lt;/span&gt; Tunic of the Sky' },</v>
      </c>
    </row>
    <row r="26" spans="1:10" x14ac:dyDescent="0.2">
      <c r="A26" t="s">
        <v>4345</v>
      </c>
      <c r="B26" t="s">
        <v>2378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3277</v>
      </c>
      <c r="J26" t="str">
        <f t="shared" si="0"/>
        <v>{ name: "South Lanayru Sky #01", landmark: "Old Map", type: "Old Map", region: 11, level: "Sky", x: 4659, y: -869, z: 1758, weight: 0, details: '&lt;img src="icons/treasure.png" style="height: 20px, width: 20px, vertical-align: middle, margin-right: 5px;"&gt;&lt;span style="color: #c6a96a, font-weight: bold;"&gt;TREASURE&lt;/span&gt; Midna's Helmet' },</v>
      </c>
    </row>
    <row r="27" spans="1:10" x14ac:dyDescent="0.2">
      <c r="A27" t="s">
        <v>4346</v>
      </c>
      <c r="B27" t="s">
        <v>2378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3278</v>
      </c>
      <c r="J27" t="str">
        <f t="shared" si="0"/>
        <v>{ name: "South Lanayru Sky #02", landmark: "Old Map", type: "Old Map", region: 11, level: "Sky", x: 4750, y: -777, z: 1863, weight: 0, details: '&lt;img src="icons/treasure.png" style="height: 20px, width: 20px, vertical-align: middle, margin-right: 5px;"&gt;&lt;span style="color: #c6a96a, font-weight: bold;"&gt;TREASURE&lt;/span&gt; Zant's Helmet' },</v>
      </c>
    </row>
    <row r="28" spans="1:10" x14ac:dyDescent="0.2">
      <c r="A28" t="s">
        <v>1501</v>
      </c>
      <c r="B28" t="s">
        <v>2378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3279</v>
      </c>
      <c r="J28" t="str">
        <f t="shared" si="0"/>
        <v>{ name: "Necluda Sky", landmark: "Old Map", type: "Old Map", region: 12, level: "Sky", x: 2158, y: -2592, z: 1262, weight: 0, details: '&lt;img src="icons/treasure.png" style="height: 20px, width: 20px, vertical-align: middle, margin-right: 5px;"&gt;&lt;span style="color: #c6a96a, font-weight: bold;"&gt;TREASURE&lt;/span&gt; Sea-Breeze Boomerang' },</v>
      </c>
    </row>
    <row r="29" spans="1:10" x14ac:dyDescent="0.2">
      <c r="A29" t="s">
        <v>4347</v>
      </c>
      <c r="B29" t="s">
        <v>2378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3280</v>
      </c>
      <c r="J29" t="str">
        <f t="shared" si="0"/>
        <v>{ name: "Thunderhead Isles #01", landmark: "Old Map", type: "Old Map", region: 13, level: "Sky", x: 953, y: -3112, z: 756, weight: 0, details: '&lt;img src="icons/treasure.png" style="height: 20px, width: 20px, vertical-align: middle, margin-right: 5px;"&gt;&lt;span style="color: #c6a96a, font-weight: bold;"&gt;TREASURE&lt;/span&gt; Trousers of the Sky' },</v>
      </c>
    </row>
    <row r="30" spans="1:10" x14ac:dyDescent="0.2">
      <c r="A30" t="s">
        <v>4348</v>
      </c>
      <c r="B30" t="s">
        <v>2378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3281</v>
      </c>
      <c r="J30" t="str">
        <f t="shared" si="0"/>
        <v>{ name: "Thunderhead Isles #02", landmark: "Old Map", type: "Old Map", region: 13, level: "Sky", x: 1133, y: -3273, z: 757, weight: 0, details: '&lt;img src="icons/treasure.png" style="height: 20px, width: 20px, vertical-align: middle, margin-right: 5px;"&gt;&lt;span style="color: #c6a96a, font-weight: bold;"&gt;TREASURE&lt;/span&gt; Cap of the Sky' },</v>
      </c>
    </row>
    <row r="31" spans="1:10" x14ac:dyDescent="0.2">
      <c r="A31" t="s">
        <v>2272</v>
      </c>
      <c r="B31" t="s">
        <v>2378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3282</v>
      </c>
      <c r="J31" t="str">
        <f t="shared" si="0"/>
        <v>{ name: "East Gerudo Sky", landmark: "Old Map", type: "Old Map", region: 14, level: "Sky", x: -1955, y: -1808, z: 1167, weight: 0, details: '&lt;img src="icons/treasure.png" style="height: 20px, width: 20px, vertical-align: middle, margin-right: 5px;"&gt;&lt;span style="color: #c6a96a, font-weight: bold;"&gt;TREASURE&lt;/span&gt; Sword of the Hero' },</v>
      </c>
    </row>
    <row r="32" spans="1:10" x14ac:dyDescent="0.2">
      <c r="A32" t="s">
        <v>2441</v>
      </c>
      <c r="B32" t="s">
        <v>2378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3283</v>
      </c>
      <c r="J32" t="str">
        <f t="shared" si="0"/>
        <v>{ name: "North Gerudo Sky", landmark: "Old Map", type: "Old Map", region: 15, level: "Sky", x: -3377, y: -21, z: 2284, weight: 0, details: '&lt;img src="icons/treasure.png" style="height: 20px, width: 20px, vertical-align: middle, margin-right: 5px;"&gt;&lt;span style="color: #c6a96a, font-weight: bold;"&gt;TREASURE&lt;/span&gt; Majora's Mask'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2353</v>
      </c>
      <c r="B35" t="s">
        <v>2344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4471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src="icons/old-map.png" style="height: 20px, width: 20px, vertical-align: middle, margin-right: 5px;"&gt;&lt;span style="color: #dd88d3, font-weight: bold;"&gt;OLD MAP&lt;/span&gt; West Hebra Sky Map #1' },</v>
      </c>
    </row>
    <row r="36" spans="1:10" x14ac:dyDescent="0.2">
      <c r="A36" t="s">
        <v>2373</v>
      </c>
      <c r="B36" t="s">
        <v>2344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4472</v>
      </c>
      <c r="J36" t="s">
        <v>4473</v>
      </c>
    </row>
    <row r="37" spans="1:10" x14ac:dyDescent="0.2">
      <c r="A37" t="s">
        <v>2354</v>
      </c>
      <c r="B37" t="s">
        <v>2344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4474</v>
      </c>
      <c r="J37" t="s">
        <v>4475</v>
      </c>
    </row>
    <row r="38" spans="1:10" x14ac:dyDescent="0.2">
      <c r="A38" t="s">
        <v>2374</v>
      </c>
      <c r="B38" t="s">
        <v>2344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4476</v>
      </c>
      <c r="J38" t="s">
        <v>4477</v>
      </c>
    </row>
    <row r="39" spans="1:10" x14ac:dyDescent="0.2">
      <c r="A39" t="s">
        <v>2362</v>
      </c>
      <c r="B39" t="s">
        <v>2344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4478</v>
      </c>
      <c r="J39" t="s">
        <v>4479</v>
      </c>
    </row>
    <row r="40" spans="1:10" x14ac:dyDescent="0.2">
      <c r="A40" t="s">
        <v>2365</v>
      </c>
      <c r="B40" t="s">
        <v>2344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4480</v>
      </c>
      <c r="J40" t="s">
        <v>4481</v>
      </c>
    </row>
    <row r="41" spans="1:10" x14ac:dyDescent="0.2">
      <c r="A41" t="s">
        <v>2377</v>
      </c>
      <c r="B41" t="s">
        <v>2344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4482</v>
      </c>
      <c r="J41" t="s">
        <v>4483</v>
      </c>
    </row>
    <row r="42" spans="1:10" x14ac:dyDescent="0.2">
      <c r="A42" t="s">
        <v>2346</v>
      </c>
      <c r="B42" t="s">
        <v>2344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4484</v>
      </c>
      <c r="J42" t="s">
        <v>4485</v>
      </c>
    </row>
    <row r="43" spans="1:10" x14ac:dyDescent="0.2">
      <c r="A43" t="s">
        <v>2369</v>
      </c>
      <c r="B43" t="s">
        <v>2344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4486</v>
      </c>
      <c r="J43" t="s">
        <v>4487</v>
      </c>
    </row>
    <row r="44" spans="1:10" x14ac:dyDescent="0.2">
      <c r="A44" t="s">
        <v>2347</v>
      </c>
      <c r="B44" t="s">
        <v>2344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4488</v>
      </c>
      <c r="J44" t="s">
        <v>4489</v>
      </c>
    </row>
    <row r="45" spans="1:10" x14ac:dyDescent="0.2">
      <c r="A45" t="s">
        <v>2358</v>
      </c>
      <c r="B45" t="s">
        <v>2344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4490</v>
      </c>
      <c r="J45" t="s">
        <v>4491</v>
      </c>
    </row>
    <row r="46" spans="1:10" x14ac:dyDescent="0.2">
      <c r="A46" t="s">
        <v>2345</v>
      </c>
      <c r="B46" t="s">
        <v>2344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4492</v>
      </c>
      <c r="J46" t="s">
        <v>4493</v>
      </c>
    </row>
    <row r="47" spans="1:10" x14ac:dyDescent="0.2">
      <c r="A47" t="s">
        <v>2376</v>
      </c>
      <c r="B47" t="s">
        <v>2344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4494</v>
      </c>
      <c r="J47" t="s">
        <v>4495</v>
      </c>
    </row>
    <row r="48" spans="1:10" x14ac:dyDescent="0.2">
      <c r="A48" t="s">
        <v>2370</v>
      </c>
      <c r="B48" t="s">
        <v>2344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4496</v>
      </c>
      <c r="J48" t="s">
        <v>4497</v>
      </c>
    </row>
    <row r="49" spans="1:10" x14ac:dyDescent="0.2">
      <c r="A49" t="s">
        <v>2364</v>
      </c>
      <c r="B49" t="s">
        <v>2344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4498</v>
      </c>
      <c r="J49" t="s">
        <v>4499</v>
      </c>
    </row>
    <row r="50" spans="1:10" x14ac:dyDescent="0.2">
      <c r="A50" t="s">
        <v>2356</v>
      </c>
      <c r="B50" t="s">
        <v>2344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4500</v>
      </c>
      <c r="J50" t="s">
        <v>4501</v>
      </c>
    </row>
    <row r="51" spans="1:10" x14ac:dyDescent="0.2">
      <c r="A51" t="s">
        <v>2357</v>
      </c>
      <c r="B51" t="s">
        <v>2344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4502</v>
      </c>
      <c r="J51" t="s">
        <v>4503</v>
      </c>
    </row>
    <row r="52" spans="1:10" x14ac:dyDescent="0.2">
      <c r="A52" t="s">
        <v>2359</v>
      </c>
      <c r="B52" t="s">
        <v>2344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4504</v>
      </c>
      <c r="J52" t="s">
        <v>4505</v>
      </c>
    </row>
    <row r="53" spans="1:10" x14ac:dyDescent="0.2">
      <c r="A53" t="s">
        <v>2361</v>
      </c>
      <c r="B53" t="s">
        <v>2344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4506</v>
      </c>
      <c r="J53" t="s">
        <v>4507</v>
      </c>
    </row>
    <row r="54" spans="1:10" x14ac:dyDescent="0.2">
      <c r="A54" t="s">
        <v>2368</v>
      </c>
      <c r="B54" t="s">
        <v>2344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4508</v>
      </c>
      <c r="J54" t="s">
        <v>4509</v>
      </c>
    </row>
    <row r="55" spans="1:10" x14ac:dyDescent="0.2">
      <c r="A55" t="s">
        <v>2371</v>
      </c>
      <c r="B55" t="s">
        <v>2344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4510</v>
      </c>
      <c r="J55" t="s">
        <v>4511</v>
      </c>
    </row>
    <row r="56" spans="1:10" x14ac:dyDescent="0.2">
      <c r="A56" t="s">
        <v>2348</v>
      </c>
      <c r="B56" t="s">
        <v>2344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4512</v>
      </c>
      <c r="J56" t="s">
        <v>4513</v>
      </c>
    </row>
    <row r="57" spans="1:10" x14ac:dyDescent="0.2">
      <c r="A57" t="s">
        <v>2372</v>
      </c>
      <c r="B57" t="s">
        <v>2344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4514</v>
      </c>
      <c r="J57" t="s">
        <v>4515</v>
      </c>
    </row>
    <row r="58" spans="1:10" x14ac:dyDescent="0.2">
      <c r="A58" t="s">
        <v>2349</v>
      </c>
      <c r="B58" t="s">
        <v>2344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4516</v>
      </c>
      <c r="J58" t="s">
        <v>4517</v>
      </c>
    </row>
    <row r="59" spans="1:10" x14ac:dyDescent="0.2">
      <c r="A59" t="s">
        <v>2363</v>
      </c>
      <c r="B59" t="s">
        <v>2344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4518</v>
      </c>
      <c r="J59" t="s">
        <v>4519</v>
      </c>
    </row>
    <row r="60" spans="1:10" x14ac:dyDescent="0.2">
      <c r="A60" t="s">
        <v>2355</v>
      </c>
      <c r="B60" t="s">
        <v>2344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4520</v>
      </c>
      <c r="J60" t="s">
        <v>4521</v>
      </c>
    </row>
    <row r="61" spans="1:10" x14ac:dyDescent="0.2">
      <c r="A61" t="s">
        <v>2360</v>
      </c>
      <c r="B61" t="s">
        <v>2344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4522</v>
      </c>
      <c r="J61" t="s">
        <v>4523</v>
      </c>
    </row>
    <row r="62" spans="1:10" x14ac:dyDescent="0.2">
      <c r="A62" t="s">
        <v>2352</v>
      </c>
      <c r="B62" t="s">
        <v>2344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4524</v>
      </c>
      <c r="J62" t="s">
        <v>4525</v>
      </c>
    </row>
    <row r="63" spans="1:10" x14ac:dyDescent="0.2">
      <c r="A63" t="s">
        <v>2350</v>
      </c>
      <c r="B63" t="s">
        <v>2344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4526</v>
      </c>
      <c r="J63" t="s">
        <v>4527</v>
      </c>
    </row>
    <row r="64" spans="1:10" x14ac:dyDescent="0.2">
      <c r="A64" t="s">
        <v>2375</v>
      </c>
      <c r="B64" t="s">
        <v>2344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4528</v>
      </c>
      <c r="J64" t="s">
        <v>4529</v>
      </c>
    </row>
    <row r="65" spans="1:10" x14ac:dyDescent="0.2">
      <c r="A65" t="s">
        <v>2366</v>
      </c>
      <c r="B65" t="s">
        <v>2344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4530</v>
      </c>
      <c r="J65" t="s">
        <v>4531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I11" sqref="I1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2278</v>
      </c>
      <c r="B2" t="s">
        <v>2554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Sky", landmark: "Sage's Will", type: "Sage's Will", region: 2, level: "Sky", x: -938, y: -1744, z: 1013, weight: 0, details: `` },</v>
      </c>
    </row>
    <row r="3" spans="1:10" x14ac:dyDescent="0.2">
      <c r="A3" t="s">
        <v>2560</v>
      </c>
      <c r="B3" t="s">
        <v>2554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4535</v>
      </c>
    </row>
    <row r="4" spans="1:10" x14ac:dyDescent="0.2">
      <c r="A4" t="s">
        <v>2443</v>
      </c>
      <c r="B4" t="s">
        <v>2554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4532</v>
      </c>
      <c r="J4" t="s">
        <v>4536</v>
      </c>
    </row>
    <row r="5" spans="1:10" x14ac:dyDescent="0.2">
      <c r="A5" t="s">
        <v>2444</v>
      </c>
      <c r="B5" t="s">
        <v>2554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4537</v>
      </c>
    </row>
    <row r="6" spans="1:10" x14ac:dyDescent="0.2">
      <c r="A6" t="s">
        <v>1242</v>
      </c>
      <c r="B6" t="s">
        <v>2554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4538</v>
      </c>
    </row>
    <row r="7" spans="1:10" x14ac:dyDescent="0.2">
      <c r="A7" t="s">
        <v>2277</v>
      </c>
      <c r="B7" t="s">
        <v>2554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4539</v>
      </c>
    </row>
    <row r="8" spans="1:10" x14ac:dyDescent="0.2">
      <c r="A8" t="s">
        <v>2276</v>
      </c>
      <c r="B8" t="s">
        <v>2554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4540</v>
      </c>
    </row>
    <row r="9" spans="1:10" x14ac:dyDescent="0.2">
      <c r="A9" t="s">
        <v>2556</v>
      </c>
      <c r="B9" t="s">
        <v>2554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4541</v>
      </c>
    </row>
    <row r="10" spans="1:10" x14ac:dyDescent="0.2">
      <c r="A10" t="s">
        <v>2557</v>
      </c>
      <c r="B10" t="s">
        <v>2554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4533</v>
      </c>
      <c r="J10" t="s">
        <v>4542</v>
      </c>
    </row>
    <row r="11" spans="1:10" x14ac:dyDescent="0.2">
      <c r="A11" t="s">
        <v>1015</v>
      </c>
      <c r="B11" t="s">
        <v>2554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4533</v>
      </c>
      <c r="J11" t="s">
        <v>4543</v>
      </c>
    </row>
    <row r="12" spans="1:10" x14ac:dyDescent="0.2">
      <c r="A12" t="s">
        <v>2275</v>
      </c>
      <c r="B12" t="s">
        <v>2554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4544</v>
      </c>
    </row>
    <row r="13" spans="1:10" x14ac:dyDescent="0.2">
      <c r="A13" t="s">
        <v>2558</v>
      </c>
      <c r="B13" t="s">
        <v>2554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4532</v>
      </c>
      <c r="J13" t="s">
        <v>4545</v>
      </c>
    </row>
    <row r="14" spans="1:10" x14ac:dyDescent="0.2">
      <c r="A14" t="s">
        <v>2280</v>
      </c>
      <c r="B14" t="s">
        <v>2554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4534</v>
      </c>
      <c r="J14" t="s">
        <v>4546</v>
      </c>
    </row>
    <row r="15" spans="1:10" x14ac:dyDescent="0.2">
      <c r="A15" t="s">
        <v>2559</v>
      </c>
      <c r="B15" t="s">
        <v>2554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4547</v>
      </c>
    </row>
    <row r="16" spans="1:10" x14ac:dyDescent="0.2">
      <c r="A16" t="s">
        <v>1253</v>
      </c>
      <c r="B16" t="s">
        <v>2554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4534</v>
      </c>
      <c r="J16" t="s">
        <v>4548</v>
      </c>
    </row>
    <row r="17" spans="1:10" x14ac:dyDescent="0.2">
      <c r="A17" t="s">
        <v>1013</v>
      </c>
      <c r="B17" t="s">
        <v>2554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4549</v>
      </c>
    </row>
    <row r="18" spans="1:10" x14ac:dyDescent="0.2">
      <c r="A18" t="s">
        <v>2272</v>
      </c>
      <c r="B18" t="s">
        <v>2554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4550</v>
      </c>
    </row>
    <row r="19" spans="1:10" x14ac:dyDescent="0.2">
      <c r="A19" t="s">
        <v>1283</v>
      </c>
      <c r="B19" t="s">
        <v>2554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4532</v>
      </c>
      <c r="J19" t="s">
        <v>4551</v>
      </c>
    </row>
    <row r="20" spans="1:10" x14ac:dyDescent="0.2">
      <c r="A20" t="s">
        <v>2441</v>
      </c>
      <c r="B20" t="s">
        <v>2554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4552</v>
      </c>
    </row>
    <row r="21" spans="1:10" x14ac:dyDescent="0.2">
      <c r="A21" t="s">
        <v>2561</v>
      </c>
      <c r="B21" t="s">
        <v>2554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4534</v>
      </c>
      <c r="J21" t="s">
        <v>4553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I2" sqref="I2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2915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2380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4554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`"&amp;I2&amp;"` },"</f>
        <v>{ name: "Hot-Air Balloon", landmark: "Schematic", type: "Schema Stone", region: 1, level: "Surface", x: -256, y: 153, z: 20, weight: 0, details: `Complete &lt;img src="icons/main-quest.png" style="height: 20px; width: 20px; vertical-align: middle; margin-right: 5px;"&gt;&lt;span style="color: #fec043; font-weight: bold;"&gt;Mystery in the Depths&lt;/span&gt;` },</v>
      </c>
    </row>
    <row r="3" spans="1:10" x14ac:dyDescent="0.2">
      <c r="A3" t="s">
        <v>1735</v>
      </c>
      <c r="B3" t="s">
        <v>2380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4555</v>
      </c>
      <c r="J3" t="str">
        <f>"{ name: "&amp;CHAR(34)&amp;A3&amp;CHAR(34)&amp;", landmark: "&amp;CHAR(34)&amp;"Schematic"&amp;CHAR(34)&amp;", type: "&amp;CHAR(34)&amp;B3&amp;CHAR(34)&amp;", region: "&amp;C3&amp;", level: "&amp;CHAR(34)&amp;D3&amp;CHAR(34)&amp;", x: "&amp;E3&amp;", y: "&amp;F3&amp;", z: "&amp;G3&amp;", weight: "&amp;H3&amp;", details: `"&amp;I3&amp;"` },"</f>
        <v>{ name: "Beam Cycle", landmark: "Schematic", type: "Schema Stone", region: 2, level: "Surface", x: -1122, y: -1902, z: 101, weight: 0, details: `Found in the &lt;img src="icons/location.png" style="height: 20px; width: 20px; vertical-align: middle; margin-right: 5px;"&gt;&lt;span style="color: #c6a96a; font-weight: bold;"&gt;Cave of Resurrection&lt;/span&gt;` },</v>
      </c>
    </row>
    <row r="4" spans="1:10" x14ac:dyDescent="0.2">
      <c r="A4" t="s">
        <v>1747</v>
      </c>
      <c r="B4" t="s">
        <v>2380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3021</v>
      </c>
    </row>
    <row r="5" spans="1:10" x14ac:dyDescent="0.2">
      <c r="A5" t="s">
        <v>1771</v>
      </c>
      <c r="B5" t="s">
        <v>2379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3022</v>
      </c>
    </row>
    <row r="6" spans="1:10" x14ac:dyDescent="0.2">
      <c r="A6" t="s">
        <v>1732</v>
      </c>
      <c r="B6" t="s">
        <v>2379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3023</v>
      </c>
    </row>
    <row r="7" spans="1:10" x14ac:dyDescent="0.2">
      <c r="A7" t="s">
        <v>1740</v>
      </c>
      <c r="B7" t="s">
        <v>2379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3024</v>
      </c>
    </row>
    <row r="8" spans="1:10" x14ac:dyDescent="0.2">
      <c r="A8" t="s">
        <v>1742</v>
      </c>
      <c r="B8" t="s">
        <v>2379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3025</v>
      </c>
    </row>
    <row r="9" spans="1:10" x14ac:dyDescent="0.2">
      <c r="A9" t="s">
        <v>1749</v>
      </c>
      <c r="B9" t="s">
        <v>2379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3026</v>
      </c>
    </row>
    <row r="10" spans="1:10" x14ac:dyDescent="0.2">
      <c r="A10" t="s">
        <v>1745</v>
      </c>
      <c r="B10" t="s">
        <v>2379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3027</v>
      </c>
    </row>
    <row r="11" spans="1:10" x14ac:dyDescent="0.2">
      <c r="A11" t="s">
        <v>1750</v>
      </c>
      <c r="B11" t="s">
        <v>2379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3028</v>
      </c>
    </row>
    <row r="12" spans="1:10" x14ac:dyDescent="0.2">
      <c r="A12" t="s">
        <v>1764</v>
      </c>
      <c r="B12" t="s">
        <v>2380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3029</v>
      </c>
    </row>
    <row r="13" spans="1:10" x14ac:dyDescent="0.2">
      <c r="A13" s="20" t="s">
        <v>1768</v>
      </c>
      <c r="B13" t="s">
        <v>2379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3030</v>
      </c>
    </row>
    <row r="14" spans="1:10" x14ac:dyDescent="0.2">
      <c r="A14" t="s">
        <v>1776</v>
      </c>
      <c r="B14" t="s">
        <v>2379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3031</v>
      </c>
    </row>
    <row r="15" spans="1:10" x14ac:dyDescent="0.2">
      <c r="A15" t="s">
        <v>1731</v>
      </c>
      <c r="B15" t="s">
        <v>2379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3032</v>
      </c>
    </row>
    <row r="16" spans="1:10" x14ac:dyDescent="0.2">
      <c r="A16" t="s">
        <v>1743</v>
      </c>
      <c r="B16" t="s">
        <v>2379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3033</v>
      </c>
    </row>
    <row r="17" spans="1:10" x14ac:dyDescent="0.2">
      <c r="A17" t="s">
        <v>1748</v>
      </c>
      <c r="B17" t="s">
        <v>2379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3034</v>
      </c>
    </row>
    <row r="18" spans="1:10" x14ac:dyDescent="0.2">
      <c r="A18" t="s">
        <v>1734</v>
      </c>
      <c r="B18" t="s">
        <v>2380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3035</v>
      </c>
    </row>
    <row r="19" spans="1:10" x14ac:dyDescent="0.2">
      <c r="A19" s="20" t="s">
        <v>1738</v>
      </c>
      <c r="B19" t="s">
        <v>2379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3036</v>
      </c>
    </row>
    <row r="20" spans="1:10" x14ac:dyDescent="0.2">
      <c r="A20" t="s">
        <v>1763</v>
      </c>
      <c r="B20" t="s">
        <v>2379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3037</v>
      </c>
    </row>
    <row r="21" spans="1:10" x14ac:dyDescent="0.2">
      <c r="A21" t="s">
        <v>1733</v>
      </c>
      <c r="B21" t="s">
        <v>2379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3038</v>
      </c>
    </row>
    <row r="22" spans="1:10" x14ac:dyDescent="0.2">
      <c r="A22" t="s">
        <v>1751</v>
      </c>
      <c r="B22" t="s">
        <v>2379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3039</v>
      </c>
    </row>
    <row r="23" spans="1:10" x14ac:dyDescent="0.2">
      <c r="A23" t="s">
        <v>1755</v>
      </c>
      <c r="B23" t="s">
        <v>2380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3040</v>
      </c>
    </row>
    <row r="24" spans="1:10" x14ac:dyDescent="0.2">
      <c r="A24" t="s">
        <v>1774</v>
      </c>
      <c r="B24" t="s">
        <v>2379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3041</v>
      </c>
    </row>
    <row r="25" spans="1:10" x14ac:dyDescent="0.2">
      <c r="A25" t="s">
        <v>1739</v>
      </c>
      <c r="B25" t="s">
        <v>2380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3042</v>
      </c>
    </row>
    <row r="26" spans="1:10" x14ac:dyDescent="0.2">
      <c r="A26" t="s">
        <v>1754</v>
      </c>
      <c r="B26" t="s">
        <v>2379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3043</v>
      </c>
    </row>
    <row r="27" spans="1:10" x14ac:dyDescent="0.2">
      <c r="A27" t="s">
        <v>1772</v>
      </c>
      <c r="B27" t="s">
        <v>2379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3044</v>
      </c>
    </row>
    <row r="28" spans="1:10" x14ac:dyDescent="0.2">
      <c r="A28" t="s">
        <v>1756</v>
      </c>
      <c r="B28" t="s">
        <v>2379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3045</v>
      </c>
    </row>
    <row r="29" spans="1:10" x14ac:dyDescent="0.2">
      <c r="A29" t="s">
        <v>1759</v>
      </c>
      <c r="B29" t="s">
        <v>2380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3046</v>
      </c>
    </row>
    <row r="30" spans="1:10" x14ac:dyDescent="0.2">
      <c r="A30" t="s">
        <v>1765</v>
      </c>
      <c r="B30" t="s">
        <v>2379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3047</v>
      </c>
    </row>
    <row r="31" spans="1:10" x14ac:dyDescent="0.2">
      <c r="A31" t="s">
        <v>1769</v>
      </c>
      <c r="B31" t="s">
        <v>2379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3048</v>
      </c>
    </row>
    <row r="32" spans="1:10" x14ac:dyDescent="0.2">
      <c r="A32" t="s">
        <v>1741</v>
      </c>
      <c r="B32" t="s">
        <v>2380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3049</v>
      </c>
    </row>
    <row r="33" spans="1:10" x14ac:dyDescent="0.2">
      <c r="A33" t="s">
        <v>1770</v>
      </c>
      <c r="B33" t="s">
        <v>2379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3050</v>
      </c>
    </row>
    <row r="34" spans="1:10" x14ac:dyDescent="0.2">
      <c r="A34" t="s">
        <v>1744</v>
      </c>
      <c r="B34" t="s">
        <v>2380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3051</v>
      </c>
    </row>
    <row r="35" spans="1:10" x14ac:dyDescent="0.2">
      <c r="A35" s="20" t="s">
        <v>1760</v>
      </c>
      <c r="B35" t="s">
        <v>2379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3052</v>
      </c>
    </row>
    <row r="36" spans="1:10" x14ac:dyDescent="0.2">
      <c r="A36" t="s">
        <v>1736</v>
      </c>
      <c r="B36" t="s">
        <v>2379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3053</v>
      </c>
    </row>
    <row r="37" spans="1:10" x14ac:dyDescent="0.2">
      <c r="A37" s="20" t="s">
        <v>1761</v>
      </c>
      <c r="B37" t="s">
        <v>2379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3054</v>
      </c>
    </row>
    <row r="38" spans="1:10" x14ac:dyDescent="0.2">
      <c r="A38" t="s">
        <v>1775</v>
      </c>
      <c r="B38" t="s">
        <v>2379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3055</v>
      </c>
    </row>
    <row r="39" spans="1:10" x14ac:dyDescent="0.2">
      <c r="A39" t="s">
        <v>1737</v>
      </c>
      <c r="B39" t="s">
        <v>2379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3056</v>
      </c>
    </row>
    <row r="40" spans="1:10" x14ac:dyDescent="0.2">
      <c r="A40" t="s">
        <v>1753</v>
      </c>
      <c r="B40" t="s">
        <v>2380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3057</v>
      </c>
    </row>
    <row r="41" spans="1:10" x14ac:dyDescent="0.2">
      <c r="A41" t="s">
        <v>1757</v>
      </c>
      <c r="B41" t="s">
        <v>2380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3058</v>
      </c>
    </row>
    <row r="42" spans="1:10" x14ac:dyDescent="0.2">
      <c r="A42" s="20" t="s">
        <v>1762</v>
      </c>
      <c r="B42" t="s">
        <v>2379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3059</v>
      </c>
    </row>
    <row r="43" spans="1:10" x14ac:dyDescent="0.2">
      <c r="A43" t="s">
        <v>1766</v>
      </c>
      <c r="B43" t="s">
        <v>2379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3060</v>
      </c>
    </row>
    <row r="44" spans="1:10" x14ac:dyDescent="0.2">
      <c r="A44" t="s">
        <v>1773</v>
      </c>
      <c r="B44" t="s">
        <v>2379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3061</v>
      </c>
    </row>
    <row r="45" spans="1:10" x14ac:dyDescent="0.2">
      <c r="A45" t="s">
        <v>1746</v>
      </c>
      <c r="B45" t="s">
        <v>2379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3062</v>
      </c>
    </row>
    <row r="46" spans="1:10" x14ac:dyDescent="0.2">
      <c r="A46" t="s">
        <v>1758</v>
      </c>
      <c r="B46" t="s">
        <v>2379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3063</v>
      </c>
    </row>
    <row r="47" spans="1:10" x14ac:dyDescent="0.2">
      <c r="A47" t="s">
        <v>1767</v>
      </c>
      <c r="B47" t="s">
        <v>2379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3064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2278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2281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2273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2274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2277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2276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2279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2282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2272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2441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I4" sqref="I4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2446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2455</v>
      </c>
    </row>
    <row r="4" spans="1:9" x14ac:dyDescent="0.2">
      <c r="A4" t="s">
        <v>2447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4556</v>
      </c>
      <c r="I4" t="s">
        <v>4557</v>
      </c>
    </row>
    <row r="5" spans="1:9" x14ac:dyDescent="0.2">
      <c r="A5" t="s">
        <v>2448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2456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2457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2458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2459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K4" sqref="K4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2577</v>
      </c>
      <c r="I1" s="6" t="s">
        <v>2580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2220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3067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2220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3067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2237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3067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2238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3067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2239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3067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2240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3067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2241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3067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2220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3067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2220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3067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2220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3067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2237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3067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2238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3067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2220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3067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2220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3067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2220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3067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2220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3067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2220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3067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2220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3067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2220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3067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2220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3067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2237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3067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2238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3067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2220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3067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2220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3067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2237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3067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2238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3067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2220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3067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2220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3067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2220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3067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2220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3067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2237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3067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2238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3067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2220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3067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2220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3067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2220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3067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2237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3067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2238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3067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2220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3067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2220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3067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2220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3067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2220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3067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2220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3067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2220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3067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2220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3067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2220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3067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2237</v>
      </c>
      <c r="C47" t="s">
        <v>2911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3067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2238</v>
      </c>
      <c r="C48" t="s">
        <v>2911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3067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2220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3067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2220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3067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2220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3067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2220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3067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2220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3067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2220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3067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2220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3067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2220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3067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2220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3067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2220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3067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2220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3067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2220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3067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2220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3067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2237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3067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2238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3067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2220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3067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2220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3067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2220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3067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2220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3067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2220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3067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2220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3067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2220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3067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2220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3067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2220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3067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2237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3067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2238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3067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2237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3067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2238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3067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2220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3067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2220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3067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2220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3067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2233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3067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2234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3067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2235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3067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2236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3067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2220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3067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2220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3067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2220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3067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2220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3067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2220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3067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2237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3067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2238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3067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2237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3067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2238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3067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2220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3067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2239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3067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2240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3067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2241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3067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2237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3067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2238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3067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2220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3067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2237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3067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2238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3067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2220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3067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2237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3067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2238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3067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2220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3067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2237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3067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2237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3067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2220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3067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2237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3067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2238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3067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2220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3067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2220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3067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2220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3067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2220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3067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2220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3067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2220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3067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2220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3067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2220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3067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2237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3067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2238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3067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2220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3067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2237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3067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2238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3067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2220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3067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2220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3067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2237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3067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2238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3067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2220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3067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2237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3067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2238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3067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2220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3067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2220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3067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2220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3067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2237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3067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2238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3067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2237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3067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2238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3067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2237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3067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2238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3067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2237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3067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2238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3067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2220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3067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2220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3067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2220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3067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2220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3067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2220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3067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2220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3067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2237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3067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2238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3067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2237</v>
      </c>
      <c r="C150" t="s">
        <v>2588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3067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2238</v>
      </c>
      <c r="C151" t="s">
        <v>2588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3067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2220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3067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2237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3067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2238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3067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2220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3067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2220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3067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2220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3067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2220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3067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2220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3067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2220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3067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2221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3067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2222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3067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2223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3067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2224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3067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2225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3067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2226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3067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2227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3067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2228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3067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2229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3067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2230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3067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2231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3067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2232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3067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2220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3067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2220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3067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2220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3067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2237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3067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2238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3067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2220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3067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2237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3067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2238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3067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2237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3067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2238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3067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2220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3067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2237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3067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2238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3067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2220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3067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2220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3067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2220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3067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2220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3067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2220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3067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2220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3067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2220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3067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2220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3067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2220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3067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2220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3067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2220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3067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2220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3067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2220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3067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workbookViewId="0">
      <selection activeCell="A2" sqref="A2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2577</v>
      </c>
      <c r="I1" s="4" t="s">
        <v>2580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2917</v>
      </c>
      <c r="E2" s="2">
        <v>-254</v>
      </c>
      <c r="F2" s="2">
        <v>1012</v>
      </c>
      <c r="G2" s="2">
        <v>-65</v>
      </c>
      <c r="H2" s="2">
        <v>4</v>
      </c>
      <c r="I2" s="2" t="s">
        <v>3067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2917</v>
      </c>
      <c r="E3" s="2">
        <v>170</v>
      </c>
      <c r="F3" s="2">
        <v>882</v>
      </c>
      <c r="G3" s="2">
        <v>9</v>
      </c>
      <c r="H3" s="2">
        <v>4</v>
      </c>
      <c r="I3" s="2" t="s">
        <v>3067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2917</v>
      </c>
      <c r="E4" s="2">
        <v>-923</v>
      </c>
      <c r="F4" s="2">
        <v>667</v>
      </c>
      <c r="G4" s="2">
        <v>15</v>
      </c>
      <c r="H4" s="2">
        <v>4</v>
      </c>
      <c r="I4" s="2" t="s">
        <v>3067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2917</v>
      </c>
      <c r="E5" s="2">
        <v>-251</v>
      </c>
      <c r="F5" s="2">
        <v>-305</v>
      </c>
      <c r="G5" s="2">
        <v>-479</v>
      </c>
      <c r="H5" s="2">
        <v>4</v>
      </c>
      <c r="I5" s="2" t="s">
        <v>3067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2917</v>
      </c>
      <c r="E6" s="2">
        <v>-128</v>
      </c>
      <c r="F6" s="2">
        <v>-1658</v>
      </c>
      <c r="G6" s="2">
        <v>10</v>
      </c>
      <c r="H6" s="2">
        <v>4</v>
      </c>
      <c r="I6" s="2" t="s">
        <v>3067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2917</v>
      </c>
      <c r="E7" s="2">
        <v>-450</v>
      </c>
      <c r="F7" s="2">
        <v>-1993</v>
      </c>
      <c r="G7" s="2">
        <v>71</v>
      </c>
      <c r="H7" s="2">
        <v>4</v>
      </c>
      <c r="I7" s="2" t="s">
        <v>3067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2917</v>
      </c>
      <c r="E8" s="2">
        <v>-662</v>
      </c>
      <c r="F8" s="2">
        <v>-1510</v>
      </c>
      <c r="G8" s="2">
        <v>-518</v>
      </c>
      <c r="H8" s="2">
        <v>4</v>
      </c>
      <c r="I8" s="2" t="s">
        <v>3067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2917</v>
      </c>
      <c r="E9" s="2">
        <v>-930</v>
      </c>
      <c r="F9" s="2">
        <v>-2316</v>
      </c>
      <c r="G9" s="2">
        <v>167</v>
      </c>
      <c r="H9" s="2">
        <v>4</v>
      </c>
      <c r="I9" s="2" t="s">
        <v>3067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2917</v>
      </c>
      <c r="E10" s="2">
        <v>-1429</v>
      </c>
      <c r="F10" s="2">
        <v>-1993</v>
      </c>
      <c r="G10" s="2">
        <v>231</v>
      </c>
      <c r="H10" s="2">
        <v>4</v>
      </c>
      <c r="I10" s="2" t="s">
        <v>3067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2917</v>
      </c>
      <c r="E11" s="2">
        <v>-2645</v>
      </c>
      <c r="F11" s="2">
        <v>1126</v>
      </c>
      <c r="G11" s="2">
        <v>175</v>
      </c>
      <c r="H11" s="2">
        <v>4</v>
      </c>
      <c r="I11" s="2" t="s">
        <v>3067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2917</v>
      </c>
      <c r="E12" s="2">
        <v>-3571</v>
      </c>
      <c r="F12" s="2">
        <v>1803</v>
      </c>
      <c r="G12" s="2">
        <v>123</v>
      </c>
      <c r="H12" s="2">
        <v>4</v>
      </c>
      <c r="I12" s="2" t="s">
        <v>3067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2917</v>
      </c>
      <c r="E13" s="2">
        <v>-814</v>
      </c>
      <c r="F13" s="2">
        <v>3535</v>
      </c>
      <c r="G13" s="2">
        <v>235</v>
      </c>
      <c r="H13" s="2">
        <v>4</v>
      </c>
      <c r="I13" s="2" t="s">
        <v>3067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2917</v>
      </c>
      <c r="E14" s="2">
        <v>418</v>
      </c>
      <c r="F14" s="2">
        <v>2193</v>
      </c>
      <c r="G14" s="2">
        <v>144</v>
      </c>
      <c r="H14" s="2">
        <v>4</v>
      </c>
      <c r="I14" s="2" t="s">
        <v>3067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2917</v>
      </c>
      <c r="E15" s="2">
        <v>-63</v>
      </c>
      <c r="F15" s="2">
        <v>2984</v>
      </c>
      <c r="G15" s="2">
        <v>127</v>
      </c>
      <c r="H15" s="2">
        <v>4</v>
      </c>
      <c r="I15" s="2" t="s">
        <v>3067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2917</v>
      </c>
      <c r="E16" s="2">
        <v>-453</v>
      </c>
      <c r="F16" s="2">
        <v>1721</v>
      </c>
      <c r="G16" s="2">
        <v>169</v>
      </c>
      <c r="H16" s="2">
        <v>4</v>
      </c>
      <c r="I16" s="2" t="s">
        <v>3067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2917</v>
      </c>
      <c r="E17" s="2">
        <v>2535</v>
      </c>
      <c r="F17" s="2">
        <v>2603</v>
      </c>
      <c r="G17" s="2">
        <v>644</v>
      </c>
      <c r="H17" s="2">
        <v>4</v>
      </c>
      <c r="I17" s="2" t="s">
        <v>3067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2917</v>
      </c>
      <c r="E18" s="2">
        <v>1055</v>
      </c>
      <c r="F18" s="2">
        <v>1668</v>
      </c>
      <c r="G18" s="2">
        <v>150</v>
      </c>
      <c r="H18" s="2">
        <v>4</v>
      </c>
      <c r="I18" s="2" t="s">
        <v>3067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2917</v>
      </c>
      <c r="E19" s="2">
        <v>4037</v>
      </c>
      <c r="F19" s="2">
        <v>2177</v>
      </c>
      <c r="G19" s="2">
        <v>29</v>
      </c>
      <c r="H19" s="2">
        <v>4</v>
      </c>
      <c r="I19" s="2" t="s">
        <v>3067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2917</v>
      </c>
      <c r="E20" s="2">
        <v>4663</v>
      </c>
      <c r="F20" s="2">
        <v>3697</v>
      </c>
      <c r="G20" s="2">
        <v>50</v>
      </c>
      <c r="H20" s="2">
        <v>4</v>
      </c>
      <c r="I20" s="2" t="s">
        <v>3067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2917</v>
      </c>
      <c r="E21" s="2">
        <v>3248</v>
      </c>
      <c r="F21" s="2">
        <v>3441</v>
      </c>
      <c r="G21" s="2">
        <v>-43</v>
      </c>
      <c r="H21" s="2">
        <v>4</v>
      </c>
      <c r="I21" s="2" t="s">
        <v>3067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2917</v>
      </c>
      <c r="E22" s="2">
        <v>3272</v>
      </c>
      <c r="F22" s="2">
        <v>442</v>
      </c>
      <c r="G22" s="2">
        <v>-21</v>
      </c>
      <c r="H22" s="2">
        <v>4</v>
      </c>
      <c r="I22" s="2" t="s">
        <v>3067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2917</v>
      </c>
      <c r="E23" s="2">
        <v>3284</v>
      </c>
      <c r="F23" s="2">
        <v>1303</v>
      </c>
      <c r="G23" s="2">
        <v>217</v>
      </c>
      <c r="H23" s="2">
        <v>4</v>
      </c>
      <c r="I23" s="2" t="s">
        <v>3067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2917</v>
      </c>
      <c r="E24" s="2">
        <v>4708</v>
      </c>
      <c r="F24" s="2">
        <v>1308</v>
      </c>
      <c r="G24" s="2">
        <v>61</v>
      </c>
      <c r="H24" s="2">
        <v>4</v>
      </c>
      <c r="I24" s="2" t="s">
        <v>3067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2917</v>
      </c>
      <c r="E25" s="2">
        <v>1974</v>
      </c>
      <c r="F25" s="2">
        <v>-855</v>
      </c>
      <c r="G25" s="2">
        <v>178</v>
      </c>
      <c r="H25" s="2">
        <v>4</v>
      </c>
      <c r="I25" s="2" t="s">
        <v>3067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2917</v>
      </c>
      <c r="E26" s="2">
        <v>1727</v>
      </c>
      <c r="F26" s="2">
        <v>158</v>
      </c>
      <c r="G26" s="2">
        <v>-5</v>
      </c>
      <c r="H26" s="2">
        <v>4</v>
      </c>
      <c r="I26" s="2" t="s">
        <v>3067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2917</v>
      </c>
      <c r="E27" s="2">
        <v>3591</v>
      </c>
      <c r="F27" s="2">
        <v>-1341</v>
      </c>
      <c r="G27" s="2">
        <v>117</v>
      </c>
      <c r="H27" s="2">
        <v>4</v>
      </c>
      <c r="I27" s="2" t="s">
        <v>3067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2917</v>
      </c>
      <c r="E28" s="2">
        <v>4507</v>
      </c>
      <c r="F28" s="2">
        <v>-3459</v>
      </c>
      <c r="G28" s="2">
        <v>-17</v>
      </c>
      <c r="H28" s="2">
        <v>4</v>
      </c>
      <c r="I28" s="2" t="s">
        <v>3067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2917</v>
      </c>
      <c r="E29" s="2">
        <v>2513</v>
      </c>
      <c r="F29" s="2">
        <v>-2380</v>
      </c>
      <c r="G29" s="2">
        <v>131</v>
      </c>
      <c r="H29" s="2">
        <v>4</v>
      </c>
      <c r="I29" s="2" t="s">
        <v>3067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2917</v>
      </c>
      <c r="E30" s="2">
        <v>222</v>
      </c>
      <c r="F30" s="2">
        <v>-2119</v>
      </c>
      <c r="G30" s="2">
        <v>53</v>
      </c>
      <c r="H30" s="2">
        <v>4</v>
      </c>
      <c r="I30" s="2" t="s">
        <v>3067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2917</v>
      </c>
      <c r="E31" s="2">
        <v>-332</v>
      </c>
      <c r="F31" s="2">
        <v>-2598</v>
      </c>
      <c r="G31" s="2">
        <v>-52</v>
      </c>
      <c r="H31" s="2">
        <v>4</v>
      </c>
      <c r="I31" s="2" t="s">
        <v>3067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2917</v>
      </c>
      <c r="E32" s="2">
        <v>1305</v>
      </c>
      <c r="F32" s="2">
        <v>-2397</v>
      </c>
      <c r="G32" s="2">
        <v>62</v>
      </c>
      <c r="H32" s="2">
        <v>4</v>
      </c>
      <c r="I32" s="2" t="s">
        <v>3067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2917</v>
      </c>
      <c r="E33" s="2">
        <v>-2491</v>
      </c>
      <c r="F33" s="2">
        <v>-3068</v>
      </c>
      <c r="G33" s="2">
        <v>81</v>
      </c>
      <c r="H33" s="2">
        <v>4</v>
      </c>
      <c r="I33" s="2" t="s">
        <v>3067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2917</v>
      </c>
      <c r="E34" s="2">
        <v>-1795</v>
      </c>
      <c r="F34" s="2">
        <v>-3462</v>
      </c>
      <c r="G34" s="2">
        <v>46</v>
      </c>
      <c r="H34" s="2">
        <v>4</v>
      </c>
      <c r="I34" s="2" t="s">
        <v>3067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2917</v>
      </c>
      <c r="E35" s="2">
        <v>-3680</v>
      </c>
      <c r="F35" s="2">
        <v>-1853</v>
      </c>
      <c r="G35" s="2">
        <v>76</v>
      </c>
      <c r="H35" s="2">
        <v>4</v>
      </c>
      <c r="I35" s="2" t="s">
        <v>3067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2917</v>
      </c>
      <c r="E36" s="2">
        <v>-4203</v>
      </c>
      <c r="F36" s="2">
        <v>-639</v>
      </c>
      <c r="G36" s="2">
        <v>682</v>
      </c>
      <c r="H36" s="2">
        <v>4</v>
      </c>
      <c r="I36" s="2" t="s">
        <v>3067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2917</v>
      </c>
      <c r="E37" s="2">
        <v>-3429</v>
      </c>
      <c r="F37" s="2">
        <v>-1334</v>
      </c>
      <c r="G37" s="2">
        <v>335</v>
      </c>
      <c r="H37" s="2">
        <v>4</v>
      </c>
      <c r="I37" s="2" t="s">
        <v>3067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H6" sqref="H6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2310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2261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2299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2253</v>
      </c>
      <c r="I3" t="s">
        <v>2313</v>
      </c>
    </row>
    <row r="4" spans="1:9" x14ac:dyDescent="0.2">
      <c r="A4" t="s">
        <v>2286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2244</v>
      </c>
      <c r="I4" t="s">
        <v>2314</v>
      </c>
    </row>
    <row r="5" spans="1:9" x14ac:dyDescent="0.2">
      <c r="A5" t="s">
        <v>2293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2265</v>
      </c>
      <c r="I5" t="s">
        <v>2315</v>
      </c>
    </row>
    <row r="6" spans="1:9" x14ac:dyDescent="0.2">
      <c r="A6" t="s">
        <v>2303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2256</v>
      </c>
      <c r="I6" t="s">
        <v>2316</v>
      </c>
    </row>
    <row r="7" spans="1:9" x14ac:dyDescent="0.2">
      <c r="A7" t="s">
        <v>2307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2259</v>
      </c>
      <c r="I7" t="s">
        <v>2317</v>
      </c>
    </row>
    <row r="8" spans="1:9" x14ac:dyDescent="0.2">
      <c r="A8" t="s">
        <v>2289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2264</v>
      </c>
      <c r="I8" t="s">
        <v>2318</v>
      </c>
    </row>
    <row r="9" spans="1:9" x14ac:dyDescent="0.2">
      <c r="A9" t="s">
        <v>2285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2243</v>
      </c>
      <c r="I9" t="s">
        <v>2319</v>
      </c>
    </row>
    <row r="10" spans="1:9" x14ac:dyDescent="0.2">
      <c r="A10" t="s">
        <v>2294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2249</v>
      </c>
      <c r="I10" t="s">
        <v>2320</v>
      </c>
    </row>
    <row r="11" spans="1:9" x14ac:dyDescent="0.2">
      <c r="A11" t="s">
        <v>2283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2242</v>
      </c>
      <c r="I11" t="s">
        <v>2321</v>
      </c>
    </row>
    <row r="12" spans="1:9" x14ac:dyDescent="0.2">
      <c r="A12" t="s">
        <v>2298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2252</v>
      </c>
      <c r="I12" t="s">
        <v>2322</v>
      </c>
    </row>
    <row r="13" spans="1:9" x14ac:dyDescent="0.2">
      <c r="A13" t="s">
        <v>2296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2251</v>
      </c>
      <c r="I13" t="s">
        <v>2323</v>
      </c>
    </row>
    <row r="14" spans="1:9" x14ac:dyDescent="0.2">
      <c r="A14" t="s">
        <v>2297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2267</v>
      </c>
      <c r="I14" t="s">
        <v>2324</v>
      </c>
    </row>
    <row r="15" spans="1:9" x14ac:dyDescent="0.2">
      <c r="A15" t="s">
        <v>2311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2262</v>
      </c>
      <c r="I15" t="s">
        <v>2325</v>
      </c>
    </row>
    <row r="16" spans="1:9" x14ac:dyDescent="0.2">
      <c r="A16" t="s">
        <v>2292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2248</v>
      </c>
      <c r="I16" t="s">
        <v>2326</v>
      </c>
    </row>
    <row r="17" spans="1:9" x14ac:dyDescent="0.2">
      <c r="A17" t="s">
        <v>2306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2270</v>
      </c>
      <c r="I17" t="s">
        <v>2327</v>
      </c>
    </row>
    <row r="18" spans="1:9" x14ac:dyDescent="0.2">
      <c r="A18" t="s">
        <v>2312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2260</v>
      </c>
      <c r="I18" t="s">
        <v>2328</v>
      </c>
    </row>
    <row r="19" spans="1:9" x14ac:dyDescent="0.2">
      <c r="A19" t="s">
        <v>2295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2250</v>
      </c>
      <c r="I19" t="s">
        <v>2329</v>
      </c>
    </row>
    <row r="20" spans="1:9" x14ac:dyDescent="0.2">
      <c r="A20" t="s">
        <v>2308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2269</v>
      </c>
      <c r="I20" t="s">
        <v>2330</v>
      </c>
    </row>
    <row r="21" spans="1:9" x14ac:dyDescent="0.2">
      <c r="A21" t="s">
        <v>2309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2271</v>
      </c>
      <c r="I21" t="s">
        <v>2331</v>
      </c>
    </row>
    <row r="22" spans="1:9" x14ac:dyDescent="0.2">
      <c r="A22" t="s">
        <v>2300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2254</v>
      </c>
      <c r="I22" t="s">
        <v>2332</v>
      </c>
    </row>
    <row r="23" spans="1:9" x14ac:dyDescent="0.2">
      <c r="A23" t="s">
        <v>2305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2258</v>
      </c>
      <c r="I23" t="s">
        <v>2333</v>
      </c>
    </row>
    <row r="24" spans="1:9" x14ac:dyDescent="0.2">
      <c r="A24" t="s">
        <v>2301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2255</v>
      </c>
      <c r="I24" t="s">
        <v>2334</v>
      </c>
    </row>
    <row r="25" spans="1:9" x14ac:dyDescent="0.2">
      <c r="A25" t="s">
        <v>2284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2266</v>
      </c>
      <c r="I25" t="s">
        <v>2335</v>
      </c>
    </row>
    <row r="26" spans="1:9" x14ac:dyDescent="0.2">
      <c r="A26" t="s">
        <v>2287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2245</v>
      </c>
      <c r="I26" t="s">
        <v>2336</v>
      </c>
    </row>
    <row r="27" spans="1:9" x14ac:dyDescent="0.2">
      <c r="A27" t="s">
        <v>2290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2246</v>
      </c>
      <c r="I27" t="s">
        <v>2337</v>
      </c>
    </row>
    <row r="28" spans="1:9" x14ac:dyDescent="0.2">
      <c r="A28" t="s">
        <v>2291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2247</v>
      </c>
      <c r="I28" t="s">
        <v>2338</v>
      </c>
    </row>
    <row r="29" spans="1:9" x14ac:dyDescent="0.2">
      <c r="A29" t="s">
        <v>2304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2257</v>
      </c>
      <c r="I29" t="s">
        <v>2339</v>
      </c>
    </row>
    <row r="30" spans="1:9" x14ac:dyDescent="0.2">
      <c r="A30" t="s">
        <v>2288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2263</v>
      </c>
      <c r="I30" t="s">
        <v>2340</v>
      </c>
    </row>
    <row r="31" spans="1:9" x14ac:dyDescent="0.2">
      <c r="A31" t="s">
        <v>2302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2268</v>
      </c>
      <c r="I31" t="s">
        <v>2341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B2" sqref="B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2418</v>
      </c>
      <c r="B2" t="s">
        <v>2417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2423</v>
      </c>
      <c r="B3" t="s">
        <v>2437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2419</v>
      </c>
      <c r="B4" t="s">
        <v>2430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2425</v>
      </c>
      <c r="B5" t="s">
        <v>2433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2428</v>
      </c>
      <c r="B6" t="s">
        <v>2435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2420</v>
      </c>
      <c r="B7" t="s">
        <v>2431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2429</v>
      </c>
      <c r="B8" t="s">
        <v>2436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2426</v>
      </c>
      <c r="B9" t="s">
        <v>2440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2424</v>
      </c>
      <c r="B10" t="s">
        <v>2439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2421</v>
      </c>
      <c r="B11" t="s">
        <v>2432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2427</v>
      </c>
      <c r="B12" t="s">
        <v>2434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2422</v>
      </c>
      <c r="B13" t="s">
        <v>2438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I3" sqref="I3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2504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2504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2447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2495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2496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2498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2497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2499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2500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2501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2402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2402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2502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2503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2450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2451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2460</v>
      </c>
    </row>
    <row r="4" spans="1:9" x14ac:dyDescent="0.2">
      <c r="A4" t="s">
        <v>1310</v>
      </c>
      <c r="B4" t="s">
        <v>2452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2461</v>
      </c>
    </row>
    <row r="5" spans="1:9" x14ac:dyDescent="0.2">
      <c r="A5" t="s">
        <v>1310</v>
      </c>
      <c r="B5" t="s">
        <v>2453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2462</v>
      </c>
    </row>
    <row r="6" spans="1:9" x14ac:dyDescent="0.2">
      <c r="A6" t="s">
        <v>1456</v>
      </c>
      <c r="B6" t="s">
        <v>2454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2463</v>
      </c>
    </row>
  </sheetData>
  <autoFilter ref="A1:I2" xr:uid="{A095D5C8-FF81-DA46-ADE3-61DE071C213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H14" sqref="H14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2390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2388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2389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2553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2387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64" workbookViewId="0">
      <selection activeCell="B64" sqref="B64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3286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3285</v>
      </c>
      <c r="C2" t="s">
        <v>2887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3538</v>
      </c>
      <c r="C3" t="s">
        <v>2889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"&amp;CHAR(34)&amp;B3&amp;CHAR(34)&amp;", landmark: "&amp;CHAR(34)&amp;IF(LEN(C3)=LEN(SUBSTITUTE(C3,"Transport","")),"Korok x1","Korok x2")&amp;CHAR(34)&amp;", type: "&amp;CHAR(34)&amp;C3&amp;CHAR(34)&amp;", region: "&amp;D3&amp;", level: "&amp;CHAR(34)&amp;E3&amp;CHAR(34)&amp;", x: "&amp;F3&amp;", y: "&amp;G3&amp;", z: "&amp;H3&amp;", details: "&amp;CHAR(34)&amp;I3&amp;CHAR(34)&amp;" },"</f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3539</v>
      </c>
      <c r="C4" t="s">
        <v>2875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"&amp;CHAR(34)&amp;B4&amp;CHAR(34)&amp;", landmark: "&amp;CHAR(34)&amp;IF(LEN(C4)=LEN(SUBSTITUTE(C4,"Transport","")),"Korok x1","Korok x2")&amp;CHAR(34)&amp;", type: "&amp;CHAR(34)&amp;C4&amp;CHAR(34)&amp;", region: "&amp;D4&amp;", level: "&amp;CHAR(34)&amp;E4&amp;CHAR(34)&amp;", x: "&amp;F4&amp;", y: "&amp;G4&amp;", z: "&amp;H4&amp;", details: "&amp;CHAR(34)&amp;I4&amp;CHAR(34)&amp;" },"</f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3540</v>
      </c>
      <c r="C5" t="s">
        <v>2865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2659</v>
      </c>
      <c r="J5" t="str">
        <f>"{ name: "&amp;CHAR(34)&amp;B5&amp;CHAR(34)&amp;", landmark: "&amp;CHAR(34)&amp;IF(LEN(C5)=LEN(SUBSTITUTE(C5,"Transport","")),"Korok x1","Korok x2")&amp;CHAR(34)&amp;", type: "&amp;CHAR(34)&amp;C5&amp;CHAR(34)&amp;", region: "&amp;D5&amp;", level: "&amp;CHAR(34)&amp;E5&amp;CHAR(34)&amp;", x: "&amp;F5&amp;", y: "&amp;G5&amp;", z: "&amp;H5&amp;", details: "&amp;CHAR(34)&amp;I5&amp;CHAR(34)&amp;" },"</f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3541</v>
      </c>
      <c r="C6" t="s">
        <v>2874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2794</v>
      </c>
      <c r="J6" t="str">
        <f>"{ name: "&amp;CHAR(34)&amp;B6&amp;CHAR(34)&amp;", landmark: "&amp;CHAR(34)&amp;IF(LEN(C6)=LEN(SUBSTITUTE(C6,"Transport","")),"Korok x1","Korok x2")&amp;CHAR(34)&amp;", type: "&amp;CHAR(34)&amp;C6&amp;CHAR(34)&amp;", region: "&amp;D6&amp;", level: "&amp;CHAR(34)&amp;E6&amp;CHAR(34)&amp;", x: "&amp;F6&amp;", y: "&amp;G6&amp;", z: "&amp;H6&amp;", details: "&amp;CHAR(34)&amp;I6&amp;CHAR(34)&amp;" },"</f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3542</v>
      </c>
      <c r="C7" t="s">
        <v>2871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"&amp;CHAR(34)&amp;B7&amp;CHAR(34)&amp;", landmark: "&amp;CHAR(34)&amp;IF(LEN(C7)=LEN(SUBSTITUTE(C7,"Transport","")),"Korok x1","Korok x2")&amp;CHAR(34)&amp;", type: "&amp;CHAR(34)&amp;C7&amp;CHAR(34)&amp;", region: "&amp;D7&amp;", level: "&amp;CHAR(34)&amp;E7&amp;CHAR(34)&amp;", x: "&amp;F7&amp;", y: "&amp;G7&amp;", z: "&amp;H7&amp;", details: "&amp;CHAR(34)&amp;I7&amp;CHAR(34)&amp;" },"</f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3543</v>
      </c>
      <c r="C8" t="s">
        <v>2872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"&amp;CHAR(34)&amp;B8&amp;CHAR(34)&amp;", landmark: "&amp;CHAR(34)&amp;IF(LEN(C8)=LEN(SUBSTITUTE(C8,"Transport","")),"Korok x1","Korok x2")&amp;CHAR(34)&amp;", type: "&amp;CHAR(34)&amp;C8&amp;CHAR(34)&amp;", region: "&amp;D8&amp;", level: "&amp;CHAR(34)&amp;E8&amp;CHAR(34)&amp;", x: "&amp;F8&amp;", y: "&amp;G8&amp;", z: "&amp;H8&amp;", details: "&amp;CHAR(34)&amp;I8&amp;CHAR(34)&amp;" },"</f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3544</v>
      </c>
      <c r="C9" t="s">
        <v>2871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"&amp;CHAR(34)&amp;B9&amp;CHAR(34)&amp;", landmark: "&amp;CHAR(34)&amp;IF(LEN(C9)=LEN(SUBSTITUTE(C9,"Transport","")),"Korok x1","Korok x2")&amp;CHAR(34)&amp;", type: "&amp;CHAR(34)&amp;C9&amp;CHAR(34)&amp;", region: "&amp;D9&amp;", level: "&amp;CHAR(34)&amp;E9&amp;CHAR(34)&amp;", x: "&amp;F9&amp;", y: "&amp;G9&amp;", z: "&amp;H9&amp;", details: "&amp;CHAR(34)&amp;I9&amp;CHAR(34)&amp;" },"</f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3545</v>
      </c>
      <c r="C10" t="s">
        <v>2885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"&amp;CHAR(34)&amp;B10&amp;CHAR(34)&amp;", landmark: "&amp;CHAR(34)&amp;IF(LEN(C10)=LEN(SUBSTITUTE(C10,"Transport","")),"Korok x1","Korok x2")&amp;CHAR(34)&amp;", type: "&amp;CHAR(34)&amp;C10&amp;CHAR(34)&amp;", region: "&amp;D10&amp;", level: "&amp;CHAR(34)&amp;E10&amp;CHAR(34)&amp;", x: "&amp;F10&amp;", y: "&amp;G10&amp;", z: "&amp;H10&amp;", details: "&amp;CHAR(34)&amp;I10&amp;CHAR(34)&amp;" },"</f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3546</v>
      </c>
      <c r="C11" t="s">
        <v>2870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"&amp;CHAR(34)&amp;B11&amp;CHAR(34)&amp;", landmark: "&amp;CHAR(34)&amp;IF(LEN(C11)=LEN(SUBSTITUTE(C11,"Transport","")),"Korok x1","Korok x2")&amp;CHAR(34)&amp;", type: "&amp;CHAR(34)&amp;C11&amp;CHAR(34)&amp;", region: "&amp;D11&amp;", level: "&amp;CHAR(34)&amp;E11&amp;CHAR(34)&amp;", x: "&amp;F11&amp;", y: "&amp;G11&amp;", z: "&amp;H11&amp;", details: "&amp;CHAR(34)&amp;I11&amp;CHAR(34)&amp;" },"</f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3547</v>
      </c>
      <c r="C12" t="s">
        <v>2875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"&amp;CHAR(34)&amp;B12&amp;CHAR(34)&amp;", landmark: "&amp;CHAR(34)&amp;IF(LEN(C12)=LEN(SUBSTITUTE(C12,"Transport","")),"Korok x1","Korok x2")&amp;CHAR(34)&amp;", type: "&amp;CHAR(34)&amp;C12&amp;CHAR(34)&amp;", region: "&amp;D12&amp;", level: "&amp;CHAR(34)&amp;E12&amp;CHAR(34)&amp;", x: "&amp;F12&amp;", y: "&amp;G12&amp;", z: "&amp;H12&amp;", details: "&amp;CHAR(34)&amp;I12&amp;CHAR(34)&amp;" },"</f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3548</v>
      </c>
      <c r="C13" t="s">
        <v>2870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"&amp;CHAR(34)&amp;B13&amp;CHAR(34)&amp;", landmark: "&amp;CHAR(34)&amp;IF(LEN(C13)=LEN(SUBSTITUTE(C13,"Transport","")),"Korok x1","Korok x2")&amp;CHAR(34)&amp;", type: "&amp;CHAR(34)&amp;C13&amp;CHAR(34)&amp;", region: "&amp;D13&amp;", level: "&amp;CHAR(34)&amp;E13&amp;CHAR(34)&amp;", x: "&amp;F13&amp;", y: "&amp;G13&amp;", z: "&amp;H13&amp;", details: "&amp;CHAR(34)&amp;I13&amp;CHAR(34)&amp;" },"</f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3549</v>
      </c>
      <c r="C14" t="s">
        <v>2867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"&amp;CHAR(34)&amp;B14&amp;CHAR(34)&amp;", landmark: "&amp;CHAR(34)&amp;IF(LEN(C14)=LEN(SUBSTITUTE(C14,"Transport","")),"Korok x1","Korok x2")&amp;CHAR(34)&amp;", type: "&amp;CHAR(34)&amp;C14&amp;CHAR(34)&amp;", region: "&amp;D14&amp;", level: "&amp;CHAR(34)&amp;E14&amp;CHAR(34)&amp;", x: "&amp;F14&amp;", y: "&amp;G14&amp;", z: "&amp;H14&amp;", details: "&amp;CHAR(34)&amp;I14&amp;CHAR(34)&amp;" },"</f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3550</v>
      </c>
      <c r="C15" t="s">
        <v>2658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"&amp;CHAR(34)&amp;B15&amp;CHAR(34)&amp;", landmark: "&amp;CHAR(34)&amp;IF(LEN(C15)=LEN(SUBSTITUTE(C15,"Transport","")),"Korok x1","Korok x2")&amp;CHAR(34)&amp;", type: "&amp;CHAR(34)&amp;C15&amp;CHAR(34)&amp;", region: "&amp;D15&amp;", level: "&amp;CHAR(34)&amp;E15&amp;CHAR(34)&amp;", x: "&amp;F15&amp;", y: "&amp;G15&amp;", z: "&amp;H15&amp;", details: "&amp;CHAR(34)&amp;I15&amp;CHAR(34)&amp;" },"</f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3551</v>
      </c>
      <c r="C16" t="s">
        <v>2888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"&amp;CHAR(34)&amp;B16&amp;CHAR(34)&amp;", landmark: "&amp;CHAR(34)&amp;IF(LEN(C16)=LEN(SUBSTITUTE(C16,"Transport","")),"Korok x1","Korok x2")&amp;CHAR(34)&amp;", type: "&amp;CHAR(34)&amp;C16&amp;CHAR(34)&amp;", region: "&amp;D16&amp;", level: "&amp;CHAR(34)&amp;E16&amp;CHAR(34)&amp;", x: "&amp;F16&amp;", y: "&amp;G16&amp;", z: "&amp;H16&amp;", details: "&amp;CHAR(34)&amp;I16&amp;CHAR(34)&amp;" },"</f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3552</v>
      </c>
      <c r="C17" t="s">
        <v>2873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"&amp;CHAR(34)&amp;B17&amp;CHAR(34)&amp;", landmark: "&amp;CHAR(34)&amp;IF(LEN(C17)=LEN(SUBSTITUTE(C17,"Transport","")),"Korok x1","Korok x2")&amp;CHAR(34)&amp;", type: "&amp;CHAR(34)&amp;C17&amp;CHAR(34)&amp;", region: "&amp;D17&amp;", level: "&amp;CHAR(34)&amp;E17&amp;CHAR(34)&amp;", x: "&amp;F17&amp;", y: "&amp;G17&amp;", z: "&amp;H17&amp;", details: "&amp;CHAR(34)&amp;I17&amp;CHAR(34)&amp;" },"</f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3553</v>
      </c>
      <c r="C18" t="s">
        <v>2865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2660</v>
      </c>
      <c r="J18" t="str">
        <f>"{ name: "&amp;CHAR(34)&amp;B18&amp;CHAR(34)&amp;", landmark: "&amp;CHAR(34)&amp;IF(LEN(C18)=LEN(SUBSTITUTE(C18,"Transport","")),"Korok x1","Korok x2")&amp;CHAR(34)&amp;", type: "&amp;CHAR(34)&amp;C18&amp;CHAR(34)&amp;", region: "&amp;D18&amp;", level: "&amp;CHAR(34)&amp;E18&amp;CHAR(34)&amp;", x: "&amp;F18&amp;", y: "&amp;G18&amp;", z: "&amp;H18&amp;", details: "&amp;CHAR(34)&amp;I18&amp;CHAR(34)&amp;" },"</f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3306</v>
      </c>
      <c r="C19" t="s">
        <v>2890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2817</v>
      </c>
      <c r="J19" t="str">
        <f>"{ name: "&amp;CHAR(34)&amp;B19&amp;CHAR(34)&amp;", landmark: "&amp;CHAR(34)&amp;IF(LEN(C19)=LEN(SUBSTITUTE(C19,"Transport","")),"Korok x1","Korok x2")&amp;CHAR(34)&amp;", type: "&amp;CHAR(34)&amp;C19&amp;CHAR(34)&amp;", region: "&amp;D19&amp;", level: "&amp;CHAR(34)&amp;E19&amp;CHAR(34)&amp;", x: "&amp;F19&amp;", y: "&amp;G19&amp;", z: "&amp;H19&amp;", details: "&amp;CHAR(34)&amp;I19&amp;CHAR(34)&amp;" },"</f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3334</v>
      </c>
      <c r="C20" t="s">
        <v>2864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>"{ name: "&amp;CHAR(34)&amp;B20&amp;CHAR(34)&amp;", landmark: "&amp;CHAR(34)&amp;IF(LEN(C20)=LEN(SUBSTITUTE(C20,"Transport","")),"Korok x1","Korok x2")&amp;CHAR(34)&amp;", type: "&amp;CHAR(34)&amp;C20&amp;CHAR(34)&amp;", region: "&amp;D20&amp;", level: "&amp;CHAR(34)&amp;E20&amp;CHAR(34)&amp;", x: "&amp;F20&amp;", y: "&amp;G20&amp;", z: "&amp;H20&amp;", details: "&amp;CHAR(34)&amp;I20&amp;CHAR(34)&amp;" },"</f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3336</v>
      </c>
      <c r="C21" t="s">
        <v>2875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>"{ name: "&amp;CHAR(34)&amp;B21&amp;CHAR(34)&amp;", landmark: "&amp;CHAR(34)&amp;IF(LEN(C21)=LEN(SUBSTITUTE(C21,"Transport","")),"Korok x1","Korok x2")&amp;CHAR(34)&amp;", type: "&amp;CHAR(34)&amp;C21&amp;CHAR(34)&amp;", region: "&amp;D21&amp;", level: "&amp;CHAR(34)&amp;E21&amp;CHAR(34)&amp;", x: "&amp;F21&amp;", y: "&amp;G21&amp;", z: "&amp;H21&amp;", details: "&amp;CHAR(34)&amp;I21&amp;CHAR(34)&amp;" },"</f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3337</v>
      </c>
      <c r="C22" t="s">
        <v>2875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>"{ name: "&amp;CHAR(34)&amp;B22&amp;CHAR(34)&amp;", landmark: "&amp;CHAR(34)&amp;IF(LEN(C22)=LEN(SUBSTITUTE(C22,"Transport","")),"Korok x1","Korok x2")&amp;CHAR(34)&amp;", type: "&amp;CHAR(34)&amp;C22&amp;CHAR(34)&amp;", region: "&amp;D22&amp;", level: "&amp;CHAR(34)&amp;E22&amp;CHAR(34)&amp;", x: "&amp;F22&amp;", y: "&amp;G22&amp;", z: "&amp;H22&amp;", details: "&amp;CHAR(34)&amp;I22&amp;CHAR(34)&amp;" },"</f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3356</v>
      </c>
      <c r="C23" t="s">
        <v>2865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2681</v>
      </c>
      <c r="J23" t="str">
        <f>"{ name: "&amp;CHAR(34)&amp;B23&amp;CHAR(34)&amp;", landmark: "&amp;CHAR(34)&amp;IF(LEN(C23)=LEN(SUBSTITUTE(C23,"Transport","")),"Korok x1","Korok x2")&amp;CHAR(34)&amp;", type: "&amp;CHAR(34)&amp;C23&amp;CHAR(34)&amp;", region: "&amp;D23&amp;", level: "&amp;CHAR(34)&amp;E23&amp;CHAR(34)&amp;", x: "&amp;F23&amp;", y: "&amp;G23&amp;", z: "&amp;H23&amp;", details: "&amp;CHAR(34)&amp;I23&amp;CHAR(34)&amp;" },"</f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3357</v>
      </c>
      <c r="C24" t="s">
        <v>2864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>"{ name: "&amp;CHAR(34)&amp;B24&amp;CHAR(34)&amp;", landmark: "&amp;CHAR(34)&amp;IF(LEN(C24)=LEN(SUBSTITUTE(C24,"Transport","")),"Korok x1","Korok x2")&amp;CHAR(34)&amp;", type: "&amp;CHAR(34)&amp;C24&amp;CHAR(34)&amp;", region: "&amp;D24&amp;", level: "&amp;CHAR(34)&amp;E24&amp;CHAR(34)&amp;", x: "&amp;F24&amp;", y: "&amp;G24&amp;", z: "&amp;H24&amp;", details: "&amp;CHAR(34)&amp;I24&amp;CHAR(34)&amp;" },"</f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3358</v>
      </c>
      <c r="C25" t="s">
        <v>2887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>"{ name: "&amp;CHAR(34)&amp;B25&amp;CHAR(34)&amp;", landmark: "&amp;CHAR(34)&amp;IF(LEN(C25)=LEN(SUBSTITUTE(C25,"Transport","")),"Korok x1","Korok x2")&amp;CHAR(34)&amp;", type: "&amp;CHAR(34)&amp;C25&amp;CHAR(34)&amp;", region: "&amp;D25&amp;", level: "&amp;CHAR(34)&amp;E25&amp;CHAR(34)&amp;", x: "&amp;F25&amp;", y: "&amp;G25&amp;", z: "&amp;H25&amp;", details: "&amp;CHAR(34)&amp;I25&amp;CHAR(34)&amp;" },"</f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3359</v>
      </c>
      <c r="C26" t="s">
        <v>2875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>"{ name: "&amp;CHAR(34)&amp;B26&amp;CHAR(34)&amp;", landmark: "&amp;CHAR(34)&amp;IF(LEN(C26)=LEN(SUBSTITUTE(C26,"Transport","")),"Korok x1","Korok x2")&amp;CHAR(34)&amp;", type: "&amp;CHAR(34)&amp;C26&amp;CHAR(34)&amp;", region: "&amp;D26&amp;", level: "&amp;CHAR(34)&amp;E26&amp;CHAR(34)&amp;", x: "&amp;F26&amp;", y: "&amp;G26&amp;", z: "&amp;H26&amp;", details: "&amp;CHAR(34)&amp;I26&amp;CHAR(34)&amp;" },"</f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3360</v>
      </c>
      <c r="C27" t="s">
        <v>2867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>"{ name: "&amp;CHAR(34)&amp;B27&amp;CHAR(34)&amp;", landmark: "&amp;CHAR(34)&amp;IF(LEN(C27)=LEN(SUBSTITUTE(C27,"Transport","")),"Korok x1","Korok x2")&amp;CHAR(34)&amp;", type: "&amp;CHAR(34)&amp;C27&amp;CHAR(34)&amp;", region: "&amp;D27&amp;", level: "&amp;CHAR(34)&amp;E27&amp;CHAR(34)&amp;", x: "&amp;F27&amp;", y: "&amp;G27&amp;", z: "&amp;H27&amp;", details: "&amp;CHAR(34)&amp;I27&amp;CHAR(34)&amp;" },"</f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3361</v>
      </c>
      <c r="C28" t="s">
        <v>2875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>"{ name: "&amp;CHAR(34)&amp;B28&amp;CHAR(34)&amp;", landmark: "&amp;CHAR(34)&amp;IF(LEN(C28)=LEN(SUBSTITUTE(C28,"Transport","")),"Korok x1","Korok x2")&amp;CHAR(34)&amp;", type: "&amp;CHAR(34)&amp;C28&amp;CHAR(34)&amp;", region: "&amp;D28&amp;", level: "&amp;CHAR(34)&amp;E28&amp;CHAR(34)&amp;", x: "&amp;F28&amp;", y: "&amp;G28&amp;", z: "&amp;H28&amp;", details: "&amp;CHAR(34)&amp;I28&amp;CHAR(34)&amp;" },"</f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3428</v>
      </c>
      <c r="C29" t="s">
        <v>2889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>"{ name: "&amp;CHAR(34)&amp;B29&amp;CHAR(34)&amp;", landmark: "&amp;CHAR(34)&amp;IF(LEN(C29)=LEN(SUBSTITUTE(C29,"Transport","")),"Korok x1","Korok x2")&amp;CHAR(34)&amp;", type: "&amp;CHAR(34)&amp;C29&amp;CHAR(34)&amp;", region: "&amp;D29&amp;", level: "&amp;CHAR(34)&amp;E29&amp;CHAR(34)&amp;", x: "&amp;F29&amp;", y: "&amp;G29&amp;", z: "&amp;H29&amp;", details: "&amp;CHAR(34)&amp;I29&amp;CHAR(34)&amp;" },"</f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3505</v>
      </c>
      <c r="C30" t="s">
        <v>2875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>"{ name: "&amp;CHAR(34)&amp;B30&amp;CHAR(34)&amp;", landmark: "&amp;CHAR(34)&amp;IF(LEN(C30)=LEN(SUBSTITUTE(C30,"Transport","")),"Korok x1","Korok x2")&amp;CHAR(34)&amp;", type: "&amp;CHAR(34)&amp;C30&amp;CHAR(34)&amp;", region: "&amp;D30&amp;", level: "&amp;CHAR(34)&amp;E30&amp;CHAR(34)&amp;", x: "&amp;F30&amp;", y: "&amp;G30&amp;", z: "&amp;H30&amp;", details: "&amp;CHAR(34)&amp;I30&amp;CHAR(34)&amp;" },"</f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3506</v>
      </c>
      <c r="C31" t="s">
        <v>2658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>"{ name: "&amp;CHAR(34)&amp;B31&amp;CHAR(34)&amp;", landmark: "&amp;CHAR(34)&amp;IF(LEN(C31)=LEN(SUBSTITUTE(C31,"Transport","")),"Korok x1","Korok x2")&amp;CHAR(34)&amp;", type: "&amp;CHAR(34)&amp;C31&amp;CHAR(34)&amp;", region: "&amp;D31&amp;", level: "&amp;CHAR(34)&amp;E31&amp;CHAR(34)&amp;", x: "&amp;F31&amp;", y: "&amp;G31&amp;", z: "&amp;H31&amp;", details: "&amp;CHAR(34)&amp;I31&amp;CHAR(34)&amp;" },"</f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3598</v>
      </c>
      <c r="C32" t="s">
        <v>2871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>"{ name: "&amp;CHAR(34)&amp;B32&amp;CHAR(34)&amp;", landmark: "&amp;CHAR(34)&amp;IF(LEN(C32)=LEN(SUBSTITUTE(C32,"Transport","")),"Korok x1","Korok x2")&amp;CHAR(34)&amp;", type: "&amp;CHAR(34)&amp;C32&amp;CHAR(34)&amp;", region: "&amp;D32&amp;", level: "&amp;CHAR(34)&amp;E32&amp;CHAR(34)&amp;", x: "&amp;F32&amp;", y: "&amp;G32&amp;", z: "&amp;H32&amp;", details: "&amp;CHAR(34)&amp;I32&amp;CHAR(34)&amp;" },"</f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3599</v>
      </c>
      <c r="C33" t="s">
        <v>2875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>"{ name: "&amp;CHAR(34)&amp;B33&amp;CHAR(34)&amp;", landmark: "&amp;CHAR(34)&amp;IF(LEN(C33)=LEN(SUBSTITUTE(C33,"Transport","")),"Korok x1","Korok x2")&amp;CHAR(34)&amp;", type: "&amp;CHAR(34)&amp;C33&amp;CHAR(34)&amp;", region: "&amp;D33&amp;", level: "&amp;CHAR(34)&amp;E33&amp;CHAR(34)&amp;", x: "&amp;F33&amp;", y: "&amp;G33&amp;", z: "&amp;H33&amp;", details: "&amp;CHAR(34)&amp;I33&amp;CHAR(34)&amp;" },"</f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3604</v>
      </c>
      <c r="C34" t="s">
        <v>2872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>"{ name: "&amp;CHAR(34)&amp;B34&amp;CHAR(34)&amp;", landmark: "&amp;CHAR(34)&amp;IF(LEN(C34)=LEN(SUBSTITUTE(C34,"Transport","")),"Korok x1","Korok x2")&amp;CHAR(34)&amp;", type: "&amp;CHAR(34)&amp;C34&amp;CHAR(34)&amp;", region: "&amp;D34&amp;", level: "&amp;CHAR(34)&amp;E34&amp;CHAR(34)&amp;", x: "&amp;F34&amp;", y: "&amp;G34&amp;", z: "&amp;H34&amp;", details: "&amp;CHAR(34)&amp;I34&amp;CHAR(34)&amp;" },"</f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3605</v>
      </c>
      <c r="C35" t="s">
        <v>2875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>"{ name: "&amp;CHAR(34)&amp;B35&amp;CHAR(34)&amp;", landmark: "&amp;CHAR(34)&amp;IF(LEN(C35)=LEN(SUBSTITUTE(C35,"Transport","")),"Korok x1","Korok x2")&amp;CHAR(34)&amp;", type: "&amp;CHAR(34)&amp;C35&amp;CHAR(34)&amp;", region: "&amp;D35&amp;", level: "&amp;CHAR(34)&amp;E35&amp;CHAR(34)&amp;", x: "&amp;F35&amp;", y: "&amp;G35&amp;", z: "&amp;H35&amp;", details: "&amp;CHAR(34)&amp;I35&amp;CHAR(34)&amp;" },"</f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3606</v>
      </c>
      <c r="C36" t="s">
        <v>2875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>"{ name: "&amp;CHAR(34)&amp;B36&amp;CHAR(34)&amp;", landmark: "&amp;CHAR(34)&amp;IF(LEN(C36)=LEN(SUBSTITUTE(C36,"Transport","")),"Korok x1","Korok x2")&amp;CHAR(34)&amp;", type: "&amp;CHAR(34)&amp;C36&amp;CHAR(34)&amp;", region: "&amp;D36&amp;", level: "&amp;CHAR(34)&amp;E36&amp;CHAR(34)&amp;", x: "&amp;F36&amp;", y: "&amp;G36&amp;", z: "&amp;H36&amp;", details: "&amp;CHAR(34)&amp;I36&amp;CHAR(34)&amp;" },"</f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3607</v>
      </c>
      <c r="C37" t="s">
        <v>2872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>"{ name: "&amp;CHAR(34)&amp;B37&amp;CHAR(34)&amp;", landmark: "&amp;CHAR(34)&amp;IF(LEN(C37)=LEN(SUBSTITUTE(C37,"Transport","")),"Korok x1","Korok x2")&amp;CHAR(34)&amp;", type: "&amp;CHAR(34)&amp;C37&amp;CHAR(34)&amp;", region: "&amp;D37&amp;", level: "&amp;CHAR(34)&amp;E37&amp;CHAR(34)&amp;", x: "&amp;F37&amp;", y: "&amp;G37&amp;", z: "&amp;H37&amp;", details: "&amp;CHAR(34)&amp;I37&amp;CHAR(34)&amp;" },"</f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3608</v>
      </c>
      <c r="C38" t="s">
        <v>2890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2813</v>
      </c>
      <c r="J38" t="str">
        <f>"{ name: "&amp;CHAR(34)&amp;B38&amp;CHAR(34)&amp;", landmark: "&amp;CHAR(34)&amp;IF(LEN(C38)=LEN(SUBSTITUTE(C38,"Transport","")),"Korok x1","Korok x2")&amp;CHAR(34)&amp;", type: "&amp;CHAR(34)&amp;C38&amp;CHAR(34)&amp;", region: "&amp;D38&amp;", level: "&amp;CHAR(34)&amp;E38&amp;CHAR(34)&amp;", x: "&amp;F38&amp;", y: "&amp;G38&amp;", z: "&amp;H38&amp;", details: "&amp;CHAR(34)&amp;I38&amp;CHAR(34)&amp;" },"</f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3609</v>
      </c>
      <c r="C39" t="s">
        <v>2870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>"{ name: "&amp;CHAR(34)&amp;B39&amp;CHAR(34)&amp;", landmark: "&amp;CHAR(34)&amp;IF(LEN(C39)=LEN(SUBSTITUTE(C39,"Transport","")),"Korok x1","Korok x2")&amp;CHAR(34)&amp;", type: "&amp;CHAR(34)&amp;C39&amp;CHAR(34)&amp;", region: "&amp;D39&amp;", level: "&amp;CHAR(34)&amp;E39&amp;CHAR(34)&amp;", x: "&amp;F39&amp;", y: "&amp;G39&amp;", z: "&amp;H39&amp;", details: "&amp;CHAR(34)&amp;I39&amp;CHAR(34)&amp;" },"</f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3610</v>
      </c>
      <c r="C40" t="s">
        <v>2885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>"{ name: "&amp;CHAR(34)&amp;B40&amp;CHAR(34)&amp;", landmark: "&amp;CHAR(34)&amp;IF(LEN(C40)=LEN(SUBSTITUTE(C40,"Transport","")),"Korok x1","Korok x2")&amp;CHAR(34)&amp;", type: "&amp;CHAR(34)&amp;C40&amp;CHAR(34)&amp;", region: "&amp;D40&amp;", level: "&amp;CHAR(34)&amp;E40&amp;CHAR(34)&amp;", x: "&amp;F40&amp;", y: "&amp;G40&amp;", z: "&amp;H40&amp;", details: "&amp;CHAR(34)&amp;I40&amp;CHAR(34)&amp;" },"</f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3611</v>
      </c>
      <c r="C41" t="s">
        <v>2871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>"{ name: "&amp;CHAR(34)&amp;B41&amp;CHAR(34)&amp;", landmark: "&amp;CHAR(34)&amp;IF(LEN(C41)=LEN(SUBSTITUTE(C41,"Transport","")),"Korok x1","Korok x2")&amp;CHAR(34)&amp;", type: "&amp;CHAR(34)&amp;C41&amp;CHAR(34)&amp;", region: "&amp;D41&amp;", level: "&amp;CHAR(34)&amp;E41&amp;CHAR(34)&amp;", x: "&amp;F41&amp;", y: "&amp;G41&amp;", z: "&amp;H41&amp;", details: "&amp;CHAR(34)&amp;I41&amp;CHAR(34)&amp;" },"</f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3612</v>
      </c>
      <c r="C42" t="s">
        <v>2874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2812</v>
      </c>
      <c r="J42" t="str">
        <f>"{ name: "&amp;CHAR(34)&amp;B42&amp;CHAR(34)&amp;", landmark: "&amp;CHAR(34)&amp;IF(LEN(C42)=LEN(SUBSTITUTE(C42,"Transport","")),"Korok x1","Korok x2")&amp;CHAR(34)&amp;", type: "&amp;CHAR(34)&amp;C42&amp;CHAR(34)&amp;", region: "&amp;D42&amp;", level: "&amp;CHAR(34)&amp;E42&amp;CHAR(34)&amp;", x: "&amp;F42&amp;", y: "&amp;G42&amp;", z: "&amp;H42&amp;", details: "&amp;CHAR(34)&amp;I42&amp;CHAR(34)&amp;" },"</f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3613</v>
      </c>
      <c r="C43" t="s">
        <v>2884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>"{ name: "&amp;CHAR(34)&amp;B43&amp;CHAR(34)&amp;", landmark: "&amp;CHAR(34)&amp;IF(LEN(C43)=LEN(SUBSTITUTE(C43,"Transport","")),"Korok x1","Korok x2")&amp;CHAR(34)&amp;", type: "&amp;CHAR(34)&amp;C43&amp;CHAR(34)&amp;", region: "&amp;D43&amp;", level: "&amp;CHAR(34)&amp;E43&amp;CHAR(34)&amp;", x: "&amp;F43&amp;", y: "&amp;G43&amp;", z: "&amp;H43&amp;", details: "&amp;CHAR(34)&amp;I43&amp;CHAR(34)&amp;" },"</f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3614</v>
      </c>
      <c r="C44" t="s">
        <v>2887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>"{ name: "&amp;CHAR(34)&amp;B44&amp;CHAR(34)&amp;", landmark: "&amp;CHAR(34)&amp;IF(LEN(C44)=LEN(SUBSTITUTE(C44,"Transport","")),"Korok x1","Korok x2")&amp;CHAR(34)&amp;", type: "&amp;CHAR(34)&amp;C44&amp;CHAR(34)&amp;", region: "&amp;D44&amp;", level: "&amp;CHAR(34)&amp;E44&amp;CHAR(34)&amp;", x: "&amp;F44&amp;", y: "&amp;G44&amp;", z: "&amp;H44&amp;", details: "&amp;CHAR(34)&amp;I44&amp;CHAR(34)&amp;" },"</f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3615</v>
      </c>
      <c r="C45" t="s">
        <v>2888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>"{ name: "&amp;CHAR(34)&amp;B45&amp;CHAR(34)&amp;", landmark: "&amp;CHAR(34)&amp;IF(LEN(C45)=LEN(SUBSTITUTE(C45,"Transport","")),"Korok x1","Korok x2")&amp;CHAR(34)&amp;", type: "&amp;CHAR(34)&amp;C45&amp;CHAR(34)&amp;", region: "&amp;D45&amp;", level: "&amp;CHAR(34)&amp;E45&amp;CHAR(34)&amp;", x: "&amp;F45&amp;", y: "&amp;G45&amp;", z: "&amp;H45&amp;", details: "&amp;CHAR(34)&amp;I45&amp;CHAR(34)&amp;" },"</f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3616</v>
      </c>
      <c r="C46" t="s">
        <v>2875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>"{ name: "&amp;CHAR(34)&amp;B46&amp;CHAR(34)&amp;", landmark: "&amp;CHAR(34)&amp;IF(LEN(C46)=LEN(SUBSTITUTE(C46,"Transport","")),"Korok x1","Korok x2")&amp;CHAR(34)&amp;", type: "&amp;CHAR(34)&amp;C46&amp;CHAR(34)&amp;", region: "&amp;D46&amp;", level: "&amp;CHAR(34)&amp;E46&amp;CHAR(34)&amp;", x: "&amp;F46&amp;", y: "&amp;G46&amp;", z: "&amp;H46&amp;", details: "&amp;CHAR(34)&amp;I46&amp;CHAR(34)&amp;" },"</f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3617</v>
      </c>
      <c r="C47" t="s">
        <v>2870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>"{ name: "&amp;CHAR(34)&amp;B47&amp;CHAR(34)&amp;", landmark: "&amp;CHAR(34)&amp;IF(LEN(C47)=LEN(SUBSTITUTE(C47,"Transport","")),"Korok x1","Korok x2")&amp;CHAR(34)&amp;", type: "&amp;CHAR(34)&amp;C47&amp;CHAR(34)&amp;", region: "&amp;D47&amp;", level: "&amp;CHAR(34)&amp;E47&amp;CHAR(34)&amp;", x: "&amp;F47&amp;", y: "&amp;G47&amp;", z: "&amp;H47&amp;", details: "&amp;CHAR(34)&amp;I47&amp;CHAR(34)&amp;" },"</f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3618</v>
      </c>
      <c r="C48" t="s">
        <v>2884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>"{ name: "&amp;CHAR(34)&amp;B48&amp;CHAR(34)&amp;", landmark: "&amp;CHAR(34)&amp;IF(LEN(C48)=LEN(SUBSTITUTE(C48,"Transport","")),"Korok x1","Korok x2")&amp;CHAR(34)&amp;", type: "&amp;CHAR(34)&amp;C48&amp;CHAR(34)&amp;", region: "&amp;D48&amp;", level: "&amp;CHAR(34)&amp;E48&amp;CHAR(34)&amp;", x: "&amp;F48&amp;", y: "&amp;G48&amp;", z: "&amp;H48&amp;", details: "&amp;CHAR(34)&amp;I48&amp;CHAR(34)&amp;" },"</f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3619</v>
      </c>
      <c r="C49" t="s">
        <v>2880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2680</v>
      </c>
      <c r="J49" t="str">
        <f>"{ name: "&amp;CHAR(34)&amp;B49&amp;CHAR(34)&amp;", landmark: "&amp;CHAR(34)&amp;IF(LEN(C49)=LEN(SUBSTITUTE(C49,"Transport","")),"Korok x1","Korok x2")&amp;CHAR(34)&amp;", type: "&amp;CHAR(34)&amp;C49&amp;CHAR(34)&amp;", region: "&amp;D49&amp;", level: "&amp;CHAR(34)&amp;E49&amp;CHAR(34)&amp;", x: "&amp;F49&amp;", y: "&amp;G49&amp;", z: "&amp;H49&amp;", details: "&amp;CHAR(34)&amp;I49&amp;CHAR(34)&amp;" },"</f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3620</v>
      </c>
      <c r="C50" t="s">
        <v>2875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>"{ name: "&amp;CHAR(34)&amp;B50&amp;CHAR(34)&amp;", landmark: "&amp;CHAR(34)&amp;IF(LEN(C50)=LEN(SUBSTITUTE(C50,"Transport","")),"Korok x1","Korok x2")&amp;CHAR(34)&amp;", type: "&amp;CHAR(34)&amp;C50&amp;CHAR(34)&amp;", region: "&amp;D50&amp;", level: "&amp;CHAR(34)&amp;E50&amp;CHAR(34)&amp;", x: "&amp;F50&amp;", y: "&amp;G50&amp;", z: "&amp;H50&amp;", details: "&amp;CHAR(34)&amp;I50&amp;CHAR(34)&amp;" },"</f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3621</v>
      </c>
      <c r="C51" t="s">
        <v>2864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>"{ name: "&amp;CHAR(34)&amp;B51&amp;CHAR(34)&amp;", landmark: "&amp;CHAR(34)&amp;IF(LEN(C51)=LEN(SUBSTITUTE(C51,"Transport","")),"Korok x1","Korok x2")&amp;CHAR(34)&amp;", type: "&amp;CHAR(34)&amp;C51&amp;CHAR(34)&amp;", region: "&amp;D51&amp;", level: "&amp;CHAR(34)&amp;E51&amp;CHAR(34)&amp;", x: "&amp;F51&amp;", y: "&amp;G51&amp;", z: "&amp;H51&amp;", details: "&amp;CHAR(34)&amp;I51&amp;CHAR(34)&amp;" },"</f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3622</v>
      </c>
      <c r="C52" t="s">
        <v>2884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>"{ name: "&amp;CHAR(34)&amp;B52&amp;CHAR(34)&amp;", landmark: "&amp;CHAR(34)&amp;IF(LEN(C52)=LEN(SUBSTITUTE(C52,"Transport","")),"Korok x1","Korok x2")&amp;CHAR(34)&amp;", type: "&amp;CHAR(34)&amp;C52&amp;CHAR(34)&amp;", region: "&amp;D52&amp;", level: "&amp;CHAR(34)&amp;E52&amp;CHAR(34)&amp;", x: "&amp;F52&amp;", y: "&amp;G52&amp;", z: "&amp;H52&amp;", details: "&amp;CHAR(34)&amp;I52&amp;CHAR(34)&amp;" },"</f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3623</v>
      </c>
      <c r="C53" t="s">
        <v>2888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>"{ name: "&amp;CHAR(34)&amp;B53&amp;CHAR(34)&amp;", landmark: "&amp;CHAR(34)&amp;IF(LEN(C53)=LEN(SUBSTITUTE(C53,"Transport","")),"Korok x1","Korok x2")&amp;CHAR(34)&amp;", type: "&amp;CHAR(34)&amp;C53&amp;CHAR(34)&amp;", region: "&amp;D53&amp;", level: "&amp;CHAR(34)&amp;E53&amp;CHAR(34)&amp;", x: "&amp;F53&amp;", y: "&amp;G53&amp;", z: "&amp;H53&amp;", details: "&amp;CHAR(34)&amp;I53&amp;CHAR(34)&amp;" },"</f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3624</v>
      </c>
      <c r="C54" t="s">
        <v>2875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>"{ name: "&amp;CHAR(34)&amp;B54&amp;CHAR(34)&amp;", landmark: "&amp;CHAR(34)&amp;IF(LEN(C54)=LEN(SUBSTITUTE(C54,"Transport","")),"Korok x1","Korok x2")&amp;CHAR(34)&amp;", type: "&amp;CHAR(34)&amp;C54&amp;CHAR(34)&amp;", region: "&amp;D54&amp;", level: "&amp;CHAR(34)&amp;E54&amp;CHAR(34)&amp;", x: "&amp;F54&amp;", y: "&amp;G54&amp;", z: "&amp;H54&amp;", details: "&amp;CHAR(34)&amp;I54&amp;CHAR(34)&amp;" },"</f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3625</v>
      </c>
      <c r="C55" t="s">
        <v>2883</v>
      </c>
      <c r="D55" s="2">
        <v>1</v>
      </c>
      <c r="E55" s="2" t="s">
        <v>785</v>
      </c>
      <c r="F55" s="2">
        <v>-254</v>
      </c>
      <c r="G55" s="2">
        <v>1062</v>
      </c>
      <c r="H55" s="2">
        <v>470</v>
      </c>
      <c r="J55" t="str">
        <f>"{ name: "&amp;CHAR(34)&amp;B55&amp;CHAR(34)&amp;", landmark: "&amp;CHAR(34)&amp;IF(LEN(C55)=LEN(SUBSTITUTE(C55,"Transport","")),"Korok x1","Korok x2")&amp;CHAR(34)&amp;", type: "&amp;CHAR(34)&amp;C55&amp;CHAR(34)&amp;", region: "&amp;D55&amp;", level: "&amp;CHAR(34)&amp;E55&amp;CHAR(34)&amp;", x: "&amp;F55&amp;", y: "&amp;G55&amp;", z: "&amp;H55&amp;", details: "&amp;CHAR(34)&amp;I55&amp;CHAR(34)&amp;" },"</f>
        <v>{ name: "Hyrule Castle Sanctum Korok #03", landmark: "Korok x1", type: "Ring the Bell", region: 1, level: "Surface", x: -254, y: 1062, z: 470, details: "" },</v>
      </c>
    </row>
    <row r="56" spans="1:10" x14ac:dyDescent="0.2">
      <c r="A56" s="2">
        <v>101</v>
      </c>
      <c r="B56" s="34" t="s">
        <v>3626</v>
      </c>
      <c r="C56" t="s">
        <v>2874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2811</v>
      </c>
      <c r="J56" t="str">
        <f>"{ name: "&amp;CHAR(34)&amp;B56&amp;CHAR(34)&amp;", landmark: "&amp;CHAR(34)&amp;IF(LEN(C56)=LEN(SUBSTITUTE(C56,"Transport","")),"Korok x1","Korok x2")&amp;CHAR(34)&amp;", type: "&amp;CHAR(34)&amp;C56&amp;CHAR(34)&amp;", region: "&amp;D56&amp;", level: "&amp;CHAR(34)&amp;E56&amp;CHAR(34)&amp;", x: "&amp;F56&amp;", y: "&amp;G56&amp;", z: "&amp;H56&amp;", details: "&amp;CHAR(34)&amp;I56&amp;CHAR(34)&amp;" },"</f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3627</v>
      </c>
      <c r="C57" t="s">
        <v>2885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>"{ name: "&amp;CHAR(34)&amp;B57&amp;CHAR(34)&amp;", landmark: "&amp;CHAR(34)&amp;IF(LEN(C57)=LEN(SUBSTITUTE(C57,"Transport","")),"Korok x1","Korok x2")&amp;CHAR(34)&amp;", type: "&amp;CHAR(34)&amp;C57&amp;CHAR(34)&amp;", region: "&amp;D57&amp;", level: "&amp;CHAR(34)&amp;E57&amp;CHAR(34)&amp;", x: "&amp;F57&amp;", y: "&amp;G57&amp;", z: "&amp;H57&amp;", details: "&amp;CHAR(34)&amp;I57&amp;CHAR(34)&amp;" },"</f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3628</v>
      </c>
      <c r="C58" t="s">
        <v>2888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>"{ name: "&amp;CHAR(34)&amp;B58&amp;CHAR(34)&amp;", landmark: "&amp;CHAR(34)&amp;IF(LEN(C58)=LEN(SUBSTITUTE(C58,"Transport","")),"Korok x1","Korok x2")&amp;CHAR(34)&amp;", type: "&amp;CHAR(34)&amp;C58&amp;CHAR(34)&amp;", region: "&amp;D58&amp;", level: "&amp;CHAR(34)&amp;E58&amp;CHAR(34)&amp;", x: "&amp;F58&amp;", y: "&amp;G58&amp;", z: "&amp;H58&amp;", details: "&amp;CHAR(34)&amp;I58&amp;CHAR(34)&amp;" },"</f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3629</v>
      </c>
      <c r="C59" t="s">
        <v>2864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>"{ name: "&amp;CHAR(34)&amp;B59&amp;CHAR(34)&amp;", landmark: "&amp;CHAR(34)&amp;IF(LEN(C59)=LEN(SUBSTITUTE(C59,"Transport","")),"Korok x1","Korok x2")&amp;CHAR(34)&amp;", type: "&amp;CHAR(34)&amp;C59&amp;CHAR(34)&amp;", region: "&amp;D59&amp;", level: "&amp;CHAR(34)&amp;E59&amp;CHAR(34)&amp;", x: "&amp;F59&amp;", y: "&amp;G59&amp;", z: "&amp;H59&amp;", details: "&amp;CHAR(34)&amp;I59&amp;CHAR(34)&amp;" },"</f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3630</v>
      </c>
      <c r="C60" t="s">
        <v>2887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>"{ name: "&amp;CHAR(34)&amp;B60&amp;CHAR(34)&amp;", landmark: "&amp;CHAR(34)&amp;IF(LEN(C60)=LEN(SUBSTITUTE(C60,"Transport","")),"Korok x1","Korok x2")&amp;CHAR(34)&amp;", type: "&amp;CHAR(34)&amp;C60&amp;CHAR(34)&amp;", region: "&amp;D60&amp;", level: "&amp;CHAR(34)&amp;E60&amp;CHAR(34)&amp;", x: "&amp;F60&amp;", y: "&amp;G60&amp;", z: "&amp;H60&amp;", details: "&amp;CHAR(34)&amp;I60&amp;CHAR(34)&amp;" },"</f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3632</v>
      </c>
      <c r="C61" t="s">
        <v>2875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>"{ name: "&amp;CHAR(34)&amp;B61&amp;CHAR(34)&amp;", landmark: "&amp;CHAR(34)&amp;IF(LEN(C61)=LEN(SUBSTITUTE(C61,"Transport","")),"Korok x1","Korok x2")&amp;CHAR(34)&amp;", type: "&amp;CHAR(34)&amp;C61&amp;CHAR(34)&amp;", region: "&amp;D61&amp;", level: "&amp;CHAR(34)&amp;E61&amp;CHAR(34)&amp;", x: "&amp;F61&amp;", y: "&amp;G61&amp;", z: "&amp;H61&amp;", details: "&amp;CHAR(34)&amp;I61&amp;CHAR(34)&amp;" },"</f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3742</v>
      </c>
      <c r="C62" t="s">
        <v>2658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>"{ name: "&amp;CHAR(34)&amp;B62&amp;CHAR(34)&amp;", landmark: "&amp;CHAR(34)&amp;IF(LEN(C62)=LEN(SUBSTITUTE(C62,"Transport","")),"Korok x1","Korok x2")&amp;CHAR(34)&amp;", type: "&amp;CHAR(34)&amp;C62&amp;CHAR(34)&amp;", region: "&amp;D62&amp;", level: "&amp;CHAR(34)&amp;E62&amp;CHAR(34)&amp;", x: "&amp;F62&amp;", y: "&amp;G62&amp;", z: "&amp;H62&amp;", details: "&amp;CHAR(34)&amp;I62&amp;CHAR(34)&amp;" },"</f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3743</v>
      </c>
      <c r="C63" t="s">
        <v>2864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>"{ name: "&amp;CHAR(34)&amp;B63&amp;CHAR(34)&amp;", landmark: "&amp;CHAR(34)&amp;IF(LEN(C63)=LEN(SUBSTITUTE(C63,"Transport","")),"Korok x1","Korok x2")&amp;CHAR(34)&amp;", type: "&amp;CHAR(34)&amp;C63&amp;CHAR(34)&amp;", region: "&amp;D63&amp;", level: "&amp;CHAR(34)&amp;E63&amp;CHAR(34)&amp;", x: "&amp;F63&amp;", y: "&amp;G63&amp;", z: "&amp;H63&amp;", details: "&amp;CHAR(34)&amp;I63&amp;CHAR(34)&amp;" },"</f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3768</v>
      </c>
      <c r="C64" t="s">
        <v>2885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>"{ name: "&amp;CHAR(34)&amp;B64&amp;CHAR(34)&amp;", landmark: "&amp;CHAR(34)&amp;IF(LEN(C64)=LEN(SUBSTITUTE(C64,"Transport","")),"Korok x1","Korok x2")&amp;CHAR(34)&amp;", type: "&amp;CHAR(34)&amp;C64&amp;CHAR(34)&amp;", region: "&amp;D64&amp;", level: "&amp;CHAR(34)&amp;E64&amp;CHAR(34)&amp;", x: "&amp;F64&amp;", y: "&amp;G64&amp;", z: "&amp;H64&amp;", details: "&amp;CHAR(34)&amp;I64&amp;CHAR(34)&amp;" },"</f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3771</v>
      </c>
      <c r="C65" t="s">
        <v>2864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>"{ name: "&amp;CHAR(34)&amp;B65&amp;CHAR(34)&amp;", landmark: "&amp;CHAR(34)&amp;IF(LEN(C65)=LEN(SUBSTITUTE(C65,"Transport","")),"Korok x1","Korok x2")&amp;CHAR(34)&amp;", type: "&amp;CHAR(34)&amp;C65&amp;CHAR(34)&amp;", region: "&amp;D65&amp;", level: "&amp;CHAR(34)&amp;E65&amp;CHAR(34)&amp;", x: "&amp;F65&amp;", y: "&amp;G65&amp;", z: "&amp;H65&amp;", details: "&amp;CHAR(34)&amp;I65&amp;CHAR(34)&amp;" },"</f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3772</v>
      </c>
      <c r="C66" t="s">
        <v>2871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3785</v>
      </c>
      <c r="C67" t="s">
        <v>2889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>"{ name: "&amp;CHAR(34)&amp;B67&amp;CHAR(34)&amp;", landmark: "&amp;CHAR(34)&amp;IF(LEN(C67)=LEN(SUBSTITUTE(C67,"Transport","")),"Korok x1","Korok x2")&amp;CHAR(34)&amp;", type: "&amp;CHAR(34)&amp;C67&amp;CHAR(34)&amp;", region: "&amp;D67&amp;", level: "&amp;CHAR(34)&amp;E67&amp;CHAR(34)&amp;", x: "&amp;F67&amp;", y: "&amp;G67&amp;", z: "&amp;H67&amp;", details: "&amp;CHAR(34)&amp;I67&amp;CHAR(34)&amp;" },"</f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3786</v>
      </c>
      <c r="C68" t="s">
        <v>2864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>"{ name: "&amp;CHAR(34)&amp;B68&amp;CHAR(34)&amp;", landmark: "&amp;CHAR(34)&amp;IF(LEN(C68)=LEN(SUBSTITUTE(C68,"Transport","")),"Korok x1","Korok x2")&amp;CHAR(34)&amp;", type: "&amp;CHAR(34)&amp;C68&amp;CHAR(34)&amp;", region: "&amp;D68&amp;", level: "&amp;CHAR(34)&amp;E68&amp;CHAR(34)&amp;", x: "&amp;F68&amp;", y: "&amp;G68&amp;", z: "&amp;H68&amp;", details: "&amp;CHAR(34)&amp;I68&amp;CHAR(34)&amp;" },"</f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3819</v>
      </c>
      <c r="C69" t="s">
        <v>2890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2810</v>
      </c>
      <c r="J69" t="str">
        <f>"{ name: "&amp;CHAR(34)&amp;B69&amp;CHAR(34)&amp;", landmark: "&amp;CHAR(34)&amp;IF(LEN(C69)=LEN(SUBSTITUTE(C69,"Transport","")),"Korok x1","Korok x2")&amp;CHAR(34)&amp;", type: "&amp;CHAR(34)&amp;C69&amp;CHAR(34)&amp;", region: "&amp;D69&amp;", level: "&amp;CHAR(34)&amp;E69&amp;CHAR(34)&amp;", x: "&amp;F69&amp;", y: "&amp;G69&amp;", z: "&amp;H69&amp;", details: "&amp;CHAR(34)&amp;I69&amp;CHAR(34)&amp;" },"</f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3870</v>
      </c>
      <c r="C70" t="s">
        <v>2875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>"{ name: "&amp;CHAR(34)&amp;B70&amp;CHAR(34)&amp;", landmark: "&amp;CHAR(34)&amp;IF(LEN(C70)=LEN(SUBSTITUTE(C70,"Transport","")),"Korok x1","Korok x2")&amp;CHAR(34)&amp;", type: "&amp;CHAR(34)&amp;C70&amp;CHAR(34)&amp;", region: "&amp;D70&amp;", level: "&amp;CHAR(34)&amp;E70&amp;CHAR(34)&amp;", x: "&amp;F70&amp;", y: "&amp;G70&amp;", z: "&amp;H70&amp;", details: "&amp;CHAR(34)&amp;I70&amp;CHAR(34)&amp;" },"</f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3871</v>
      </c>
      <c r="C71" t="s">
        <v>2885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>"{ name: "&amp;CHAR(34)&amp;B71&amp;CHAR(34)&amp;", landmark: "&amp;CHAR(34)&amp;IF(LEN(C71)=LEN(SUBSTITUTE(C71,"Transport","")),"Korok x1","Korok x2")&amp;CHAR(34)&amp;", type: "&amp;CHAR(34)&amp;C71&amp;CHAR(34)&amp;", region: "&amp;D71&amp;", level: "&amp;CHAR(34)&amp;E71&amp;CHAR(34)&amp;", x: "&amp;F71&amp;", y: "&amp;G71&amp;", z: "&amp;H71&amp;", details: "&amp;CHAR(34)&amp;I71&amp;CHAR(34)&amp;" },"</f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3872</v>
      </c>
      <c r="C72" t="s">
        <v>2884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>"{ name: "&amp;CHAR(34)&amp;B72&amp;CHAR(34)&amp;", landmark: "&amp;CHAR(34)&amp;IF(LEN(C72)=LEN(SUBSTITUTE(C72,"Transport","")),"Korok x1","Korok x2")&amp;CHAR(34)&amp;", type: "&amp;CHAR(34)&amp;C72&amp;CHAR(34)&amp;", region: "&amp;D72&amp;", level: "&amp;CHAR(34)&amp;E72&amp;CHAR(34)&amp;", x: "&amp;F72&amp;", y: "&amp;G72&amp;", z: "&amp;H72&amp;", details: "&amp;CHAR(34)&amp;I72&amp;CHAR(34)&amp;" },"</f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3892</v>
      </c>
      <c r="C73" t="s">
        <v>2887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>"{ name: "&amp;CHAR(34)&amp;B73&amp;CHAR(34)&amp;", landmark: "&amp;CHAR(34)&amp;IF(LEN(C73)=LEN(SUBSTITUTE(C73,"Transport","")),"Korok x1","Korok x2")&amp;CHAR(34)&amp;", type: "&amp;CHAR(34)&amp;C73&amp;CHAR(34)&amp;", region: "&amp;D73&amp;", level: "&amp;CHAR(34)&amp;E73&amp;CHAR(34)&amp;", x: "&amp;F73&amp;", y: "&amp;G73&amp;", z: "&amp;H73&amp;", details: "&amp;CHAR(34)&amp;I73&amp;CHAR(34)&amp;" },"</f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3900</v>
      </c>
      <c r="C74" t="s">
        <v>2867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>"{ name: "&amp;CHAR(34)&amp;B74&amp;CHAR(34)&amp;", landmark: "&amp;CHAR(34)&amp;IF(LEN(C74)=LEN(SUBSTITUTE(C74,"Transport","")),"Korok x1","Korok x2")&amp;CHAR(34)&amp;", type: "&amp;CHAR(34)&amp;C74&amp;CHAR(34)&amp;", region: "&amp;D74&amp;", level: "&amp;CHAR(34)&amp;E74&amp;CHAR(34)&amp;", x: "&amp;F74&amp;", y: "&amp;G74&amp;", z: "&amp;H74&amp;", details: "&amp;CHAR(34)&amp;I74&amp;CHAR(34)&amp;" },"</f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3904</v>
      </c>
      <c r="C75" t="s">
        <v>2882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>"{ name: "&amp;CHAR(34)&amp;B75&amp;CHAR(34)&amp;", landmark: "&amp;CHAR(34)&amp;IF(LEN(C75)=LEN(SUBSTITUTE(C75,"Transport","")),"Korok x1","Korok x2")&amp;CHAR(34)&amp;", type: "&amp;CHAR(34)&amp;C75&amp;CHAR(34)&amp;", region: "&amp;D75&amp;", level: "&amp;CHAR(34)&amp;E75&amp;CHAR(34)&amp;", x: "&amp;F75&amp;", y: "&amp;G75&amp;", z: "&amp;H75&amp;", details: "&amp;CHAR(34)&amp;I75&amp;CHAR(34)&amp;" },"</f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3906</v>
      </c>
      <c r="C76" t="s">
        <v>2871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>"{ name: "&amp;CHAR(34)&amp;B76&amp;CHAR(34)&amp;", landmark: "&amp;CHAR(34)&amp;IF(LEN(C76)=LEN(SUBSTITUTE(C76,"Transport","")),"Korok x1","Korok x2")&amp;CHAR(34)&amp;", type: "&amp;CHAR(34)&amp;C76&amp;CHAR(34)&amp;", region: "&amp;D76&amp;", level: "&amp;CHAR(34)&amp;E76&amp;CHAR(34)&amp;", x: "&amp;F76&amp;", y: "&amp;G76&amp;", z: "&amp;H76&amp;", details: "&amp;CHAR(34)&amp;I76&amp;CHAR(34)&amp;" },"</f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3907</v>
      </c>
      <c r="C77" t="s">
        <v>2879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>"{ name: "&amp;CHAR(34)&amp;B77&amp;CHAR(34)&amp;", landmark: "&amp;CHAR(34)&amp;IF(LEN(C77)=LEN(SUBSTITUTE(C77,"Transport","")),"Korok x1","Korok x2")&amp;CHAR(34)&amp;", type: "&amp;CHAR(34)&amp;C77&amp;CHAR(34)&amp;", region: "&amp;D77&amp;", level: "&amp;CHAR(34)&amp;E77&amp;CHAR(34)&amp;", x: "&amp;F77&amp;", y: "&amp;G77&amp;", z: "&amp;H77&amp;", details: "&amp;CHAR(34)&amp;I77&amp;CHAR(34)&amp;" },"</f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3934</v>
      </c>
      <c r="C78" t="s">
        <v>2874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2814</v>
      </c>
      <c r="J78" t="str">
        <f>"{ name: "&amp;CHAR(34)&amp;B78&amp;CHAR(34)&amp;", landmark: "&amp;CHAR(34)&amp;IF(LEN(C78)=LEN(SUBSTITUTE(C78,"Transport","")),"Korok x1","Korok x2")&amp;CHAR(34)&amp;", type: "&amp;CHAR(34)&amp;C78&amp;CHAR(34)&amp;", region: "&amp;D78&amp;", level: "&amp;CHAR(34)&amp;E78&amp;CHAR(34)&amp;", x: "&amp;F78&amp;", y: "&amp;G78&amp;", z: "&amp;H78&amp;", details: "&amp;CHAR(34)&amp;I78&amp;CHAR(34)&amp;" },"</f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3947</v>
      </c>
      <c r="C79" t="s">
        <v>2870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>"{ name: "&amp;CHAR(34)&amp;B79&amp;CHAR(34)&amp;", landmark: "&amp;CHAR(34)&amp;IF(LEN(C79)=LEN(SUBSTITUTE(C79,"Transport","")),"Korok x1","Korok x2")&amp;CHAR(34)&amp;", type: "&amp;CHAR(34)&amp;C79&amp;CHAR(34)&amp;", region: "&amp;D79&amp;", level: "&amp;CHAR(34)&amp;E79&amp;CHAR(34)&amp;", x: "&amp;F79&amp;", y: "&amp;G79&amp;", z: "&amp;H79&amp;", details: "&amp;CHAR(34)&amp;I79&amp;CHAR(34)&amp;" },"</f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4128</v>
      </c>
      <c r="C80" t="s">
        <v>2870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>"{ name: "&amp;CHAR(34)&amp;B80&amp;CHAR(34)&amp;", landmark: "&amp;CHAR(34)&amp;IF(LEN(C80)=LEN(SUBSTITUTE(C80,"Transport","")),"Korok x1","Korok x2")&amp;CHAR(34)&amp;", type: "&amp;CHAR(34)&amp;C80&amp;CHAR(34)&amp;", region: "&amp;D80&amp;", level: "&amp;CHAR(34)&amp;E80&amp;CHAR(34)&amp;", x: "&amp;F80&amp;", y: "&amp;G80&amp;", z: "&amp;H80&amp;", details: "&amp;CHAR(34)&amp;I80&amp;CHAR(34)&amp;" },"</f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4159</v>
      </c>
      <c r="C81" t="s">
        <v>2875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>"{ name: "&amp;CHAR(34)&amp;B81&amp;CHAR(34)&amp;", landmark: "&amp;CHAR(34)&amp;IF(LEN(C81)=LEN(SUBSTITUTE(C81,"Transport","")),"Korok x1","Korok x2")&amp;CHAR(34)&amp;", type: "&amp;CHAR(34)&amp;C81&amp;CHAR(34)&amp;", region: "&amp;D81&amp;", level: "&amp;CHAR(34)&amp;E81&amp;CHAR(34)&amp;", x: "&amp;F81&amp;", y: "&amp;G81&amp;", z: "&amp;H81&amp;", details: "&amp;CHAR(34)&amp;I81&amp;CHAR(34)&amp;" },"</f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3309</v>
      </c>
      <c r="C82" t="s">
        <v>2872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>"{ name: "&amp;CHAR(34)&amp;B82&amp;CHAR(34)&amp;", landmark: "&amp;CHAR(34)&amp;IF(LEN(C82)=LEN(SUBSTITUTE(C82,"Transport","")),"Korok x1","Korok x2")&amp;CHAR(34)&amp;", type: "&amp;CHAR(34)&amp;C82&amp;CHAR(34)&amp;", region: "&amp;D82&amp;", level: "&amp;CHAR(34)&amp;E82&amp;CHAR(34)&amp;", x: "&amp;F82&amp;", y: "&amp;G82&amp;", z: "&amp;H82&amp;", details: "&amp;CHAR(34)&amp;I82&amp;CHAR(34)&amp;" },"</f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3343</v>
      </c>
      <c r="C83" t="s">
        <v>2875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>"{ name: "&amp;CHAR(34)&amp;B83&amp;CHAR(34)&amp;", landmark: "&amp;CHAR(34)&amp;IF(LEN(C83)=LEN(SUBSTITUTE(C83,"Transport","")),"Korok x1","Korok x2")&amp;CHAR(34)&amp;", type: "&amp;CHAR(34)&amp;C83&amp;CHAR(34)&amp;", region: "&amp;D83&amp;", level: "&amp;CHAR(34)&amp;E83&amp;CHAR(34)&amp;", x: "&amp;F83&amp;", y: "&amp;G83&amp;", z: "&amp;H83&amp;", details: "&amp;CHAR(34)&amp;I83&amp;CHAR(34)&amp;" },"</f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3368</v>
      </c>
      <c r="C84" t="s">
        <v>2658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>"{ name: "&amp;CHAR(34)&amp;B84&amp;CHAR(34)&amp;", landmark: "&amp;CHAR(34)&amp;IF(LEN(C84)=LEN(SUBSTITUTE(C84,"Transport","")),"Korok x1","Korok x2")&amp;CHAR(34)&amp;", type: "&amp;CHAR(34)&amp;C84&amp;CHAR(34)&amp;", region: "&amp;D84&amp;", level: "&amp;CHAR(34)&amp;E84&amp;CHAR(34)&amp;", x: "&amp;F84&amp;", y: "&amp;G84&amp;", z: "&amp;H84&amp;", details: "&amp;CHAR(34)&amp;I84&amp;CHAR(34)&amp;" },"</f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3382</v>
      </c>
      <c r="C85" t="s">
        <v>2889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>"{ name: "&amp;CHAR(34)&amp;B85&amp;CHAR(34)&amp;", landmark: "&amp;CHAR(34)&amp;IF(LEN(C85)=LEN(SUBSTITUTE(C85,"Transport","")),"Korok x1","Korok x2")&amp;CHAR(34)&amp;", type: "&amp;CHAR(34)&amp;C85&amp;CHAR(34)&amp;", region: "&amp;D85&amp;", level: "&amp;CHAR(34)&amp;E85&amp;CHAR(34)&amp;", x: "&amp;F85&amp;", y: "&amp;G85&amp;", z: "&amp;H85&amp;", details: "&amp;CHAR(34)&amp;I85&amp;CHAR(34)&amp;" },"</f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3383</v>
      </c>
      <c r="C86" t="s">
        <v>2875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>"{ name: "&amp;CHAR(34)&amp;B86&amp;CHAR(34)&amp;", landmark: "&amp;CHAR(34)&amp;IF(LEN(C86)=LEN(SUBSTITUTE(C86,"Transport","")),"Korok x1","Korok x2")&amp;CHAR(34)&amp;", type: "&amp;CHAR(34)&amp;C86&amp;CHAR(34)&amp;", region: "&amp;D86&amp;", level: "&amp;CHAR(34)&amp;E86&amp;CHAR(34)&amp;", x: "&amp;F86&amp;", y: "&amp;G86&amp;", z: "&amp;H86&amp;", details: "&amp;CHAR(34)&amp;I86&amp;CHAR(34)&amp;" },"</f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3384</v>
      </c>
      <c r="C87" t="s">
        <v>2874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2825</v>
      </c>
      <c r="J87" t="str">
        <f>"{ name: "&amp;CHAR(34)&amp;B87&amp;CHAR(34)&amp;", landmark: "&amp;CHAR(34)&amp;IF(LEN(C87)=LEN(SUBSTITUTE(C87,"Transport","")),"Korok x1","Korok x2")&amp;CHAR(34)&amp;", type: "&amp;CHAR(34)&amp;C87&amp;CHAR(34)&amp;", region: "&amp;D87&amp;", level: "&amp;CHAR(34)&amp;E87&amp;CHAR(34)&amp;", x: "&amp;F87&amp;", y: "&amp;G87&amp;", z: "&amp;H87&amp;", details: "&amp;CHAR(34)&amp;I87&amp;CHAR(34)&amp;" },"</f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3400</v>
      </c>
      <c r="C88" t="s">
        <v>2885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>"{ name: "&amp;CHAR(34)&amp;B88&amp;CHAR(34)&amp;", landmark: "&amp;CHAR(34)&amp;IF(LEN(C88)=LEN(SUBSTITUTE(C88,"Transport","")),"Korok x1","Korok x2")&amp;CHAR(34)&amp;", type: "&amp;CHAR(34)&amp;C88&amp;CHAR(34)&amp;", region: "&amp;D88&amp;", level: "&amp;CHAR(34)&amp;E88&amp;CHAR(34)&amp;", x: "&amp;F88&amp;", y: "&amp;G88&amp;", z: "&amp;H88&amp;", details: "&amp;CHAR(34)&amp;I88&amp;CHAR(34)&amp;" },"</f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3401</v>
      </c>
      <c r="C89" t="s">
        <v>2879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>"{ name: "&amp;CHAR(34)&amp;B89&amp;CHAR(34)&amp;", landmark: "&amp;CHAR(34)&amp;IF(LEN(C89)=LEN(SUBSTITUTE(C89,"Transport","")),"Korok x1","Korok x2")&amp;CHAR(34)&amp;", type: "&amp;CHAR(34)&amp;C89&amp;CHAR(34)&amp;", region: "&amp;D89&amp;", level: "&amp;CHAR(34)&amp;E89&amp;CHAR(34)&amp;", x: "&amp;F89&amp;", y: "&amp;G89&amp;", z: "&amp;H89&amp;", details: "&amp;CHAR(34)&amp;I89&amp;CHAR(34)&amp;" },"</f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3402</v>
      </c>
      <c r="C90" t="s">
        <v>2875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>"{ name: "&amp;CHAR(34)&amp;B90&amp;CHAR(34)&amp;", landmark: "&amp;CHAR(34)&amp;IF(LEN(C90)=LEN(SUBSTITUTE(C90,"Transport","")),"Korok x1","Korok x2")&amp;CHAR(34)&amp;", type: "&amp;CHAR(34)&amp;C90&amp;CHAR(34)&amp;", region: "&amp;D90&amp;", level: "&amp;CHAR(34)&amp;E90&amp;CHAR(34)&amp;", x: "&amp;F90&amp;", y: "&amp;G90&amp;", z: "&amp;H90&amp;", details: "&amp;CHAR(34)&amp;I90&amp;CHAR(34)&amp;" },"</f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3437</v>
      </c>
      <c r="C91" t="s">
        <v>2875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>"{ name: "&amp;CHAR(34)&amp;B91&amp;CHAR(34)&amp;", landmark: "&amp;CHAR(34)&amp;IF(LEN(C91)=LEN(SUBSTITUTE(C91,"Transport","")),"Korok x1","Korok x2")&amp;CHAR(34)&amp;", type: "&amp;CHAR(34)&amp;C91&amp;CHAR(34)&amp;", region: "&amp;D91&amp;", level: "&amp;CHAR(34)&amp;E91&amp;CHAR(34)&amp;", x: "&amp;F91&amp;", y: "&amp;G91&amp;", z: "&amp;H91&amp;", details: "&amp;CHAR(34)&amp;I91&amp;CHAR(34)&amp;" },"</f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3449</v>
      </c>
      <c r="C92" t="s">
        <v>2870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>"{ name: "&amp;CHAR(34)&amp;B92&amp;CHAR(34)&amp;", landmark: "&amp;CHAR(34)&amp;IF(LEN(C92)=LEN(SUBSTITUTE(C92,"Transport","")),"Korok x1","Korok x2")&amp;CHAR(34)&amp;", type: "&amp;CHAR(34)&amp;C92&amp;CHAR(34)&amp;", region: "&amp;D92&amp;", level: "&amp;CHAR(34)&amp;E92&amp;CHAR(34)&amp;", x: "&amp;F92&amp;", y: "&amp;G92&amp;", z: "&amp;H92&amp;", details: "&amp;CHAR(34)&amp;I92&amp;CHAR(34)&amp;" },"</f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3475</v>
      </c>
      <c r="C93" t="s">
        <v>2884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>"{ name: "&amp;CHAR(34)&amp;B93&amp;CHAR(34)&amp;", landmark: "&amp;CHAR(34)&amp;IF(LEN(C93)=LEN(SUBSTITUTE(C93,"Transport","")),"Korok x1","Korok x2")&amp;CHAR(34)&amp;", type: "&amp;CHAR(34)&amp;C93&amp;CHAR(34)&amp;", region: "&amp;D93&amp;", level: "&amp;CHAR(34)&amp;E93&amp;CHAR(34)&amp;", x: "&amp;F93&amp;", y: "&amp;G93&amp;", z: "&amp;H93&amp;", details: "&amp;CHAR(34)&amp;I93&amp;CHAR(34)&amp;" },"</f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3476</v>
      </c>
      <c r="C94" t="s">
        <v>2879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>"{ name: "&amp;CHAR(34)&amp;B94&amp;CHAR(34)&amp;", landmark: "&amp;CHAR(34)&amp;IF(LEN(C94)=LEN(SUBSTITUTE(C94,"Transport","")),"Korok x1","Korok x2")&amp;CHAR(34)&amp;", type: "&amp;CHAR(34)&amp;C94&amp;CHAR(34)&amp;", region: "&amp;D94&amp;", level: "&amp;CHAR(34)&amp;E94&amp;CHAR(34)&amp;", x: "&amp;F94&amp;", y: "&amp;G94&amp;", z: "&amp;H94&amp;", details: "&amp;CHAR(34)&amp;I94&amp;CHAR(34)&amp;" },"</f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3477</v>
      </c>
      <c r="C95" t="s">
        <v>2889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>"{ name: "&amp;CHAR(34)&amp;B95&amp;CHAR(34)&amp;", landmark: "&amp;CHAR(34)&amp;IF(LEN(C95)=LEN(SUBSTITUTE(C95,"Transport","")),"Korok x1","Korok x2")&amp;CHAR(34)&amp;", type: "&amp;CHAR(34)&amp;C95&amp;CHAR(34)&amp;", region: "&amp;D95&amp;", level: "&amp;CHAR(34)&amp;E95&amp;CHAR(34)&amp;", x: "&amp;F95&amp;", y: "&amp;G95&amp;", z: "&amp;H95&amp;", details: "&amp;CHAR(34)&amp;I95&amp;CHAR(34)&amp;" },"</f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3481</v>
      </c>
      <c r="C96" t="s">
        <v>2880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2690</v>
      </c>
      <c r="J96" t="str">
        <f>"{ name: "&amp;CHAR(34)&amp;B96&amp;CHAR(34)&amp;", landmark: "&amp;CHAR(34)&amp;IF(LEN(C96)=LEN(SUBSTITUTE(C96,"Transport","")),"Korok x1","Korok x2")&amp;CHAR(34)&amp;", type: "&amp;CHAR(34)&amp;C96&amp;CHAR(34)&amp;", region: "&amp;D96&amp;", level: "&amp;CHAR(34)&amp;E96&amp;CHAR(34)&amp;", x: "&amp;F96&amp;", y: "&amp;G96&amp;", z: "&amp;H96&amp;", details: "&amp;CHAR(34)&amp;I96&amp;CHAR(34)&amp;" },"</f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3531</v>
      </c>
      <c r="C97" t="s">
        <v>2864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>"{ name: "&amp;CHAR(34)&amp;B97&amp;CHAR(34)&amp;", landmark: "&amp;CHAR(34)&amp;IF(LEN(C97)=LEN(SUBSTITUTE(C97,"Transport","")),"Korok x1","Korok x2")&amp;CHAR(34)&amp;", type: "&amp;CHAR(34)&amp;C97&amp;CHAR(34)&amp;", region: "&amp;D97&amp;", level: "&amp;CHAR(34)&amp;E97&amp;CHAR(34)&amp;", x: "&amp;F97&amp;", y: "&amp;G97&amp;", z: "&amp;H97&amp;", details: "&amp;CHAR(34)&amp;I97&amp;CHAR(34)&amp;" },"</f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3532</v>
      </c>
      <c r="C98" t="s">
        <v>2865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2689</v>
      </c>
      <c r="J98" t="str">
        <f>"{ name: "&amp;CHAR(34)&amp;B98&amp;CHAR(34)&amp;", landmark: "&amp;CHAR(34)&amp;IF(LEN(C98)=LEN(SUBSTITUTE(C98,"Transport","")),"Korok x1","Korok x2")&amp;CHAR(34)&amp;", type: "&amp;CHAR(34)&amp;C98&amp;CHAR(34)&amp;", region: "&amp;D98&amp;", level: "&amp;CHAR(34)&amp;E98&amp;CHAR(34)&amp;", x: "&amp;F98&amp;", y: "&amp;G98&amp;", z: "&amp;H98&amp;", details: "&amp;CHAR(34)&amp;I98&amp;CHAR(34)&amp;" },"</f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3533</v>
      </c>
      <c r="C99" t="s">
        <v>2889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>"{ name: "&amp;CHAR(34)&amp;B99&amp;CHAR(34)&amp;", landmark: "&amp;CHAR(34)&amp;IF(LEN(C99)=LEN(SUBSTITUTE(C99,"Transport","")),"Korok x1","Korok x2")&amp;CHAR(34)&amp;", type: "&amp;CHAR(34)&amp;C99&amp;CHAR(34)&amp;", region: "&amp;D99&amp;", level: "&amp;CHAR(34)&amp;E99&amp;CHAR(34)&amp;", x: "&amp;F99&amp;", y: "&amp;G99&amp;", z: "&amp;H99&amp;", details: "&amp;CHAR(34)&amp;I99&amp;CHAR(34)&amp;" },"</f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3534</v>
      </c>
      <c r="C100" t="s">
        <v>2870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>"{ name: "&amp;CHAR(34)&amp;B100&amp;CHAR(34)&amp;", landmark: "&amp;CHAR(34)&amp;IF(LEN(C100)=LEN(SUBSTITUTE(C100,"Transport","")),"Korok x1","Korok x2")&amp;CHAR(34)&amp;", type: "&amp;CHAR(34)&amp;C100&amp;CHAR(34)&amp;", region: "&amp;D100&amp;", level: "&amp;CHAR(34)&amp;E100&amp;CHAR(34)&amp;", x: "&amp;F100&amp;", y: "&amp;G100&amp;", z: "&amp;H100&amp;", details: "&amp;CHAR(34)&amp;I100&amp;CHAR(34)&amp;" },"</f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3535</v>
      </c>
      <c r="C101" t="s">
        <v>2877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>"{ name: "&amp;CHAR(34)&amp;B101&amp;CHAR(34)&amp;", landmark: "&amp;CHAR(34)&amp;IF(LEN(C101)=LEN(SUBSTITUTE(C101,"Transport","")),"Korok x1","Korok x2")&amp;CHAR(34)&amp;", type: "&amp;CHAR(34)&amp;C101&amp;CHAR(34)&amp;", region: "&amp;D101&amp;", level: "&amp;CHAR(34)&amp;E101&amp;CHAR(34)&amp;", x: "&amp;F101&amp;", y: "&amp;G101&amp;", z: "&amp;H101&amp;", details: "&amp;CHAR(34)&amp;I101&amp;CHAR(34)&amp;" },"</f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3536</v>
      </c>
      <c r="C102" t="s">
        <v>2875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>"{ name: "&amp;CHAR(34)&amp;B102&amp;CHAR(34)&amp;", landmark: "&amp;CHAR(34)&amp;IF(LEN(C102)=LEN(SUBSTITUTE(C102,"Transport","")),"Korok x1","Korok x2")&amp;CHAR(34)&amp;", type: "&amp;CHAR(34)&amp;C102&amp;CHAR(34)&amp;", region: "&amp;D102&amp;", level: "&amp;CHAR(34)&amp;E102&amp;CHAR(34)&amp;", x: "&amp;F102&amp;", y: "&amp;G102&amp;", z: "&amp;H102&amp;", details: "&amp;CHAR(34)&amp;I102&amp;CHAR(34)&amp;" },"</f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3537</v>
      </c>
      <c r="C103" t="s">
        <v>2886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>"{ name: "&amp;CHAR(34)&amp;B103&amp;CHAR(34)&amp;", landmark: "&amp;CHAR(34)&amp;IF(LEN(C103)=LEN(SUBSTITUTE(C103,"Transport","")),"Korok x1","Korok x2")&amp;CHAR(34)&amp;", type: "&amp;CHAR(34)&amp;C103&amp;CHAR(34)&amp;", region: "&amp;D103&amp;", level: "&amp;CHAR(34)&amp;E103&amp;CHAR(34)&amp;", x: "&amp;F103&amp;", y: "&amp;G103&amp;", z: "&amp;H103&amp;", details: "&amp;CHAR(34)&amp;I103&amp;CHAR(34)&amp;" },"</f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3594</v>
      </c>
      <c r="C104" t="s">
        <v>2874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2818</v>
      </c>
      <c r="J104" t="str">
        <f>"{ name: "&amp;CHAR(34)&amp;B104&amp;CHAR(34)&amp;", landmark: "&amp;CHAR(34)&amp;IF(LEN(C104)=LEN(SUBSTITUTE(C104,"Transport","")),"Korok x1","Korok x2")&amp;CHAR(34)&amp;", type: "&amp;CHAR(34)&amp;C104&amp;CHAR(34)&amp;", region: "&amp;D104&amp;", level: "&amp;CHAR(34)&amp;E104&amp;CHAR(34)&amp;", x: "&amp;F104&amp;", y: "&amp;G104&amp;", z: "&amp;H104&amp;", details: "&amp;CHAR(34)&amp;I104&amp;CHAR(34)&amp;" },"</f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3674</v>
      </c>
      <c r="C105" t="s">
        <v>2882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>"{ name: "&amp;CHAR(34)&amp;B105&amp;CHAR(34)&amp;", landmark: "&amp;CHAR(34)&amp;IF(LEN(C105)=LEN(SUBSTITUTE(C105,"Transport","")),"Korok x1","Korok x2")&amp;CHAR(34)&amp;", type: "&amp;CHAR(34)&amp;C105&amp;CHAR(34)&amp;", region: "&amp;D105&amp;", level: "&amp;CHAR(34)&amp;E105&amp;CHAR(34)&amp;", x: "&amp;F105&amp;", y: "&amp;G105&amp;", z: "&amp;H105&amp;", details: "&amp;CHAR(34)&amp;I105&amp;CHAR(34)&amp;" },"</f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3675</v>
      </c>
      <c r="C106" t="s">
        <v>2865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2696</v>
      </c>
      <c r="J106" t="str">
        <f>"{ name: "&amp;CHAR(34)&amp;B106&amp;CHAR(34)&amp;", landmark: "&amp;CHAR(34)&amp;IF(LEN(C106)=LEN(SUBSTITUTE(C106,"Transport","")),"Korok x1","Korok x2")&amp;CHAR(34)&amp;", type: "&amp;CHAR(34)&amp;C106&amp;CHAR(34)&amp;", region: "&amp;D106&amp;", level: "&amp;CHAR(34)&amp;E106&amp;CHAR(34)&amp;", x: "&amp;F106&amp;", y: "&amp;G106&amp;", z: "&amp;H106&amp;", details: "&amp;CHAR(34)&amp;I106&amp;CHAR(34)&amp;" },"</f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3688</v>
      </c>
      <c r="C107" t="s">
        <v>2875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>"{ name: "&amp;CHAR(34)&amp;B107&amp;CHAR(34)&amp;", landmark: "&amp;CHAR(34)&amp;IF(LEN(C107)=LEN(SUBSTITUTE(C107,"Transport","")),"Korok x1","Korok x2")&amp;CHAR(34)&amp;", type: "&amp;CHAR(34)&amp;C107&amp;CHAR(34)&amp;", region: "&amp;D107&amp;", level: "&amp;CHAR(34)&amp;E107&amp;CHAR(34)&amp;", x: "&amp;F107&amp;", y: "&amp;G107&amp;", z: "&amp;H107&amp;", details: "&amp;CHAR(34)&amp;I107&amp;CHAR(34)&amp;" },"</f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3689</v>
      </c>
      <c r="C108" t="s">
        <v>2875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>"{ name: "&amp;CHAR(34)&amp;B108&amp;CHAR(34)&amp;", landmark: "&amp;CHAR(34)&amp;IF(LEN(C108)=LEN(SUBSTITUTE(C108,"Transport","")),"Korok x1","Korok x2")&amp;CHAR(34)&amp;", type: "&amp;CHAR(34)&amp;C108&amp;CHAR(34)&amp;", region: "&amp;D108&amp;", level: "&amp;CHAR(34)&amp;E108&amp;CHAR(34)&amp;", x: "&amp;F108&amp;", y: "&amp;G108&amp;", z: "&amp;H108&amp;", details: "&amp;CHAR(34)&amp;I108&amp;CHAR(34)&amp;" },"</f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3690</v>
      </c>
      <c r="C109" t="s">
        <v>2871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>"{ name: "&amp;CHAR(34)&amp;B109&amp;CHAR(34)&amp;", landmark: "&amp;CHAR(34)&amp;IF(LEN(C109)=LEN(SUBSTITUTE(C109,"Transport","")),"Korok x1","Korok x2")&amp;CHAR(34)&amp;", type: "&amp;CHAR(34)&amp;C109&amp;CHAR(34)&amp;", region: "&amp;D109&amp;", level: "&amp;CHAR(34)&amp;E109&amp;CHAR(34)&amp;", x: "&amp;F109&amp;", y: "&amp;G109&amp;", z: "&amp;H109&amp;", details: "&amp;CHAR(34)&amp;I109&amp;CHAR(34)&amp;" },"</f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3750</v>
      </c>
      <c r="C110" t="s">
        <v>2865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2683</v>
      </c>
      <c r="J110" t="str">
        <f>"{ name: "&amp;CHAR(34)&amp;B110&amp;CHAR(34)&amp;", landmark: "&amp;CHAR(34)&amp;IF(LEN(C110)=LEN(SUBSTITUTE(C110,"Transport","")),"Korok x1","Korok x2")&amp;CHAR(34)&amp;", type: "&amp;CHAR(34)&amp;C110&amp;CHAR(34)&amp;", region: "&amp;D110&amp;", level: "&amp;CHAR(34)&amp;E110&amp;CHAR(34)&amp;", x: "&amp;F110&amp;", y: "&amp;G110&amp;", z: "&amp;H110&amp;", details: "&amp;CHAR(34)&amp;I110&amp;CHAR(34)&amp;" },"</f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3751</v>
      </c>
      <c r="C111" t="s">
        <v>2864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>"{ name: "&amp;CHAR(34)&amp;B111&amp;CHAR(34)&amp;", landmark: "&amp;CHAR(34)&amp;IF(LEN(C111)=LEN(SUBSTITUTE(C111,"Transport","")),"Korok x1","Korok x2")&amp;CHAR(34)&amp;", type: "&amp;CHAR(34)&amp;C111&amp;CHAR(34)&amp;", region: "&amp;D111&amp;", level: "&amp;CHAR(34)&amp;E111&amp;CHAR(34)&amp;", x: "&amp;F111&amp;", y: "&amp;G111&amp;", z: "&amp;H111&amp;", details: "&amp;CHAR(34)&amp;I111&amp;CHAR(34)&amp;" },"</f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3787</v>
      </c>
      <c r="C112" t="s">
        <v>2875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>"{ name: "&amp;CHAR(34)&amp;B112&amp;CHAR(34)&amp;", landmark: "&amp;CHAR(34)&amp;IF(LEN(C112)=LEN(SUBSTITUTE(C112,"Transport","")),"Korok x1","Korok x2")&amp;CHAR(34)&amp;", type: "&amp;CHAR(34)&amp;C112&amp;CHAR(34)&amp;", region: "&amp;D112&amp;", level: "&amp;CHAR(34)&amp;E112&amp;CHAR(34)&amp;", x: "&amp;F112&amp;", y: "&amp;G112&amp;", z: "&amp;H112&amp;", details: "&amp;CHAR(34)&amp;I112&amp;CHAR(34)&amp;" },"</f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3810</v>
      </c>
      <c r="C113" t="s">
        <v>2875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>"{ name: "&amp;CHAR(34)&amp;B113&amp;CHAR(34)&amp;", landmark: "&amp;CHAR(34)&amp;IF(LEN(C113)=LEN(SUBSTITUTE(C113,"Transport","")),"Korok x1","Korok x2")&amp;CHAR(34)&amp;", type: "&amp;CHAR(34)&amp;C113&amp;CHAR(34)&amp;", region: "&amp;D113&amp;", level: "&amp;CHAR(34)&amp;E113&amp;CHAR(34)&amp;", x: "&amp;F113&amp;", y: "&amp;G113&amp;", z: "&amp;H113&amp;", details: "&amp;CHAR(34)&amp;I113&amp;CHAR(34)&amp;" },"</f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3811</v>
      </c>
      <c r="C114" t="s">
        <v>2887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>"{ name: "&amp;CHAR(34)&amp;B114&amp;CHAR(34)&amp;", landmark: "&amp;CHAR(34)&amp;IF(LEN(C114)=LEN(SUBSTITUTE(C114,"Transport","")),"Korok x1","Korok x2")&amp;CHAR(34)&amp;", type: "&amp;CHAR(34)&amp;C114&amp;CHAR(34)&amp;", region: "&amp;D114&amp;", level: "&amp;CHAR(34)&amp;E114&amp;CHAR(34)&amp;", x: "&amp;F114&amp;", y: "&amp;G114&amp;", z: "&amp;H114&amp;", details: "&amp;CHAR(34)&amp;I114&amp;CHAR(34)&amp;" },"</f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3852</v>
      </c>
      <c r="C115" t="s">
        <v>2884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>"{ name: "&amp;CHAR(34)&amp;B115&amp;CHAR(34)&amp;", landmark: "&amp;CHAR(34)&amp;IF(LEN(C115)=LEN(SUBSTITUTE(C115,"Transport","")),"Korok x1","Korok x2")&amp;CHAR(34)&amp;", type: "&amp;CHAR(34)&amp;C115&amp;CHAR(34)&amp;", region: "&amp;D115&amp;", level: "&amp;CHAR(34)&amp;E115&amp;CHAR(34)&amp;", x: "&amp;F115&amp;", y: "&amp;G115&amp;", z: "&amp;H115&amp;", details: "&amp;CHAR(34)&amp;I115&amp;CHAR(34)&amp;" },"</f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3853</v>
      </c>
      <c r="C116" t="s">
        <v>2865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2691</v>
      </c>
      <c r="J116" t="str">
        <f>"{ name: "&amp;CHAR(34)&amp;B116&amp;CHAR(34)&amp;", landmark: "&amp;CHAR(34)&amp;IF(LEN(C116)=LEN(SUBSTITUTE(C116,"Transport","")),"Korok x1","Korok x2")&amp;CHAR(34)&amp;", type: "&amp;CHAR(34)&amp;C116&amp;CHAR(34)&amp;", region: "&amp;D116&amp;", level: "&amp;CHAR(34)&amp;E116&amp;CHAR(34)&amp;", x: "&amp;F116&amp;", y: "&amp;G116&amp;", z: "&amp;H116&amp;", details: "&amp;CHAR(34)&amp;I116&amp;CHAR(34)&amp;" },"</f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3854</v>
      </c>
      <c r="C117" t="s">
        <v>2882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>"{ name: "&amp;CHAR(34)&amp;B117&amp;CHAR(34)&amp;", landmark: "&amp;CHAR(34)&amp;IF(LEN(C117)=LEN(SUBSTITUTE(C117,"Transport","")),"Korok x1","Korok x2")&amp;CHAR(34)&amp;", type: "&amp;CHAR(34)&amp;C117&amp;CHAR(34)&amp;", region: "&amp;D117&amp;", level: "&amp;CHAR(34)&amp;E117&amp;CHAR(34)&amp;", x: "&amp;F117&amp;", y: "&amp;G117&amp;", z: "&amp;H117&amp;", details: "&amp;CHAR(34)&amp;I117&amp;CHAR(34)&amp;" },"</f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3855</v>
      </c>
      <c r="C118" t="s">
        <v>2870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>"{ name: "&amp;CHAR(34)&amp;B118&amp;CHAR(34)&amp;", landmark: "&amp;CHAR(34)&amp;IF(LEN(C118)=LEN(SUBSTITUTE(C118,"Transport","")),"Korok x1","Korok x2")&amp;CHAR(34)&amp;", type: "&amp;CHAR(34)&amp;C118&amp;CHAR(34)&amp;", region: "&amp;D118&amp;", level: "&amp;CHAR(34)&amp;E118&amp;CHAR(34)&amp;", x: "&amp;F118&amp;", y: "&amp;G118&amp;", z: "&amp;H118&amp;", details: "&amp;CHAR(34)&amp;I118&amp;CHAR(34)&amp;" },"</f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3856</v>
      </c>
      <c r="C119" t="s">
        <v>2864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>"{ name: "&amp;CHAR(34)&amp;B119&amp;CHAR(34)&amp;", landmark: "&amp;CHAR(34)&amp;IF(LEN(C119)=LEN(SUBSTITUTE(C119,"Transport","")),"Korok x1","Korok x2")&amp;CHAR(34)&amp;", type: "&amp;CHAR(34)&amp;C119&amp;CHAR(34)&amp;", region: "&amp;D119&amp;", level: "&amp;CHAR(34)&amp;E119&amp;CHAR(34)&amp;", x: "&amp;F119&amp;", y: "&amp;G119&amp;", z: "&amp;H119&amp;", details: "&amp;CHAR(34)&amp;I119&amp;CHAR(34)&amp;" },"</f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3857</v>
      </c>
      <c r="C120" t="s">
        <v>2877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>"{ name: "&amp;CHAR(34)&amp;B120&amp;CHAR(34)&amp;", landmark: "&amp;CHAR(34)&amp;IF(LEN(C120)=LEN(SUBSTITUTE(C120,"Transport","")),"Korok x1","Korok x2")&amp;CHAR(34)&amp;", type: "&amp;CHAR(34)&amp;C120&amp;CHAR(34)&amp;", region: "&amp;D120&amp;", level: "&amp;CHAR(34)&amp;E120&amp;CHAR(34)&amp;", x: "&amp;F120&amp;", y: "&amp;G120&amp;", z: "&amp;H120&amp;", details: "&amp;CHAR(34)&amp;I120&amp;CHAR(34)&amp;" },"</f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3858</v>
      </c>
      <c r="C121" t="s">
        <v>2865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2688</v>
      </c>
      <c r="J121" t="str">
        <f>"{ name: "&amp;CHAR(34)&amp;B121&amp;CHAR(34)&amp;", landmark: "&amp;CHAR(34)&amp;IF(LEN(C121)=LEN(SUBSTITUTE(C121,"Transport","")),"Korok x1","Korok x2")&amp;CHAR(34)&amp;", type: "&amp;CHAR(34)&amp;C121&amp;CHAR(34)&amp;", region: "&amp;D121&amp;", level: "&amp;CHAR(34)&amp;E121&amp;CHAR(34)&amp;", x: "&amp;F121&amp;", y: "&amp;G121&amp;", z: "&amp;H121&amp;", details: "&amp;CHAR(34)&amp;I121&amp;CHAR(34)&amp;" },"</f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3873</v>
      </c>
      <c r="C122" t="s">
        <v>2865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2684</v>
      </c>
      <c r="J122" t="str">
        <f>"{ name: "&amp;CHAR(34)&amp;B122&amp;CHAR(34)&amp;", landmark: "&amp;CHAR(34)&amp;IF(LEN(C122)=LEN(SUBSTITUTE(C122,"Transport","")),"Korok x1","Korok x2")&amp;CHAR(34)&amp;", type: "&amp;CHAR(34)&amp;C122&amp;CHAR(34)&amp;", region: "&amp;D122&amp;", level: "&amp;CHAR(34)&amp;E122&amp;CHAR(34)&amp;", x: "&amp;F122&amp;", y: "&amp;G122&amp;", z: "&amp;H122&amp;", details: "&amp;CHAR(34)&amp;I122&amp;CHAR(34)&amp;" },"</f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3886</v>
      </c>
      <c r="C123" t="s">
        <v>2875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>"{ name: "&amp;CHAR(34)&amp;B123&amp;CHAR(34)&amp;", landmark: "&amp;CHAR(34)&amp;IF(LEN(C123)=LEN(SUBSTITUTE(C123,"Transport","")),"Korok x1","Korok x2")&amp;CHAR(34)&amp;", type: "&amp;CHAR(34)&amp;C123&amp;CHAR(34)&amp;", region: "&amp;D123&amp;", level: "&amp;CHAR(34)&amp;E123&amp;CHAR(34)&amp;", x: "&amp;F123&amp;", y: "&amp;G123&amp;", z: "&amp;H123&amp;", details: "&amp;CHAR(34)&amp;I123&amp;CHAR(34)&amp;" },"</f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3887</v>
      </c>
      <c r="C124" t="s">
        <v>2889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>"{ name: "&amp;CHAR(34)&amp;B124&amp;CHAR(34)&amp;", landmark: "&amp;CHAR(34)&amp;IF(LEN(C124)=LEN(SUBSTITUTE(C124,"Transport","")),"Korok x1","Korok x2")&amp;CHAR(34)&amp;", type: "&amp;CHAR(34)&amp;C124&amp;CHAR(34)&amp;", region: "&amp;D124&amp;", level: "&amp;CHAR(34)&amp;E124&amp;CHAR(34)&amp;", x: "&amp;F124&amp;", y: "&amp;G124&amp;", z: "&amp;H124&amp;", details: "&amp;CHAR(34)&amp;I124&amp;CHAR(34)&amp;" },"</f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3908</v>
      </c>
      <c r="C125" t="s">
        <v>2875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>"{ name: "&amp;CHAR(34)&amp;B125&amp;CHAR(34)&amp;", landmark: "&amp;CHAR(34)&amp;IF(LEN(C125)=LEN(SUBSTITUTE(C125,"Transport","")),"Korok x1","Korok x2")&amp;CHAR(34)&amp;", type: "&amp;CHAR(34)&amp;C125&amp;CHAR(34)&amp;", region: "&amp;D125&amp;", level: "&amp;CHAR(34)&amp;E125&amp;CHAR(34)&amp;", x: "&amp;F125&amp;", y: "&amp;G125&amp;", z: "&amp;H125&amp;", details: "&amp;CHAR(34)&amp;I125&amp;CHAR(34)&amp;" },"</f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3909</v>
      </c>
      <c r="C126" t="s">
        <v>2658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>"{ name: "&amp;CHAR(34)&amp;B126&amp;CHAR(34)&amp;", landmark: "&amp;CHAR(34)&amp;IF(LEN(C126)=LEN(SUBSTITUTE(C126,"Transport","")),"Korok x1","Korok x2")&amp;CHAR(34)&amp;", type: "&amp;CHAR(34)&amp;C126&amp;CHAR(34)&amp;", region: "&amp;D126&amp;", level: "&amp;CHAR(34)&amp;E126&amp;CHAR(34)&amp;", x: "&amp;F126&amp;", y: "&amp;G126&amp;", z: "&amp;H126&amp;", details: "&amp;CHAR(34)&amp;I126&amp;CHAR(34)&amp;" },"</f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3910</v>
      </c>
      <c r="C127" t="s">
        <v>2875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>"{ name: "&amp;CHAR(34)&amp;B127&amp;CHAR(34)&amp;", landmark: "&amp;CHAR(34)&amp;IF(LEN(C127)=LEN(SUBSTITUTE(C127,"Transport","")),"Korok x1","Korok x2")&amp;CHAR(34)&amp;", type: "&amp;CHAR(34)&amp;C127&amp;CHAR(34)&amp;", region: "&amp;D127&amp;", level: "&amp;CHAR(34)&amp;E127&amp;CHAR(34)&amp;", x: "&amp;F127&amp;", y: "&amp;G127&amp;", z: "&amp;H127&amp;", details: "&amp;CHAR(34)&amp;I127&amp;CHAR(34)&amp;" },"</f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3926</v>
      </c>
      <c r="C128" t="s">
        <v>2887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>"{ name: "&amp;CHAR(34)&amp;B128&amp;CHAR(34)&amp;", landmark: "&amp;CHAR(34)&amp;IF(LEN(C128)=LEN(SUBSTITUTE(C128,"Transport","")),"Korok x1","Korok x2")&amp;CHAR(34)&amp;", type: "&amp;CHAR(34)&amp;C128&amp;CHAR(34)&amp;", region: "&amp;D128&amp;", level: "&amp;CHAR(34)&amp;E128&amp;CHAR(34)&amp;", x: "&amp;F128&amp;", y: "&amp;G128&amp;", z: "&amp;H128&amp;", details: "&amp;CHAR(34)&amp;I128&amp;CHAR(34)&amp;" },"</f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3927</v>
      </c>
      <c r="C129" t="s">
        <v>2865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2695</v>
      </c>
      <c r="J129" t="str">
        <f>"{ name: "&amp;CHAR(34)&amp;B129&amp;CHAR(34)&amp;", landmark: "&amp;CHAR(34)&amp;IF(LEN(C129)=LEN(SUBSTITUTE(C129,"Transport","")),"Korok x1","Korok x2")&amp;CHAR(34)&amp;", type: "&amp;CHAR(34)&amp;C129&amp;CHAR(34)&amp;", region: "&amp;D129&amp;", level: "&amp;CHAR(34)&amp;E129&amp;CHAR(34)&amp;", x: "&amp;F129&amp;", y: "&amp;G129&amp;", z: "&amp;H129&amp;", details: "&amp;CHAR(34)&amp;I129&amp;CHAR(34)&amp;" },"</f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3928</v>
      </c>
      <c r="C130" t="s">
        <v>2888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3940</v>
      </c>
      <c r="C131" t="s">
        <v>2874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2823</v>
      </c>
      <c r="J131" t="str">
        <f>"{ name: "&amp;CHAR(34)&amp;B131&amp;CHAR(34)&amp;", landmark: "&amp;CHAR(34)&amp;IF(LEN(C131)=LEN(SUBSTITUTE(C131,"Transport","")),"Korok x1","Korok x2")&amp;CHAR(34)&amp;", type: "&amp;CHAR(34)&amp;C131&amp;CHAR(34)&amp;", region: "&amp;D131&amp;", level: "&amp;CHAR(34)&amp;E131&amp;CHAR(34)&amp;", x: "&amp;F131&amp;", y: "&amp;G131&amp;", z: "&amp;H131&amp;", details: "&amp;CHAR(34)&amp;I131&amp;CHAR(34)&amp;" },"</f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3941</v>
      </c>
      <c r="C132" t="s">
        <v>2875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>"{ name: "&amp;CHAR(34)&amp;B132&amp;CHAR(34)&amp;", landmark: "&amp;CHAR(34)&amp;IF(LEN(C132)=LEN(SUBSTITUTE(C132,"Transport","")),"Korok x1","Korok x2")&amp;CHAR(34)&amp;", type: "&amp;CHAR(34)&amp;C132&amp;CHAR(34)&amp;", region: "&amp;D132&amp;", level: "&amp;CHAR(34)&amp;E132&amp;CHAR(34)&amp;", x: "&amp;F132&amp;", y: "&amp;G132&amp;", z: "&amp;H132&amp;", details: "&amp;CHAR(34)&amp;I132&amp;CHAR(34)&amp;" },"</f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3945</v>
      </c>
      <c r="C133" t="s">
        <v>2887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>"{ name: "&amp;CHAR(34)&amp;B133&amp;CHAR(34)&amp;", landmark: "&amp;CHAR(34)&amp;IF(LEN(C133)=LEN(SUBSTITUTE(C133,"Transport","")),"Korok x1","Korok x2")&amp;CHAR(34)&amp;", type: "&amp;CHAR(34)&amp;C133&amp;CHAR(34)&amp;", region: "&amp;D133&amp;", level: "&amp;CHAR(34)&amp;E133&amp;CHAR(34)&amp;", x: "&amp;F133&amp;", y: "&amp;G133&amp;", z: "&amp;H133&amp;", details: "&amp;CHAR(34)&amp;I133&amp;CHAR(34)&amp;" },"</f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3946</v>
      </c>
      <c r="C134" t="s">
        <v>2877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>"{ name: "&amp;CHAR(34)&amp;B134&amp;CHAR(34)&amp;", landmark: "&amp;CHAR(34)&amp;IF(LEN(C134)=LEN(SUBSTITUTE(C134,"Transport","")),"Korok x1","Korok x2")&amp;CHAR(34)&amp;", type: "&amp;CHAR(34)&amp;C134&amp;CHAR(34)&amp;", region: "&amp;D134&amp;", level: "&amp;CHAR(34)&amp;E134&amp;CHAR(34)&amp;", x: "&amp;F134&amp;", y: "&amp;G134&amp;", z: "&amp;H134&amp;", details: "&amp;CHAR(34)&amp;I134&amp;CHAR(34)&amp;" },"</f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3956</v>
      </c>
      <c r="C135" t="s">
        <v>2888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>"{ name: "&amp;CHAR(34)&amp;B135&amp;CHAR(34)&amp;", landmark: "&amp;CHAR(34)&amp;IF(LEN(C135)=LEN(SUBSTITUTE(C135,"Transport","")),"Korok x1","Korok x2")&amp;CHAR(34)&amp;", type: "&amp;CHAR(34)&amp;C135&amp;CHAR(34)&amp;", region: "&amp;D135&amp;", level: "&amp;CHAR(34)&amp;E135&amp;CHAR(34)&amp;", x: "&amp;F135&amp;", y: "&amp;G135&amp;", z: "&amp;H135&amp;", details: "&amp;CHAR(34)&amp;I135&amp;CHAR(34)&amp;" },"</f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3965</v>
      </c>
      <c r="C136" t="s">
        <v>2865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2700</v>
      </c>
      <c r="J136" t="str">
        <f>"{ name: "&amp;CHAR(34)&amp;B136&amp;CHAR(34)&amp;", landmark: "&amp;CHAR(34)&amp;IF(LEN(C136)=LEN(SUBSTITUTE(C136,"Transport","")),"Korok x1","Korok x2")&amp;CHAR(34)&amp;", type: "&amp;CHAR(34)&amp;C136&amp;CHAR(34)&amp;", region: "&amp;D136&amp;", level: "&amp;CHAR(34)&amp;E136&amp;CHAR(34)&amp;", x: "&amp;F136&amp;", y: "&amp;G136&amp;", z: "&amp;H136&amp;", details: "&amp;CHAR(34)&amp;I136&amp;CHAR(34)&amp;" },"</f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3966</v>
      </c>
      <c r="C137" t="s">
        <v>2875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>"{ name: "&amp;CHAR(34)&amp;B137&amp;CHAR(34)&amp;", landmark: "&amp;CHAR(34)&amp;IF(LEN(C137)=LEN(SUBSTITUTE(C137,"Transport","")),"Korok x1","Korok x2")&amp;CHAR(34)&amp;", type: "&amp;CHAR(34)&amp;C137&amp;CHAR(34)&amp;", region: "&amp;D137&amp;", level: "&amp;CHAR(34)&amp;E137&amp;CHAR(34)&amp;", x: "&amp;F137&amp;", y: "&amp;G137&amp;", z: "&amp;H137&amp;", details: "&amp;CHAR(34)&amp;I137&amp;CHAR(34)&amp;" },"</f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3967</v>
      </c>
      <c r="C138" t="s">
        <v>2864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>"{ name: "&amp;CHAR(34)&amp;B138&amp;CHAR(34)&amp;", landmark: "&amp;CHAR(34)&amp;IF(LEN(C138)=LEN(SUBSTITUTE(C138,"Transport","")),"Korok x1","Korok x2")&amp;CHAR(34)&amp;", type: "&amp;CHAR(34)&amp;C138&amp;CHAR(34)&amp;", region: "&amp;D138&amp;", level: "&amp;CHAR(34)&amp;E138&amp;CHAR(34)&amp;", x: "&amp;F138&amp;", y: "&amp;G138&amp;", z: "&amp;H138&amp;", details: "&amp;CHAR(34)&amp;I138&amp;CHAR(34)&amp;" },"</f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3968</v>
      </c>
      <c r="C139" t="s">
        <v>2871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>"{ name: "&amp;CHAR(34)&amp;B139&amp;CHAR(34)&amp;", landmark: "&amp;CHAR(34)&amp;IF(LEN(C139)=LEN(SUBSTITUTE(C139,"Transport","")),"Korok x1","Korok x2")&amp;CHAR(34)&amp;", type: "&amp;CHAR(34)&amp;C139&amp;CHAR(34)&amp;", region: "&amp;D139&amp;", level: "&amp;CHAR(34)&amp;E139&amp;CHAR(34)&amp;", x: "&amp;F139&amp;", y: "&amp;G139&amp;", z: "&amp;H139&amp;", details: "&amp;CHAR(34)&amp;I139&amp;CHAR(34)&amp;" },"</f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3969</v>
      </c>
      <c r="C140" t="s">
        <v>2890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2824</v>
      </c>
      <c r="J140" t="str">
        <f>"{ name: "&amp;CHAR(34)&amp;B140&amp;CHAR(34)&amp;", landmark: "&amp;CHAR(34)&amp;IF(LEN(C140)=LEN(SUBSTITUTE(C140,"Transport","")),"Korok x1","Korok x2")&amp;CHAR(34)&amp;", type: "&amp;CHAR(34)&amp;C140&amp;CHAR(34)&amp;", region: "&amp;D140&amp;", level: "&amp;CHAR(34)&amp;E140&amp;CHAR(34)&amp;", x: "&amp;F140&amp;", y: "&amp;G140&amp;", z: "&amp;H140&amp;", details: "&amp;CHAR(34)&amp;I140&amp;CHAR(34)&amp;" },"</f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3970</v>
      </c>
      <c r="C141" t="s">
        <v>2875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>"{ name: "&amp;CHAR(34)&amp;B141&amp;CHAR(34)&amp;", landmark: "&amp;CHAR(34)&amp;IF(LEN(C141)=LEN(SUBSTITUTE(C141,"Transport","")),"Korok x1","Korok x2")&amp;CHAR(34)&amp;", type: "&amp;CHAR(34)&amp;C141&amp;CHAR(34)&amp;", region: "&amp;D141&amp;", level: "&amp;CHAR(34)&amp;E141&amp;CHAR(34)&amp;", x: "&amp;F141&amp;", y: "&amp;G141&amp;", z: "&amp;H141&amp;", details: "&amp;CHAR(34)&amp;I141&amp;CHAR(34)&amp;" },"</f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3971</v>
      </c>
      <c r="C142" t="s">
        <v>2878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>"{ name: "&amp;CHAR(34)&amp;B142&amp;CHAR(34)&amp;", landmark: "&amp;CHAR(34)&amp;IF(LEN(C142)=LEN(SUBSTITUTE(C142,"Transport","")),"Korok x1","Korok x2")&amp;CHAR(34)&amp;", type: "&amp;CHAR(34)&amp;C142&amp;CHAR(34)&amp;", region: "&amp;D142&amp;", level: "&amp;CHAR(34)&amp;E142&amp;CHAR(34)&amp;", x: "&amp;F142&amp;", y: "&amp;G142&amp;", z: "&amp;H142&amp;", details: "&amp;CHAR(34)&amp;I142&amp;CHAR(34)&amp;" },"</f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3972</v>
      </c>
      <c r="C143" t="s">
        <v>2889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>"{ name: "&amp;CHAR(34)&amp;B143&amp;CHAR(34)&amp;", landmark: "&amp;CHAR(34)&amp;IF(LEN(C143)=LEN(SUBSTITUTE(C143,"Transport","")),"Korok x1","Korok x2")&amp;CHAR(34)&amp;", type: "&amp;CHAR(34)&amp;C143&amp;CHAR(34)&amp;", region: "&amp;D143&amp;", level: "&amp;CHAR(34)&amp;E143&amp;CHAR(34)&amp;", x: "&amp;F143&amp;", y: "&amp;G143&amp;", z: "&amp;H143&amp;", details: "&amp;CHAR(34)&amp;I143&amp;CHAR(34)&amp;" },"</f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3973</v>
      </c>
      <c r="C144" t="s">
        <v>2875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>"{ name: "&amp;CHAR(34)&amp;B144&amp;CHAR(34)&amp;", landmark: "&amp;CHAR(34)&amp;IF(LEN(C144)=LEN(SUBSTITUTE(C144,"Transport","")),"Korok x1","Korok x2")&amp;CHAR(34)&amp;", type: "&amp;CHAR(34)&amp;C144&amp;CHAR(34)&amp;", region: "&amp;D144&amp;", level: "&amp;CHAR(34)&amp;E144&amp;CHAR(34)&amp;", x: "&amp;F144&amp;", y: "&amp;G144&amp;", z: "&amp;H144&amp;", details: "&amp;CHAR(34)&amp;I144&amp;CHAR(34)&amp;" },"</f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3974</v>
      </c>
      <c r="C145" t="s">
        <v>2878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>"{ name: "&amp;CHAR(34)&amp;B145&amp;CHAR(34)&amp;", landmark: "&amp;CHAR(34)&amp;IF(LEN(C145)=LEN(SUBSTITUTE(C145,"Transport","")),"Korok x1","Korok x2")&amp;CHAR(34)&amp;", type: "&amp;CHAR(34)&amp;C145&amp;CHAR(34)&amp;", region: "&amp;D145&amp;", level: "&amp;CHAR(34)&amp;E145&amp;CHAR(34)&amp;", x: "&amp;F145&amp;", y: "&amp;G145&amp;", z: "&amp;H145&amp;", details: "&amp;CHAR(34)&amp;I145&amp;CHAR(34)&amp;" },"</f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3975</v>
      </c>
      <c r="C146" t="s">
        <v>2874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2820</v>
      </c>
      <c r="J146" t="str">
        <f>"{ name: "&amp;CHAR(34)&amp;B146&amp;CHAR(34)&amp;", landmark: "&amp;CHAR(34)&amp;IF(LEN(C146)=LEN(SUBSTITUTE(C146,"Transport","")),"Korok x1","Korok x2")&amp;CHAR(34)&amp;", type: "&amp;CHAR(34)&amp;C146&amp;CHAR(34)&amp;", region: "&amp;D146&amp;", level: "&amp;CHAR(34)&amp;E146&amp;CHAR(34)&amp;", x: "&amp;F146&amp;", y: "&amp;G146&amp;", z: "&amp;H146&amp;", details: "&amp;CHAR(34)&amp;I146&amp;CHAR(34)&amp;" },"</f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3995</v>
      </c>
      <c r="C147" t="s">
        <v>2891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>"{ name: "&amp;CHAR(34)&amp;B147&amp;CHAR(34)&amp;", landmark: "&amp;CHAR(34)&amp;IF(LEN(C147)=LEN(SUBSTITUTE(C147,"Transport","")),"Korok x1","Korok x2")&amp;CHAR(34)&amp;", type: "&amp;CHAR(34)&amp;C147&amp;CHAR(34)&amp;", region: "&amp;D147&amp;", level: "&amp;CHAR(34)&amp;E147&amp;CHAR(34)&amp;", x: "&amp;F147&amp;", y: "&amp;G147&amp;", z: "&amp;H147&amp;", details: "&amp;CHAR(34)&amp;I147&amp;CHAR(34)&amp;" },"</f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3996</v>
      </c>
      <c r="C148" t="s">
        <v>2867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>"{ name: "&amp;CHAR(34)&amp;B148&amp;CHAR(34)&amp;", landmark: "&amp;CHAR(34)&amp;IF(LEN(C148)=LEN(SUBSTITUTE(C148,"Transport","")),"Korok x1","Korok x2")&amp;CHAR(34)&amp;", type: "&amp;CHAR(34)&amp;C148&amp;CHAR(34)&amp;", region: "&amp;D148&amp;", level: "&amp;CHAR(34)&amp;E148&amp;CHAR(34)&amp;", x: "&amp;F148&amp;", y: "&amp;G148&amp;", z: "&amp;H148&amp;", details: "&amp;CHAR(34)&amp;I148&amp;CHAR(34)&amp;" },"</f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4067</v>
      </c>
      <c r="C149" t="s">
        <v>2890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2819</v>
      </c>
      <c r="J149" t="str">
        <f>"{ name: "&amp;CHAR(34)&amp;B149&amp;CHAR(34)&amp;", landmark: "&amp;CHAR(34)&amp;IF(LEN(C149)=LEN(SUBSTITUTE(C149,"Transport","")),"Korok x1","Korok x2")&amp;CHAR(34)&amp;", type: "&amp;CHAR(34)&amp;C149&amp;CHAR(34)&amp;", region: "&amp;D149&amp;", level: "&amp;CHAR(34)&amp;E149&amp;CHAR(34)&amp;", x: "&amp;F149&amp;", y: "&amp;G149&amp;", z: "&amp;H149&amp;", details: "&amp;CHAR(34)&amp;I149&amp;CHAR(34)&amp;" },"</f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4068</v>
      </c>
      <c r="C150" t="s">
        <v>2875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>"{ name: "&amp;CHAR(34)&amp;B150&amp;CHAR(34)&amp;", landmark: "&amp;CHAR(34)&amp;IF(LEN(C150)=LEN(SUBSTITUTE(C150,"Transport","")),"Korok x1","Korok x2")&amp;CHAR(34)&amp;", type: "&amp;CHAR(34)&amp;C150&amp;CHAR(34)&amp;", region: "&amp;D150&amp;", level: "&amp;CHAR(34)&amp;E150&amp;CHAR(34)&amp;", x: "&amp;F150&amp;", y: "&amp;G150&amp;", z: "&amp;H150&amp;", details: "&amp;CHAR(34)&amp;I150&amp;CHAR(34)&amp;" },"</f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4069</v>
      </c>
      <c r="C151" t="s">
        <v>2885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>"{ name: "&amp;CHAR(34)&amp;B151&amp;CHAR(34)&amp;", landmark: "&amp;CHAR(34)&amp;IF(LEN(C151)=LEN(SUBSTITUTE(C151,"Transport","")),"Korok x1","Korok x2")&amp;CHAR(34)&amp;", type: "&amp;CHAR(34)&amp;C151&amp;CHAR(34)&amp;", region: "&amp;D151&amp;", level: "&amp;CHAR(34)&amp;E151&amp;CHAR(34)&amp;", x: "&amp;F151&amp;", y: "&amp;G151&amp;", z: "&amp;H151&amp;", details: "&amp;CHAR(34)&amp;I151&amp;CHAR(34)&amp;" },"</f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4070</v>
      </c>
      <c r="C152" t="s">
        <v>2888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>"{ name: "&amp;CHAR(34)&amp;B152&amp;CHAR(34)&amp;", landmark: "&amp;CHAR(34)&amp;IF(LEN(C152)=LEN(SUBSTITUTE(C152,"Transport","")),"Korok x1","Korok x2")&amp;CHAR(34)&amp;", type: "&amp;CHAR(34)&amp;C152&amp;CHAR(34)&amp;", region: "&amp;D152&amp;", level: "&amp;CHAR(34)&amp;E152&amp;CHAR(34)&amp;", x: "&amp;F152&amp;", y: "&amp;G152&amp;", z: "&amp;H152&amp;", details: "&amp;CHAR(34)&amp;I152&amp;CHAR(34)&amp;" },"</f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4153</v>
      </c>
      <c r="C153" t="s">
        <v>2887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>"{ name: "&amp;CHAR(34)&amp;B153&amp;CHAR(34)&amp;", landmark: "&amp;CHAR(34)&amp;IF(LEN(C153)=LEN(SUBSTITUTE(C153,"Transport","")),"Korok x1","Korok x2")&amp;CHAR(34)&amp;", type: "&amp;CHAR(34)&amp;C153&amp;CHAR(34)&amp;", region: "&amp;D153&amp;", level: "&amp;CHAR(34)&amp;E153&amp;CHAR(34)&amp;", x: "&amp;F153&amp;", y: "&amp;G153&amp;", z: "&amp;H153&amp;", details: "&amp;CHAR(34)&amp;I153&amp;CHAR(34)&amp;" },"</f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4157</v>
      </c>
      <c r="C154" t="s">
        <v>2887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>"{ name: "&amp;CHAR(34)&amp;B154&amp;CHAR(34)&amp;", landmark: "&amp;CHAR(34)&amp;IF(LEN(C154)=LEN(SUBSTITUTE(C154,"Transport","")),"Korok x1","Korok x2")&amp;CHAR(34)&amp;", type: "&amp;CHAR(34)&amp;C154&amp;CHAR(34)&amp;", region: "&amp;D154&amp;", level: "&amp;CHAR(34)&amp;E154&amp;CHAR(34)&amp;", x: "&amp;F154&amp;", y: "&amp;G154&amp;", z: "&amp;H154&amp;", details: "&amp;CHAR(34)&amp;I154&amp;CHAR(34)&amp;" },"</f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4158</v>
      </c>
      <c r="C155" t="s">
        <v>2865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2692</v>
      </c>
      <c r="J155" t="str">
        <f>"{ name: "&amp;CHAR(34)&amp;B155&amp;CHAR(34)&amp;", landmark: "&amp;CHAR(34)&amp;IF(LEN(C155)=LEN(SUBSTITUTE(C155,"Transport","")),"Korok x1","Korok x2")&amp;CHAR(34)&amp;", type: "&amp;CHAR(34)&amp;C155&amp;CHAR(34)&amp;", region: "&amp;D155&amp;", level: "&amp;CHAR(34)&amp;E155&amp;CHAR(34)&amp;", x: "&amp;F155&amp;", y: "&amp;G155&amp;", z: "&amp;H155&amp;", details: "&amp;CHAR(34)&amp;I155&amp;CHAR(34)&amp;" },"</f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4160</v>
      </c>
      <c r="C156" t="s">
        <v>2864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>"{ name: "&amp;CHAR(34)&amp;B156&amp;CHAR(34)&amp;", landmark: "&amp;CHAR(34)&amp;IF(LEN(C156)=LEN(SUBSTITUTE(C156,"Transport","")),"Korok x1","Korok x2")&amp;CHAR(34)&amp;", type: "&amp;CHAR(34)&amp;C156&amp;CHAR(34)&amp;", region: "&amp;D156&amp;", level: "&amp;CHAR(34)&amp;E156&amp;CHAR(34)&amp;", x: "&amp;F156&amp;", y: "&amp;G156&amp;", z: "&amp;H156&amp;", details: "&amp;CHAR(34)&amp;I156&amp;CHAR(34)&amp;" },"</f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4161</v>
      </c>
      <c r="C157" t="s">
        <v>2875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>"{ name: "&amp;CHAR(34)&amp;B157&amp;CHAR(34)&amp;", landmark: "&amp;CHAR(34)&amp;IF(LEN(C157)=LEN(SUBSTITUTE(C157,"Transport","")),"Korok x1","Korok x2")&amp;CHAR(34)&amp;", type: "&amp;CHAR(34)&amp;C157&amp;CHAR(34)&amp;", region: "&amp;D157&amp;", level: "&amp;CHAR(34)&amp;E157&amp;CHAR(34)&amp;", x: "&amp;F157&amp;", y: "&amp;G157&amp;", z: "&amp;H157&amp;", details: "&amp;CHAR(34)&amp;I157&amp;CHAR(34)&amp;" },"</f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4162</v>
      </c>
      <c r="C158" t="s">
        <v>2658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>"{ name: "&amp;CHAR(34)&amp;B158&amp;CHAR(34)&amp;", landmark: "&amp;CHAR(34)&amp;IF(LEN(C158)=LEN(SUBSTITUTE(C158,"Transport","")),"Korok x1","Korok x2")&amp;CHAR(34)&amp;", type: "&amp;CHAR(34)&amp;C158&amp;CHAR(34)&amp;", region: "&amp;D158&amp;", level: "&amp;CHAR(34)&amp;E158&amp;CHAR(34)&amp;", x: "&amp;F158&amp;", y: "&amp;G158&amp;", z: "&amp;H158&amp;", details: "&amp;CHAR(34)&amp;I158&amp;CHAR(34)&amp;" },"</f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3304</v>
      </c>
      <c r="C159" t="s">
        <v>2870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>"{ name: "&amp;CHAR(34)&amp;B159&amp;CHAR(34)&amp;", landmark: "&amp;CHAR(34)&amp;IF(LEN(C159)=LEN(SUBSTITUTE(C159,"Transport","")),"Korok x1","Korok x2")&amp;CHAR(34)&amp;", type: "&amp;CHAR(34)&amp;C159&amp;CHAR(34)&amp;", region: "&amp;D159&amp;", level: "&amp;CHAR(34)&amp;E159&amp;CHAR(34)&amp;", x: "&amp;F159&amp;", y: "&amp;G159&amp;", z: "&amp;H159&amp;", details: "&amp;CHAR(34)&amp;I159&amp;CHAR(34)&amp;" },"</f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3305</v>
      </c>
      <c r="C160" t="s">
        <v>2874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2846</v>
      </c>
      <c r="J160" t="str">
        <f>"{ name: "&amp;CHAR(34)&amp;B160&amp;CHAR(34)&amp;", landmark: "&amp;CHAR(34)&amp;IF(LEN(C160)=LEN(SUBSTITUTE(C160,"Transport","")),"Korok x1","Korok x2")&amp;CHAR(34)&amp;", type: "&amp;CHAR(34)&amp;C160&amp;CHAR(34)&amp;", region: "&amp;D160&amp;", level: "&amp;CHAR(34)&amp;E160&amp;CHAR(34)&amp;", x: "&amp;F160&amp;", y: "&amp;G160&amp;", z: "&amp;H160&amp;", details: "&amp;CHAR(34)&amp;I160&amp;CHAR(34)&amp;" },"</f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3339</v>
      </c>
      <c r="C161" t="s">
        <v>2864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>"{ name: "&amp;CHAR(34)&amp;B161&amp;CHAR(34)&amp;", landmark: "&amp;CHAR(34)&amp;IF(LEN(C161)=LEN(SUBSTITUTE(C161,"Transport","")),"Korok x1","Korok x2")&amp;CHAR(34)&amp;", type: "&amp;CHAR(34)&amp;C161&amp;CHAR(34)&amp;", region: "&amp;D161&amp;", level: "&amp;CHAR(34)&amp;E161&amp;CHAR(34)&amp;", x: "&amp;F161&amp;", y: "&amp;G161&amp;", z: "&amp;H161&amp;", details: "&amp;CHAR(34)&amp;I161&amp;CHAR(34)&amp;" },"</f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3372</v>
      </c>
      <c r="C162" t="s">
        <v>2869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>"{ name: "&amp;CHAR(34)&amp;B162&amp;CHAR(34)&amp;", landmark: "&amp;CHAR(34)&amp;IF(LEN(C162)=LEN(SUBSTITUTE(C162,"Transport","")),"Korok x1","Korok x2")&amp;CHAR(34)&amp;", type: "&amp;CHAR(34)&amp;C162&amp;CHAR(34)&amp;", region: "&amp;D162&amp;", level: "&amp;CHAR(34)&amp;E162&amp;CHAR(34)&amp;", x: "&amp;F162&amp;", y: "&amp;G162&amp;", z: "&amp;H162&amp;", details: "&amp;CHAR(34)&amp;I162&amp;CHAR(34)&amp;" },"</f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3381</v>
      </c>
      <c r="C163" t="s">
        <v>2890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2843</v>
      </c>
      <c r="J163" t="str">
        <f>"{ name: "&amp;CHAR(34)&amp;B163&amp;CHAR(34)&amp;", landmark: "&amp;CHAR(34)&amp;IF(LEN(C163)=LEN(SUBSTITUTE(C163,"Transport","")),"Korok x1","Korok x2")&amp;CHAR(34)&amp;", type: "&amp;CHAR(34)&amp;C163&amp;CHAR(34)&amp;", region: "&amp;D163&amp;", level: "&amp;CHAR(34)&amp;E163&amp;CHAR(34)&amp;", x: "&amp;F163&amp;", y: "&amp;G163&amp;", z: "&amp;H163&amp;", details: "&amp;CHAR(34)&amp;I163&amp;CHAR(34)&amp;" },"</f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3478</v>
      </c>
      <c r="C164" t="s">
        <v>2875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>"{ name: "&amp;CHAR(34)&amp;B164&amp;CHAR(34)&amp;", landmark: "&amp;CHAR(34)&amp;IF(LEN(C164)=LEN(SUBSTITUTE(C164,"Transport","")),"Korok x1","Korok x2")&amp;CHAR(34)&amp;", type: "&amp;CHAR(34)&amp;C164&amp;CHAR(34)&amp;", region: "&amp;D164&amp;", level: "&amp;CHAR(34)&amp;E164&amp;CHAR(34)&amp;", x: "&amp;F164&amp;", y: "&amp;G164&amp;", z: "&amp;H164&amp;", details: "&amp;CHAR(34)&amp;I164&amp;CHAR(34)&amp;" },"</f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3479</v>
      </c>
      <c r="C165" t="s">
        <v>2875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>"{ name: "&amp;CHAR(34)&amp;B165&amp;CHAR(34)&amp;", landmark: "&amp;CHAR(34)&amp;IF(LEN(C165)=LEN(SUBSTITUTE(C165,"Transport","")),"Korok x1","Korok x2")&amp;CHAR(34)&amp;", type: "&amp;CHAR(34)&amp;C165&amp;CHAR(34)&amp;", region: "&amp;D165&amp;", level: "&amp;CHAR(34)&amp;E165&amp;CHAR(34)&amp;", x: "&amp;F165&amp;", y: "&amp;G165&amp;", z: "&amp;H165&amp;", details: "&amp;CHAR(34)&amp;I165&amp;CHAR(34)&amp;" },"</f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3507</v>
      </c>
      <c r="C166" t="s">
        <v>2886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>"{ name: "&amp;CHAR(34)&amp;B166&amp;CHAR(34)&amp;", landmark: "&amp;CHAR(34)&amp;IF(LEN(C166)=LEN(SUBSTITUTE(C166,"Transport","")),"Korok x1","Korok x2")&amp;CHAR(34)&amp;", type: "&amp;CHAR(34)&amp;C166&amp;CHAR(34)&amp;", region: "&amp;D166&amp;", level: "&amp;CHAR(34)&amp;E166&amp;CHAR(34)&amp;", x: "&amp;F166&amp;", y: "&amp;G166&amp;", z: "&amp;H166&amp;", details: "&amp;CHAR(34)&amp;I166&amp;CHAR(34)&amp;" },"</f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3508</v>
      </c>
      <c r="C167" t="s">
        <v>2878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>"{ name: "&amp;CHAR(34)&amp;B167&amp;CHAR(34)&amp;", landmark: "&amp;CHAR(34)&amp;IF(LEN(C167)=LEN(SUBSTITUTE(C167,"Transport","")),"Korok x1","Korok x2")&amp;CHAR(34)&amp;", type: "&amp;CHAR(34)&amp;C167&amp;CHAR(34)&amp;", region: "&amp;D167&amp;", level: "&amp;CHAR(34)&amp;E167&amp;CHAR(34)&amp;", x: "&amp;F167&amp;", y: "&amp;G167&amp;", z: "&amp;H167&amp;", details: "&amp;CHAR(34)&amp;I167&amp;CHAR(34)&amp;" },"</f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3636</v>
      </c>
      <c r="C168" t="s">
        <v>2865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2753</v>
      </c>
      <c r="J168" t="str">
        <f>"{ name: "&amp;CHAR(34)&amp;B168&amp;CHAR(34)&amp;", landmark: "&amp;CHAR(34)&amp;IF(LEN(C168)=LEN(SUBSTITUTE(C168,"Transport","")),"Korok x1","Korok x2")&amp;CHAR(34)&amp;", type: "&amp;CHAR(34)&amp;C168&amp;CHAR(34)&amp;", region: "&amp;D168&amp;", level: "&amp;CHAR(34)&amp;E168&amp;CHAR(34)&amp;", x: "&amp;F168&amp;", y: "&amp;G168&amp;", z: "&amp;H168&amp;", details: "&amp;CHAR(34)&amp;I168&amp;CHAR(34)&amp;" },"</f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3637</v>
      </c>
      <c r="C169" t="s">
        <v>2875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>"{ name: "&amp;CHAR(34)&amp;B169&amp;CHAR(34)&amp;", landmark: "&amp;CHAR(34)&amp;IF(LEN(C169)=LEN(SUBSTITUTE(C169,"Transport","")),"Korok x1","Korok x2")&amp;CHAR(34)&amp;", type: "&amp;CHAR(34)&amp;C169&amp;CHAR(34)&amp;", region: "&amp;D169&amp;", level: "&amp;CHAR(34)&amp;E169&amp;CHAR(34)&amp;", x: "&amp;F169&amp;", y: "&amp;G169&amp;", z: "&amp;H169&amp;", details: "&amp;CHAR(34)&amp;I169&amp;CHAR(34)&amp;" },"</f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3639</v>
      </c>
      <c r="C170" t="s">
        <v>2877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>"{ name: "&amp;CHAR(34)&amp;B170&amp;CHAR(34)&amp;", landmark: "&amp;CHAR(34)&amp;IF(LEN(C170)=LEN(SUBSTITUTE(C170,"Transport","")),"Korok x1","Korok x2")&amp;CHAR(34)&amp;", type: "&amp;CHAR(34)&amp;C170&amp;CHAR(34)&amp;", region: "&amp;D170&amp;", level: "&amp;CHAR(34)&amp;E170&amp;CHAR(34)&amp;", x: "&amp;F170&amp;", y: "&amp;G170&amp;", z: "&amp;H170&amp;", details: "&amp;CHAR(34)&amp;I170&amp;CHAR(34)&amp;" },"</f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3644</v>
      </c>
      <c r="C171" t="s">
        <v>2875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>"{ name: "&amp;CHAR(34)&amp;B171&amp;CHAR(34)&amp;", landmark: "&amp;CHAR(34)&amp;IF(LEN(C171)=LEN(SUBSTITUTE(C171,"Transport","")),"Korok x1","Korok x2")&amp;CHAR(34)&amp;", type: "&amp;CHAR(34)&amp;C171&amp;CHAR(34)&amp;", region: "&amp;D171&amp;", level: "&amp;CHAR(34)&amp;E171&amp;CHAR(34)&amp;", x: "&amp;F171&amp;", y: "&amp;G171&amp;", z: "&amp;H171&amp;", details: "&amp;CHAR(34)&amp;I171&amp;CHAR(34)&amp;" },"</f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3666</v>
      </c>
      <c r="C172" t="s">
        <v>2864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>"{ name: "&amp;CHAR(34)&amp;B172&amp;CHAR(34)&amp;", landmark: "&amp;CHAR(34)&amp;IF(LEN(C172)=LEN(SUBSTITUTE(C172,"Transport","")),"Korok x1","Korok x2")&amp;CHAR(34)&amp;", type: "&amp;CHAR(34)&amp;C172&amp;CHAR(34)&amp;", region: "&amp;D172&amp;", level: "&amp;CHAR(34)&amp;E172&amp;CHAR(34)&amp;", x: "&amp;F172&amp;", y: "&amp;G172&amp;", z: "&amp;H172&amp;", details: "&amp;CHAR(34)&amp;I172&amp;CHAR(34)&amp;" },"</f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3698</v>
      </c>
      <c r="C173" t="s">
        <v>2874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2844</v>
      </c>
      <c r="J173" t="str">
        <f>"{ name: "&amp;CHAR(34)&amp;B173&amp;CHAR(34)&amp;", landmark: "&amp;CHAR(34)&amp;IF(LEN(C173)=LEN(SUBSTITUTE(C173,"Transport","")),"Korok x1","Korok x2")&amp;CHAR(34)&amp;", type: "&amp;CHAR(34)&amp;C173&amp;CHAR(34)&amp;", region: "&amp;D173&amp;", level: "&amp;CHAR(34)&amp;E173&amp;CHAR(34)&amp;", x: "&amp;F173&amp;", y: "&amp;G173&amp;", z: "&amp;H173&amp;", details: "&amp;CHAR(34)&amp;I173&amp;CHAR(34)&amp;" },"</f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3723</v>
      </c>
      <c r="C174" t="s">
        <v>2890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2799</v>
      </c>
      <c r="J174" t="str">
        <f>"{ name: "&amp;CHAR(34)&amp;B174&amp;CHAR(34)&amp;", landmark: "&amp;CHAR(34)&amp;IF(LEN(C174)=LEN(SUBSTITUTE(C174,"Transport","")),"Korok x1","Korok x2")&amp;CHAR(34)&amp;", type: "&amp;CHAR(34)&amp;C174&amp;CHAR(34)&amp;", region: "&amp;D174&amp;", level: "&amp;CHAR(34)&amp;E174&amp;CHAR(34)&amp;", x: "&amp;F174&amp;", y: "&amp;G174&amp;", z: "&amp;H174&amp;", details: "&amp;CHAR(34)&amp;I174&amp;CHAR(34)&amp;" },"</f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3724</v>
      </c>
      <c r="C175" t="s">
        <v>2869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>"{ name: "&amp;CHAR(34)&amp;B175&amp;CHAR(34)&amp;", landmark: "&amp;CHAR(34)&amp;IF(LEN(C175)=LEN(SUBSTITUTE(C175,"Transport","")),"Korok x1","Korok x2")&amp;CHAR(34)&amp;", type: "&amp;CHAR(34)&amp;C175&amp;CHAR(34)&amp;", region: "&amp;D175&amp;", level: "&amp;CHAR(34)&amp;E175&amp;CHAR(34)&amp;", x: "&amp;F175&amp;", y: "&amp;G175&amp;", z: "&amp;H175&amp;", details: "&amp;CHAR(34)&amp;I175&amp;CHAR(34)&amp;" },"</f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3725</v>
      </c>
      <c r="C176" t="s">
        <v>2864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>"{ name: "&amp;CHAR(34)&amp;B176&amp;CHAR(34)&amp;", landmark: "&amp;CHAR(34)&amp;IF(LEN(C176)=LEN(SUBSTITUTE(C176,"Transport","")),"Korok x1","Korok x2")&amp;CHAR(34)&amp;", type: "&amp;CHAR(34)&amp;C176&amp;CHAR(34)&amp;", region: "&amp;D176&amp;", level: "&amp;CHAR(34)&amp;E176&amp;CHAR(34)&amp;", x: "&amp;F176&amp;", y: "&amp;G176&amp;", z: "&amp;H176&amp;", details: "&amp;CHAR(34)&amp;I176&amp;CHAR(34)&amp;" },"</f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3726</v>
      </c>
      <c r="C177" t="s">
        <v>2888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>"{ name: "&amp;CHAR(34)&amp;B177&amp;CHAR(34)&amp;", landmark: "&amp;CHAR(34)&amp;IF(LEN(C177)=LEN(SUBSTITUTE(C177,"Transport","")),"Korok x1","Korok x2")&amp;CHAR(34)&amp;", type: "&amp;CHAR(34)&amp;C177&amp;CHAR(34)&amp;", region: "&amp;D177&amp;", level: "&amp;CHAR(34)&amp;E177&amp;CHAR(34)&amp;", x: "&amp;F177&amp;", y: "&amp;G177&amp;", z: "&amp;H177&amp;", details: "&amp;CHAR(34)&amp;I177&amp;CHAR(34)&amp;" },"</f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3727</v>
      </c>
      <c r="C178" t="s">
        <v>2889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>"{ name: "&amp;CHAR(34)&amp;B178&amp;CHAR(34)&amp;", landmark: "&amp;CHAR(34)&amp;IF(LEN(C178)=LEN(SUBSTITUTE(C178,"Transport","")),"Korok x1","Korok x2")&amp;CHAR(34)&amp;", type: "&amp;CHAR(34)&amp;C178&amp;CHAR(34)&amp;", region: "&amp;D178&amp;", level: "&amp;CHAR(34)&amp;E178&amp;CHAR(34)&amp;", x: "&amp;F178&amp;", y: "&amp;G178&amp;", z: "&amp;H178&amp;", details: "&amp;CHAR(34)&amp;I178&amp;CHAR(34)&amp;" },"</f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3738</v>
      </c>
      <c r="C179" t="s">
        <v>2888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>"{ name: "&amp;CHAR(34)&amp;B179&amp;CHAR(34)&amp;", landmark: "&amp;CHAR(34)&amp;IF(LEN(C179)=LEN(SUBSTITUTE(C179,"Transport","")),"Korok x1","Korok x2")&amp;CHAR(34)&amp;", type: "&amp;CHAR(34)&amp;C179&amp;CHAR(34)&amp;", region: "&amp;D179&amp;", level: "&amp;CHAR(34)&amp;E179&amp;CHAR(34)&amp;", x: "&amp;F179&amp;", y: "&amp;G179&amp;", z: "&amp;H179&amp;", details: "&amp;CHAR(34)&amp;I179&amp;CHAR(34)&amp;" },"</f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3739</v>
      </c>
      <c r="C180" t="s">
        <v>2887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>"{ name: "&amp;CHAR(34)&amp;B180&amp;CHAR(34)&amp;", landmark: "&amp;CHAR(34)&amp;IF(LEN(C180)=LEN(SUBSTITUTE(C180,"Transport","")),"Korok x1","Korok x2")&amp;CHAR(34)&amp;", type: "&amp;CHAR(34)&amp;C180&amp;CHAR(34)&amp;", region: "&amp;D180&amp;", level: "&amp;CHAR(34)&amp;E180&amp;CHAR(34)&amp;", x: "&amp;F180&amp;", y: "&amp;G180&amp;", z: "&amp;H180&amp;", details: "&amp;CHAR(34)&amp;I180&amp;CHAR(34)&amp;" },"</f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3740</v>
      </c>
      <c r="C181" t="s">
        <v>2865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2699</v>
      </c>
      <c r="J181" t="str">
        <f>"{ name: "&amp;CHAR(34)&amp;B181&amp;CHAR(34)&amp;", landmark: "&amp;CHAR(34)&amp;IF(LEN(C181)=LEN(SUBSTITUTE(C181,"Transport","")),"Korok x1","Korok x2")&amp;CHAR(34)&amp;", type: "&amp;CHAR(34)&amp;C181&amp;CHAR(34)&amp;", region: "&amp;D181&amp;", level: "&amp;CHAR(34)&amp;E181&amp;CHAR(34)&amp;", x: "&amp;F181&amp;", y: "&amp;G181&amp;", z: "&amp;H181&amp;", details: "&amp;CHAR(34)&amp;I181&amp;CHAR(34)&amp;" },"</f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3773</v>
      </c>
      <c r="C182" t="s">
        <v>2865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2675</v>
      </c>
      <c r="J182" t="str">
        <f>"{ name: "&amp;CHAR(34)&amp;B182&amp;CHAR(34)&amp;", landmark: "&amp;CHAR(34)&amp;IF(LEN(C182)=LEN(SUBSTITUTE(C182,"Transport","")),"Korok x1","Korok x2")&amp;CHAR(34)&amp;", type: "&amp;CHAR(34)&amp;C182&amp;CHAR(34)&amp;", region: "&amp;D182&amp;", level: "&amp;CHAR(34)&amp;E182&amp;CHAR(34)&amp;", x: "&amp;F182&amp;", y: "&amp;G182&amp;", z: "&amp;H182&amp;", details: "&amp;CHAR(34)&amp;I182&amp;CHAR(34)&amp;" },"</f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3791</v>
      </c>
      <c r="C183" t="s">
        <v>2872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>"{ name: "&amp;CHAR(34)&amp;B183&amp;CHAR(34)&amp;", landmark: "&amp;CHAR(34)&amp;IF(LEN(C183)=LEN(SUBSTITUTE(C183,"Transport","")),"Korok x1","Korok x2")&amp;CHAR(34)&amp;", type: "&amp;CHAR(34)&amp;C183&amp;CHAR(34)&amp;", region: "&amp;D183&amp;", level: "&amp;CHAR(34)&amp;E183&amp;CHAR(34)&amp;", x: "&amp;F183&amp;", y: "&amp;G183&amp;", z: "&amp;H183&amp;", details: "&amp;CHAR(34)&amp;I183&amp;CHAR(34)&amp;" },"</f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3792</v>
      </c>
      <c r="C184" t="s">
        <v>2871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>"{ name: "&amp;CHAR(34)&amp;B184&amp;CHAR(34)&amp;", landmark: "&amp;CHAR(34)&amp;IF(LEN(C184)=LEN(SUBSTITUTE(C184,"Transport","")),"Korok x1","Korok x2")&amp;CHAR(34)&amp;", type: "&amp;CHAR(34)&amp;C184&amp;CHAR(34)&amp;", region: "&amp;D184&amp;", level: "&amp;CHAR(34)&amp;E184&amp;CHAR(34)&amp;", x: "&amp;F184&amp;", y: "&amp;G184&amp;", z: "&amp;H184&amp;", details: "&amp;CHAR(34)&amp;I184&amp;CHAR(34)&amp;" },"</f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3805</v>
      </c>
      <c r="C185" t="s">
        <v>2889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>"{ name: "&amp;CHAR(34)&amp;B185&amp;CHAR(34)&amp;", landmark: "&amp;CHAR(34)&amp;IF(LEN(C185)=LEN(SUBSTITUTE(C185,"Transport","")),"Korok x1","Korok x2")&amp;CHAR(34)&amp;", type: "&amp;CHAR(34)&amp;C185&amp;CHAR(34)&amp;", region: "&amp;D185&amp;", level: "&amp;CHAR(34)&amp;E185&amp;CHAR(34)&amp;", x: "&amp;F185&amp;", y: "&amp;G185&amp;", z: "&amp;H185&amp;", details: "&amp;CHAR(34)&amp;I185&amp;CHAR(34)&amp;" },"</f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3806</v>
      </c>
      <c r="C186" t="s">
        <v>2865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2750</v>
      </c>
      <c r="J186" t="str">
        <f>"{ name: "&amp;CHAR(34)&amp;B186&amp;CHAR(34)&amp;", landmark: "&amp;CHAR(34)&amp;IF(LEN(C186)=LEN(SUBSTITUTE(C186,"Transport","")),"Korok x1","Korok x2")&amp;CHAR(34)&amp;", type: "&amp;CHAR(34)&amp;C186&amp;CHAR(34)&amp;", region: "&amp;D186&amp;", level: "&amp;CHAR(34)&amp;E186&amp;CHAR(34)&amp;", x: "&amp;F186&amp;", y: "&amp;G186&amp;", z: "&amp;H186&amp;", details: "&amp;CHAR(34)&amp;I186&amp;CHAR(34)&amp;" },"</f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3820</v>
      </c>
      <c r="C187" t="s">
        <v>2875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>"{ name: "&amp;CHAR(34)&amp;B187&amp;CHAR(34)&amp;", landmark: "&amp;CHAR(34)&amp;IF(LEN(C187)=LEN(SUBSTITUTE(C187,"Transport","")),"Korok x1","Korok x2")&amp;CHAR(34)&amp;", type: "&amp;CHAR(34)&amp;C187&amp;CHAR(34)&amp;", region: "&amp;D187&amp;", level: "&amp;CHAR(34)&amp;E187&amp;CHAR(34)&amp;", x: "&amp;F187&amp;", y: "&amp;G187&amp;", z: "&amp;H187&amp;", details: "&amp;CHAR(34)&amp;I187&amp;CHAR(34)&amp;" },"</f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3821</v>
      </c>
      <c r="C188" t="s">
        <v>2878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>"{ name: "&amp;CHAR(34)&amp;B188&amp;CHAR(34)&amp;", landmark: "&amp;CHAR(34)&amp;IF(LEN(C188)=LEN(SUBSTITUTE(C188,"Transport","")),"Korok x1","Korok x2")&amp;CHAR(34)&amp;", type: "&amp;CHAR(34)&amp;C188&amp;CHAR(34)&amp;", region: "&amp;D188&amp;", level: "&amp;CHAR(34)&amp;E188&amp;CHAR(34)&amp;", x: "&amp;F188&amp;", y: "&amp;G188&amp;", z: "&amp;H188&amp;", details: "&amp;CHAR(34)&amp;I188&amp;CHAR(34)&amp;" },"</f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3830</v>
      </c>
      <c r="C189" t="s">
        <v>2874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2847</v>
      </c>
      <c r="J189" t="str">
        <f>"{ name: "&amp;CHAR(34)&amp;B189&amp;CHAR(34)&amp;", landmark: "&amp;CHAR(34)&amp;IF(LEN(C189)=LEN(SUBSTITUTE(C189,"Transport","")),"Korok x1","Korok x2")&amp;CHAR(34)&amp;", type: "&amp;CHAR(34)&amp;C189&amp;CHAR(34)&amp;", region: "&amp;D189&amp;", level: "&amp;CHAR(34)&amp;E189&amp;CHAR(34)&amp;", x: "&amp;F189&amp;", y: "&amp;G189&amp;", z: "&amp;H189&amp;", details: "&amp;CHAR(34)&amp;I189&amp;CHAR(34)&amp;" },"</f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3834</v>
      </c>
      <c r="C190" t="s">
        <v>2880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2679</v>
      </c>
      <c r="J190" t="str">
        <f>"{ name: "&amp;CHAR(34)&amp;B190&amp;CHAR(34)&amp;", landmark: "&amp;CHAR(34)&amp;IF(LEN(C190)=LEN(SUBSTITUTE(C190,"Transport","")),"Korok x1","Korok x2")&amp;CHAR(34)&amp;", type: "&amp;CHAR(34)&amp;C190&amp;CHAR(34)&amp;", region: "&amp;D190&amp;", level: "&amp;CHAR(34)&amp;E190&amp;CHAR(34)&amp;", x: "&amp;F190&amp;", y: "&amp;G190&amp;", z: "&amp;H190&amp;", details: "&amp;CHAR(34)&amp;I190&amp;CHAR(34)&amp;" },"</f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3878</v>
      </c>
      <c r="C191" t="s">
        <v>2887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>"{ name: "&amp;CHAR(34)&amp;B191&amp;CHAR(34)&amp;", landmark: "&amp;CHAR(34)&amp;IF(LEN(C191)=LEN(SUBSTITUTE(C191,"Transport","")),"Korok x1","Korok x2")&amp;CHAR(34)&amp;", type: "&amp;CHAR(34)&amp;C191&amp;CHAR(34)&amp;", region: "&amp;D191&amp;", level: "&amp;CHAR(34)&amp;E191&amp;CHAR(34)&amp;", x: "&amp;F191&amp;", y: "&amp;G191&amp;", z: "&amp;H191&amp;", details: "&amp;CHAR(34)&amp;I191&amp;CHAR(34)&amp;" },"</f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3879</v>
      </c>
      <c r="C192" t="s">
        <v>2889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>"{ name: "&amp;CHAR(34)&amp;B192&amp;CHAR(34)&amp;", landmark: "&amp;CHAR(34)&amp;IF(LEN(C192)=LEN(SUBSTITUTE(C192,"Transport","")),"Korok x1","Korok x2")&amp;CHAR(34)&amp;", type: "&amp;CHAR(34)&amp;C192&amp;CHAR(34)&amp;", region: "&amp;D192&amp;", level: "&amp;CHAR(34)&amp;E192&amp;CHAR(34)&amp;", x: "&amp;F192&amp;", y: "&amp;G192&amp;", z: "&amp;H192&amp;", details: "&amp;CHAR(34)&amp;I192&amp;CHAR(34)&amp;" },"</f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3880</v>
      </c>
      <c r="C193" t="s">
        <v>2658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>"{ name: "&amp;CHAR(34)&amp;B193&amp;CHAR(34)&amp;", landmark: "&amp;CHAR(34)&amp;IF(LEN(C193)=LEN(SUBSTITUTE(C193,"Transport","")),"Korok x1","Korok x2")&amp;CHAR(34)&amp;", type: "&amp;CHAR(34)&amp;C193&amp;CHAR(34)&amp;", region: "&amp;D193&amp;", level: "&amp;CHAR(34)&amp;E193&amp;CHAR(34)&amp;", x: "&amp;F193&amp;", y: "&amp;G193&amp;", z: "&amp;H193&amp;", details: "&amp;CHAR(34)&amp;I193&amp;CHAR(34)&amp;" },"</f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3881</v>
      </c>
      <c r="C194" t="s">
        <v>2867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3882</v>
      </c>
      <c r="C195" t="s">
        <v>2885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>"{ name: "&amp;CHAR(34)&amp;B195&amp;CHAR(34)&amp;", landmark: "&amp;CHAR(34)&amp;IF(LEN(C195)=LEN(SUBSTITUTE(C195,"Transport","")),"Korok x1","Korok x2")&amp;CHAR(34)&amp;", type: "&amp;CHAR(34)&amp;C195&amp;CHAR(34)&amp;", region: "&amp;D195&amp;", level: "&amp;CHAR(34)&amp;E195&amp;CHAR(34)&amp;", x: "&amp;F195&amp;", y: "&amp;G195&amp;", z: "&amp;H195&amp;", details: "&amp;CHAR(34)&amp;I195&amp;CHAR(34)&amp;" },"</f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3902</v>
      </c>
      <c r="C196" t="s">
        <v>2877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>"{ name: "&amp;CHAR(34)&amp;B196&amp;CHAR(34)&amp;", landmark: "&amp;CHAR(34)&amp;IF(LEN(C196)=LEN(SUBSTITUTE(C196,"Transport","")),"Korok x1","Korok x2")&amp;CHAR(34)&amp;", type: "&amp;CHAR(34)&amp;C196&amp;CHAR(34)&amp;", region: "&amp;D196&amp;", level: "&amp;CHAR(34)&amp;E196&amp;CHAR(34)&amp;", x: "&amp;F196&amp;", y: "&amp;G196&amp;", z: "&amp;H196&amp;", details: "&amp;CHAR(34)&amp;I196&amp;CHAR(34)&amp;" },"</f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3903</v>
      </c>
      <c r="C197" t="s">
        <v>2890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2845</v>
      </c>
      <c r="J197" t="str">
        <f>"{ name: "&amp;CHAR(34)&amp;B197&amp;CHAR(34)&amp;", landmark: "&amp;CHAR(34)&amp;IF(LEN(C197)=LEN(SUBSTITUTE(C197,"Transport","")),"Korok x1","Korok x2")&amp;CHAR(34)&amp;", type: "&amp;CHAR(34)&amp;C197&amp;CHAR(34)&amp;", region: "&amp;D197&amp;", level: "&amp;CHAR(34)&amp;E197&amp;CHAR(34)&amp;", x: "&amp;F197&amp;", y: "&amp;G197&amp;", z: "&amp;H197&amp;", details: "&amp;CHAR(34)&amp;I197&amp;CHAR(34)&amp;" },"</f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3911</v>
      </c>
      <c r="C198" t="s">
        <v>2864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>"{ name: "&amp;CHAR(34)&amp;B198&amp;CHAR(34)&amp;", landmark: "&amp;CHAR(34)&amp;IF(LEN(C198)=LEN(SUBSTITUTE(C198,"Transport","")),"Korok x1","Korok x2")&amp;CHAR(34)&amp;", type: "&amp;CHAR(34)&amp;C198&amp;CHAR(34)&amp;", region: "&amp;D198&amp;", level: "&amp;CHAR(34)&amp;E198&amp;CHAR(34)&amp;", x: "&amp;F198&amp;", y: "&amp;G198&amp;", z: "&amp;H198&amp;", details: "&amp;CHAR(34)&amp;I198&amp;CHAR(34)&amp;" },"</f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3952</v>
      </c>
      <c r="C199" t="s">
        <v>2886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>"{ name: "&amp;CHAR(34)&amp;B199&amp;CHAR(34)&amp;", landmark: "&amp;CHAR(34)&amp;IF(LEN(C199)=LEN(SUBSTITUTE(C199,"Transport","")),"Korok x1","Korok x2")&amp;CHAR(34)&amp;", type: "&amp;CHAR(34)&amp;C199&amp;CHAR(34)&amp;", region: "&amp;D199&amp;", level: "&amp;CHAR(34)&amp;E199&amp;CHAR(34)&amp;", x: "&amp;F199&amp;", y: "&amp;G199&amp;", z: "&amp;H199&amp;", details: "&amp;CHAR(34)&amp;I199&amp;CHAR(34)&amp;" },"</f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3978</v>
      </c>
      <c r="C200" t="s">
        <v>2867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>"{ name: "&amp;CHAR(34)&amp;B200&amp;CHAR(34)&amp;", landmark: "&amp;CHAR(34)&amp;IF(LEN(C200)=LEN(SUBSTITUTE(C200,"Transport","")),"Korok x1","Korok x2")&amp;CHAR(34)&amp;", type: "&amp;CHAR(34)&amp;C200&amp;CHAR(34)&amp;", region: "&amp;D200&amp;", level: "&amp;CHAR(34)&amp;E200&amp;CHAR(34)&amp;", x: "&amp;F200&amp;", y: "&amp;G200&amp;", z: "&amp;H200&amp;", details: "&amp;CHAR(34)&amp;I200&amp;CHAR(34)&amp;" },"</f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3979</v>
      </c>
      <c r="C201" t="s">
        <v>2886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>"{ name: "&amp;CHAR(34)&amp;B201&amp;CHAR(34)&amp;", landmark: "&amp;CHAR(34)&amp;IF(LEN(C201)=LEN(SUBSTITUTE(C201,"Transport","")),"Korok x1","Korok x2")&amp;CHAR(34)&amp;", type: "&amp;CHAR(34)&amp;C201&amp;CHAR(34)&amp;", region: "&amp;D201&amp;", level: "&amp;CHAR(34)&amp;E201&amp;CHAR(34)&amp;", x: "&amp;F201&amp;", y: "&amp;G201&amp;", z: "&amp;H201&amp;", details: "&amp;CHAR(34)&amp;I201&amp;CHAR(34)&amp;" },"</f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4026</v>
      </c>
      <c r="C202" t="s">
        <v>2879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>"{ name: "&amp;CHAR(34)&amp;B202&amp;CHAR(34)&amp;", landmark: "&amp;CHAR(34)&amp;IF(LEN(C202)=LEN(SUBSTITUTE(C202,"Transport","")),"Korok x1","Korok x2")&amp;CHAR(34)&amp;", type: "&amp;CHAR(34)&amp;C202&amp;CHAR(34)&amp;", region: "&amp;D202&amp;", level: "&amp;CHAR(34)&amp;E202&amp;CHAR(34)&amp;", x: "&amp;F202&amp;", y: "&amp;G202&amp;", z: "&amp;H202&amp;", details: "&amp;CHAR(34)&amp;I202&amp;CHAR(34)&amp;" },"</f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4027</v>
      </c>
      <c r="C203" t="s">
        <v>2870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>"{ name: "&amp;CHAR(34)&amp;B203&amp;CHAR(34)&amp;", landmark: "&amp;CHAR(34)&amp;IF(LEN(C203)=LEN(SUBSTITUTE(C203,"Transport","")),"Korok x1","Korok x2")&amp;CHAR(34)&amp;", type: "&amp;CHAR(34)&amp;C203&amp;CHAR(34)&amp;", region: "&amp;D203&amp;", level: "&amp;CHAR(34)&amp;E203&amp;CHAR(34)&amp;", x: "&amp;F203&amp;", y: "&amp;G203&amp;", z: "&amp;H203&amp;", details: "&amp;CHAR(34)&amp;I203&amp;CHAR(34)&amp;" },"</f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4028</v>
      </c>
      <c r="C204" t="s">
        <v>2875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>"{ name: "&amp;CHAR(34)&amp;B204&amp;CHAR(34)&amp;", landmark: "&amp;CHAR(34)&amp;IF(LEN(C204)=LEN(SUBSTITUTE(C204,"Transport","")),"Korok x1","Korok x2")&amp;CHAR(34)&amp;", type: "&amp;CHAR(34)&amp;C204&amp;CHAR(34)&amp;", region: "&amp;D204&amp;", level: "&amp;CHAR(34)&amp;E204&amp;CHAR(34)&amp;", x: "&amp;F204&amp;", y: "&amp;G204&amp;", z: "&amp;H204&amp;", details: "&amp;CHAR(34)&amp;I204&amp;CHAR(34)&amp;" },"</f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4033</v>
      </c>
      <c r="C205" t="s">
        <v>2874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2821</v>
      </c>
      <c r="J205" t="str">
        <f>"{ name: "&amp;CHAR(34)&amp;B205&amp;CHAR(34)&amp;", landmark: "&amp;CHAR(34)&amp;IF(LEN(C205)=LEN(SUBSTITUTE(C205,"Transport","")),"Korok x1","Korok x2")&amp;CHAR(34)&amp;", type: "&amp;CHAR(34)&amp;C205&amp;CHAR(34)&amp;", region: "&amp;D205&amp;", level: "&amp;CHAR(34)&amp;E205&amp;CHAR(34)&amp;", x: "&amp;F205&amp;", y: "&amp;G205&amp;", z: "&amp;H205&amp;", details: "&amp;CHAR(34)&amp;I205&amp;CHAR(34)&amp;" },"</f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4034</v>
      </c>
      <c r="C206" t="s">
        <v>2865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2698</v>
      </c>
      <c r="J206" t="str">
        <f>"{ name: "&amp;CHAR(34)&amp;B206&amp;CHAR(34)&amp;", landmark: "&amp;CHAR(34)&amp;IF(LEN(C206)=LEN(SUBSTITUTE(C206,"Transport","")),"Korok x1","Korok x2")&amp;CHAR(34)&amp;", type: "&amp;CHAR(34)&amp;C206&amp;CHAR(34)&amp;", region: "&amp;D206&amp;", level: "&amp;CHAR(34)&amp;E206&amp;CHAR(34)&amp;", x: "&amp;F206&amp;", y: "&amp;G206&amp;", z: "&amp;H206&amp;", details: "&amp;CHAR(34)&amp;I206&amp;CHAR(34)&amp;" },"</f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4035</v>
      </c>
      <c r="C207" t="s">
        <v>2885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>"{ name: "&amp;CHAR(34)&amp;B207&amp;CHAR(34)&amp;", landmark: "&amp;CHAR(34)&amp;IF(LEN(C207)=LEN(SUBSTITUTE(C207,"Transport","")),"Korok x1","Korok x2")&amp;CHAR(34)&amp;", type: "&amp;CHAR(34)&amp;C207&amp;CHAR(34)&amp;", region: "&amp;D207&amp;", level: "&amp;CHAR(34)&amp;E207&amp;CHAR(34)&amp;", x: "&amp;F207&amp;", y: "&amp;G207&amp;", z: "&amp;H207&amp;", details: "&amp;CHAR(34)&amp;I207&amp;CHAR(34)&amp;" },"</f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4036</v>
      </c>
      <c r="C208" t="s">
        <v>2875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>"{ name: "&amp;CHAR(34)&amp;B208&amp;CHAR(34)&amp;", landmark: "&amp;CHAR(34)&amp;IF(LEN(C208)=LEN(SUBSTITUTE(C208,"Transport","")),"Korok x1","Korok x2")&amp;CHAR(34)&amp;", type: "&amp;CHAR(34)&amp;C208&amp;CHAR(34)&amp;", region: "&amp;D208&amp;", level: "&amp;CHAR(34)&amp;E208&amp;CHAR(34)&amp;", x: "&amp;F208&amp;", y: "&amp;G208&amp;", z: "&amp;H208&amp;", details: "&amp;CHAR(34)&amp;I208&amp;CHAR(34)&amp;" },"</f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4037</v>
      </c>
      <c r="C209" t="s">
        <v>2864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>"{ name: "&amp;CHAR(34)&amp;B209&amp;CHAR(34)&amp;", landmark: "&amp;CHAR(34)&amp;IF(LEN(C209)=LEN(SUBSTITUTE(C209,"Transport","")),"Korok x1","Korok x2")&amp;CHAR(34)&amp;", type: "&amp;CHAR(34)&amp;C209&amp;CHAR(34)&amp;", region: "&amp;D209&amp;", level: "&amp;CHAR(34)&amp;E209&amp;CHAR(34)&amp;", x: "&amp;F209&amp;", y: "&amp;G209&amp;", z: "&amp;H209&amp;", details: "&amp;CHAR(34)&amp;I209&amp;CHAR(34)&amp;" },"</f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4038</v>
      </c>
      <c r="C210" t="s">
        <v>2888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>"{ name: "&amp;CHAR(34)&amp;B210&amp;CHAR(34)&amp;", landmark: "&amp;CHAR(34)&amp;IF(LEN(C210)=LEN(SUBSTITUTE(C210,"Transport","")),"Korok x1","Korok x2")&amp;CHAR(34)&amp;", type: "&amp;CHAR(34)&amp;C210&amp;CHAR(34)&amp;", region: "&amp;D210&amp;", level: "&amp;CHAR(34)&amp;E210&amp;CHAR(34)&amp;", x: "&amp;F210&amp;", y: "&amp;G210&amp;", z: "&amp;H210&amp;", details: "&amp;CHAR(34)&amp;I210&amp;CHAR(34)&amp;" },"</f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4042</v>
      </c>
      <c r="C211" t="s">
        <v>2890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2798</v>
      </c>
      <c r="J211" t="str">
        <f>"{ name: "&amp;CHAR(34)&amp;B211&amp;CHAR(34)&amp;", landmark: "&amp;CHAR(34)&amp;IF(LEN(C211)=LEN(SUBSTITUTE(C211,"Transport","")),"Korok x1","Korok x2")&amp;CHAR(34)&amp;", type: "&amp;CHAR(34)&amp;C211&amp;CHAR(34)&amp;", region: "&amp;D211&amp;", level: "&amp;CHAR(34)&amp;E211&amp;CHAR(34)&amp;", x: "&amp;F211&amp;", y: "&amp;G211&amp;", z: "&amp;H211&amp;", details: "&amp;CHAR(34)&amp;I211&amp;CHAR(34)&amp;" },"</f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4043</v>
      </c>
      <c r="C212" t="s">
        <v>2864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>"{ name: "&amp;CHAR(34)&amp;B212&amp;CHAR(34)&amp;", landmark: "&amp;CHAR(34)&amp;IF(LEN(C212)=LEN(SUBSTITUTE(C212,"Transport","")),"Korok x1","Korok x2")&amp;CHAR(34)&amp;", type: "&amp;CHAR(34)&amp;C212&amp;CHAR(34)&amp;", region: "&amp;D212&amp;", level: "&amp;CHAR(34)&amp;E212&amp;CHAR(34)&amp;", x: "&amp;F212&amp;", y: "&amp;G212&amp;", z: "&amp;H212&amp;", details: "&amp;CHAR(34)&amp;I212&amp;CHAR(34)&amp;" },"</f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4052</v>
      </c>
      <c r="C213" t="s">
        <v>2870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>"{ name: "&amp;CHAR(34)&amp;B213&amp;CHAR(34)&amp;", landmark: "&amp;CHAR(34)&amp;IF(LEN(C213)=LEN(SUBSTITUTE(C213,"Transport","")),"Korok x1","Korok x2")&amp;CHAR(34)&amp;", type: "&amp;CHAR(34)&amp;C213&amp;CHAR(34)&amp;", region: "&amp;D213&amp;", level: "&amp;CHAR(34)&amp;E213&amp;CHAR(34)&amp;", x: "&amp;F213&amp;", y: "&amp;G213&amp;", z: "&amp;H213&amp;", details: "&amp;CHAR(34)&amp;I213&amp;CHAR(34)&amp;" },"</f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4053</v>
      </c>
      <c r="C214" t="s">
        <v>2875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>"{ name: "&amp;CHAR(34)&amp;B214&amp;CHAR(34)&amp;", landmark: "&amp;CHAR(34)&amp;IF(LEN(C214)=LEN(SUBSTITUTE(C214,"Transport","")),"Korok x1","Korok x2")&amp;CHAR(34)&amp;", type: "&amp;CHAR(34)&amp;C214&amp;CHAR(34)&amp;", region: "&amp;D214&amp;", level: "&amp;CHAR(34)&amp;E214&amp;CHAR(34)&amp;", x: "&amp;F214&amp;", y: "&amp;G214&amp;", z: "&amp;H214&amp;", details: "&amp;CHAR(34)&amp;I214&amp;CHAR(34)&amp;" },"</f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4054</v>
      </c>
      <c r="C215" t="s">
        <v>2875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>"{ name: "&amp;CHAR(34)&amp;B215&amp;CHAR(34)&amp;", landmark: "&amp;CHAR(34)&amp;IF(LEN(C215)=LEN(SUBSTITUTE(C215,"Transport","")),"Korok x1","Korok x2")&amp;CHAR(34)&amp;", type: "&amp;CHAR(34)&amp;C215&amp;CHAR(34)&amp;", region: "&amp;D215&amp;", level: "&amp;CHAR(34)&amp;E215&amp;CHAR(34)&amp;", x: "&amp;F215&amp;", y: "&amp;G215&amp;", z: "&amp;H215&amp;", details: "&amp;CHAR(34)&amp;I215&amp;CHAR(34)&amp;" },"</f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4055</v>
      </c>
      <c r="C216" t="s">
        <v>2880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2752</v>
      </c>
      <c r="J216" t="str">
        <f>"{ name: "&amp;CHAR(34)&amp;B216&amp;CHAR(34)&amp;", landmark: "&amp;CHAR(34)&amp;IF(LEN(C216)=LEN(SUBSTITUTE(C216,"Transport","")),"Korok x1","Korok x2")&amp;CHAR(34)&amp;", type: "&amp;CHAR(34)&amp;C216&amp;CHAR(34)&amp;", region: "&amp;D216&amp;", level: "&amp;CHAR(34)&amp;E216&amp;CHAR(34)&amp;", x: "&amp;F216&amp;", y: "&amp;G216&amp;", z: "&amp;H216&amp;", details: "&amp;CHAR(34)&amp;I216&amp;CHAR(34)&amp;" },"</f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4078</v>
      </c>
      <c r="C217" t="s">
        <v>2867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>"{ name: "&amp;CHAR(34)&amp;B217&amp;CHAR(34)&amp;", landmark: "&amp;CHAR(34)&amp;IF(LEN(C217)=LEN(SUBSTITUTE(C217,"Transport","")),"Korok x1","Korok x2")&amp;CHAR(34)&amp;", type: "&amp;CHAR(34)&amp;C217&amp;CHAR(34)&amp;", region: "&amp;D217&amp;", level: "&amp;CHAR(34)&amp;E217&amp;CHAR(34)&amp;", x: "&amp;F217&amp;", y: "&amp;G217&amp;", z: "&amp;H217&amp;", details: "&amp;CHAR(34)&amp;I217&amp;CHAR(34)&amp;" },"</f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4110</v>
      </c>
      <c r="C218" t="s">
        <v>2880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2697</v>
      </c>
      <c r="J218" t="str">
        <f>"{ name: "&amp;CHAR(34)&amp;B218&amp;CHAR(34)&amp;", landmark: "&amp;CHAR(34)&amp;IF(LEN(C218)=LEN(SUBSTITUTE(C218,"Transport","")),"Korok x1","Korok x2")&amp;CHAR(34)&amp;", type: "&amp;CHAR(34)&amp;C218&amp;CHAR(34)&amp;", region: "&amp;D218&amp;", level: "&amp;CHAR(34)&amp;E218&amp;CHAR(34)&amp;", x: "&amp;F218&amp;", y: "&amp;G218&amp;", z: "&amp;H218&amp;", details: "&amp;CHAR(34)&amp;I218&amp;CHAR(34)&amp;" },"</f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4111</v>
      </c>
      <c r="C219" t="s">
        <v>2870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>"{ name: "&amp;CHAR(34)&amp;B219&amp;CHAR(34)&amp;", landmark: "&amp;CHAR(34)&amp;IF(LEN(C219)=LEN(SUBSTITUTE(C219,"Transport","")),"Korok x1","Korok x2")&amp;CHAR(34)&amp;", type: "&amp;CHAR(34)&amp;C219&amp;CHAR(34)&amp;", region: "&amp;D219&amp;", level: "&amp;CHAR(34)&amp;E219&amp;CHAR(34)&amp;", x: "&amp;F219&amp;", y: "&amp;G219&amp;", z: "&amp;H219&amp;", details: "&amp;CHAR(34)&amp;I219&amp;CHAR(34)&amp;" },"</f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4127</v>
      </c>
      <c r="C220" t="s">
        <v>2870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>"{ name: "&amp;CHAR(34)&amp;B220&amp;CHAR(34)&amp;", landmark: "&amp;CHAR(34)&amp;IF(LEN(C220)=LEN(SUBSTITUTE(C220,"Transport","")),"Korok x1","Korok x2")&amp;CHAR(34)&amp;", type: "&amp;CHAR(34)&amp;C220&amp;CHAR(34)&amp;", region: "&amp;D220&amp;", level: "&amp;CHAR(34)&amp;E220&amp;CHAR(34)&amp;", x: "&amp;F220&amp;", y: "&amp;G220&amp;", z: "&amp;H220&amp;", details: "&amp;CHAR(34)&amp;I220&amp;CHAR(34)&amp;" },"</f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4138</v>
      </c>
      <c r="C221" t="s">
        <v>2888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>"{ name: "&amp;CHAR(34)&amp;B221&amp;CHAR(34)&amp;", landmark: "&amp;CHAR(34)&amp;IF(LEN(C221)=LEN(SUBSTITUTE(C221,"Transport","")),"Korok x1","Korok x2")&amp;CHAR(34)&amp;", type: "&amp;CHAR(34)&amp;C221&amp;CHAR(34)&amp;", region: "&amp;D221&amp;", level: "&amp;CHAR(34)&amp;E221&amp;CHAR(34)&amp;", x: "&amp;F221&amp;", y: "&amp;G221&amp;", z: "&amp;H221&amp;", details: "&amp;CHAR(34)&amp;I221&amp;CHAR(34)&amp;" },"</f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4139</v>
      </c>
      <c r="C222" t="s">
        <v>2887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>"{ name: "&amp;CHAR(34)&amp;B222&amp;CHAR(34)&amp;", landmark: "&amp;CHAR(34)&amp;IF(LEN(C222)=LEN(SUBSTITUTE(C222,"Transport","")),"Korok x1","Korok x2")&amp;CHAR(34)&amp;", type: "&amp;CHAR(34)&amp;C222&amp;CHAR(34)&amp;", region: "&amp;D222&amp;", level: "&amp;CHAR(34)&amp;E222&amp;CHAR(34)&amp;", x: "&amp;F222&amp;", y: "&amp;G222&amp;", z: "&amp;H222&amp;", details: "&amp;CHAR(34)&amp;I222&amp;CHAR(34)&amp;" },"</f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4140</v>
      </c>
      <c r="C223" t="s">
        <v>2886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>"{ name: "&amp;CHAR(34)&amp;B223&amp;CHAR(34)&amp;", landmark: "&amp;CHAR(34)&amp;IF(LEN(C223)=LEN(SUBSTITUTE(C223,"Transport","")),"Korok x1","Korok x2")&amp;CHAR(34)&amp;", type: "&amp;CHAR(34)&amp;C223&amp;CHAR(34)&amp;", region: "&amp;D223&amp;", level: "&amp;CHAR(34)&amp;E223&amp;CHAR(34)&amp;", x: "&amp;F223&amp;", y: "&amp;G223&amp;", z: "&amp;H223&amp;", details: "&amp;CHAR(34)&amp;I223&amp;CHAR(34)&amp;" },"</f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4141</v>
      </c>
      <c r="C224" t="s">
        <v>2884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>"{ name: "&amp;CHAR(34)&amp;B224&amp;CHAR(34)&amp;", landmark: "&amp;CHAR(34)&amp;IF(LEN(C224)=LEN(SUBSTITUTE(C224,"Transport","")),"Korok x1","Korok x2")&amp;CHAR(34)&amp;", type: "&amp;CHAR(34)&amp;C224&amp;CHAR(34)&amp;", region: "&amp;D224&amp;", level: "&amp;CHAR(34)&amp;E224&amp;CHAR(34)&amp;", x: "&amp;F224&amp;", y: "&amp;G224&amp;", z: "&amp;H224&amp;", details: "&amp;CHAR(34)&amp;I224&amp;CHAR(34)&amp;" },"</f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3323</v>
      </c>
      <c r="C225" t="s">
        <v>2866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>"{ name: "&amp;CHAR(34)&amp;B225&amp;CHAR(34)&amp;", landmark: "&amp;CHAR(34)&amp;IF(LEN(C225)=LEN(SUBSTITUTE(C225,"Transport","")),"Korok x1","Korok x2")&amp;CHAR(34)&amp;", type: "&amp;CHAR(34)&amp;C225&amp;CHAR(34)&amp;", region: "&amp;D225&amp;", level: "&amp;CHAR(34)&amp;E225&amp;CHAR(34)&amp;", x: "&amp;F225&amp;", y: "&amp;G225&amp;", z: "&amp;H225&amp;", details: "&amp;CHAR(34)&amp;I225&amp;CHAR(34)&amp;" },"</f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3324</v>
      </c>
      <c r="C226" t="s">
        <v>2875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>"{ name: "&amp;CHAR(34)&amp;B226&amp;CHAR(34)&amp;", landmark: "&amp;CHAR(34)&amp;IF(LEN(C226)=LEN(SUBSTITUTE(C226,"Transport","")),"Korok x1","Korok x2")&amp;CHAR(34)&amp;", type: "&amp;CHAR(34)&amp;C226&amp;CHAR(34)&amp;", region: "&amp;D226&amp;", level: "&amp;CHAR(34)&amp;E226&amp;CHAR(34)&amp;", x: "&amp;F226&amp;", y: "&amp;G226&amp;", z: "&amp;H226&amp;", details: "&amp;CHAR(34)&amp;I226&amp;CHAR(34)&amp;" },"</f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3325</v>
      </c>
      <c r="C227" t="s">
        <v>2889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>"{ name: "&amp;CHAR(34)&amp;B227&amp;CHAR(34)&amp;", landmark: "&amp;CHAR(34)&amp;IF(LEN(C227)=LEN(SUBSTITUTE(C227,"Transport","")),"Korok x1","Korok x2")&amp;CHAR(34)&amp;", type: "&amp;CHAR(34)&amp;C227&amp;CHAR(34)&amp;", region: "&amp;D227&amp;", level: "&amp;CHAR(34)&amp;E227&amp;CHAR(34)&amp;", x: "&amp;F227&amp;", y: "&amp;G227&amp;", z: "&amp;H227&amp;", details: "&amp;CHAR(34)&amp;I227&amp;CHAR(34)&amp;" },"</f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3326</v>
      </c>
      <c r="C228" t="s">
        <v>2874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2839</v>
      </c>
      <c r="J228" t="str">
        <f>"{ name: "&amp;CHAR(34)&amp;B228&amp;CHAR(34)&amp;", landmark: "&amp;CHAR(34)&amp;IF(LEN(C228)=LEN(SUBSTITUTE(C228,"Transport","")),"Korok x1","Korok x2")&amp;CHAR(34)&amp;", type: "&amp;CHAR(34)&amp;C228&amp;CHAR(34)&amp;", region: "&amp;D228&amp;", level: "&amp;CHAR(34)&amp;E228&amp;CHAR(34)&amp;", x: "&amp;F228&amp;", y: "&amp;G228&amp;", z: "&amp;H228&amp;", details: "&amp;CHAR(34)&amp;I228&amp;CHAR(34)&amp;" },"</f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3327</v>
      </c>
      <c r="C229" t="s">
        <v>2888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>"{ name: "&amp;CHAR(34)&amp;B229&amp;CHAR(34)&amp;", landmark: "&amp;CHAR(34)&amp;IF(LEN(C229)=LEN(SUBSTITUTE(C229,"Transport","")),"Korok x1","Korok x2")&amp;CHAR(34)&amp;", type: "&amp;CHAR(34)&amp;C229&amp;CHAR(34)&amp;", region: "&amp;D229&amp;", level: "&amp;CHAR(34)&amp;E229&amp;CHAR(34)&amp;", x: "&amp;F229&amp;", y: "&amp;G229&amp;", z: "&amp;H229&amp;", details: "&amp;CHAR(34)&amp;I229&amp;CHAR(34)&amp;" },"</f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3328</v>
      </c>
      <c r="C230" t="s">
        <v>2870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>"{ name: "&amp;CHAR(34)&amp;B230&amp;CHAR(34)&amp;", landmark: "&amp;CHAR(34)&amp;IF(LEN(C230)=LEN(SUBSTITUTE(C230,"Transport","")),"Korok x1","Korok x2")&amp;CHAR(34)&amp;", type: "&amp;CHAR(34)&amp;C230&amp;CHAR(34)&amp;", region: "&amp;D230&amp;", level: "&amp;CHAR(34)&amp;E230&amp;CHAR(34)&amp;", x: "&amp;F230&amp;", y: "&amp;G230&amp;", z: "&amp;H230&amp;", details: "&amp;CHAR(34)&amp;I230&amp;CHAR(34)&amp;" },"</f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3329</v>
      </c>
      <c r="C231" t="s">
        <v>2866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>"{ name: "&amp;CHAR(34)&amp;B231&amp;CHAR(34)&amp;", landmark: "&amp;CHAR(34)&amp;IF(LEN(C231)=LEN(SUBSTITUTE(C231,"Transport","")),"Korok x1","Korok x2")&amp;CHAR(34)&amp;", type: "&amp;CHAR(34)&amp;C231&amp;CHAR(34)&amp;", region: "&amp;D231&amp;", level: "&amp;CHAR(34)&amp;E231&amp;CHAR(34)&amp;", x: "&amp;F231&amp;", y: "&amp;G231&amp;", z: "&amp;H231&amp;", details: "&amp;CHAR(34)&amp;I231&amp;CHAR(34)&amp;" },"</f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3367</v>
      </c>
      <c r="C232" t="s">
        <v>2871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>"{ name: "&amp;CHAR(34)&amp;B232&amp;CHAR(34)&amp;", landmark: "&amp;CHAR(34)&amp;IF(LEN(C232)=LEN(SUBSTITUTE(C232,"Transport","")),"Korok x1","Korok x2")&amp;CHAR(34)&amp;", type: "&amp;CHAR(34)&amp;C232&amp;CHAR(34)&amp;", region: "&amp;D232&amp;", level: "&amp;CHAR(34)&amp;E232&amp;CHAR(34)&amp;", x: "&amp;F232&amp;", y: "&amp;G232&amp;", z: "&amp;H232&amp;", details: "&amp;CHAR(34)&amp;I232&amp;CHAR(34)&amp;" },"</f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3371</v>
      </c>
      <c r="C233" t="s">
        <v>2880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2746</v>
      </c>
      <c r="J233" t="str">
        <f>"{ name: "&amp;CHAR(34)&amp;B233&amp;CHAR(34)&amp;", landmark: "&amp;CHAR(34)&amp;IF(LEN(C233)=LEN(SUBSTITUTE(C233,"Transport","")),"Korok x1","Korok x2")&amp;CHAR(34)&amp;", type: "&amp;CHAR(34)&amp;C233&amp;CHAR(34)&amp;", region: "&amp;D233&amp;", level: "&amp;CHAR(34)&amp;E233&amp;CHAR(34)&amp;", x: "&amp;F233&amp;", y: "&amp;G233&amp;", z: "&amp;H233&amp;", details: "&amp;CHAR(34)&amp;I233&amp;CHAR(34)&amp;" },"</f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3403</v>
      </c>
      <c r="C234" t="s">
        <v>2874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2842</v>
      </c>
      <c r="J234" t="str">
        <f>"{ name: "&amp;CHAR(34)&amp;B234&amp;CHAR(34)&amp;", landmark: "&amp;CHAR(34)&amp;IF(LEN(C234)=LEN(SUBSTITUTE(C234,"Transport","")),"Korok x1","Korok x2")&amp;CHAR(34)&amp;", type: "&amp;CHAR(34)&amp;C234&amp;CHAR(34)&amp;", region: "&amp;D234&amp;", level: "&amp;CHAR(34)&amp;E234&amp;CHAR(34)&amp;", x: "&amp;F234&amp;", y: "&amp;G234&amp;", z: "&amp;H234&amp;", details: "&amp;CHAR(34)&amp;I234&amp;CHAR(34)&amp;" },"</f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3404</v>
      </c>
      <c r="C235" t="s">
        <v>2875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>"{ name: "&amp;CHAR(34)&amp;B235&amp;CHAR(34)&amp;", landmark: "&amp;CHAR(34)&amp;IF(LEN(C235)=LEN(SUBSTITUTE(C235,"Transport","")),"Korok x1","Korok x2")&amp;CHAR(34)&amp;", type: "&amp;CHAR(34)&amp;C235&amp;CHAR(34)&amp;", region: "&amp;D235&amp;", level: "&amp;CHAR(34)&amp;E235&amp;CHAR(34)&amp;", x: "&amp;F235&amp;", y: "&amp;G235&amp;", z: "&amp;H235&amp;", details: "&amp;CHAR(34)&amp;I235&amp;CHAR(34)&amp;" },"</f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3440</v>
      </c>
      <c r="C236" t="s">
        <v>2865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2742</v>
      </c>
      <c r="J236" t="str">
        <f>"{ name: "&amp;CHAR(34)&amp;B236&amp;CHAR(34)&amp;", landmark: "&amp;CHAR(34)&amp;IF(LEN(C236)=LEN(SUBSTITUTE(C236,"Transport","")),"Korok x1","Korok x2")&amp;CHAR(34)&amp;", type: "&amp;CHAR(34)&amp;C236&amp;CHAR(34)&amp;", region: "&amp;D236&amp;", level: "&amp;CHAR(34)&amp;E236&amp;CHAR(34)&amp;", x: "&amp;F236&amp;", y: "&amp;G236&amp;", z: "&amp;H236&amp;", details: "&amp;CHAR(34)&amp;I236&amp;CHAR(34)&amp;" },"</f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3468</v>
      </c>
      <c r="C237" t="s">
        <v>2874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2840</v>
      </c>
      <c r="J237" t="str">
        <f>"{ name: "&amp;CHAR(34)&amp;B237&amp;CHAR(34)&amp;", landmark: "&amp;CHAR(34)&amp;IF(LEN(C237)=LEN(SUBSTITUTE(C237,"Transport","")),"Korok x1","Korok x2")&amp;CHAR(34)&amp;", type: "&amp;CHAR(34)&amp;C237&amp;CHAR(34)&amp;", region: "&amp;D237&amp;", level: "&amp;CHAR(34)&amp;E237&amp;CHAR(34)&amp;", x: "&amp;F237&amp;", y: "&amp;G237&amp;", z: "&amp;H237&amp;", details: "&amp;CHAR(34)&amp;I237&amp;CHAR(34)&amp;" },"</f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3509</v>
      </c>
      <c r="C238" t="s">
        <v>2884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>"{ name: "&amp;CHAR(34)&amp;B238&amp;CHAR(34)&amp;", landmark: "&amp;CHAR(34)&amp;IF(LEN(C238)=LEN(SUBSTITUTE(C238,"Transport","")),"Korok x1","Korok x2")&amp;CHAR(34)&amp;", type: "&amp;CHAR(34)&amp;C238&amp;CHAR(34)&amp;", region: "&amp;D238&amp;", level: "&amp;CHAR(34)&amp;E238&amp;CHAR(34)&amp;", x: "&amp;F238&amp;", y: "&amp;G238&amp;", z: "&amp;H238&amp;", details: "&amp;CHAR(34)&amp;I238&amp;CHAR(34)&amp;" },"</f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3510</v>
      </c>
      <c r="C239" t="s">
        <v>2888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>"{ name: "&amp;CHAR(34)&amp;B239&amp;CHAR(34)&amp;", landmark: "&amp;CHAR(34)&amp;IF(LEN(C239)=LEN(SUBSTITUTE(C239,"Transport","")),"Korok x1","Korok x2")&amp;CHAR(34)&amp;", type: "&amp;CHAR(34)&amp;C239&amp;CHAR(34)&amp;", region: "&amp;D239&amp;", level: "&amp;CHAR(34)&amp;E239&amp;CHAR(34)&amp;", x: "&amp;F239&amp;", y: "&amp;G239&amp;", z: "&amp;H239&amp;", details: "&amp;CHAR(34)&amp;I239&amp;CHAR(34)&amp;" },"</f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3566</v>
      </c>
      <c r="C240" t="s">
        <v>2865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2747</v>
      </c>
      <c r="J240" t="str">
        <f>"{ name: "&amp;CHAR(34)&amp;B240&amp;CHAR(34)&amp;", landmark: "&amp;CHAR(34)&amp;IF(LEN(C240)=LEN(SUBSTITUTE(C240,"Transport","")),"Korok x1","Korok x2")&amp;CHAR(34)&amp;", type: "&amp;CHAR(34)&amp;C240&amp;CHAR(34)&amp;", region: "&amp;D240&amp;", level: "&amp;CHAR(34)&amp;E240&amp;CHAR(34)&amp;", x: "&amp;F240&amp;", y: "&amp;G240&amp;", z: "&amp;H240&amp;", details: "&amp;CHAR(34)&amp;I240&amp;CHAR(34)&amp;" },"</f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3567</v>
      </c>
      <c r="C241" t="s">
        <v>2870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>"{ name: "&amp;CHAR(34)&amp;B241&amp;CHAR(34)&amp;", landmark: "&amp;CHAR(34)&amp;IF(LEN(C241)=LEN(SUBSTITUTE(C241,"Transport","")),"Korok x1","Korok x2")&amp;CHAR(34)&amp;", type: "&amp;CHAR(34)&amp;C241&amp;CHAR(34)&amp;", region: "&amp;D241&amp;", level: "&amp;CHAR(34)&amp;E241&amp;CHAR(34)&amp;", x: "&amp;F241&amp;", y: "&amp;G241&amp;", z: "&amp;H241&amp;", details: "&amp;CHAR(34)&amp;I241&amp;CHAR(34)&amp;" },"</f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3571</v>
      </c>
      <c r="C242" t="s">
        <v>2885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>"{ name: "&amp;CHAR(34)&amp;B242&amp;CHAR(34)&amp;", landmark: "&amp;CHAR(34)&amp;IF(LEN(C242)=LEN(SUBSTITUTE(C242,"Transport","")),"Korok x1","Korok x2")&amp;CHAR(34)&amp;", type: "&amp;CHAR(34)&amp;C242&amp;CHAR(34)&amp;", region: "&amp;D242&amp;", level: "&amp;CHAR(34)&amp;E242&amp;CHAR(34)&amp;", x: "&amp;F242&amp;", y: "&amp;G242&amp;", z: "&amp;H242&amp;", details: "&amp;CHAR(34)&amp;I242&amp;CHAR(34)&amp;" },"</f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3572</v>
      </c>
      <c r="C243" t="s">
        <v>2885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>"{ name: "&amp;CHAR(34)&amp;B243&amp;CHAR(34)&amp;", landmark: "&amp;CHAR(34)&amp;IF(LEN(C243)=LEN(SUBSTITUTE(C243,"Transport","")),"Korok x1","Korok x2")&amp;CHAR(34)&amp;", type: "&amp;CHAR(34)&amp;C243&amp;CHAR(34)&amp;", region: "&amp;D243&amp;", level: "&amp;CHAR(34)&amp;E243&amp;CHAR(34)&amp;", x: "&amp;F243&amp;", y: "&amp;G243&amp;", z: "&amp;H243&amp;", details: "&amp;CHAR(34)&amp;I243&amp;CHAR(34)&amp;" },"</f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3573</v>
      </c>
      <c r="C244" t="s">
        <v>2887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>"{ name: "&amp;CHAR(34)&amp;B244&amp;CHAR(34)&amp;", landmark: "&amp;CHAR(34)&amp;IF(LEN(C244)=LEN(SUBSTITUTE(C244,"Transport","")),"Korok x1","Korok x2")&amp;CHAR(34)&amp;", type: "&amp;CHAR(34)&amp;C244&amp;CHAR(34)&amp;", region: "&amp;D244&amp;", level: "&amp;CHAR(34)&amp;E244&amp;CHAR(34)&amp;", x: "&amp;F244&amp;", y: "&amp;G244&amp;", z: "&amp;H244&amp;", details: "&amp;CHAR(34)&amp;I244&amp;CHAR(34)&amp;" },"</f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3574</v>
      </c>
      <c r="C245" t="s">
        <v>2880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2741</v>
      </c>
      <c r="J245" t="str">
        <f>"{ name: "&amp;CHAR(34)&amp;B245&amp;CHAR(34)&amp;", landmark: "&amp;CHAR(34)&amp;IF(LEN(C245)=LEN(SUBSTITUTE(C245,"Transport","")),"Korok x1","Korok x2")&amp;CHAR(34)&amp;", type: "&amp;CHAR(34)&amp;C245&amp;CHAR(34)&amp;", region: "&amp;D245&amp;", level: "&amp;CHAR(34)&amp;E245&amp;CHAR(34)&amp;", x: "&amp;F245&amp;", y: "&amp;G245&amp;", z: "&amp;H245&amp;", details: "&amp;CHAR(34)&amp;I245&amp;CHAR(34)&amp;" },"</f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3575</v>
      </c>
      <c r="C246" t="s">
        <v>2876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>"{ name: "&amp;CHAR(34)&amp;B246&amp;CHAR(34)&amp;", landmark: "&amp;CHAR(34)&amp;IF(LEN(C246)=LEN(SUBSTITUTE(C246,"Transport","")),"Korok x1","Korok x2")&amp;CHAR(34)&amp;", type: "&amp;CHAR(34)&amp;C246&amp;CHAR(34)&amp;", region: "&amp;D246&amp;", level: "&amp;CHAR(34)&amp;E246&amp;CHAR(34)&amp;", x: "&amp;F246&amp;", y: "&amp;G246&amp;", z: "&amp;H246&amp;", details: "&amp;CHAR(34)&amp;I246&amp;CHAR(34)&amp;" },"</f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3576</v>
      </c>
      <c r="C247" t="s">
        <v>2870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>"{ name: "&amp;CHAR(34)&amp;B247&amp;CHAR(34)&amp;", landmark: "&amp;CHAR(34)&amp;IF(LEN(C247)=LEN(SUBSTITUTE(C247,"Transport","")),"Korok x1","Korok x2")&amp;CHAR(34)&amp;", type: "&amp;CHAR(34)&amp;C247&amp;CHAR(34)&amp;", region: "&amp;D247&amp;", level: "&amp;CHAR(34)&amp;E247&amp;CHAR(34)&amp;", x: "&amp;F247&amp;", y: "&amp;G247&amp;", z: "&amp;H247&amp;", details: "&amp;CHAR(34)&amp;I247&amp;CHAR(34)&amp;" },"</f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3577</v>
      </c>
      <c r="C248" t="s">
        <v>2875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>"{ name: "&amp;CHAR(34)&amp;B248&amp;CHAR(34)&amp;", landmark: "&amp;CHAR(34)&amp;IF(LEN(C248)=LEN(SUBSTITUTE(C248,"Transport","")),"Korok x1","Korok x2")&amp;CHAR(34)&amp;", type: "&amp;CHAR(34)&amp;C248&amp;CHAR(34)&amp;", region: "&amp;D248&amp;", level: "&amp;CHAR(34)&amp;E248&amp;CHAR(34)&amp;", x: "&amp;F248&amp;", y: "&amp;G248&amp;", z: "&amp;H248&amp;", details: "&amp;CHAR(34)&amp;I248&amp;CHAR(34)&amp;" },"</f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3578</v>
      </c>
      <c r="C249" t="s">
        <v>2871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>"{ name: "&amp;CHAR(34)&amp;B249&amp;CHAR(34)&amp;", landmark: "&amp;CHAR(34)&amp;IF(LEN(C249)=LEN(SUBSTITUTE(C249,"Transport","")),"Korok x1","Korok x2")&amp;CHAR(34)&amp;", type: "&amp;CHAR(34)&amp;C249&amp;CHAR(34)&amp;", region: "&amp;D249&amp;", level: "&amp;CHAR(34)&amp;E249&amp;CHAR(34)&amp;", x: "&amp;F249&amp;", y: "&amp;G249&amp;", z: "&amp;H249&amp;", details: "&amp;CHAR(34)&amp;I249&amp;CHAR(34)&amp;" },"</f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3579</v>
      </c>
      <c r="C250" t="s">
        <v>2888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>"{ name: "&amp;CHAR(34)&amp;B250&amp;CHAR(34)&amp;", landmark: "&amp;CHAR(34)&amp;IF(LEN(C250)=LEN(SUBSTITUTE(C250,"Transport","")),"Korok x1","Korok x2")&amp;CHAR(34)&amp;", type: "&amp;CHAR(34)&amp;C250&amp;CHAR(34)&amp;", region: "&amp;D250&amp;", level: "&amp;CHAR(34)&amp;E250&amp;CHAR(34)&amp;", x: "&amp;F250&amp;", y: "&amp;G250&amp;", z: "&amp;H250&amp;", details: "&amp;CHAR(34)&amp;I250&amp;CHAR(34)&amp;" },"</f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3580</v>
      </c>
      <c r="C251" t="s">
        <v>2865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2740</v>
      </c>
      <c r="J251" t="str">
        <f>"{ name: "&amp;CHAR(34)&amp;B251&amp;CHAR(34)&amp;", landmark: "&amp;CHAR(34)&amp;IF(LEN(C251)=LEN(SUBSTITUTE(C251,"Transport","")),"Korok x1","Korok x2")&amp;CHAR(34)&amp;", type: "&amp;CHAR(34)&amp;C251&amp;CHAR(34)&amp;", region: "&amp;D251&amp;", level: "&amp;CHAR(34)&amp;E251&amp;CHAR(34)&amp;", x: "&amp;F251&amp;", y: "&amp;G251&amp;", z: "&amp;H251&amp;", details: "&amp;CHAR(34)&amp;I251&amp;CHAR(34)&amp;" },"</f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3581</v>
      </c>
      <c r="C252" t="s">
        <v>2876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>"{ name: "&amp;CHAR(34)&amp;B252&amp;CHAR(34)&amp;", landmark: "&amp;CHAR(34)&amp;IF(LEN(C252)=LEN(SUBSTITUTE(C252,"Transport","")),"Korok x1","Korok x2")&amp;CHAR(34)&amp;", type: "&amp;CHAR(34)&amp;C252&amp;CHAR(34)&amp;", region: "&amp;D252&amp;", level: "&amp;CHAR(34)&amp;E252&amp;CHAR(34)&amp;", x: "&amp;F252&amp;", y: "&amp;G252&amp;", z: "&amp;H252&amp;", details: "&amp;CHAR(34)&amp;I252&amp;CHAR(34)&amp;" },"</f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3582</v>
      </c>
      <c r="C253" t="s">
        <v>2875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>"{ name: "&amp;CHAR(34)&amp;B253&amp;CHAR(34)&amp;", landmark: "&amp;CHAR(34)&amp;IF(LEN(C253)=LEN(SUBSTITUTE(C253,"Transport","")),"Korok x1","Korok x2")&amp;CHAR(34)&amp;", type: "&amp;CHAR(34)&amp;C253&amp;CHAR(34)&amp;", region: "&amp;D253&amp;", level: "&amp;CHAR(34)&amp;E253&amp;CHAR(34)&amp;", x: "&amp;F253&amp;", y: "&amp;G253&amp;", z: "&amp;H253&amp;", details: "&amp;CHAR(34)&amp;I253&amp;CHAR(34)&amp;" },"</f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3583</v>
      </c>
      <c r="C254" t="s">
        <v>2880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2739</v>
      </c>
      <c r="J254" t="str">
        <f>"{ name: "&amp;CHAR(34)&amp;B254&amp;CHAR(34)&amp;", landmark: "&amp;CHAR(34)&amp;IF(LEN(C254)=LEN(SUBSTITUTE(C254,"Transport","")),"Korok x1","Korok x2")&amp;CHAR(34)&amp;", type: "&amp;CHAR(34)&amp;C254&amp;CHAR(34)&amp;", region: "&amp;D254&amp;", level: "&amp;CHAR(34)&amp;E254&amp;CHAR(34)&amp;", x: "&amp;F254&amp;", y: "&amp;G254&amp;", z: "&amp;H254&amp;", details: "&amp;CHAR(34)&amp;I254&amp;CHAR(34)&amp;" },"</f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3584</v>
      </c>
      <c r="C255" t="s">
        <v>2884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>"{ name: "&amp;CHAR(34)&amp;B255&amp;CHAR(34)&amp;", landmark: "&amp;CHAR(34)&amp;IF(LEN(C255)=LEN(SUBSTITUTE(C255,"Transport","")),"Korok x1","Korok x2")&amp;CHAR(34)&amp;", type: "&amp;CHAR(34)&amp;C255&amp;CHAR(34)&amp;", region: "&amp;D255&amp;", level: "&amp;CHAR(34)&amp;E255&amp;CHAR(34)&amp;", x: "&amp;F255&amp;", y: "&amp;G255&amp;", z: "&amp;H255&amp;", details: "&amp;CHAR(34)&amp;I255&amp;CHAR(34)&amp;" },"</f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3585</v>
      </c>
      <c r="C256" t="s">
        <v>2879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>"{ name: "&amp;CHAR(34)&amp;B256&amp;CHAR(34)&amp;", landmark: "&amp;CHAR(34)&amp;IF(LEN(C256)=LEN(SUBSTITUTE(C256,"Transport","")),"Korok x1","Korok x2")&amp;CHAR(34)&amp;", type: "&amp;CHAR(34)&amp;C256&amp;CHAR(34)&amp;", region: "&amp;D256&amp;", level: "&amp;CHAR(34)&amp;E256&amp;CHAR(34)&amp;", x: "&amp;F256&amp;", y: "&amp;G256&amp;", z: "&amp;H256&amp;", details: "&amp;CHAR(34)&amp;I256&amp;CHAR(34)&amp;" },"</f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3634</v>
      </c>
      <c r="C257" t="s">
        <v>2890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2838</v>
      </c>
      <c r="J257" t="str">
        <f>"{ name: "&amp;CHAR(34)&amp;B257&amp;CHAR(34)&amp;", landmark: "&amp;CHAR(34)&amp;IF(LEN(C257)=LEN(SUBSTITUTE(C257,"Transport","")),"Korok x1","Korok x2")&amp;CHAR(34)&amp;", type: "&amp;CHAR(34)&amp;C257&amp;CHAR(34)&amp;", region: "&amp;D257&amp;", level: "&amp;CHAR(34)&amp;E257&amp;CHAR(34)&amp;", x: "&amp;F257&amp;", y: "&amp;G257&amp;", z: "&amp;H257&amp;", details: "&amp;CHAR(34)&amp;I257&amp;CHAR(34)&amp;" },"</f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3635</v>
      </c>
      <c r="C258" t="s">
        <v>2876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3683</v>
      </c>
      <c r="C259" t="s">
        <v>2876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>"{ name: "&amp;CHAR(34)&amp;B259&amp;CHAR(34)&amp;", landmark: "&amp;CHAR(34)&amp;IF(LEN(C259)=LEN(SUBSTITUTE(C259,"Transport","")),"Korok x1","Korok x2")&amp;CHAR(34)&amp;", type: "&amp;CHAR(34)&amp;C259&amp;CHAR(34)&amp;", region: "&amp;D259&amp;", level: "&amp;CHAR(34)&amp;E259&amp;CHAR(34)&amp;", x: "&amp;F259&amp;", y: "&amp;G259&amp;", z: "&amp;H259&amp;", details: "&amp;CHAR(34)&amp;I259&amp;CHAR(34)&amp;" },"</f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3684</v>
      </c>
      <c r="C260" t="s">
        <v>2875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>"{ name: "&amp;CHAR(34)&amp;B260&amp;CHAR(34)&amp;", landmark: "&amp;CHAR(34)&amp;IF(LEN(C260)=LEN(SUBSTITUTE(C260,"Transport","")),"Korok x1","Korok x2")&amp;CHAR(34)&amp;", type: "&amp;CHAR(34)&amp;C260&amp;CHAR(34)&amp;", region: "&amp;D260&amp;", level: "&amp;CHAR(34)&amp;E260&amp;CHAR(34)&amp;", x: "&amp;F260&amp;", y: "&amp;G260&amp;", z: "&amp;H260&amp;", details: "&amp;CHAR(34)&amp;I260&amp;CHAR(34)&amp;" },"</f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3685</v>
      </c>
      <c r="C261" t="s">
        <v>2871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>"{ name: "&amp;CHAR(34)&amp;B261&amp;CHAR(34)&amp;", landmark: "&amp;CHAR(34)&amp;IF(LEN(C261)=LEN(SUBSTITUTE(C261,"Transport","")),"Korok x1","Korok x2")&amp;CHAR(34)&amp;", type: "&amp;CHAR(34)&amp;C261&amp;CHAR(34)&amp;", region: "&amp;D261&amp;", level: "&amp;CHAR(34)&amp;E261&amp;CHAR(34)&amp;", x: "&amp;F261&amp;", y: "&amp;G261&amp;", z: "&amp;H261&amp;", details: "&amp;CHAR(34)&amp;I261&amp;CHAR(34)&amp;" },"</f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3686</v>
      </c>
      <c r="C262" t="s">
        <v>2865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2745</v>
      </c>
      <c r="J262" t="str">
        <f>"{ name: "&amp;CHAR(34)&amp;B262&amp;CHAR(34)&amp;", landmark: "&amp;CHAR(34)&amp;IF(LEN(C262)=LEN(SUBSTITUTE(C262,"Transport","")),"Korok x1","Korok x2")&amp;CHAR(34)&amp;", type: "&amp;CHAR(34)&amp;C262&amp;CHAR(34)&amp;", region: "&amp;D262&amp;", level: "&amp;CHAR(34)&amp;E262&amp;CHAR(34)&amp;", x: "&amp;F262&amp;", y: "&amp;G262&amp;", z: "&amp;H262&amp;", details: "&amp;CHAR(34)&amp;I262&amp;CHAR(34)&amp;" },"</f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3687</v>
      </c>
      <c r="C263" t="s">
        <v>2866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>"{ name: "&amp;CHAR(34)&amp;B263&amp;CHAR(34)&amp;", landmark: "&amp;CHAR(34)&amp;IF(LEN(C263)=LEN(SUBSTITUTE(C263,"Transport","")),"Korok x1","Korok x2")&amp;CHAR(34)&amp;", type: "&amp;CHAR(34)&amp;C263&amp;CHAR(34)&amp;", region: "&amp;D263&amp;", level: "&amp;CHAR(34)&amp;E263&amp;CHAR(34)&amp;", x: "&amp;F263&amp;", y: "&amp;G263&amp;", z: "&amp;H263&amp;", details: "&amp;CHAR(34)&amp;I263&amp;CHAR(34)&amp;" },"</f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3699</v>
      </c>
      <c r="C264" t="s">
        <v>2889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>"{ name: "&amp;CHAR(34)&amp;B264&amp;CHAR(34)&amp;", landmark: "&amp;CHAR(34)&amp;IF(LEN(C264)=LEN(SUBSTITUTE(C264,"Transport","")),"Korok x1","Korok x2")&amp;CHAR(34)&amp;", type: "&amp;CHAR(34)&amp;C264&amp;CHAR(34)&amp;", region: "&amp;D264&amp;", level: "&amp;CHAR(34)&amp;E264&amp;CHAR(34)&amp;", x: "&amp;F264&amp;", y: "&amp;G264&amp;", z: "&amp;H264&amp;", details: "&amp;CHAR(34)&amp;I264&amp;CHAR(34)&amp;" },"</f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3700</v>
      </c>
      <c r="C265" t="s">
        <v>2870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>"{ name: "&amp;CHAR(34)&amp;B265&amp;CHAR(34)&amp;", landmark: "&amp;CHAR(34)&amp;IF(LEN(C265)=LEN(SUBSTITUTE(C265,"Transport","")),"Korok x1","Korok x2")&amp;CHAR(34)&amp;", type: "&amp;CHAR(34)&amp;C265&amp;CHAR(34)&amp;", region: "&amp;D265&amp;", level: "&amp;CHAR(34)&amp;E265&amp;CHAR(34)&amp;", x: "&amp;F265&amp;", y: "&amp;G265&amp;", z: "&amp;H265&amp;", details: "&amp;CHAR(34)&amp;I265&amp;CHAR(34)&amp;" },"</f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3701</v>
      </c>
      <c r="C266" t="s">
        <v>2875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>"{ name: "&amp;CHAR(34)&amp;B266&amp;CHAR(34)&amp;", landmark: "&amp;CHAR(34)&amp;IF(LEN(C266)=LEN(SUBSTITUTE(C266,"Transport","")),"Korok x1","Korok x2")&amp;CHAR(34)&amp;", type: "&amp;CHAR(34)&amp;C266&amp;CHAR(34)&amp;", region: "&amp;D266&amp;", level: "&amp;CHAR(34)&amp;E266&amp;CHAR(34)&amp;", x: "&amp;F266&amp;", y: "&amp;G266&amp;", z: "&amp;H266&amp;", details: "&amp;CHAR(34)&amp;I266&amp;CHAR(34)&amp;" },"</f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3702</v>
      </c>
      <c r="C267" t="s">
        <v>2870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>"{ name: "&amp;CHAR(34)&amp;B267&amp;CHAR(34)&amp;", landmark: "&amp;CHAR(34)&amp;IF(LEN(C267)=LEN(SUBSTITUTE(C267,"Transport","")),"Korok x1","Korok x2")&amp;CHAR(34)&amp;", type: "&amp;CHAR(34)&amp;C267&amp;CHAR(34)&amp;", region: "&amp;D267&amp;", level: "&amp;CHAR(34)&amp;E267&amp;CHAR(34)&amp;", x: "&amp;F267&amp;", y: "&amp;G267&amp;", z: "&amp;H267&amp;", details: "&amp;CHAR(34)&amp;I267&amp;CHAR(34)&amp;" },"</f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3703</v>
      </c>
      <c r="C268" t="s">
        <v>2875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>"{ name: "&amp;CHAR(34)&amp;B268&amp;CHAR(34)&amp;", landmark: "&amp;CHAR(34)&amp;IF(LEN(C268)=LEN(SUBSTITUTE(C268,"Transport","")),"Korok x1","Korok x2")&amp;CHAR(34)&amp;", type: "&amp;CHAR(34)&amp;C268&amp;CHAR(34)&amp;", region: "&amp;D268&amp;", level: "&amp;CHAR(34)&amp;E268&amp;CHAR(34)&amp;", x: "&amp;F268&amp;", y: "&amp;G268&amp;", z: "&amp;H268&amp;", details: "&amp;CHAR(34)&amp;I268&amp;CHAR(34)&amp;" },"</f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3704</v>
      </c>
      <c r="C269" t="s">
        <v>2874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>"{ name: "&amp;CHAR(34)&amp;B269&amp;CHAR(34)&amp;", landmark: "&amp;CHAR(34)&amp;IF(LEN(C269)=LEN(SUBSTITUTE(C269,"Transport","")),"Korok x1","Korok x2")&amp;CHAR(34)&amp;", type: "&amp;CHAR(34)&amp;C269&amp;CHAR(34)&amp;", region: "&amp;D269&amp;", level: "&amp;CHAR(34)&amp;E269&amp;CHAR(34)&amp;", x: "&amp;F269&amp;", y: "&amp;G269&amp;", z: "&amp;H269&amp;", details: "&amp;CHAR(34)&amp;I269&amp;CHAR(34)&amp;" },"</f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3705</v>
      </c>
      <c r="C270" t="s">
        <v>2875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>"{ name: "&amp;CHAR(34)&amp;B270&amp;CHAR(34)&amp;", landmark: "&amp;CHAR(34)&amp;IF(LEN(C270)=LEN(SUBSTITUTE(C270,"Transport","")),"Korok x1","Korok x2")&amp;CHAR(34)&amp;", type: "&amp;CHAR(34)&amp;C270&amp;CHAR(34)&amp;", region: "&amp;D270&amp;", level: "&amp;CHAR(34)&amp;E270&amp;CHAR(34)&amp;", x: "&amp;F270&amp;", y: "&amp;G270&amp;", z: "&amp;H270&amp;", details: "&amp;CHAR(34)&amp;I270&amp;CHAR(34)&amp;" },"</f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3829</v>
      </c>
      <c r="C271" t="s">
        <v>2871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>"{ name: "&amp;CHAR(34)&amp;B271&amp;CHAR(34)&amp;", landmark: "&amp;CHAR(34)&amp;IF(LEN(C271)=LEN(SUBSTITUTE(C271,"Transport","")),"Korok x1","Korok x2")&amp;CHAR(34)&amp;", type: "&amp;CHAR(34)&amp;C271&amp;CHAR(34)&amp;", region: "&amp;D271&amp;", level: "&amp;CHAR(34)&amp;E271&amp;CHAR(34)&amp;", x: "&amp;F271&amp;", y: "&amp;G271&amp;", z: "&amp;H271&amp;", details: "&amp;CHAR(34)&amp;I271&amp;CHAR(34)&amp;" },"</f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3869</v>
      </c>
      <c r="C272" t="s">
        <v>2871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>"{ name: "&amp;CHAR(34)&amp;B272&amp;CHAR(34)&amp;", landmark: "&amp;CHAR(34)&amp;IF(LEN(C272)=LEN(SUBSTITUTE(C272,"Transport","")),"Korok x1","Korok x2")&amp;CHAR(34)&amp;", type: "&amp;CHAR(34)&amp;C272&amp;CHAR(34)&amp;", region: "&amp;D272&amp;", level: "&amp;CHAR(34)&amp;E272&amp;CHAR(34)&amp;", x: "&amp;F272&amp;", y: "&amp;G272&amp;", z: "&amp;H272&amp;", details: "&amp;CHAR(34)&amp;I272&amp;CHAR(34)&amp;" },"</f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3915</v>
      </c>
      <c r="C273" t="s">
        <v>2875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>"{ name: "&amp;CHAR(34)&amp;B273&amp;CHAR(34)&amp;", landmark: "&amp;CHAR(34)&amp;IF(LEN(C273)=LEN(SUBSTITUTE(C273,"Transport","")),"Korok x1","Korok x2")&amp;CHAR(34)&amp;", type: "&amp;CHAR(34)&amp;C273&amp;CHAR(34)&amp;", region: "&amp;D273&amp;", level: "&amp;CHAR(34)&amp;E273&amp;CHAR(34)&amp;", x: "&amp;F273&amp;", y: "&amp;G273&amp;", z: "&amp;H273&amp;", details: "&amp;CHAR(34)&amp;I273&amp;CHAR(34)&amp;" },"</f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3916</v>
      </c>
      <c r="C274" t="s">
        <v>2880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2661</v>
      </c>
      <c r="J274" t="str">
        <f>"{ name: "&amp;CHAR(34)&amp;B274&amp;CHAR(34)&amp;", landmark: "&amp;CHAR(34)&amp;IF(LEN(C274)=LEN(SUBSTITUTE(C274,"Transport","")),"Korok x1","Korok x2")&amp;CHAR(34)&amp;", type: "&amp;CHAR(34)&amp;C274&amp;CHAR(34)&amp;", region: "&amp;D274&amp;", level: "&amp;CHAR(34)&amp;E274&amp;CHAR(34)&amp;", x: "&amp;F274&amp;", y: "&amp;G274&amp;", z: "&amp;H274&amp;", details: "&amp;CHAR(34)&amp;I274&amp;CHAR(34)&amp;" },"</f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3923</v>
      </c>
      <c r="C275" t="s">
        <v>2875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>"{ name: "&amp;CHAR(34)&amp;B275&amp;CHAR(34)&amp;", landmark: "&amp;CHAR(34)&amp;IF(LEN(C275)=LEN(SUBSTITUTE(C275,"Transport","")),"Korok x1","Korok x2")&amp;CHAR(34)&amp;", type: "&amp;CHAR(34)&amp;C275&amp;CHAR(34)&amp;", region: "&amp;D275&amp;", level: "&amp;CHAR(34)&amp;E275&amp;CHAR(34)&amp;", x: "&amp;F275&amp;", y: "&amp;G275&amp;", z: "&amp;H275&amp;", details: "&amp;CHAR(34)&amp;I275&amp;CHAR(34)&amp;" },"</f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3924</v>
      </c>
      <c r="C276" t="s">
        <v>2875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>"{ name: "&amp;CHAR(34)&amp;B276&amp;CHAR(34)&amp;", landmark: "&amp;CHAR(34)&amp;IF(LEN(C276)=LEN(SUBSTITUTE(C276,"Transport","")),"Korok x1","Korok x2")&amp;CHAR(34)&amp;", type: "&amp;CHAR(34)&amp;C276&amp;CHAR(34)&amp;", region: "&amp;D276&amp;", level: "&amp;CHAR(34)&amp;E276&amp;CHAR(34)&amp;", x: "&amp;F276&amp;", y: "&amp;G276&amp;", z: "&amp;H276&amp;", details: "&amp;CHAR(34)&amp;I276&amp;CHAR(34)&amp;" },"</f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3925</v>
      </c>
      <c r="C277" t="s">
        <v>2884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>"{ name: "&amp;CHAR(34)&amp;B277&amp;CHAR(34)&amp;", landmark: "&amp;CHAR(34)&amp;IF(LEN(C277)=LEN(SUBSTITUTE(C277,"Transport","")),"Korok x1","Korok x2")&amp;CHAR(34)&amp;", type: "&amp;CHAR(34)&amp;C277&amp;CHAR(34)&amp;", region: "&amp;D277&amp;", level: "&amp;CHAR(34)&amp;E277&amp;CHAR(34)&amp;", x: "&amp;F277&amp;", y: "&amp;G277&amp;", z: "&amp;H277&amp;", details: "&amp;CHAR(34)&amp;I277&amp;CHAR(34)&amp;" },"</f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3935</v>
      </c>
      <c r="C278" t="s">
        <v>2868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>"{ name: "&amp;CHAR(34)&amp;B278&amp;CHAR(34)&amp;", landmark: "&amp;CHAR(34)&amp;IF(LEN(C278)=LEN(SUBSTITUTE(C278,"Transport","")),"Korok x1","Korok x2")&amp;CHAR(34)&amp;", type: "&amp;CHAR(34)&amp;C278&amp;CHAR(34)&amp;", region: "&amp;D278&amp;", level: "&amp;CHAR(34)&amp;E278&amp;CHAR(34)&amp;", x: "&amp;F278&amp;", y: "&amp;G278&amp;", z: "&amp;H278&amp;", details: "&amp;CHAR(34)&amp;I278&amp;CHAR(34)&amp;" },"</f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3977</v>
      </c>
      <c r="C279" t="s">
        <v>2889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>"{ name: "&amp;CHAR(34)&amp;B279&amp;CHAR(34)&amp;", landmark: "&amp;CHAR(34)&amp;IF(LEN(C279)=LEN(SUBSTITUTE(C279,"Transport","")),"Korok x1","Korok x2")&amp;CHAR(34)&amp;", type: "&amp;CHAR(34)&amp;C279&amp;CHAR(34)&amp;", region: "&amp;D279&amp;", level: "&amp;CHAR(34)&amp;E279&amp;CHAR(34)&amp;", x: "&amp;F279&amp;", y: "&amp;G279&amp;", z: "&amp;H279&amp;", details: "&amp;CHAR(34)&amp;I279&amp;CHAR(34)&amp;" },"</f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3983</v>
      </c>
      <c r="C280" t="s">
        <v>2658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>"{ name: "&amp;CHAR(34)&amp;B280&amp;CHAR(34)&amp;", landmark: "&amp;CHAR(34)&amp;IF(LEN(C280)=LEN(SUBSTITUTE(C280,"Transport","")),"Korok x1","Korok x2")&amp;CHAR(34)&amp;", type: "&amp;CHAR(34)&amp;C280&amp;CHAR(34)&amp;", region: "&amp;D280&amp;", level: "&amp;CHAR(34)&amp;E280&amp;CHAR(34)&amp;", x: "&amp;F280&amp;", y: "&amp;G280&amp;", z: "&amp;H280&amp;", details: "&amp;CHAR(34)&amp;I280&amp;CHAR(34)&amp;" },"</f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3994</v>
      </c>
      <c r="C281" t="s">
        <v>2890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2797</v>
      </c>
      <c r="J281" t="str">
        <f>"{ name: "&amp;CHAR(34)&amp;B281&amp;CHAR(34)&amp;", landmark: "&amp;CHAR(34)&amp;IF(LEN(C281)=LEN(SUBSTITUTE(C281,"Transport","")),"Korok x1","Korok x2")&amp;CHAR(34)&amp;", type: "&amp;CHAR(34)&amp;C281&amp;CHAR(34)&amp;", region: "&amp;D281&amp;", level: "&amp;CHAR(34)&amp;E281&amp;CHAR(34)&amp;", x: "&amp;F281&amp;", y: "&amp;G281&amp;", z: "&amp;H281&amp;", details: "&amp;CHAR(34)&amp;I281&amp;CHAR(34)&amp;" },"</f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4029</v>
      </c>
      <c r="C282" t="s">
        <v>2882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>"{ name: "&amp;CHAR(34)&amp;B282&amp;CHAR(34)&amp;", landmark: "&amp;CHAR(34)&amp;IF(LEN(C282)=LEN(SUBSTITUTE(C282,"Transport","")),"Korok x1","Korok x2")&amp;CHAR(34)&amp;", type: "&amp;CHAR(34)&amp;C282&amp;CHAR(34)&amp;", region: "&amp;D282&amp;", level: "&amp;CHAR(34)&amp;E282&amp;CHAR(34)&amp;", x: "&amp;F282&amp;", y: "&amp;G282&amp;", z: "&amp;H282&amp;", details: "&amp;CHAR(34)&amp;I282&amp;CHAR(34)&amp;" },"</f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4047</v>
      </c>
      <c r="C283" t="s">
        <v>2888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>"{ name: "&amp;CHAR(34)&amp;B283&amp;CHAR(34)&amp;", landmark: "&amp;CHAR(34)&amp;IF(LEN(C283)=LEN(SUBSTITUTE(C283,"Transport","")),"Korok x1","Korok x2")&amp;CHAR(34)&amp;", type: "&amp;CHAR(34)&amp;C283&amp;CHAR(34)&amp;", region: "&amp;D283&amp;", level: "&amp;CHAR(34)&amp;E283&amp;CHAR(34)&amp;", x: "&amp;F283&amp;", y: "&amp;G283&amp;", z: "&amp;H283&amp;", details: "&amp;CHAR(34)&amp;I283&amp;CHAR(34)&amp;" },"</f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4048</v>
      </c>
      <c r="C284" t="s">
        <v>2871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>"{ name: "&amp;CHAR(34)&amp;B284&amp;CHAR(34)&amp;", landmark: "&amp;CHAR(34)&amp;IF(LEN(C284)=LEN(SUBSTITUTE(C284,"Transport","")),"Korok x1","Korok x2")&amp;CHAR(34)&amp;", type: "&amp;CHAR(34)&amp;C284&amp;CHAR(34)&amp;", region: "&amp;D284&amp;", level: "&amp;CHAR(34)&amp;E284&amp;CHAR(34)&amp;", x: "&amp;F284&amp;", y: "&amp;G284&amp;", z: "&amp;H284&amp;", details: "&amp;CHAR(34)&amp;I284&amp;CHAR(34)&amp;" },"</f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4125</v>
      </c>
      <c r="C285" t="s">
        <v>2889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>"{ name: "&amp;CHAR(34)&amp;B285&amp;CHAR(34)&amp;", landmark: "&amp;CHAR(34)&amp;IF(LEN(C285)=LEN(SUBSTITUTE(C285,"Transport","")),"Korok x1","Korok x2")&amp;CHAR(34)&amp;", type: "&amp;CHAR(34)&amp;C285&amp;CHAR(34)&amp;", region: "&amp;D285&amp;", level: "&amp;CHAR(34)&amp;E285&amp;CHAR(34)&amp;", x: "&amp;F285&amp;", y: "&amp;G285&amp;", z: "&amp;H285&amp;", details: "&amp;CHAR(34)&amp;I285&amp;CHAR(34)&amp;" },"</f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4126</v>
      </c>
      <c r="C286" t="s">
        <v>2875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>"{ name: "&amp;CHAR(34)&amp;B286&amp;CHAR(34)&amp;", landmark: "&amp;CHAR(34)&amp;IF(LEN(C286)=LEN(SUBSTITUTE(C286,"Transport","")),"Korok x1","Korok x2")&amp;CHAR(34)&amp;", type: "&amp;CHAR(34)&amp;C286&amp;CHAR(34)&amp;", region: "&amp;D286&amp;", level: "&amp;CHAR(34)&amp;E286&amp;CHAR(34)&amp;", x: "&amp;F286&amp;", y: "&amp;G286&amp;", z: "&amp;H286&amp;", details: "&amp;CHAR(34)&amp;I286&amp;CHAR(34)&amp;" },"</f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4137</v>
      </c>
      <c r="C287" t="s">
        <v>2891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>"{ name: "&amp;CHAR(34)&amp;B287&amp;CHAR(34)&amp;", landmark: "&amp;CHAR(34)&amp;IF(LEN(C287)=LEN(SUBSTITUTE(C287,"Transport","")),"Korok x1","Korok x2")&amp;CHAR(34)&amp;", type: "&amp;CHAR(34)&amp;C287&amp;CHAR(34)&amp;", region: "&amp;D287&amp;", level: "&amp;CHAR(34)&amp;E287&amp;CHAR(34)&amp;", x: "&amp;F287&amp;", y: "&amp;G287&amp;", z: "&amp;H287&amp;", details: "&amp;CHAR(34)&amp;I287&amp;CHAR(34)&amp;" },"</f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4150</v>
      </c>
      <c r="C288" t="s">
        <v>2886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>"{ name: "&amp;CHAR(34)&amp;B288&amp;CHAR(34)&amp;", landmark: "&amp;CHAR(34)&amp;IF(LEN(C288)=LEN(SUBSTITUTE(C288,"Transport","")),"Korok x1","Korok x2")&amp;CHAR(34)&amp;", type: "&amp;CHAR(34)&amp;C288&amp;CHAR(34)&amp;", region: "&amp;D288&amp;", level: "&amp;CHAR(34)&amp;E288&amp;CHAR(34)&amp;", x: "&amp;F288&amp;", y: "&amp;G288&amp;", z: "&amp;H288&amp;", details: "&amp;CHAR(34)&amp;I288&amp;CHAR(34)&amp;" },"</f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4177</v>
      </c>
      <c r="C289" t="s">
        <v>2870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>"{ name: "&amp;CHAR(34)&amp;B289&amp;CHAR(34)&amp;", landmark: "&amp;CHAR(34)&amp;IF(LEN(C289)=LEN(SUBSTITUTE(C289,"Transport","")),"Korok x1","Korok x2")&amp;CHAR(34)&amp;", type: "&amp;CHAR(34)&amp;C289&amp;CHAR(34)&amp;", region: "&amp;D289&amp;", level: "&amp;CHAR(34)&amp;E289&amp;CHAR(34)&amp;", x: "&amp;F289&amp;", y: "&amp;G289&amp;", z: "&amp;H289&amp;", details: "&amp;CHAR(34)&amp;I289&amp;CHAR(34)&amp;" },"</f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3434</v>
      </c>
      <c r="C290" t="s">
        <v>2874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2796</v>
      </c>
      <c r="J290" t="str">
        <f>"{ name: "&amp;CHAR(34)&amp;B290&amp;CHAR(34)&amp;", landmark: "&amp;CHAR(34)&amp;IF(LEN(C290)=LEN(SUBSTITUTE(C290,"Transport","")),"Korok x1","Korok x2")&amp;CHAR(34)&amp;", type: "&amp;CHAR(34)&amp;C290&amp;CHAR(34)&amp;", region: "&amp;D290&amp;", level: "&amp;CHAR(34)&amp;E290&amp;CHAR(34)&amp;", x: "&amp;F290&amp;", y: "&amp;G290&amp;", z: "&amp;H290&amp;", details: "&amp;CHAR(34)&amp;I290&amp;CHAR(34)&amp;" },"</f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3435</v>
      </c>
      <c r="C291" t="s">
        <v>2891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>"{ name: "&amp;CHAR(34)&amp;B291&amp;CHAR(34)&amp;", landmark: "&amp;CHAR(34)&amp;IF(LEN(C291)=LEN(SUBSTITUTE(C291,"Transport","")),"Korok x1","Korok x2")&amp;CHAR(34)&amp;", type: "&amp;CHAR(34)&amp;C291&amp;CHAR(34)&amp;", region: "&amp;D291&amp;", level: "&amp;CHAR(34)&amp;E291&amp;CHAR(34)&amp;", x: "&amp;F291&amp;", y: "&amp;G291&amp;", z: "&amp;H291&amp;", details: "&amp;CHAR(34)&amp;I291&amp;CHAR(34)&amp;" },"</f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3568</v>
      </c>
      <c r="C292" t="s">
        <v>2865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2749</v>
      </c>
      <c r="J292" t="str">
        <f>"{ name: "&amp;CHAR(34)&amp;B292&amp;CHAR(34)&amp;", landmark: "&amp;CHAR(34)&amp;IF(LEN(C292)=LEN(SUBSTITUTE(C292,"Transport","")),"Korok x1","Korok x2")&amp;CHAR(34)&amp;", type: "&amp;CHAR(34)&amp;C292&amp;CHAR(34)&amp;", region: "&amp;D292&amp;", level: "&amp;CHAR(34)&amp;E292&amp;CHAR(34)&amp;", x: "&amp;F292&amp;", y: "&amp;G292&amp;", z: "&amp;H292&amp;", details: "&amp;CHAR(34)&amp;I292&amp;CHAR(34)&amp;" },"</f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3569</v>
      </c>
      <c r="C293" t="s">
        <v>2864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>"{ name: "&amp;CHAR(34)&amp;B293&amp;CHAR(34)&amp;", landmark: "&amp;CHAR(34)&amp;IF(LEN(C293)=LEN(SUBSTITUTE(C293,"Transport","")),"Korok x1","Korok x2")&amp;CHAR(34)&amp;", type: "&amp;CHAR(34)&amp;C293&amp;CHAR(34)&amp;", region: "&amp;D293&amp;", level: "&amp;CHAR(34)&amp;E293&amp;CHAR(34)&amp;", x: "&amp;F293&amp;", y: "&amp;G293&amp;", z: "&amp;H293&amp;", details: "&amp;CHAR(34)&amp;I293&amp;CHAR(34)&amp;" },"</f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3570</v>
      </c>
      <c r="C294" t="s">
        <v>2870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>"{ name: "&amp;CHAR(34)&amp;B294&amp;CHAR(34)&amp;", landmark: "&amp;CHAR(34)&amp;IF(LEN(C294)=LEN(SUBSTITUTE(C294,"Transport","")),"Korok x1","Korok x2")&amp;CHAR(34)&amp;", type: "&amp;CHAR(34)&amp;C294&amp;CHAR(34)&amp;", region: "&amp;D294&amp;", level: "&amp;CHAR(34)&amp;E294&amp;CHAR(34)&amp;", x: "&amp;F294&amp;", y: "&amp;G294&amp;", z: "&amp;H294&amp;", details: "&amp;CHAR(34)&amp;I294&amp;CHAR(34)&amp;" },"</f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3774</v>
      </c>
      <c r="C295" t="s">
        <v>2871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>"{ name: "&amp;CHAR(34)&amp;B295&amp;CHAR(34)&amp;", landmark: "&amp;CHAR(34)&amp;IF(LEN(C295)=LEN(SUBSTITUTE(C295,"Transport","")),"Korok x1","Korok x2")&amp;CHAR(34)&amp;", type: "&amp;CHAR(34)&amp;C295&amp;CHAR(34)&amp;", region: "&amp;D295&amp;", level: "&amp;CHAR(34)&amp;E295&amp;CHAR(34)&amp;", x: "&amp;F295&amp;", y: "&amp;G295&amp;", z: "&amp;H295&amp;", details: "&amp;CHAR(34)&amp;I295&amp;CHAR(34)&amp;" },"</f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3775</v>
      </c>
      <c r="C296" t="s">
        <v>2878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>"{ name: "&amp;CHAR(34)&amp;B296&amp;CHAR(34)&amp;", landmark: "&amp;CHAR(34)&amp;IF(LEN(C296)=LEN(SUBSTITUTE(C296,"Transport","")),"Korok x1","Korok x2")&amp;CHAR(34)&amp;", type: "&amp;CHAR(34)&amp;C296&amp;CHAR(34)&amp;", region: "&amp;D296&amp;", level: "&amp;CHAR(34)&amp;E296&amp;CHAR(34)&amp;", x: "&amp;F296&amp;", y: "&amp;G296&amp;", z: "&amp;H296&amp;", details: "&amp;CHAR(34)&amp;I296&amp;CHAR(34)&amp;" },"</f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3776</v>
      </c>
      <c r="C297" t="s">
        <v>2889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>"{ name: "&amp;CHAR(34)&amp;B297&amp;CHAR(34)&amp;", landmark: "&amp;CHAR(34)&amp;IF(LEN(C297)=LEN(SUBSTITUTE(C297,"Transport","")),"Korok x1","Korok x2")&amp;CHAR(34)&amp;", type: "&amp;CHAR(34)&amp;C297&amp;CHAR(34)&amp;", region: "&amp;D297&amp;", level: "&amp;CHAR(34)&amp;E297&amp;CHAR(34)&amp;", x: "&amp;F297&amp;", y: "&amp;G297&amp;", z: "&amp;H297&amp;", details: "&amp;CHAR(34)&amp;I297&amp;CHAR(34)&amp;" },"</f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3823</v>
      </c>
      <c r="C298" t="s">
        <v>2869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>"{ name: "&amp;CHAR(34)&amp;B298&amp;CHAR(34)&amp;", landmark: "&amp;CHAR(34)&amp;IF(LEN(C298)=LEN(SUBSTITUTE(C298,"Transport","")),"Korok x1","Korok x2")&amp;CHAR(34)&amp;", type: "&amp;CHAR(34)&amp;C298&amp;CHAR(34)&amp;", region: "&amp;D298&amp;", level: "&amp;CHAR(34)&amp;E298&amp;CHAR(34)&amp;", x: "&amp;F298&amp;", y: "&amp;G298&amp;", z: "&amp;H298&amp;", details: "&amp;CHAR(34)&amp;I298&amp;CHAR(34)&amp;" },"</f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3824</v>
      </c>
      <c r="C299" t="s">
        <v>2870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>"{ name: "&amp;CHAR(34)&amp;B299&amp;CHAR(34)&amp;", landmark: "&amp;CHAR(34)&amp;IF(LEN(C299)=LEN(SUBSTITUTE(C299,"Transport","")),"Korok x1","Korok x2")&amp;CHAR(34)&amp;", type: "&amp;CHAR(34)&amp;C299&amp;CHAR(34)&amp;", region: "&amp;D299&amp;", level: "&amp;CHAR(34)&amp;E299&amp;CHAR(34)&amp;", x: "&amp;F299&amp;", y: "&amp;G299&amp;", z: "&amp;H299&amp;", details: "&amp;CHAR(34)&amp;I299&amp;CHAR(34)&amp;" },"</f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3825</v>
      </c>
      <c r="C300" t="s">
        <v>2884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>"{ name: "&amp;CHAR(34)&amp;B300&amp;CHAR(34)&amp;", landmark: "&amp;CHAR(34)&amp;IF(LEN(C300)=LEN(SUBSTITUTE(C300,"Transport","")),"Korok x1","Korok x2")&amp;CHAR(34)&amp;", type: "&amp;CHAR(34)&amp;C300&amp;CHAR(34)&amp;", region: "&amp;D300&amp;", level: "&amp;CHAR(34)&amp;E300&amp;CHAR(34)&amp;", x: "&amp;F300&amp;", y: "&amp;G300&amp;", z: "&amp;H300&amp;", details: "&amp;CHAR(34)&amp;I300&amp;CHAR(34)&amp;" },"</f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3826</v>
      </c>
      <c r="C301" t="s">
        <v>2864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>"{ name: "&amp;CHAR(34)&amp;B301&amp;CHAR(34)&amp;", landmark: "&amp;CHAR(34)&amp;IF(LEN(C301)=LEN(SUBSTITUTE(C301,"Transport","")),"Korok x1","Korok x2")&amp;CHAR(34)&amp;", type: "&amp;CHAR(34)&amp;C301&amp;CHAR(34)&amp;", region: "&amp;D301&amp;", level: "&amp;CHAR(34)&amp;E301&amp;CHAR(34)&amp;", x: "&amp;F301&amp;", y: "&amp;G301&amp;", z: "&amp;H301&amp;", details: "&amp;CHAR(34)&amp;I301&amp;CHAR(34)&amp;" },"</f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3833</v>
      </c>
      <c r="C302" t="s">
        <v>2884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>"{ name: "&amp;CHAR(34)&amp;B302&amp;CHAR(34)&amp;", landmark: "&amp;CHAR(34)&amp;IF(LEN(C302)=LEN(SUBSTITUTE(C302,"Transport","")),"Korok x1","Korok x2")&amp;CHAR(34)&amp;", type: "&amp;CHAR(34)&amp;C302&amp;CHAR(34)&amp;", region: "&amp;D302&amp;", level: "&amp;CHAR(34)&amp;E302&amp;CHAR(34)&amp;", x: "&amp;F302&amp;", y: "&amp;G302&amp;", z: "&amp;H302&amp;", details: "&amp;CHAR(34)&amp;I302&amp;CHAR(34)&amp;" },"</f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3836</v>
      </c>
      <c r="C303" t="s">
        <v>2875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>"{ name: "&amp;CHAR(34)&amp;B303&amp;CHAR(34)&amp;", landmark: "&amp;CHAR(34)&amp;IF(LEN(C303)=LEN(SUBSTITUTE(C303,"Transport","")),"Korok x1","Korok x2")&amp;CHAR(34)&amp;", type: "&amp;CHAR(34)&amp;C303&amp;CHAR(34)&amp;", region: "&amp;D303&amp;", level: "&amp;CHAR(34)&amp;E303&amp;CHAR(34)&amp;", x: "&amp;F303&amp;", y: "&amp;G303&amp;", z: "&amp;H303&amp;", details: "&amp;CHAR(34)&amp;I303&amp;CHAR(34)&amp;" },"</f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3837</v>
      </c>
      <c r="C304" t="s">
        <v>2887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>"{ name: "&amp;CHAR(34)&amp;B304&amp;CHAR(34)&amp;", landmark: "&amp;CHAR(34)&amp;IF(LEN(C304)=LEN(SUBSTITUTE(C304,"Transport","")),"Korok x1","Korok x2")&amp;CHAR(34)&amp;", type: "&amp;CHAR(34)&amp;C304&amp;CHAR(34)&amp;", region: "&amp;D304&amp;", level: "&amp;CHAR(34)&amp;E304&amp;CHAR(34)&amp;", x: "&amp;F304&amp;", y: "&amp;G304&amp;", z: "&amp;H304&amp;", details: "&amp;CHAR(34)&amp;I304&amp;CHAR(34)&amp;" },"</f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3838</v>
      </c>
      <c r="C305" t="s">
        <v>2875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>"{ name: "&amp;CHAR(34)&amp;B305&amp;CHAR(34)&amp;", landmark: "&amp;CHAR(34)&amp;IF(LEN(C305)=LEN(SUBSTITUTE(C305,"Transport","")),"Korok x1","Korok x2")&amp;CHAR(34)&amp;", type: "&amp;CHAR(34)&amp;C305&amp;CHAR(34)&amp;", region: "&amp;D305&amp;", level: "&amp;CHAR(34)&amp;E305&amp;CHAR(34)&amp;", x: "&amp;F305&amp;", y: "&amp;G305&amp;", z: "&amp;H305&amp;", details: "&amp;CHAR(34)&amp;I305&amp;CHAR(34)&amp;" },"</f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3839</v>
      </c>
      <c r="C306" t="s">
        <v>2865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2744</v>
      </c>
      <c r="J306" t="str">
        <f>"{ name: "&amp;CHAR(34)&amp;B306&amp;CHAR(34)&amp;", landmark: "&amp;CHAR(34)&amp;IF(LEN(C306)=LEN(SUBSTITUTE(C306,"Transport","")),"Korok x1","Korok x2")&amp;CHAR(34)&amp;", type: "&amp;CHAR(34)&amp;C306&amp;CHAR(34)&amp;", region: "&amp;D306&amp;", level: "&amp;CHAR(34)&amp;E306&amp;CHAR(34)&amp;", x: "&amp;F306&amp;", y: "&amp;G306&amp;", z: "&amp;H306&amp;", details: "&amp;CHAR(34)&amp;I306&amp;CHAR(34)&amp;" },"</f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3876</v>
      </c>
      <c r="C307" t="s">
        <v>2865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2743</v>
      </c>
      <c r="J307" t="str">
        <f>"{ name: "&amp;CHAR(34)&amp;B307&amp;CHAR(34)&amp;", landmark: "&amp;CHAR(34)&amp;IF(LEN(C307)=LEN(SUBSTITUTE(C307,"Transport","")),"Korok x1","Korok x2")&amp;CHAR(34)&amp;", type: "&amp;CHAR(34)&amp;C307&amp;CHAR(34)&amp;", region: "&amp;D307&amp;", level: "&amp;CHAR(34)&amp;E307&amp;CHAR(34)&amp;", x: "&amp;F307&amp;", y: "&amp;G307&amp;", z: "&amp;H307&amp;", details: "&amp;CHAR(34)&amp;I307&amp;CHAR(34)&amp;" },"</f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3877</v>
      </c>
      <c r="C308" t="s">
        <v>2890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2841</v>
      </c>
      <c r="J308" t="str">
        <f>"{ name: "&amp;CHAR(34)&amp;B308&amp;CHAR(34)&amp;", landmark: "&amp;CHAR(34)&amp;IF(LEN(C308)=LEN(SUBSTITUTE(C308,"Transport","")),"Korok x1","Korok x2")&amp;CHAR(34)&amp;", type: "&amp;CHAR(34)&amp;C308&amp;CHAR(34)&amp;", region: "&amp;D308&amp;", level: "&amp;CHAR(34)&amp;E308&amp;CHAR(34)&amp;", x: "&amp;F308&amp;", y: "&amp;G308&amp;", z: "&amp;H308&amp;", details: "&amp;CHAR(34)&amp;I308&amp;CHAR(34)&amp;" },"</f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3987</v>
      </c>
      <c r="C309" t="s">
        <v>2889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>"{ name: "&amp;CHAR(34)&amp;B309&amp;CHAR(34)&amp;", landmark: "&amp;CHAR(34)&amp;IF(LEN(C309)=LEN(SUBSTITUTE(C309,"Transport","")),"Korok x1","Korok x2")&amp;CHAR(34)&amp;", type: "&amp;CHAR(34)&amp;C309&amp;CHAR(34)&amp;", region: "&amp;D309&amp;", level: "&amp;CHAR(34)&amp;E309&amp;CHAR(34)&amp;", x: "&amp;F309&amp;", y: "&amp;G309&amp;", z: "&amp;H309&amp;", details: "&amp;CHAR(34)&amp;I309&amp;CHAR(34)&amp;" },"</f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4005</v>
      </c>
      <c r="C310" t="s">
        <v>2865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2748</v>
      </c>
      <c r="J310" t="str">
        <f>"{ name: "&amp;CHAR(34)&amp;B310&amp;CHAR(34)&amp;", landmark: "&amp;CHAR(34)&amp;IF(LEN(C310)=LEN(SUBSTITUTE(C310,"Transport","")),"Korok x1","Korok x2")&amp;CHAR(34)&amp;", type: "&amp;CHAR(34)&amp;C310&amp;CHAR(34)&amp;", region: "&amp;D310&amp;", level: "&amp;CHAR(34)&amp;E310&amp;CHAR(34)&amp;", x: "&amp;F310&amp;", y: "&amp;G310&amp;", z: "&amp;H310&amp;", details: "&amp;CHAR(34)&amp;I310&amp;CHAR(34)&amp;" },"</f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4006</v>
      </c>
      <c r="C311" t="s">
        <v>2871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>"{ name: "&amp;CHAR(34)&amp;B311&amp;CHAR(34)&amp;", landmark: "&amp;CHAR(34)&amp;IF(LEN(C311)=LEN(SUBSTITUTE(C311,"Transport","")),"Korok x1","Korok x2")&amp;CHAR(34)&amp;", type: "&amp;CHAR(34)&amp;C311&amp;CHAR(34)&amp;", region: "&amp;D311&amp;", level: "&amp;CHAR(34)&amp;E311&amp;CHAR(34)&amp;", x: "&amp;F311&amp;", y: "&amp;G311&amp;", z: "&amp;H311&amp;", details: "&amp;CHAR(34)&amp;I311&amp;CHAR(34)&amp;" },"</f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4007</v>
      </c>
      <c r="C312" t="s">
        <v>2877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>"{ name: "&amp;CHAR(34)&amp;B312&amp;CHAR(34)&amp;", landmark: "&amp;CHAR(34)&amp;IF(LEN(C312)=LEN(SUBSTITUTE(C312,"Transport","")),"Korok x1","Korok x2")&amp;CHAR(34)&amp;", type: "&amp;CHAR(34)&amp;C312&amp;CHAR(34)&amp;", region: "&amp;D312&amp;", level: "&amp;CHAR(34)&amp;E312&amp;CHAR(34)&amp;", x: "&amp;F312&amp;", y: "&amp;G312&amp;", z: "&amp;H312&amp;", details: "&amp;CHAR(34)&amp;I312&amp;CHAR(34)&amp;" },"</f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4008</v>
      </c>
      <c r="C313" t="s">
        <v>2875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>"{ name: "&amp;CHAR(34)&amp;B313&amp;CHAR(34)&amp;", landmark: "&amp;CHAR(34)&amp;IF(LEN(C313)=LEN(SUBSTITUTE(C313,"Transport","")),"Korok x1","Korok x2")&amp;CHAR(34)&amp;", type: "&amp;CHAR(34)&amp;C313&amp;CHAR(34)&amp;", region: "&amp;D313&amp;", level: "&amp;CHAR(34)&amp;E313&amp;CHAR(34)&amp;", x: "&amp;F313&amp;", y: "&amp;G313&amp;", z: "&amp;H313&amp;", details: "&amp;CHAR(34)&amp;I313&amp;CHAR(34)&amp;" },"</f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4009</v>
      </c>
      <c r="C314" t="s">
        <v>2864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>"{ name: "&amp;CHAR(34)&amp;B314&amp;CHAR(34)&amp;", landmark: "&amp;CHAR(34)&amp;IF(LEN(C314)=LEN(SUBSTITUTE(C314,"Transport","")),"Korok x1","Korok x2")&amp;CHAR(34)&amp;", type: "&amp;CHAR(34)&amp;C314&amp;CHAR(34)&amp;", region: "&amp;D314&amp;", level: "&amp;CHAR(34)&amp;E314&amp;CHAR(34)&amp;", x: "&amp;F314&amp;", y: "&amp;G314&amp;", z: "&amp;H314&amp;", details: "&amp;CHAR(34)&amp;I314&amp;CHAR(34)&amp;" },"</f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4039</v>
      </c>
      <c r="C315" t="s">
        <v>2878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>"{ name: "&amp;CHAR(34)&amp;B315&amp;CHAR(34)&amp;", landmark: "&amp;CHAR(34)&amp;IF(LEN(C315)=LEN(SUBSTITUTE(C315,"Transport","")),"Korok x1","Korok x2")&amp;CHAR(34)&amp;", type: "&amp;CHAR(34)&amp;C315&amp;CHAR(34)&amp;", region: "&amp;D315&amp;", level: "&amp;CHAR(34)&amp;E315&amp;CHAR(34)&amp;", x: "&amp;F315&amp;", y: "&amp;G315&amp;", z: "&amp;H315&amp;", details: "&amp;CHAR(34)&amp;I315&amp;CHAR(34)&amp;" },"</f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4040</v>
      </c>
      <c r="C316" t="s">
        <v>2884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>"{ name: "&amp;CHAR(34)&amp;B316&amp;CHAR(34)&amp;", landmark: "&amp;CHAR(34)&amp;IF(LEN(C316)=LEN(SUBSTITUTE(C316,"Transport","")),"Korok x1","Korok x2")&amp;CHAR(34)&amp;", type: "&amp;CHAR(34)&amp;C316&amp;CHAR(34)&amp;", region: "&amp;D316&amp;", level: "&amp;CHAR(34)&amp;E316&amp;CHAR(34)&amp;", x: "&amp;F316&amp;", y: "&amp;G316&amp;", z: "&amp;H316&amp;", details: "&amp;CHAR(34)&amp;I316&amp;CHAR(34)&amp;" },"</f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4041</v>
      </c>
      <c r="C317" t="s">
        <v>2866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>"{ name: "&amp;CHAR(34)&amp;B317&amp;CHAR(34)&amp;", landmark: "&amp;CHAR(34)&amp;IF(LEN(C317)=LEN(SUBSTITUTE(C317,"Transport","")),"Korok x1","Korok x2")&amp;CHAR(34)&amp;", type: "&amp;CHAR(34)&amp;C317&amp;CHAR(34)&amp;", region: "&amp;D317&amp;", level: "&amp;CHAR(34)&amp;E317&amp;CHAR(34)&amp;", x: "&amp;F317&amp;", y: "&amp;G317&amp;", z: "&amp;H317&amp;", details: "&amp;CHAR(34)&amp;I317&amp;CHAR(34)&amp;" },"</f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4056</v>
      </c>
      <c r="C318" t="s">
        <v>2870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>"{ name: "&amp;CHAR(34)&amp;B318&amp;CHAR(34)&amp;", landmark: "&amp;CHAR(34)&amp;IF(LEN(C318)=LEN(SUBSTITUTE(C318,"Transport","")),"Korok x1","Korok x2")&amp;CHAR(34)&amp;", type: "&amp;CHAR(34)&amp;C318&amp;CHAR(34)&amp;", region: "&amp;D318&amp;", level: "&amp;CHAR(34)&amp;E318&amp;CHAR(34)&amp;", x: "&amp;F318&amp;", y: "&amp;G318&amp;", z: "&amp;H318&amp;", details: "&amp;CHAR(34)&amp;I318&amp;CHAR(34)&amp;" },"</f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4057</v>
      </c>
      <c r="C319" t="s">
        <v>2878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>"{ name: "&amp;CHAR(34)&amp;B319&amp;CHAR(34)&amp;", landmark: "&amp;CHAR(34)&amp;IF(LEN(C319)=LEN(SUBSTITUTE(C319,"Transport","")),"Korok x1","Korok x2")&amp;CHAR(34)&amp;", type: "&amp;CHAR(34)&amp;C319&amp;CHAR(34)&amp;", region: "&amp;D319&amp;", level: "&amp;CHAR(34)&amp;E319&amp;CHAR(34)&amp;", x: "&amp;F319&amp;", y: "&amp;G319&amp;", z: "&amp;H319&amp;", details: "&amp;CHAR(34)&amp;I319&amp;CHAR(34)&amp;" },"</f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4058</v>
      </c>
      <c r="C320" t="s">
        <v>2884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>"{ name: "&amp;CHAR(34)&amp;B320&amp;CHAR(34)&amp;", landmark: "&amp;CHAR(34)&amp;IF(LEN(C320)=LEN(SUBSTITUTE(C320,"Transport","")),"Korok x1","Korok x2")&amp;CHAR(34)&amp;", type: "&amp;CHAR(34)&amp;C320&amp;CHAR(34)&amp;", region: "&amp;D320&amp;", level: "&amp;CHAR(34)&amp;E320&amp;CHAR(34)&amp;", x: "&amp;F320&amp;", y: "&amp;G320&amp;", z: "&amp;H320&amp;", details: "&amp;CHAR(34)&amp;I320&amp;CHAR(34)&amp;" },"</f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3303</v>
      </c>
      <c r="C321" t="s">
        <v>2877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>"{ name: "&amp;CHAR(34)&amp;B321&amp;CHAR(34)&amp;", landmark: "&amp;CHAR(34)&amp;IF(LEN(C321)=LEN(SUBSTITUTE(C321,"Transport","")),"Korok x1","Korok x2")&amp;CHAR(34)&amp;", type: "&amp;CHAR(34)&amp;C321&amp;CHAR(34)&amp;", region: "&amp;D321&amp;", level: "&amp;CHAR(34)&amp;E321&amp;CHAR(34)&amp;", x: "&amp;F321&amp;", y: "&amp;G321&amp;", z: "&amp;H321&amp;", details: "&amp;CHAR(34)&amp;I321&amp;CHAR(34)&amp;" },"</f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3338</v>
      </c>
      <c r="C322" t="s">
        <v>2869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3386</v>
      </c>
      <c r="C323" t="s">
        <v>2865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2702</v>
      </c>
      <c r="J323" t="str">
        <f>"{ name: "&amp;CHAR(34)&amp;B323&amp;CHAR(34)&amp;", landmark: "&amp;CHAR(34)&amp;IF(LEN(C323)=LEN(SUBSTITUTE(C323,"Transport","")),"Korok x1","Korok x2")&amp;CHAR(34)&amp;", type: "&amp;CHAR(34)&amp;C323&amp;CHAR(34)&amp;", region: "&amp;D323&amp;", level: "&amp;CHAR(34)&amp;E323&amp;CHAR(34)&amp;", x: "&amp;F323&amp;", y: "&amp;G323&amp;", z: "&amp;H323&amp;", details: "&amp;CHAR(34)&amp;I323&amp;CHAR(34)&amp;" },"</f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3407</v>
      </c>
      <c r="C324" t="s">
        <v>2871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>"{ name: "&amp;CHAR(34)&amp;B324&amp;CHAR(34)&amp;", landmark: "&amp;CHAR(34)&amp;IF(LEN(C324)=LEN(SUBSTITUTE(C324,"Transport","")),"Korok x1","Korok x2")&amp;CHAR(34)&amp;", type: "&amp;CHAR(34)&amp;C324&amp;CHAR(34)&amp;", region: "&amp;D324&amp;", level: "&amp;CHAR(34)&amp;E324&amp;CHAR(34)&amp;", x: "&amp;F324&amp;", y: "&amp;G324&amp;", z: "&amp;H324&amp;", details: "&amp;CHAR(34)&amp;I324&amp;CHAR(34)&amp;" },"</f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3408</v>
      </c>
      <c r="C325" t="s">
        <v>2865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2673</v>
      </c>
      <c r="J325" t="str">
        <f>"{ name: "&amp;CHAR(34)&amp;B325&amp;CHAR(34)&amp;", landmark: "&amp;CHAR(34)&amp;IF(LEN(C325)=LEN(SUBSTITUTE(C325,"Transport","")),"Korok x1","Korok x2")&amp;CHAR(34)&amp;", type: "&amp;CHAR(34)&amp;C325&amp;CHAR(34)&amp;", region: "&amp;D325&amp;", level: "&amp;CHAR(34)&amp;E325&amp;CHAR(34)&amp;", x: "&amp;F325&amp;", y: "&amp;G325&amp;", z: "&amp;H325&amp;", details: "&amp;CHAR(34)&amp;I325&amp;CHAR(34)&amp;" },"</f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3429</v>
      </c>
      <c r="C326" t="s">
        <v>2865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2714</v>
      </c>
      <c r="J326" t="str">
        <f>"{ name: "&amp;CHAR(34)&amp;B326&amp;CHAR(34)&amp;", landmark: "&amp;CHAR(34)&amp;IF(LEN(C326)=LEN(SUBSTITUTE(C326,"Transport","")),"Korok x1","Korok x2")&amp;CHAR(34)&amp;", type: "&amp;CHAR(34)&amp;C326&amp;CHAR(34)&amp;", region: "&amp;D326&amp;", level: "&amp;CHAR(34)&amp;E326&amp;CHAR(34)&amp;", x: "&amp;F326&amp;", y: "&amp;G326&amp;", z: "&amp;H326&amp;", details: "&amp;CHAR(34)&amp;I326&amp;CHAR(34)&amp;" },"</f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3453</v>
      </c>
      <c r="C327" t="s">
        <v>2888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>"{ name: "&amp;CHAR(34)&amp;B327&amp;CHAR(34)&amp;", landmark: "&amp;CHAR(34)&amp;IF(LEN(C327)=LEN(SUBSTITUTE(C327,"Transport","")),"Korok x1","Korok x2")&amp;CHAR(34)&amp;", type: "&amp;CHAR(34)&amp;C327&amp;CHAR(34)&amp;", region: "&amp;D327&amp;", level: "&amp;CHAR(34)&amp;E327&amp;CHAR(34)&amp;", x: "&amp;F327&amp;", y: "&amp;G327&amp;", z: "&amp;H327&amp;", details: "&amp;CHAR(34)&amp;I327&amp;CHAR(34)&amp;" },"</f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3455</v>
      </c>
      <c r="C328" t="s">
        <v>2888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>"{ name: "&amp;CHAR(34)&amp;B328&amp;CHAR(34)&amp;", landmark: "&amp;CHAR(34)&amp;IF(LEN(C328)=LEN(SUBSTITUTE(C328,"Transport","")),"Korok x1","Korok x2")&amp;CHAR(34)&amp;", type: "&amp;CHAR(34)&amp;C328&amp;CHAR(34)&amp;", region: "&amp;D328&amp;", level: "&amp;CHAR(34)&amp;E328&amp;CHAR(34)&amp;", x: "&amp;F328&amp;", y: "&amp;G328&amp;", z: "&amp;H328&amp;", details: "&amp;CHAR(34)&amp;I328&amp;CHAR(34)&amp;" },"</f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3631</v>
      </c>
      <c r="C329" t="s">
        <v>2865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2678</v>
      </c>
      <c r="J329" t="str">
        <f>"{ name: "&amp;CHAR(34)&amp;B329&amp;CHAR(34)&amp;", landmark: "&amp;CHAR(34)&amp;IF(LEN(C329)=LEN(SUBSTITUTE(C329,"Transport","")),"Korok x1","Korok x2")&amp;CHAR(34)&amp;", type: "&amp;CHAR(34)&amp;C329&amp;CHAR(34)&amp;", region: "&amp;D329&amp;", level: "&amp;CHAR(34)&amp;E329&amp;CHAR(34)&amp;", x: "&amp;F329&amp;", y: "&amp;G329&amp;", z: "&amp;H329&amp;", details: "&amp;CHAR(34)&amp;I329&amp;CHAR(34)&amp;" },"</f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3640</v>
      </c>
      <c r="C330" t="s">
        <v>2864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>"{ name: "&amp;CHAR(34)&amp;B330&amp;CHAR(34)&amp;", landmark: "&amp;CHAR(34)&amp;IF(LEN(C330)=LEN(SUBSTITUTE(C330,"Transport","")),"Korok x1","Korok x2")&amp;CHAR(34)&amp;", type: "&amp;CHAR(34)&amp;C330&amp;CHAR(34)&amp;", region: "&amp;D330&amp;", level: "&amp;CHAR(34)&amp;E330&amp;CHAR(34)&amp;", x: "&amp;F330&amp;", y: "&amp;G330&amp;", z: "&amp;H330&amp;", details: "&amp;CHAR(34)&amp;I330&amp;CHAR(34)&amp;" },"</f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3691</v>
      </c>
      <c r="C331" t="s">
        <v>2872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>"{ name: "&amp;CHAR(34)&amp;B331&amp;CHAR(34)&amp;", landmark: "&amp;CHAR(34)&amp;IF(LEN(C331)=LEN(SUBSTITUTE(C331,"Transport","")),"Korok x1","Korok x2")&amp;CHAR(34)&amp;", type: "&amp;CHAR(34)&amp;C331&amp;CHAR(34)&amp;", region: "&amp;D331&amp;", level: "&amp;CHAR(34)&amp;E331&amp;CHAR(34)&amp;", x: "&amp;F331&amp;", y: "&amp;G331&amp;", z: "&amp;H331&amp;", details: "&amp;CHAR(34)&amp;I331&amp;CHAR(34)&amp;" },"</f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3777</v>
      </c>
      <c r="C332" t="s">
        <v>2879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>"{ name: "&amp;CHAR(34)&amp;B332&amp;CHAR(34)&amp;", landmark: "&amp;CHAR(34)&amp;IF(LEN(C332)=LEN(SUBSTITUTE(C332,"Transport","")),"Korok x1","Korok x2")&amp;CHAR(34)&amp;", type: "&amp;CHAR(34)&amp;C332&amp;CHAR(34)&amp;", region: "&amp;D332&amp;", level: "&amp;CHAR(34)&amp;E332&amp;CHAR(34)&amp;", x: "&amp;F332&amp;", y: "&amp;G332&amp;", z: "&amp;H332&amp;", details: "&amp;CHAR(34)&amp;I332&amp;CHAR(34)&amp;" },"</f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3822</v>
      </c>
      <c r="C333" t="s">
        <v>2891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>"{ name: "&amp;CHAR(34)&amp;B333&amp;CHAR(34)&amp;", landmark: "&amp;CHAR(34)&amp;IF(LEN(C333)=LEN(SUBSTITUTE(C333,"Transport","")),"Korok x1","Korok x2")&amp;CHAR(34)&amp;", type: "&amp;CHAR(34)&amp;C333&amp;CHAR(34)&amp;", region: "&amp;D333&amp;", level: "&amp;CHAR(34)&amp;E333&amp;CHAR(34)&amp;", x: "&amp;F333&amp;", y: "&amp;G333&amp;", z: "&amp;H333&amp;", details: "&amp;CHAR(34)&amp;I333&amp;CHAR(34)&amp;" },"</f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3901</v>
      </c>
      <c r="C334" t="s">
        <v>2864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>"{ name: "&amp;CHAR(34)&amp;B334&amp;CHAR(34)&amp;", landmark: "&amp;CHAR(34)&amp;IF(LEN(C334)=LEN(SUBSTITUTE(C334,"Transport","")),"Korok x1","Korok x2")&amp;CHAR(34)&amp;", type: "&amp;CHAR(34)&amp;C334&amp;CHAR(34)&amp;", region: "&amp;D334&amp;", level: "&amp;CHAR(34)&amp;E334&amp;CHAR(34)&amp;", x: "&amp;F334&amp;", y: "&amp;G334&amp;", z: "&amp;H334&amp;", details: "&amp;CHAR(34)&amp;I334&amp;CHAR(34)&amp;" },"</f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3953</v>
      </c>
      <c r="C335" t="s">
        <v>2865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2677</v>
      </c>
      <c r="J335" t="str">
        <f>"{ name: "&amp;CHAR(34)&amp;B335&amp;CHAR(34)&amp;", landmark: "&amp;CHAR(34)&amp;IF(LEN(C335)=LEN(SUBSTITUTE(C335,"Transport","")),"Korok x1","Korok x2")&amp;CHAR(34)&amp;", type: "&amp;CHAR(34)&amp;C335&amp;CHAR(34)&amp;", region: "&amp;D335&amp;", level: "&amp;CHAR(34)&amp;E335&amp;CHAR(34)&amp;", x: "&amp;F335&amp;", y: "&amp;G335&amp;", z: "&amp;H335&amp;", details: "&amp;CHAR(34)&amp;I335&amp;CHAR(34)&amp;" },"</f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4079</v>
      </c>
      <c r="C336" t="s">
        <v>2875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>"{ name: "&amp;CHAR(34)&amp;B336&amp;CHAR(34)&amp;", landmark: "&amp;CHAR(34)&amp;IF(LEN(C336)=LEN(SUBSTITUTE(C336,"Transport","")),"Korok x1","Korok x2")&amp;CHAR(34)&amp;", type: "&amp;CHAR(34)&amp;C336&amp;CHAR(34)&amp;", region: "&amp;D336&amp;", level: "&amp;CHAR(34)&amp;E336&amp;CHAR(34)&amp;", x: "&amp;F336&amp;", y: "&amp;G336&amp;", z: "&amp;H336&amp;", details: "&amp;CHAR(34)&amp;I336&amp;CHAR(34)&amp;" },"</f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4080</v>
      </c>
      <c r="C337" t="s">
        <v>2890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2809</v>
      </c>
      <c r="J337" t="str">
        <f>"{ name: "&amp;CHAR(34)&amp;B337&amp;CHAR(34)&amp;", landmark: "&amp;CHAR(34)&amp;IF(LEN(C337)=LEN(SUBSTITUTE(C337,"Transport","")),"Korok x1","Korok x2")&amp;CHAR(34)&amp;", type: "&amp;CHAR(34)&amp;C337&amp;CHAR(34)&amp;", region: "&amp;D337&amp;", level: "&amp;CHAR(34)&amp;E337&amp;CHAR(34)&amp;", x: "&amp;F337&amp;", y: "&amp;G337&amp;", z: "&amp;H337&amp;", details: "&amp;CHAR(34)&amp;I337&amp;CHAR(34)&amp;" },"</f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4081</v>
      </c>
      <c r="C338" t="s">
        <v>2875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>"{ name: "&amp;CHAR(34)&amp;B338&amp;CHAR(34)&amp;", landmark: "&amp;CHAR(34)&amp;IF(LEN(C338)=LEN(SUBSTITUTE(C338,"Transport","")),"Korok x1","Korok x2")&amp;CHAR(34)&amp;", type: "&amp;CHAR(34)&amp;C338&amp;CHAR(34)&amp;", region: "&amp;D338&amp;", level: "&amp;CHAR(34)&amp;E338&amp;CHAR(34)&amp;", x: "&amp;F338&amp;", y: "&amp;G338&amp;", z: "&amp;H338&amp;", details: "&amp;CHAR(34)&amp;I338&amp;CHAR(34)&amp;" },"</f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4082</v>
      </c>
      <c r="C339" t="s">
        <v>2875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>"{ name: "&amp;CHAR(34)&amp;B339&amp;CHAR(34)&amp;", landmark: "&amp;CHAR(34)&amp;IF(LEN(C339)=LEN(SUBSTITUTE(C339,"Transport","")),"Korok x1","Korok x2")&amp;CHAR(34)&amp;", type: "&amp;CHAR(34)&amp;C339&amp;CHAR(34)&amp;", region: "&amp;D339&amp;", level: "&amp;CHAR(34)&amp;E339&amp;CHAR(34)&amp;", x: "&amp;F339&amp;", y: "&amp;G339&amp;", z: "&amp;H339&amp;", details: "&amp;CHAR(34)&amp;I339&amp;CHAR(34)&amp;" },"</f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4083</v>
      </c>
      <c r="C340" t="s">
        <v>2870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>"{ name: "&amp;CHAR(34)&amp;B340&amp;CHAR(34)&amp;", landmark: "&amp;CHAR(34)&amp;IF(LEN(C340)=LEN(SUBSTITUTE(C340,"Transport","")),"Korok x1","Korok x2")&amp;CHAR(34)&amp;", type: "&amp;CHAR(34)&amp;C340&amp;CHAR(34)&amp;", region: "&amp;D340&amp;", level: "&amp;CHAR(34)&amp;E340&amp;CHAR(34)&amp;", x: "&amp;F340&amp;", y: "&amp;G340&amp;", z: "&amp;H340&amp;", details: "&amp;CHAR(34)&amp;I340&amp;CHAR(34)&amp;" },"</f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4084</v>
      </c>
      <c r="C341" t="s">
        <v>2865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2674</v>
      </c>
      <c r="J341" t="str">
        <f>"{ name: "&amp;CHAR(34)&amp;B341&amp;CHAR(34)&amp;", landmark: "&amp;CHAR(34)&amp;IF(LEN(C341)=LEN(SUBSTITUTE(C341,"Transport","")),"Korok x1","Korok x2")&amp;CHAR(34)&amp;", type: "&amp;CHAR(34)&amp;C341&amp;CHAR(34)&amp;", region: "&amp;D341&amp;", level: "&amp;CHAR(34)&amp;E341&amp;CHAR(34)&amp;", x: "&amp;F341&amp;", y: "&amp;G341&amp;", z: "&amp;H341&amp;", details: "&amp;CHAR(34)&amp;I341&amp;CHAR(34)&amp;" },"</f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4085</v>
      </c>
      <c r="C342" t="s">
        <v>2875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>"{ name: "&amp;CHAR(34)&amp;B342&amp;CHAR(34)&amp;", landmark: "&amp;CHAR(34)&amp;IF(LEN(C342)=LEN(SUBSTITUTE(C342,"Transport","")),"Korok x1","Korok x2")&amp;CHAR(34)&amp;", type: "&amp;CHAR(34)&amp;C342&amp;CHAR(34)&amp;", region: "&amp;D342&amp;", level: "&amp;CHAR(34)&amp;E342&amp;CHAR(34)&amp;", x: "&amp;F342&amp;", y: "&amp;G342&amp;", z: "&amp;H342&amp;", details: "&amp;CHAR(34)&amp;I342&amp;CHAR(34)&amp;" },"</f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4132</v>
      </c>
      <c r="C343" t="s">
        <v>2865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2713</v>
      </c>
      <c r="J343" t="str">
        <f>"{ name: "&amp;CHAR(34)&amp;B343&amp;CHAR(34)&amp;", landmark: "&amp;CHAR(34)&amp;IF(LEN(C343)=LEN(SUBSTITUTE(C343,"Transport","")),"Korok x1","Korok x2")&amp;CHAR(34)&amp;", type: "&amp;CHAR(34)&amp;C343&amp;CHAR(34)&amp;", region: "&amp;D343&amp;", level: "&amp;CHAR(34)&amp;E343&amp;CHAR(34)&amp;", x: "&amp;F343&amp;", y: "&amp;G343&amp;", z: "&amp;H343&amp;", details: "&amp;CHAR(34)&amp;I343&amp;CHAR(34)&amp;" },"</f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3296</v>
      </c>
      <c r="C344" t="s">
        <v>2879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>"{ name: "&amp;CHAR(34)&amp;B344&amp;CHAR(34)&amp;", landmark: "&amp;CHAR(34)&amp;IF(LEN(C344)=LEN(SUBSTITUTE(C344,"Transport","")),"Korok x1","Korok x2")&amp;CHAR(34)&amp;", type: "&amp;CHAR(34)&amp;C344&amp;CHAR(34)&amp;", region: "&amp;D344&amp;", level: "&amp;CHAR(34)&amp;E344&amp;CHAR(34)&amp;", x: "&amp;F344&amp;", y: "&amp;G344&amp;", z: "&amp;H344&amp;", details: "&amp;CHAR(34)&amp;I344&amp;CHAR(34)&amp;" },"</f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3299</v>
      </c>
      <c r="C345" t="s">
        <v>2865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2668</v>
      </c>
      <c r="J345" t="str">
        <f>"{ name: "&amp;CHAR(34)&amp;B345&amp;CHAR(34)&amp;", landmark: "&amp;CHAR(34)&amp;IF(LEN(C345)=LEN(SUBSTITUTE(C345,"Transport","")),"Korok x1","Korok x2")&amp;CHAR(34)&amp;", type: "&amp;CHAR(34)&amp;C345&amp;CHAR(34)&amp;", region: "&amp;D345&amp;", level: "&amp;CHAR(34)&amp;E345&amp;CHAR(34)&amp;", x: "&amp;F345&amp;", y: "&amp;G345&amp;", z: "&amp;H345&amp;", details: "&amp;CHAR(34)&amp;I345&amp;CHAR(34)&amp;" },"</f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3300</v>
      </c>
      <c r="C346" t="s">
        <v>2884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>"{ name: "&amp;CHAR(34)&amp;B346&amp;CHAR(34)&amp;", landmark: "&amp;CHAR(34)&amp;IF(LEN(C346)=LEN(SUBSTITUTE(C346,"Transport","")),"Korok x1","Korok x2")&amp;CHAR(34)&amp;", type: "&amp;CHAR(34)&amp;C346&amp;CHAR(34)&amp;", region: "&amp;D346&amp;", level: "&amp;CHAR(34)&amp;E346&amp;CHAR(34)&amp;", x: "&amp;F346&amp;", y: "&amp;G346&amp;", z: "&amp;H346&amp;", details: "&amp;CHAR(34)&amp;I346&amp;CHAR(34)&amp;" },"</f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3319</v>
      </c>
      <c r="C347" t="s">
        <v>2888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>"{ name: "&amp;CHAR(34)&amp;B347&amp;CHAR(34)&amp;", landmark: "&amp;CHAR(34)&amp;IF(LEN(C347)=LEN(SUBSTITUTE(C347,"Transport","")),"Korok x1","Korok x2")&amp;CHAR(34)&amp;", type: "&amp;CHAR(34)&amp;C347&amp;CHAR(34)&amp;", region: "&amp;D347&amp;", level: "&amp;CHAR(34)&amp;E347&amp;CHAR(34)&amp;", x: "&amp;F347&amp;", y: "&amp;G347&amp;", z: "&amp;H347&amp;", details: "&amp;CHAR(34)&amp;I347&amp;CHAR(34)&amp;" },"</f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3342</v>
      </c>
      <c r="C348" t="s">
        <v>2874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2826</v>
      </c>
      <c r="J348" t="str">
        <f>"{ name: "&amp;CHAR(34)&amp;B348&amp;CHAR(34)&amp;", landmark: "&amp;CHAR(34)&amp;IF(LEN(C348)=LEN(SUBSTITUTE(C348,"Transport","")),"Korok x1","Korok x2")&amp;CHAR(34)&amp;", type: "&amp;CHAR(34)&amp;C348&amp;CHAR(34)&amp;", region: "&amp;D348&amp;", level: "&amp;CHAR(34)&amp;E348&amp;CHAR(34)&amp;", x: "&amp;F348&amp;", y: "&amp;G348&amp;", z: "&amp;H348&amp;", details: "&amp;CHAR(34)&amp;I348&amp;CHAR(34)&amp;" },"</f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3347</v>
      </c>
      <c r="C349" t="s">
        <v>2871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>"{ name: "&amp;CHAR(34)&amp;B349&amp;CHAR(34)&amp;", landmark: "&amp;CHAR(34)&amp;IF(LEN(C349)=LEN(SUBSTITUTE(C349,"Transport","")),"Korok x1","Korok x2")&amp;CHAR(34)&amp;", type: "&amp;CHAR(34)&amp;C349&amp;CHAR(34)&amp;", region: "&amp;D349&amp;", level: "&amp;CHAR(34)&amp;E349&amp;CHAR(34)&amp;", x: "&amp;F349&amp;", y: "&amp;G349&amp;", z: "&amp;H349&amp;", details: "&amp;CHAR(34)&amp;I349&amp;CHAR(34)&amp;" },"</f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3362</v>
      </c>
      <c r="C350" t="s">
        <v>2880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2711</v>
      </c>
      <c r="J350" t="str">
        <f>"{ name: "&amp;CHAR(34)&amp;B350&amp;CHAR(34)&amp;", landmark: "&amp;CHAR(34)&amp;IF(LEN(C350)=LEN(SUBSTITUTE(C350,"Transport","")),"Korok x1","Korok x2")&amp;CHAR(34)&amp;", type: "&amp;CHAR(34)&amp;C350&amp;CHAR(34)&amp;", region: "&amp;D350&amp;", level: "&amp;CHAR(34)&amp;E350&amp;CHAR(34)&amp;", x: "&amp;F350&amp;", y: "&amp;G350&amp;", z: "&amp;H350&amp;", details: "&amp;CHAR(34)&amp;I350&amp;CHAR(34)&amp;" },"</f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3387</v>
      </c>
      <c r="C351" t="s">
        <v>2864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>"{ name: "&amp;CHAR(34)&amp;B351&amp;CHAR(34)&amp;", landmark: "&amp;CHAR(34)&amp;IF(LEN(C351)=LEN(SUBSTITUTE(C351,"Transport","")),"Korok x1","Korok x2")&amp;CHAR(34)&amp;", type: "&amp;CHAR(34)&amp;C351&amp;CHAR(34)&amp;", region: "&amp;D351&amp;", level: "&amp;CHAR(34)&amp;E351&amp;CHAR(34)&amp;", x: "&amp;F351&amp;", y: "&amp;G351&amp;", z: "&amp;H351&amp;", details: "&amp;CHAR(34)&amp;I351&amp;CHAR(34)&amp;" },"</f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3388</v>
      </c>
      <c r="C352" t="s">
        <v>2871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>"{ name: "&amp;CHAR(34)&amp;B352&amp;CHAR(34)&amp;", landmark: "&amp;CHAR(34)&amp;IF(LEN(C352)=LEN(SUBSTITUTE(C352,"Transport","")),"Korok x1","Korok x2")&amp;CHAR(34)&amp;", type: "&amp;CHAR(34)&amp;C352&amp;CHAR(34)&amp;", region: "&amp;D352&amp;", level: "&amp;CHAR(34)&amp;E352&amp;CHAR(34)&amp;", x: "&amp;F352&amp;", y: "&amp;G352&amp;", z: "&amp;H352&amp;", details: "&amp;CHAR(34)&amp;I352&amp;CHAR(34)&amp;" },"</f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3392</v>
      </c>
      <c r="C353" t="s">
        <v>2885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>"{ name: "&amp;CHAR(34)&amp;B353&amp;CHAR(34)&amp;", landmark: "&amp;CHAR(34)&amp;IF(LEN(C353)=LEN(SUBSTITUTE(C353,"Transport","")),"Korok x1","Korok x2")&amp;CHAR(34)&amp;", type: "&amp;CHAR(34)&amp;C353&amp;CHAR(34)&amp;", region: "&amp;D353&amp;", level: "&amp;CHAR(34)&amp;E353&amp;CHAR(34)&amp;", x: "&amp;F353&amp;", y: "&amp;G353&amp;", z: "&amp;H353&amp;", details: "&amp;CHAR(34)&amp;I353&amp;CHAR(34)&amp;" },"</f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3393</v>
      </c>
      <c r="C354" t="s">
        <v>2887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>"{ name: "&amp;CHAR(34)&amp;B354&amp;CHAR(34)&amp;", landmark: "&amp;CHAR(34)&amp;IF(LEN(C354)=LEN(SUBSTITUTE(C354,"Transport","")),"Korok x1","Korok x2")&amp;CHAR(34)&amp;", type: "&amp;CHAR(34)&amp;C354&amp;CHAR(34)&amp;", region: "&amp;D354&amp;", level: "&amp;CHAR(34)&amp;E354&amp;CHAR(34)&amp;", x: "&amp;F354&amp;", y: "&amp;G354&amp;", z: "&amp;H354&amp;", details: "&amp;CHAR(34)&amp;I354&amp;CHAR(34)&amp;" },"</f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3394</v>
      </c>
      <c r="C355" t="s">
        <v>2865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2706</v>
      </c>
      <c r="J355" t="str">
        <f>"{ name: "&amp;CHAR(34)&amp;B355&amp;CHAR(34)&amp;", landmark: "&amp;CHAR(34)&amp;IF(LEN(C355)=LEN(SUBSTITUTE(C355,"Transport","")),"Korok x1","Korok x2")&amp;CHAR(34)&amp;", type: "&amp;CHAR(34)&amp;C355&amp;CHAR(34)&amp;", region: "&amp;D355&amp;", level: "&amp;CHAR(34)&amp;E355&amp;CHAR(34)&amp;", x: "&amp;F355&amp;", y: "&amp;G355&amp;", z: "&amp;H355&amp;", details: "&amp;CHAR(34)&amp;I355&amp;CHAR(34)&amp;" },"</f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3395</v>
      </c>
      <c r="C356" t="s">
        <v>2870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>"{ name: "&amp;CHAR(34)&amp;B356&amp;CHAR(34)&amp;", landmark: "&amp;CHAR(34)&amp;IF(LEN(C356)=LEN(SUBSTITUTE(C356,"Transport","")),"Korok x1","Korok x2")&amp;CHAR(34)&amp;", type: "&amp;CHAR(34)&amp;C356&amp;CHAR(34)&amp;", region: "&amp;D356&amp;", level: "&amp;CHAR(34)&amp;E356&amp;CHAR(34)&amp;", x: "&amp;F356&amp;", y: "&amp;G356&amp;", z: "&amp;H356&amp;", details: "&amp;CHAR(34)&amp;I356&amp;CHAR(34)&amp;" },"</f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3454</v>
      </c>
      <c r="C357" t="s">
        <v>2870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>"{ name: "&amp;CHAR(34)&amp;B357&amp;CHAR(34)&amp;", landmark: "&amp;CHAR(34)&amp;IF(LEN(C357)=LEN(SUBSTITUTE(C357,"Transport","")),"Korok x1","Korok x2")&amp;CHAR(34)&amp;", type: "&amp;CHAR(34)&amp;C357&amp;CHAR(34)&amp;", region: "&amp;D357&amp;", level: "&amp;CHAR(34)&amp;E357&amp;CHAR(34)&amp;", x: "&amp;F357&amp;", y: "&amp;G357&amp;", z: "&amp;H357&amp;", details: "&amp;CHAR(34)&amp;I357&amp;CHAR(34)&amp;" },"</f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3472</v>
      </c>
      <c r="C358" t="s">
        <v>2887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>"{ name: "&amp;CHAR(34)&amp;B358&amp;CHAR(34)&amp;", landmark: "&amp;CHAR(34)&amp;IF(LEN(C358)=LEN(SUBSTITUTE(C358,"Transport","")),"Korok x1","Korok x2")&amp;CHAR(34)&amp;", type: "&amp;CHAR(34)&amp;C358&amp;CHAR(34)&amp;", region: "&amp;D358&amp;", level: "&amp;CHAR(34)&amp;E358&amp;CHAR(34)&amp;", x: "&amp;F358&amp;", y: "&amp;G358&amp;", z: "&amp;H358&amp;", details: "&amp;CHAR(34)&amp;I358&amp;CHAR(34)&amp;" },"</f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3473</v>
      </c>
      <c r="C359" t="s">
        <v>2870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>"{ name: "&amp;CHAR(34)&amp;B359&amp;CHAR(34)&amp;", landmark: "&amp;CHAR(34)&amp;IF(LEN(C359)=LEN(SUBSTITUTE(C359,"Transport","")),"Korok x1","Korok x2")&amp;CHAR(34)&amp;", type: "&amp;CHAR(34)&amp;C359&amp;CHAR(34)&amp;", region: "&amp;D359&amp;", level: "&amp;CHAR(34)&amp;E359&amp;CHAR(34)&amp;", x: "&amp;F359&amp;", y: "&amp;G359&amp;", z: "&amp;H359&amp;", details: "&amp;CHAR(34)&amp;I359&amp;CHAR(34)&amp;" },"</f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3482</v>
      </c>
      <c r="C360" t="s">
        <v>2879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>"{ name: "&amp;CHAR(34)&amp;B360&amp;CHAR(34)&amp;", landmark: "&amp;CHAR(34)&amp;IF(LEN(C360)=LEN(SUBSTITUTE(C360,"Transport","")),"Korok x1","Korok x2")&amp;CHAR(34)&amp;", type: "&amp;CHAR(34)&amp;C360&amp;CHAR(34)&amp;", region: "&amp;D360&amp;", level: "&amp;CHAR(34)&amp;E360&amp;CHAR(34)&amp;", x: "&amp;F360&amp;", y: "&amp;G360&amp;", z: "&amp;H360&amp;", details: "&amp;CHAR(34)&amp;I360&amp;CHAR(34)&amp;" },"</f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3511</v>
      </c>
      <c r="C361" t="s">
        <v>2872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>"{ name: "&amp;CHAR(34)&amp;B361&amp;CHAR(34)&amp;", landmark: "&amp;CHAR(34)&amp;IF(LEN(C361)=LEN(SUBSTITUTE(C361,"Transport","")),"Korok x1","Korok x2")&amp;CHAR(34)&amp;", type: "&amp;CHAR(34)&amp;C361&amp;CHAR(34)&amp;", region: "&amp;D361&amp;", level: "&amp;CHAR(34)&amp;E361&amp;CHAR(34)&amp;", x: "&amp;F361&amp;", y: "&amp;G361&amp;", z: "&amp;H361&amp;", details: "&amp;CHAR(34)&amp;I361&amp;CHAR(34)&amp;" },"</f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3513</v>
      </c>
      <c r="C362" t="s">
        <v>2878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>"{ name: "&amp;CHAR(34)&amp;B362&amp;CHAR(34)&amp;", landmark: "&amp;CHAR(34)&amp;IF(LEN(C362)=LEN(SUBSTITUTE(C362,"Transport","")),"Korok x1","Korok x2")&amp;CHAR(34)&amp;", type: "&amp;CHAR(34)&amp;C362&amp;CHAR(34)&amp;", region: "&amp;D362&amp;", level: "&amp;CHAR(34)&amp;E362&amp;CHAR(34)&amp;", x: "&amp;F362&amp;", y: "&amp;G362&amp;", z: "&amp;H362&amp;", details: "&amp;CHAR(34)&amp;I362&amp;CHAR(34)&amp;" },"</f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3514</v>
      </c>
      <c r="C363" t="s">
        <v>2865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2705</v>
      </c>
      <c r="J363" t="str">
        <f>"{ name: "&amp;CHAR(34)&amp;B363&amp;CHAR(34)&amp;", landmark: "&amp;CHAR(34)&amp;IF(LEN(C363)=LEN(SUBSTITUTE(C363,"Transport","")),"Korok x1","Korok x2")&amp;CHAR(34)&amp;", type: "&amp;CHAR(34)&amp;C363&amp;CHAR(34)&amp;", region: "&amp;D363&amp;", level: "&amp;CHAR(34)&amp;E363&amp;CHAR(34)&amp;", x: "&amp;F363&amp;", y: "&amp;G363&amp;", z: "&amp;H363&amp;", details: "&amp;CHAR(34)&amp;I363&amp;CHAR(34)&amp;" },"</f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3515</v>
      </c>
      <c r="C364" t="s">
        <v>2877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>"{ name: "&amp;CHAR(34)&amp;B364&amp;CHAR(34)&amp;", landmark: "&amp;CHAR(34)&amp;IF(LEN(C364)=LEN(SUBSTITUTE(C364,"Transport","")),"Korok x1","Korok x2")&amp;CHAR(34)&amp;", type: "&amp;CHAR(34)&amp;C364&amp;CHAR(34)&amp;", region: "&amp;D364&amp;", level: "&amp;CHAR(34)&amp;E364&amp;CHAR(34)&amp;", x: "&amp;F364&amp;", y: "&amp;G364&amp;", z: "&amp;H364&amp;", details: "&amp;CHAR(34)&amp;I364&amp;CHAR(34)&amp;" },"</f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3516</v>
      </c>
      <c r="C365" t="s">
        <v>2865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2704</v>
      </c>
      <c r="J365" t="str">
        <f>"{ name: "&amp;CHAR(34)&amp;B365&amp;CHAR(34)&amp;", landmark: "&amp;CHAR(34)&amp;IF(LEN(C365)=LEN(SUBSTITUTE(C365,"Transport","")),"Korok x1","Korok x2")&amp;CHAR(34)&amp;", type: "&amp;CHAR(34)&amp;C365&amp;CHAR(34)&amp;", region: "&amp;D365&amp;", level: "&amp;CHAR(34)&amp;E365&amp;CHAR(34)&amp;", x: "&amp;F365&amp;", y: "&amp;G365&amp;", z: "&amp;H365&amp;", details: "&amp;CHAR(34)&amp;I365&amp;CHAR(34)&amp;" },"</f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3517</v>
      </c>
      <c r="C366" t="s">
        <v>2870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>"{ name: "&amp;CHAR(34)&amp;B366&amp;CHAR(34)&amp;", landmark: "&amp;CHAR(34)&amp;IF(LEN(C366)=LEN(SUBSTITUTE(C366,"Transport","")),"Korok x1","Korok x2")&amp;CHAR(34)&amp;", type: "&amp;CHAR(34)&amp;C366&amp;CHAR(34)&amp;", region: "&amp;D366&amp;", level: "&amp;CHAR(34)&amp;E366&amp;CHAR(34)&amp;", x: "&amp;F366&amp;", y: "&amp;G366&amp;", z: "&amp;H366&amp;", details: "&amp;CHAR(34)&amp;I366&amp;CHAR(34)&amp;" },"</f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3518</v>
      </c>
      <c r="C367" t="s">
        <v>2865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2703</v>
      </c>
      <c r="J367" t="str">
        <f>"{ name: "&amp;CHAR(34)&amp;B367&amp;CHAR(34)&amp;", landmark: "&amp;CHAR(34)&amp;IF(LEN(C367)=LEN(SUBSTITUTE(C367,"Transport","")),"Korok x1","Korok x2")&amp;CHAR(34)&amp;", type: "&amp;CHAR(34)&amp;C367&amp;CHAR(34)&amp;", region: "&amp;D367&amp;", level: "&amp;CHAR(34)&amp;E367&amp;CHAR(34)&amp;", x: "&amp;F367&amp;", y: "&amp;G367&amp;", z: "&amp;H367&amp;", details: "&amp;CHAR(34)&amp;I367&amp;CHAR(34)&amp;" },"</f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3519</v>
      </c>
      <c r="C368" t="s">
        <v>2875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>"{ name: "&amp;CHAR(34)&amp;B368&amp;CHAR(34)&amp;", landmark: "&amp;CHAR(34)&amp;IF(LEN(C368)=LEN(SUBSTITUTE(C368,"Transport","")),"Korok x1","Korok x2")&amp;CHAR(34)&amp;", type: "&amp;CHAR(34)&amp;C368&amp;CHAR(34)&amp;", region: "&amp;D368&amp;", level: "&amp;CHAR(34)&amp;E368&amp;CHAR(34)&amp;", x: "&amp;F368&amp;", y: "&amp;G368&amp;", z: "&amp;H368&amp;", details: "&amp;CHAR(34)&amp;I368&amp;CHAR(34)&amp;" },"</f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3520</v>
      </c>
      <c r="C369" t="s">
        <v>2885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>"{ name: "&amp;CHAR(34)&amp;B369&amp;CHAR(34)&amp;", landmark: "&amp;CHAR(34)&amp;IF(LEN(C369)=LEN(SUBSTITUTE(C369,"Transport","")),"Korok x1","Korok x2")&amp;CHAR(34)&amp;", type: "&amp;CHAR(34)&amp;C369&amp;CHAR(34)&amp;", region: "&amp;D369&amp;", level: "&amp;CHAR(34)&amp;E369&amp;CHAR(34)&amp;", x: "&amp;F369&amp;", y: "&amp;G369&amp;", z: "&amp;H369&amp;", details: "&amp;CHAR(34)&amp;I369&amp;CHAR(34)&amp;" },"</f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3521</v>
      </c>
      <c r="C370" t="s">
        <v>2885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>"{ name: "&amp;CHAR(34)&amp;B370&amp;CHAR(34)&amp;", landmark: "&amp;CHAR(34)&amp;IF(LEN(C370)=LEN(SUBSTITUTE(C370,"Transport","")),"Korok x1","Korok x2")&amp;CHAR(34)&amp;", type: "&amp;CHAR(34)&amp;C370&amp;CHAR(34)&amp;", region: "&amp;D370&amp;", level: "&amp;CHAR(34)&amp;E370&amp;CHAR(34)&amp;", x: "&amp;F370&amp;", y: "&amp;G370&amp;", z: "&amp;H370&amp;", details: "&amp;CHAR(34)&amp;I370&amp;CHAR(34)&amp;" },"</f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3522</v>
      </c>
      <c r="C371" t="s">
        <v>2872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>"{ name: "&amp;CHAR(34)&amp;B371&amp;CHAR(34)&amp;", landmark: "&amp;CHAR(34)&amp;IF(LEN(C371)=LEN(SUBSTITUTE(C371,"Transport","")),"Korok x1","Korok x2")&amp;CHAR(34)&amp;", type: "&amp;CHAR(34)&amp;C371&amp;CHAR(34)&amp;", region: "&amp;D371&amp;", level: "&amp;CHAR(34)&amp;E371&amp;CHAR(34)&amp;", x: "&amp;F371&amp;", y: "&amp;G371&amp;", z: "&amp;H371&amp;", details: "&amp;CHAR(34)&amp;I371&amp;CHAR(34)&amp;" },"</f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3523</v>
      </c>
      <c r="C372" t="s">
        <v>2890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2827</v>
      </c>
      <c r="J372" t="str">
        <f>"{ name: "&amp;CHAR(34)&amp;B372&amp;CHAR(34)&amp;", landmark: "&amp;CHAR(34)&amp;IF(LEN(C372)=LEN(SUBSTITUTE(C372,"Transport","")),"Korok x1","Korok x2")&amp;CHAR(34)&amp;", type: "&amp;CHAR(34)&amp;C372&amp;CHAR(34)&amp;", region: "&amp;D372&amp;", level: "&amp;CHAR(34)&amp;E372&amp;CHAR(34)&amp;", x: "&amp;F372&amp;", y: "&amp;G372&amp;", z: "&amp;H372&amp;", details: "&amp;CHAR(34)&amp;I372&amp;CHAR(34)&amp;" },"</f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3524</v>
      </c>
      <c r="C373" t="s">
        <v>2865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2707</v>
      </c>
      <c r="J373" t="str">
        <f>"{ name: "&amp;CHAR(34)&amp;B373&amp;CHAR(34)&amp;", landmark: "&amp;CHAR(34)&amp;IF(LEN(C373)=LEN(SUBSTITUTE(C373,"Transport","")),"Korok x1","Korok x2")&amp;CHAR(34)&amp;", type: "&amp;CHAR(34)&amp;C373&amp;CHAR(34)&amp;", region: "&amp;D373&amp;", level: "&amp;CHAR(34)&amp;E373&amp;CHAR(34)&amp;", x: "&amp;F373&amp;", y: "&amp;G373&amp;", z: "&amp;H373&amp;", details: "&amp;CHAR(34)&amp;I373&amp;CHAR(34)&amp;" },"</f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3525</v>
      </c>
      <c r="C374" t="s">
        <v>2889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>"{ name: "&amp;CHAR(34)&amp;B374&amp;CHAR(34)&amp;", landmark: "&amp;CHAR(34)&amp;IF(LEN(C374)=LEN(SUBSTITUTE(C374,"Transport","")),"Korok x1","Korok x2")&amp;CHAR(34)&amp;", type: "&amp;CHAR(34)&amp;C374&amp;CHAR(34)&amp;", region: "&amp;D374&amp;", level: "&amp;CHAR(34)&amp;E374&amp;CHAR(34)&amp;", x: "&amp;F374&amp;", y: "&amp;G374&amp;", z: "&amp;H374&amp;", details: "&amp;CHAR(34)&amp;I374&amp;CHAR(34)&amp;" },"</f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3526</v>
      </c>
      <c r="C375" t="s">
        <v>2865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2708</v>
      </c>
      <c r="J375" t="str">
        <f>"{ name: "&amp;CHAR(34)&amp;B375&amp;CHAR(34)&amp;", landmark: "&amp;CHAR(34)&amp;IF(LEN(C375)=LEN(SUBSTITUTE(C375,"Transport","")),"Korok x1","Korok x2")&amp;CHAR(34)&amp;", type: "&amp;CHAR(34)&amp;C375&amp;CHAR(34)&amp;", region: "&amp;D375&amp;", level: "&amp;CHAR(34)&amp;E375&amp;CHAR(34)&amp;", x: "&amp;F375&amp;", y: "&amp;G375&amp;", z: "&amp;H375&amp;", details: "&amp;CHAR(34)&amp;I375&amp;CHAR(34)&amp;" },"</f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3527</v>
      </c>
      <c r="C376" t="s">
        <v>2878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>"{ name: "&amp;CHAR(34)&amp;B376&amp;CHAR(34)&amp;", landmark: "&amp;CHAR(34)&amp;IF(LEN(C376)=LEN(SUBSTITUTE(C376,"Transport","")),"Korok x1","Korok x2")&amp;CHAR(34)&amp;", type: "&amp;CHAR(34)&amp;C376&amp;CHAR(34)&amp;", region: "&amp;D376&amp;", level: "&amp;CHAR(34)&amp;E376&amp;CHAR(34)&amp;", x: "&amp;F376&amp;", y: "&amp;G376&amp;", z: "&amp;H376&amp;", details: "&amp;CHAR(34)&amp;I376&amp;CHAR(34)&amp;" },"</f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3557</v>
      </c>
      <c r="C377" t="s">
        <v>2886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>"{ name: "&amp;CHAR(34)&amp;B377&amp;CHAR(34)&amp;", landmark: "&amp;CHAR(34)&amp;IF(LEN(C377)=LEN(SUBSTITUTE(C377,"Transport","")),"Korok x1","Korok x2")&amp;CHAR(34)&amp;", type: "&amp;CHAR(34)&amp;C377&amp;CHAR(34)&amp;", region: "&amp;D377&amp;", level: "&amp;CHAR(34)&amp;E377&amp;CHAR(34)&amp;", x: "&amp;F377&amp;", y: "&amp;G377&amp;", z: "&amp;H377&amp;", details: "&amp;CHAR(34)&amp;I377&amp;CHAR(34)&amp;" },"</f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3668</v>
      </c>
      <c r="C378" t="s">
        <v>2889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>"{ name: "&amp;CHAR(34)&amp;B378&amp;CHAR(34)&amp;", landmark: "&amp;CHAR(34)&amp;IF(LEN(C378)=LEN(SUBSTITUTE(C378,"Transport","")),"Korok x1","Korok x2")&amp;CHAR(34)&amp;", type: "&amp;CHAR(34)&amp;C378&amp;CHAR(34)&amp;", region: "&amp;D378&amp;", level: "&amp;CHAR(34)&amp;E378&amp;CHAR(34)&amp;", x: "&amp;F378&amp;", y: "&amp;G378&amp;", z: "&amp;H378&amp;", details: "&amp;CHAR(34)&amp;I378&amp;CHAR(34)&amp;" },"</f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3669</v>
      </c>
      <c r="C379" t="s">
        <v>2880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2701</v>
      </c>
      <c r="J379" t="str">
        <f>"{ name: "&amp;CHAR(34)&amp;B379&amp;CHAR(34)&amp;", landmark: "&amp;CHAR(34)&amp;IF(LEN(C379)=LEN(SUBSTITUTE(C379,"Transport","")),"Korok x1","Korok x2")&amp;CHAR(34)&amp;", type: "&amp;CHAR(34)&amp;C379&amp;CHAR(34)&amp;", region: "&amp;D379&amp;", level: "&amp;CHAR(34)&amp;E379&amp;CHAR(34)&amp;", x: "&amp;F379&amp;", y: "&amp;G379&amp;", z: "&amp;H379&amp;", details: "&amp;CHAR(34)&amp;I379&amp;CHAR(34)&amp;" },"</f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3670</v>
      </c>
      <c r="C380" t="s">
        <v>2658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>"{ name: "&amp;CHAR(34)&amp;B380&amp;CHAR(34)&amp;", landmark: "&amp;CHAR(34)&amp;IF(LEN(C380)=LEN(SUBSTITUTE(C380,"Transport","")),"Korok x1","Korok x2")&amp;CHAR(34)&amp;", type: "&amp;CHAR(34)&amp;C380&amp;CHAR(34)&amp;", region: "&amp;D380&amp;", level: "&amp;CHAR(34)&amp;E380&amp;CHAR(34)&amp;", x: "&amp;F380&amp;", y: "&amp;G380&amp;", z: "&amp;H380&amp;", details: "&amp;CHAR(34)&amp;I380&amp;CHAR(34)&amp;" },"</f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3671</v>
      </c>
      <c r="C381" t="s">
        <v>2864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>"{ name: "&amp;CHAR(34)&amp;B381&amp;CHAR(34)&amp;", landmark: "&amp;CHAR(34)&amp;IF(LEN(C381)=LEN(SUBSTITUTE(C381,"Transport","")),"Korok x1","Korok x2")&amp;CHAR(34)&amp;", type: "&amp;CHAR(34)&amp;C381&amp;CHAR(34)&amp;", region: "&amp;D381&amp;", level: "&amp;CHAR(34)&amp;E381&amp;CHAR(34)&amp;", x: "&amp;F381&amp;", y: "&amp;G381&amp;", z: "&amp;H381&amp;", details: "&amp;CHAR(34)&amp;I381&amp;CHAR(34)&amp;" },"</f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3672</v>
      </c>
      <c r="C382" t="s">
        <v>2875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>"{ name: "&amp;CHAR(34)&amp;B382&amp;CHAR(34)&amp;", landmark: "&amp;CHAR(34)&amp;IF(LEN(C382)=LEN(SUBSTITUTE(C382,"Transport","")),"Korok x1","Korok x2")&amp;CHAR(34)&amp;", type: "&amp;CHAR(34)&amp;C382&amp;CHAR(34)&amp;", region: "&amp;D382&amp;", level: "&amp;CHAR(34)&amp;E382&amp;CHAR(34)&amp;", x: "&amp;F382&amp;", y: "&amp;G382&amp;", z: "&amp;H382&amp;", details: "&amp;CHAR(34)&amp;I382&amp;CHAR(34)&amp;" },"</f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3682</v>
      </c>
      <c r="C383" t="s">
        <v>2865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2709</v>
      </c>
      <c r="J383" t="str">
        <f>"{ name: "&amp;CHAR(34)&amp;B383&amp;CHAR(34)&amp;", landmark: "&amp;CHAR(34)&amp;IF(LEN(C383)=LEN(SUBSTITUTE(C383,"Transport","")),"Korok x1","Korok x2")&amp;CHAR(34)&amp;", type: "&amp;CHAR(34)&amp;C383&amp;CHAR(34)&amp;", region: "&amp;D383&amp;", level: "&amp;CHAR(34)&amp;E383&amp;CHAR(34)&amp;", x: "&amp;F383&amp;", y: "&amp;G383&amp;", z: "&amp;H383&amp;", details: "&amp;CHAR(34)&amp;I383&amp;CHAR(34)&amp;" },"</f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3756</v>
      </c>
      <c r="C384" t="s">
        <v>2658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>"{ name: "&amp;CHAR(34)&amp;B384&amp;CHAR(34)&amp;", landmark: "&amp;CHAR(34)&amp;IF(LEN(C384)=LEN(SUBSTITUTE(C384,"Transport","")),"Korok x1","Korok x2")&amp;CHAR(34)&amp;", type: "&amp;CHAR(34)&amp;C384&amp;CHAR(34)&amp;", region: "&amp;D384&amp;", level: "&amp;CHAR(34)&amp;E384&amp;CHAR(34)&amp;", x: "&amp;F384&amp;", y: "&amp;G384&amp;", z: "&amp;H384&amp;", details: "&amp;CHAR(34)&amp;I384&amp;CHAR(34)&amp;" },"</f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3757</v>
      </c>
      <c r="C385" t="s">
        <v>2889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>"{ name: "&amp;CHAR(34)&amp;B385&amp;CHAR(34)&amp;", landmark: "&amp;CHAR(34)&amp;IF(LEN(C385)=LEN(SUBSTITUTE(C385,"Transport","")),"Korok x1","Korok x2")&amp;CHAR(34)&amp;", type: "&amp;CHAR(34)&amp;C385&amp;CHAR(34)&amp;", region: "&amp;D385&amp;", level: "&amp;CHAR(34)&amp;E385&amp;CHAR(34)&amp;", x: "&amp;F385&amp;", y: "&amp;G385&amp;", z: "&amp;H385&amp;", details: "&amp;CHAR(34)&amp;I385&amp;CHAR(34)&amp;" },"</f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3759</v>
      </c>
      <c r="C386" t="s">
        <v>2874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2828</v>
      </c>
      <c r="J386" t="str">
        <f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3761</v>
      </c>
      <c r="C387" t="s">
        <v>2880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2676</v>
      </c>
      <c r="J387" t="str">
        <f>"{ name: "&amp;CHAR(34)&amp;B387&amp;CHAR(34)&amp;", landmark: "&amp;CHAR(34)&amp;IF(LEN(C387)=LEN(SUBSTITUTE(C387,"Transport","")),"Korok x1","Korok x2")&amp;CHAR(34)&amp;", type: "&amp;CHAR(34)&amp;C387&amp;CHAR(34)&amp;", region: "&amp;D387&amp;", level: "&amp;CHAR(34)&amp;E387&amp;CHAR(34)&amp;", x: "&amp;F387&amp;", y: "&amp;G387&amp;", z: "&amp;H387&amp;", details: "&amp;CHAR(34)&amp;I387&amp;CHAR(34)&amp;" },"</f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3762</v>
      </c>
      <c r="C388" t="s">
        <v>2864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>"{ name: "&amp;CHAR(34)&amp;B388&amp;CHAR(34)&amp;", landmark: "&amp;CHAR(34)&amp;IF(LEN(C388)=LEN(SUBSTITUTE(C388,"Transport","")),"Korok x1","Korok x2")&amp;CHAR(34)&amp;", type: "&amp;CHAR(34)&amp;C388&amp;CHAR(34)&amp;", region: "&amp;D388&amp;", level: "&amp;CHAR(34)&amp;E388&amp;CHAR(34)&amp;", x: "&amp;F388&amp;", y: "&amp;G388&amp;", z: "&amp;H388&amp;", details: "&amp;CHAR(34)&amp;I388&amp;CHAR(34)&amp;" },"</f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3763</v>
      </c>
      <c r="C389" t="s">
        <v>2875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>"{ name: "&amp;CHAR(34)&amp;B389&amp;CHAR(34)&amp;", landmark: "&amp;CHAR(34)&amp;IF(LEN(C389)=LEN(SUBSTITUTE(C389,"Transport","")),"Korok x1","Korok x2")&amp;CHAR(34)&amp;", type: "&amp;CHAR(34)&amp;C389&amp;CHAR(34)&amp;", region: "&amp;D389&amp;", level: "&amp;CHAR(34)&amp;E389&amp;CHAR(34)&amp;", x: "&amp;F389&amp;", y: "&amp;G389&amp;", z: "&amp;H389&amp;", details: "&amp;CHAR(34)&amp;I389&amp;CHAR(34)&amp;" },"</f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3767</v>
      </c>
      <c r="C390" t="s">
        <v>2884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>"{ name: "&amp;CHAR(34)&amp;B390&amp;CHAR(34)&amp;", landmark: "&amp;CHAR(34)&amp;IF(LEN(C390)=LEN(SUBSTITUTE(C390,"Transport","")),"Korok x1","Korok x2")&amp;CHAR(34)&amp;", type: "&amp;CHAR(34)&amp;C390&amp;CHAR(34)&amp;", region: "&amp;D390&amp;", level: "&amp;CHAR(34)&amp;E390&amp;CHAR(34)&amp;", x: "&amp;F390&amp;", y: "&amp;G390&amp;", z: "&amp;H390&amp;", details: "&amp;CHAR(34)&amp;I390&amp;CHAR(34)&amp;" },"</f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3832</v>
      </c>
      <c r="C391" t="s">
        <v>2864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>"{ name: "&amp;CHAR(34)&amp;B391&amp;CHAR(34)&amp;", landmark: "&amp;CHAR(34)&amp;IF(LEN(C391)=LEN(SUBSTITUTE(C391,"Transport","")),"Korok x1","Korok x2")&amp;CHAR(34)&amp;", type: "&amp;CHAR(34)&amp;C391&amp;CHAR(34)&amp;", region: "&amp;D391&amp;", level: "&amp;CHAR(34)&amp;E391&amp;CHAR(34)&amp;", x: "&amp;F391&amp;", y: "&amp;G391&amp;", z: "&amp;H391&amp;", details: "&amp;CHAR(34)&amp;I391&amp;CHAR(34)&amp;" },"</f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3932</v>
      </c>
      <c r="C392" t="s">
        <v>2870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>"{ name: "&amp;CHAR(34)&amp;B392&amp;CHAR(34)&amp;", landmark: "&amp;CHAR(34)&amp;IF(LEN(C392)=LEN(SUBSTITUTE(C392,"Transport","")),"Korok x1","Korok x2")&amp;CHAR(34)&amp;", type: "&amp;CHAR(34)&amp;C392&amp;CHAR(34)&amp;", region: "&amp;D392&amp;", level: "&amp;CHAR(34)&amp;E392&amp;CHAR(34)&amp;", x: "&amp;F392&amp;", y: "&amp;G392&amp;", z: "&amp;H392&amp;", details: "&amp;CHAR(34)&amp;I392&amp;CHAR(34)&amp;" },"</f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3980</v>
      </c>
      <c r="C393" t="s">
        <v>2882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>"{ name: "&amp;CHAR(34)&amp;B393&amp;CHAR(34)&amp;", landmark: "&amp;CHAR(34)&amp;IF(LEN(C393)=LEN(SUBSTITUTE(C393,"Transport","")),"Korok x1","Korok x2")&amp;CHAR(34)&amp;", type: "&amp;CHAR(34)&amp;C393&amp;CHAR(34)&amp;", region: "&amp;D393&amp;", level: "&amp;CHAR(34)&amp;E393&amp;CHAR(34)&amp;", x: "&amp;F393&amp;", y: "&amp;G393&amp;", z: "&amp;H393&amp;", details: "&amp;CHAR(34)&amp;I393&amp;CHAR(34)&amp;" },"</f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3992</v>
      </c>
      <c r="C394" t="s">
        <v>2864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>"{ name: "&amp;CHAR(34)&amp;B394&amp;CHAR(34)&amp;", landmark: "&amp;CHAR(34)&amp;IF(LEN(C394)=LEN(SUBSTITUTE(C394,"Transport","")),"Korok x1","Korok x2")&amp;CHAR(34)&amp;", type: "&amp;CHAR(34)&amp;C394&amp;CHAR(34)&amp;", region: "&amp;D394&amp;", level: "&amp;CHAR(34)&amp;E394&amp;CHAR(34)&amp;", x: "&amp;F394&amp;", y: "&amp;G394&amp;", z: "&amp;H394&amp;", details: "&amp;CHAR(34)&amp;I394&amp;CHAR(34)&amp;" },"</f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3993</v>
      </c>
      <c r="C395" t="s">
        <v>2891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>"{ name: "&amp;CHAR(34)&amp;B395&amp;CHAR(34)&amp;", landmark: "&amp;CHAR(34)&amp;IF(LEN(C395)=LEN(SUBSTITUTE(C395,"Transport","")),"Korok x1","Korok x2")&amp;CHAR(34)&amp;", type: "&amp;CHAR(34)&amp;C395&amp;CHAR(34)&amp;", region: "&amp;D395&amp;", level: "&amp;CHAR(34)&amp;E395&amp;CHAR(34)&amp;", x: "&amp;F395&amp;", y: "&amp;G395&amp;", z: "&amp;H395&amp;", details: "&amp;CHAR(34)&amp;I395&amp;CHAR(34)&amp;" },"</f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4010</v>
      </c>
      <c r="C396" t="s">
        <v>2875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>"{ name: "&amp;CHAR(34)&amp;B396&amp;CHAR(34)&amp;", landmark: "&amp;CHAR(34)&amp;IF(LEN(C396)=LEN(SUBSTITUTE(C396,"Transport","")),"Korok x1","Korok x2")&amp;CHAR(34)&amp;", type: "&amp;CHAR(34)&amp;C396&amp;CHAR(34)&amp;", region: "&amp;D396&amp;", level: "&amp;CHAR(34)&amp;E396&amp;CHAR(34)&amp;", x: "&amp;F396&amp;", y: "&amp;G396&amp;", z: "&amp;H396&amp;", details: "&amp;CHAR(34)&amp;I396&amp;CHAR(34)&amp;" },"</f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4076</v>
      </c>
      <c r="C397" t="s">
        <v>2875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>"{ name: "&amp;CHAR(34)&amp;B397&amp;CHAR(34)&amp;", landmark: "&amp;CHAR(34)&amp;IF(LEN(C397)=LEN(SUBSTITUTE(C397,"Transport","")),"Korok x1","Korok x2")&amp;CHAR(34)&amp;", type: "&amp;CHAR(34)&amp;C397&amp;CHAR(34)&amp;", region: "&amp;D397&amp;", level: "&amp;CHAR(34)&amp;E397&amp;CHAR(34)&amp;", x: "&amp;F397&amp;", y: "&amp;G397&amp;", z: "&amp;H397&amp;", details: "&amp;CHAR(34)&amp;I397&amp;CHAR(34)&amp;" },"</f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4090</v>
      </c>
      <c r="C398" t="s">
        <v>2864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>"{ name: "&amp;CHAR(34)&amp;B398&amp;CHAR(34)&amp;", landmark: "&amp;CHAR(34)&amp;IF(LEN(C398)=LEN(SUBSTITUTE(C398,"Transport","")),"Korok x1","Korok x2")&amp;CHAR(34)&amp;", type: "&amp;CHAR(34)&amp;C398&amp;CHAR(34)&amp;", region: "&amp;D398&amp;", level: "&amp;CHAR(34)&amp;E398&amp;CHAR(34)&amp;", x: "&amp;F398&amp;", y: "&amp;G398&amp;", z: "&amp;H398&amp;", details: "&amp;CHAR(34)&amp;I398&amp;CHAR(34)&amp;" },"</f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4091</v>
      </c>
      <c r="C399" t="s">
        <v>2877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>"{ name: "&amp;CHAR(34)&amp;B399&amp;CHAR(34)&amp;", landmark: "&amp;CHAR(34)&amp;IF(LEN(C399)=LEN(SUBSTITUTE(C399,"Transport","")),"Korok x1","Korok x2")&amp;CHAR(34)&amp;", type: "&amp;CHAR(34)&amp;C399&amp;CHAR(34)&amp;", region: "&amp;D399&amp;", level: "&amp;CHAR(34)&amp;E399&amp;CHAR(34)&amp;", x: "&amp;F399&amp;", y: "&amp;G399&amp;", z: "&amp;H399&amp;", details: "&amp;CHAR(34)&amp;I399&amp;CHAR(34)&amp;" },"</f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4092</v>
      </c>
      <c r="C400" t="s">
        <v>2871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>"{ name: "&amp;CHAR(34)&amp;B400&amp;CHAR(34)&amp;", landmark: "&amp;CHAR(34)&amp;IF(LEN(C400)=LEN(SUBSTITUTE(C400,"Transport","")),"Korok x1","Korok x2")&amp;CHAR(34)&amp;", type: "&amp;CHAR(34)&amp;C400&amp;CHAR(34)&amp;", region: "&amp;D400&amp;", level: "&amp;CHAR(34)&amp;E400&amp;CHAR(34)&amp;", x: "&amp;F400&amp;", y: "&amp;G400&amp;", z: "&amp;H400&amp;", details: "&amp;CHAR(34)&amp;I400&amp;CHAR(34)&amp;" },"</f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4145</v>
      </c>
      <c r="C401" t="s">
        <v>2870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>"{ name: "&amp;CHAR(34)&amp;B401&amp;CHAR(34)&amp;", landmark: "&amp;CHAR(34)&amp;IF(LEN(C401)=LEN(SUBSTITUTE(C401,"Transport","")),"Korok x1","Korok x2")&amp;CHAR(34)&amp;", type: "&amp;CHAR(34)&amp;C401&amp;CHAR(34)&amp;", region: "&amp;D401&amp;", level: "&amp;CHAR(34)&amp;E401&amp;CHAR(34)&amp;", x: "&amp;F401&amp;", y: "&amp;G401&amp;", z: "&amp;H401&amp;", details: "&amp;CHAR(34)&amp;I401&amp;CHAR(34)&amp;" },"</f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4146</v>
      </c>
      <c r="C402" t="s">
        <v>2871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>"{ name: "&amp;CHAR(34)&amp;B402&amp;CHAR(34)&amp;", landmark: "&amp;CHAR(34)&amp;IF(LEN(C402)=LEN(SUBSTITUTE(C402,"Transport","")),"Korok x1","Korok x2")&amp;CHAR(34)&amp;", type: "&amp;CHAR(34)&amp;C402&amp;CHAR(34)&amp;", region: "&amp;D402&amp;", level: "&amp;CHAR(34)&amp;E402&amp;CHAR(34)&amp;", x: "&amp;F402&amp;", y: "&amp;G402&amp;", z: "&amp;H402&amp;", details: "&amp;CHAR(34)&amp;I402&amp;CHAR(34)&amp;" },"</f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4147</v>
      </c>
      <c r="C403" t="s">
        <v>2878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>"{ name: "&amp;CHAR(34)&amp;B403&amp;CHAR(34)&amp;", landmark: "&amp;CHAR(34)&amp;IF(LEN(C403)=LEN(SUBSTITUTE(C403,"Transport","")),"Korok x1","Korok x2")&amp;CHAR(34)&amp;", type: "&amp;CHAR(34)&amp;C403&amp;CHAR(34)&amp;", region: "&amp;D403&amp;", level: "&amp;CHAR(34)&amp;E403&amp;CHAR(34)&amp;", x: "&amp;F403&amp;", y: "&amp;G403&amp;", z: "&amp;H403&amp;", details: "&amp;CHAR(34)&amp;I403&amp;CHAR(34)&amp;" },"</f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4148</v>
      </c>
      <c r="C404" t="s">
        <v>2886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>"{ name: "&amp;CHAR(34)&amp;B404&amp;CHAR(34)&amp;", landmark: "&amp;CHAR(34)&amp;IF(LEN(C404)=LEN(SUBSTITUTE(C404,"Transport","")),"Korok x1","Korok x2")&amp;CHAR(34)&amp;", type: "&amp;CHAR(34)&amp;C404&amp;CHAR(34)&amp;", region: "&amp;D404&amp;", level: "&amp;CHAR(34)&amp;E404&amp;CHAR(34)&amp;", x: "&amp;F404&amp;", y: "&amp;G404&amp;", z: "&amp;H404&amp;", details: "&amp;CHAR(34)&amp;I404&amp;CHAR(34)&amp;" },"</f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4165</v>
      </c>
      <c r="C405" t="s">
        <v>2888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>"{ name: "&amp;CHAR(34)&amp;B405&amp;CHAR(34)&amp;", landmark: "&amp;CHAR(34)&amp;IF(LEN(C405)=LEN(SUBSTITUTE(C405,"Transport","")),"Korok x1","Korok x2")&amp;CHAR(34)&amp;", type: "&amp;CHAR(34)&amp;C405&amp;CHAR(34)&amp;", region: "&amp;D405&amp;", level: "&amp;CHAR(34)&amp;E405&amp;CHAR(34)&amp;", x: "&amp;F405&amp;", y: "&amp;G405&amp;", z: "&amp;H405&amp;", details: "&amp;CHAR(34)&amp;I405&amp;CHAR(34)&amp;" },"</f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4185</v>
      </c>
      <c r="C406" t="s">
        <v>2875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>"{ name: "&amp;CHAR(34)&amp;B406&amp;CHAR(34)&amp;", landmark: "&amp;CHAR(34)&amp;IF(LEN(C406)=LEN(SUBSTITUTE(C406,"Transport","")),"Korok x1","Korok x2")&amp;CHAR(34)&amp;", type: "&amp;CHAR(34)&amp;C406&amp;CHAR(34)&amp;", region: "&amp;D406&amp;", level: "&amp;CHAR(34)&amp;E406&amp;CHAR(34)&amp;", x: "&amp;F406&amp;", y: "&amp;G406&amp;", z: "&amp;H406&amp;", details: "&amp;CHAR(34)&amp;I406&amp;CHAR(34)&amp;" },"</f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3289</v>
      </c>
      <c r="C407" t="s">
        <v>2874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2808</v>
      </c>
      <c r="J407" t="str">
        <f>"{ name: "&amp;CHAR(34)&amp;B407&amp;CHAR(34)&amp;", landmark: "&amp;CHAR(34)&amp;IF(LEN(C407)=LEN(SUBSTITUTE(C407,"Transport","")),"Korok x1","Korok x2")&amp;CHAR(34)&amp;", type: "&amp;CHAR(34)&amp;C407&amp;CHAR(34)&amp;", region: "&amp;D407&amp;", level: "&amp;CHAR(34)&amp;E407&amp;CHAR(34)&amp;", x: "&amp;F407&amp;", y: "&amp;G407&amp;", z: "&amp;H407&amp;", details: "&amp;CHAR(34)&amp;I407&amp;CHAR(34)&amp;" },"</f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3290</v>
      </c>
      <c r="C408" t="s">
        <v>2877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>"{ name: "&amp;CHAR(34)&amp;B408&amp;CHAR(34)&amp;", landmark: "&amp;CHAR(34)&amp;IF(LEN(C408)=LEN(SUBSTITUTE(C408,"Transport","")),"Korok x1","Korok x2")&amp;CHAR(34)&amp;", type: "&amp;CHAR(34)&amp;C408&amp;CHAR(34)&amp;", region: "&amp;D408&amp;", level: "&amp;CHAR(34)&amp;E408&amp;CHAR(34)&amp;", x: "&amp;F408&amp;", y: "&amp;G408&amp;", z: "&amp;H408&amp;", details: "&amp;CHAR(34)&amp;I408&amp;CHAR(34)&amp;" },"</f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3291</v>
      </c>
      <c r="C409" t="s">
        <v>2888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>"{ name: "&amp;CHAR(34)&amp;B409&amp;CHAR(34)&amp;", landmark: "&amp;CHAR(34)&amp;IF(LEN(C409)=LEN(SUBSTITUTE(C409,"Transport","")),"Korok x1","Korok x2")&amp;CHAR(34)&amp;", type: "&amp;CHAR(34)&amp;C409&amp;CHAR(34)&amp;", region: "&amp;D409&amp;", level: "&amp;CHAR(34)&amp;E409&amp;CHAR(34)&amp;", x: "&amp;F409&amp;", y: "&amp;G409&amp;", z: "&amp;H409&amp;", details: "&amp;CHAR(34)&amp;I409&amp;CHAR(34)&amp;" },"</f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3293</v>
      </c>
      <c r="C410" t="s">
        <v>2888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>"{ name: "&amp;CHAR(34)&amp;B410&amp;CHAR(34)&amp;", landmark: "&amp;CHAR(34)&amp;IF(LEN(C410)=LEN(SUBSTITUTE(C410,"Transport","")),"Korok x1","Korok x2")&amp;CHAR(34)&amp;", type: "&amp;CHAR(34)&amp;C410&amp;CHAR(34)&amp;", region: "&amp;D410&amp;", level: "&amp;CHAR(34)&amp;E410&amp;CHAR(34)&amp;", x: "&amp;F410&amp;", y: "&amp;G410&amp;", z: "&amp;H410&amp;", details: "&amp;CHAR(34)&amp;I410&amp;CHAR(34)&amp;" },"</f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3294</v>
      </c>
      <c r="C411" t="s">
        <v>2875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>"{ name: "&amp;CHAR(34)&amp;B411&amp;CHAR(34)&amp;", landmark: "&amp;CHAR(34)&amp;IF(LEN(C411)=LEN(SUBSTITUTE(C411,"Transport","")),"Korok x1","Korok x2")&amp;CHAR(34)&amp;", type: "&amp;CHAR(34)&amp;C411&amp;CHAR(34)&amp;", region: "&amp;D411&amp;", level: "&amp;CHAR(34)&amp;E411&amp;CHAR(34)&amp;", x: "&amp;F411&amp;", y: "&amp;G411&amp;", z: "&amp;H411&amp;", details: "&amp;CHAR(34)&amp;I411&amp;CHAR(34)&amp;" },"</f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3295</v>
      </c>
      <c r="C412" t="s">
        <v>2870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>"{ name: "&amp;CHAR(34)&amp;B412&amp;CHAR(34)&amp;", landmark: "&amp;CHAR(34)&amp;IF(LEN(C412)=LEN(SUBSTITUTE(C412,"Transport","")),"Korok x1","Korok x2")&amp;CHAR(34)&amp;", type: "&amp;CHAR(34)&amp;C412&amp;CHAR(34)&amp;", region: "&amp;D412&amp;", level: "&amp;CHAR(34)&amp;E412&amp;CHAR(34)&amp;", x: "&amp;F412&amp;", y: "&amp;G412&amp;", z: "&amp;H412&amp;", details: "&amp;CHAR(34)&amp;I412&amp;CHAR(34)&amp;" },"</f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3297</v>
      </c>
      <c r="C413" t="s">
        <v>2887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>"{ name: "&amp;CHAR(34)&amp;B413&amp;CHAR(34)&amp;", landmark: "&amp;CHAR(34)&amp;IF(LEN(C413)=LEN(SUBSTITUTE(C413,"Transport","")),"Korok x1","Korok x2")&amp;CHAR(34)&amp;", type: "&amp;CHAR(34)&amp;C413&amp;CHAR(34)&amp;", region: "&amp;D413&amp;", level: "&amp;CHAR(34)&amp;E413&amp;CHAR(34)&amp;", x: "&amp;F413&amp;", y: "&amp;G413&amp;", z: "&amp;H413&amp;", details: "&amp;CHAR(34)&amp;I413&amp;CHAR(34)&amp;" },"</f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3301</v>
      </c>
      <c r="C414" t="s">
        <v>2884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>"{ name: "&amp;CHAR(34)&amp;B414&amp;CHAR(34)&amp;", landmark: "&amp;CHAR(34)&amp;IF(LEN(C414)=LEN(SUBSTITUTE(C414,"Transport","")),"Korok x1","Korok x2")&amp;CHAR(34)&amp;", type: "&amp;CHAR(34)&amp;C414&amp;CHAR(34)&amp;", region: "&amp;D414&amp;", level: "&amp;CHAR(34)&amp;E414&amp;CHAR(34)&amp;", x: "&amp;F414&amp;", y: "&amp;G414&amp;", z: "&amp;H414&amp;", details: "&amp;CHAR(34)&amp;I414&amp;CHAR(34)&amp;" },"</f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3302</v>
      </c>
      <c r="C415" t="s">
        <v>2878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>"{ name: "&amp;CHAR(34)&amp;B415&amp;CHAR(34)&amp;", landmark: "&amp;CHAR(34)&amp;IF(LEN(C415)=LEN(SUBSTITUTE(C415,"Transport","")),"Korok x1","Korok x2")&amp;CHAR(34)&amp;", type: "&amp;CHAR(34)&amp;C415&amp;CHAR(34)&amp;", region: "&amp;D415&amp;", level: "&amp;CHAR(34)&amp;E415&amp;CHAR(34)&amp;", x: "&amp;F415&amp;", y: "&amp;G415&amp;", z: "&amp;H415&amp;", details: "&amp;CHAR(34)&amp;I415&amp;CHAR(34)&amp;" },"</f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3330</v>
      </c>
      <c r="C416" t="s">
        <v>2872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>"{ name: "&amp;CHAR(34)&amp;B416&amp;CHAR(34)&amp;", landmark: "&amp;CHAR(34)&amp;IF(LEN(C416)=LEN(SUBSTITUTE(C416,"Transport","")),"Korok x1","Korok x2")&amp;CHAR(34)&amp;", type: "&amp;CHAR(34)&amp;C416&amp;CHAR(34)&amp;", region: "&amp;D416&amp;", level: "&amp;CHAR(34)&amp;E416&amp;CHAR(34)&amp;", x: "&amp;F416&amp;", y: "&amp;G416&amp;", z: "&amp;H416&amp;", details: "&amp;CHAR(34)&amp;I416&amp;CHAR(34)&amp;" },"</f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3423</v>
      </c>
      <c r="C417" t="s">
        <v>2865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2663</v>
      </c>
      <c r="J417" t="str">
        <f>"{ name: "&amp;CHAR(34)&amp;B417&amp;CHAR(34)&amp;", landmark: "&amp;CHAR(34)&amp;IF(LEN(C417)=LEN(SUBSTITUTE(C417,"Transport","")),"Korok x1","Korok x2")&amp;CHAR(34)&amp;", type: "&amp;CHAR(34)&amp;C417&amp;CHAR(34)&amp;", region: "&amp;D417&amp;", level: "&amp;CHAR(34)&amp;E417&amp;CHAR(34)&amp;", x: "&amp;F417&amp;", y: "&amp;G417&amp;", z: "&amp;H417&amp;", details: "&amp;CHAR(34)&amp;I417&amp;CHAR(34)&amp;" },"</f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3424</v>
      </c>
      <c r="C418" t="s">
        <v>2865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2671</v>
      </c>
      <c r="J418" t="str">
        <f>"{ name: "&amp;CHAR(34)&amp;B418&amp;CHAR(34)&amp;", landmark: "&amp;CHAR(34)&amp;IF(LEN(C418)=LEN(SUBSTITUTE(C418,"Transport","")),"Korok x1","Korok x2")&amp;CHAR(34)&amp;", type: "&amp;CHAR(34)&amp;C418&amp;CHAR(34)&amp;", region: "&amp;D418&amp;", level: "&amp;CHAR(34)&amp;E418&amp;CHAR(34)&amp;", x: "&amp;F418&amp;", y: "&amp;G418&amp;", z: "&amp;H418&amp;", details: "&amp;CHAR(34)&amp;I418&amp;CHAR(34)&amp;" },"</f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3442</v>
      </c>
      <c r="C419" t="s">
        <v>2886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>"{ name: "&amp;CHAR(34)&amp;B419&amp;CHAR(34)&amp;", landmark: "&amp;CHAR(34)&amp;IF(LEN(C419)=LEN(SUBSTITUTE(C419,"Transport","")),"Korok x1","Korok x2")&amp;CHAR(34)&amp;", type: "&amp;CHAR(34)&amp;C419&amp;CHAR(34)&amp;", region: "&amp;D419&amp;", level: "&amp;CHAR(34)&amp;E419&amp;CHAR(34)&amp;", x: "&amp;F419&amp;", y: "&amp;G419&amp;", z: "&amp;H419&amp;", details: "&amp;CHAR(34)&amp;I419&amp;CHAR(34)&amp;" },"</f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3645</v>
      </c>
      <c r="C420" t="s">
        <v>2865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2665</v>
      </c>
      <c r="J420" t="str">
        <f>"{ name: "&amp;CHAR(34)&amp;B420&amp;CHAR(34)&amp;", landmark: "&amp;CHAR(34)&amp;IF(LEN(C420)=LEN(SUBSTITUTE(C420,"Transport","")),"Korok x1","Korok x2")&amp;CHAR(34)&amp;", type: "&amp;CHAR(34)&amp;C420&amp;CHAR(34)&amp;", region: "&amp;D420&amp;", level: "&amp;CHAR(34)&amp;E420&amp;CHAR(34)&amp;", x: "&amp;F420&amp;", y: "&amp;G420&amp;", z: "&amp;H420&amp;", details: "&amp;CHAR(34)&amp;I420&amp;CHAR(34)&amp;" },"</f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3655</v>
      </c>
      <c r="C421" t="s">
        <v>2875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>"{ name: "&amp;CHAR(34)&amp;B421&amp;CHAR(34)&amp;", landmark: "&amp;CHAR(34)&amp;IF(LEN(C421)=LEN(SUBSTITUTE(C421,"Transport","")),"Korok x1","Korok x2")&amp;CHAR(34)&amp;", type: "&amp;CHAR(34)&amp;C421&amp;CHAR(34)&amp;", region: "&amp;D421&amp;", level: "&amp;CHAR(34)&amp;E421&amp;CHAR(34)&amp;", x: "&amp;F421&amp;", y: "&amp;G421&amp;", z: "&amp;H421&amp;", details: "&amp;CHAR(34)&amp;I421&amp;CHAR(34)&amp;" },"</f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3728</v>
      </c>
      <c r="C422" t="s">
        <v>2882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>"{ name: "&amp;CHAR(34)&amp;B422&amp;CHAR(34)&amp;", landmark: "&amp;CHAR(34)&amp;IF(LEN(C422)=LEN(SUBSTITUTE(C422,"Transport","")),"Korok x1","Korok x2")&amp;CHAR(34)&amp;", type: "&amp;CHAR(34)&amp;C422&amp;CHAR(34)&amp;", region: "&amp;D422&amp;", level: "&amp;CHAR(34)&amp;E422&amp;CHAR(34)&amp;", x: "&amp;F422&amp;", y: "&amp;G422&amp;", z: "&amp;H422&amp;", details: "&amp;CHAR(34)&amp;I422&amp;CHAR(34)&amp;" },"</f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3729</v>
      </c>
      <c r="C423" t="s">
        <v>2887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>"{ name: "&amp;CHAR(34)&amp;B423&amp;CHAR(34)&amp;", landmark: "&amp;CHAR(34)&amp;IF(LEN(C423)=LEN(SUBSTITUTE(C423,"Transport","")),"Korok x1","Korok x2")&amp;CHAR(34)&amp;", type: "&amp;CHAR(34)&amp;C423&amp;CHAR(34)&amp;", region: "&amp;D423&amp;", level: "&amp;CHAR(34)&amp;E423&amp;CHAR(34)&amp;", x: "&amp;F423&amp;", y: "&amp;G423&amp;", z: "&amp;H423&amp;", details: "&amp;CHAR(34)&amp;I423&amp;CHAR(34)&amp;" },"</f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3730</v>
      </c>
      <c r="C424" t="s">
        <v>2886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>"{ name: "&amp;CHAR(34)&amp;B424&amp;CHAR(34)&amp;", landmark: "&amp;CHAR(34)&amp;IF(LEN(C424)=LEN(SUBSTITUTE(C424,"Transport","")),"Korok x1","Korok x2")&amp;CHAR(34)&amp;", type: "&amp;CHAR(34)&amp;C424&amp;CHAR(34)&amp;", region: "&amp;D424&amp;", level: "&amp;CHAR(34)&amp;E424&amp;CHAR(34)&amp;", x: "&amp;F424&amp;", y: "&amp;G424&amp;", z: "&amp;H424&amp;", details: "&amp;CHAR(34)&amp;I424&amp;CHAR(34)&amp;" },"</f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3735</v>
      </c>
      <c r="C425" t="s">
        <v>2884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>"{ name: "&amp;CHAR(34)&amp;B425&amp;CHAR(34)&amp;", landmark: "&amp;CHAR(34)&amp;IF(LEN(C425)=LEN(SUBSTITUTE(C425,"Transport","")),"Korok x1","Korok x2")&amp;CHAR(34)&amp;", type: "&amp;CHAR(34)&amp;C425&amp;CHAR(34)&amp;", region: "&amp;D425&amp;", level: "&amp;CHAR(34)&amp;E425&amp;CHAR(34)&amp;", x: "&amp;F425&amp;", y: "&amp;G425&amp;", z: "&amp;H425&amp;", details: "&amp;CHAR(34)&amp;I425&amp;CHAR(34)&amp;" },"</f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3736</v>
      </c>
      <c r="C426" t="s">
        <v>2869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>"{ name: "&amp;CHAR(34)&amp;B426&amp;CHAR(34)&amp;", landmark: "&amp;CHAR(34)&amp;IF(LEN(C426)=LEN(SUBSTITUTE(C426,"Transport","")),"Korok x1","Korok x2")&amp;CHAR(34)&amp;", type: "&amp;CHAR(34)&amp;C426&amp;CHAR(34)&amp;", region: "&amp;D426&amp;", level: "&amp;CHAR(34)&amp;E426&amp;CHAR(34)&amp;", x: "&amp;F426&amp;", y: "&amp;G426&amp;", z: "&amp;H426&amp;", details: "&amp;CHAR(34)&amp;I426&amp;CHAR(34)&amp;" },"</f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3748</v>
      </c>
      <c r="C427" t="s">
        <v>2865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2670</v>
      </c>
      <c r="J427" t="str">
        <f>"{ name: "&amp;CHAR(34)&amp;B427&amp;CHAR(34)&amp;", landmark: "&amp;CHAR(34)&amp;IF(LEN(C427)=LEN(SUBSTITUTE(C427,"Transport","")),"Korok x1","Korok x2")&amp;CHAR(34)&amp;", type: "&amp;CHAR(34)&amp;C427&amp;CHAR(34)&amp;", region: "&amp;D427&amp;", level: "&amp;CHAR(34)&amp;E427&amp;CHAR(34)&amp;", x: "&amp;F427&amp;", y: "&amp;G427&amp;", z: "&amp;H427&amp;", details: "&amp;CHAR(34)&amp;I427&amp;CHAR(34)&amp;" },"</f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3749</v>
      </c>
      <c r="C428" t="s">
        <v>2867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>"{ name: "&amp;CHAR(34)&amp;B428&amp;CHAR(34)&amp;", landmark: "&amp;CHAR(34)&amp;IF(LEN(C428)=LEN(SUBSTITUTE(C428,"Transport","")),"Korok x1","Korok x2")&amp;CHAR(34)&amp;", type: "&amp;CHAR(34)&amp;C428&amp;CHAR(34)&amp;", region: "&amp;D428&amp;", level: "&amp;CHAR(34)&amp;E428&amp;CHAR(34)&amp;", x: "&amp;F428&amp;", y: "&amp;G428&amp;", z: "&amp;H428&amp;", details: "&amp;CHAR(34)&amp;I428&amp;CHAR(34)&amp;" },"</f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3813</v>
      </c>
      <c r="C429" t="s">
        <v>2865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2672</v>
      </c>
      <c r="J429" t="str">
        <f>"{ name: "&amp;CHAR(34)&amp;B429&amp;CHAR(34)&amp;", landmark: "&amp;CHAR(34)&amp;IF(LEN(C429)=LEN(SUBSTITUTE(C429,"Transport","")),"Korok x1","Korok x2")&amp;CHAR(34)&amp;", type: "&amp;CHAR(34)&amp;C429&amp;CHAR(34)&amp;", region: "&amp;D429&amp;", level: "&amp;CHAR(34)&amp;E429&amp;CHAR(34)&amp;", x: "&amp;F429&amp;", y: "&amp;G429&amp;", z: "&amp;H429&amp;", details: "&amp;CHAR(34)&amp;I429&amp;CHAR(34)&amp;" },"</f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3814</v>
      </c>
      <c r="C430" t="s">
        <v>2867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>"{ name: "&amp;CHAR(34)&amp;B430&amp;CHAR(34)&amp;", landmark: "&amp;CHAR(34)&amp;IF(LEN(C430)=LEN(SUBSTITUTE(C430,"Transport","")),"Korok x1","Korok x2")&amp;CHAR(34)&amp;", type: "&amp;CHAR(34)&amp;C430&amp;CHAR(34)&amp;", region: "&amp;D430&amp;", level: "&amp;CHAR(34)&amp;E430&amp;CHAR(34)&amp;", x: "&amp;F430&amp;", y: "&amp;G430&amp;", z: "&amp;H430&amp;", details: "&amp;CHAR(34)&amp;I430&amp;CHAR(34)&amp;" },"</f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3815</v>
      </c>
      <c r="C431" t="s">
        <v>2870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>"{ name: "&amp;CHAR(34)&amp;B431&amp;CHAR(34)&amp;", landmark: "&amp;CHAR(34)&amp;IF(LEN(C431)=LEN(SUBSTITUTE(C431,"Transport","")),"Korok x1","Korok x2")&amp;CHAR(34)&amp;", type: "&amp;CHAR(34)&amp;C431&amp;CHAR(34)&amp;", region: "&amp;D431&amp;", level: "&amp;CHAR(34)&amp;E431&amp;CHAR(34)&amp;", x: "&amp;F431&amp;", y: "&amp;G431&amp;", z: "&amp;H431&amp;", details: "&amp;CHAR(34)&amp;I431&amp;CHAR(34)&amp;" },"</f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3816</v>
      </c>
      <c r="C432" t="s">
        <v>2890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2807</v>
      </c>
      <c r="J432" t="str">
        <f>"{ name: "&amp;CHAR(34)&amp;B432&amp;CHAR(34)&amp;", landmark: "&amp;CHAR(34)&amp;IF(LEN(C432)=LEN(SUBSTITUTE(C432,"Transport","")),"Korok x1","Korok x2")&amp;CHAR(34)&amp;", type: "&amp;CHAR(34)&amp;C432&amp;CHAR(34)&amp;", region: "&amp;D432&amp;", level: "&amp;CHAR(34)&amp;E432&amp;CHAR(34)&amp;", x: "&amp;F432&amp;", y: "&amp;G432&amp;", z: "&amp;H432&amp;", details: "&amp;CHAR(34)&amp;I432&amp;CHAR(34)&amp;" },"</f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3843</v>
      </c>
      <c r="C433" t="s">
        <v>2867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>"{ name: "&amp;CHAR(34)&amp;B433&amp;CHAR(34)&amp;", landmark: "&amp;CHAR(34)&amp;IF(LEN(C433)=LEN(SUBSTITUTE(C433,"Transport","")),"Korok x1","Korok x2")&amp;CHAR(34)&amp;", type: "&amp;CHAR(34)&amp;C433&amp;CHAR(34)&amp;", region: "&amp;D433&amp;", level: "&amp;CHAR(34)&amp;E433&amp;CHAR(34)&amp;", x: "&amp;F433&amp;", y: "&amp;G433&amp;", z: "&amp;H433&amp;", details: "&amp;CHAR(34)&amp;I433&amp;CHAR(34)&amp;" },"</f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3844</v>
      </c>
      <c r="C434" t="s">
        <v>2870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>"{ name: "&amp;CHAR(34)&amp;B434&amp;CHAR(34)&amp;", landmark: "&amp;CHAR(34)&amp;IF(LEN(C434)=LEN(SUBSTITUTE(C434,"Transport","")),"Korok x1","Korok x2")&amp;CHAR(34)&amp;", type: "&amp;CHAR(34)&amp;C434&amp;CHAR(34)&amp;", region: "&amp;D434&amp;", level: "&amp;CHAR(34)&amp;E434&amp;CHAR(34)&amp;", x: "&amp;F434&amp;", y: "&amp;G434&amp;", z: "&amp;H434&amp;", details: "&amp;CHAR(34)&amp;I434&amp;CHAR(34)&amp;" },"</f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3922</v>
      </c>
      <c r="C435" t="s">
        <v>2875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>"{ name: "&amp;CHAR(34)&amp;B435&amp;CHAR(34)&amp;", landmark: "&amp;CHAR(34)&amp;IF(LEN(C435)=LEN(SUBSTITUTE(C435,"Transport","")),"Korok x1","Korok x2")&amp;CHAR(34)&amp;", type: "&amp;CHAR(34)&amp;C435&amp;CHAR(34)&amp;", region: "&amp;D435&amp;", level: "&amp;CHAR(34)&amp;E435&amp;CHAR(34)&amp;", x: "&amp;F435&amp;", y: "&amp;G435&amp;", z: "&amp;H435&amp;", details: "&amp;CHAR(34)&amp;I435&amp;CHAR(34)&amp;" },"</f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3933</v>
      </c>
      <c r="C436" t="s">
        <v>2877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>"{ name: "&amp;CHAR(34)&amp;B436&amp;CHAR(34)&amp;", landmark: "&amp;CHAR(34)&amp;IF(LEN(C436)=LEN(SUBSTITUTE(C436,"Transport","")),"Korok x1","Korok x2")&amp;CHAR(34)&amp;", type: "&amp;CHAR(34)&amp;C436&amp;CHAR(34)&amp;", region: "&amp;D436&amp;", level: "&amp;CHAR(34)&amp;E436&amp;CHAR(34)&amp;", x: "&amp;F436&amp;", y: "&amp;G436&amp;", z: "&amp;H436&amp;", details: "&amp;CHAR(34)&amp;I436&amp;CHAR(34)&amp;" },"</f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3981</v>
      </c>
      <c r="C437" t="s">
        <v>2886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>"{ name: "&amp;CHAR(34)&amp;B437&amp;CHAR(34)&amp;", landmark: "&amp;CHAR(34)&amp;IF(LEN(C437)=LEN(SUBSTITUTE(C437,"Transport","")),"Korok x1","Korok x2")&amp;CHAR(34)&amp;", type: "&amp;CHAR(34)&amp;C437&amp;CHAR(34)&amp;", region: "&amp;D437&amp;", level: "&amp;CHAR(34)&amp;E437&amp;CHAR(34)&amp;", x: "&amp;F437&amp;", y: "&amp;G437&amp;", z: "&amp;H437&amp;", details: "&amp;CHAR(34)&amp;I437&amp;CHAR(34)&amp;" },"</f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3984</v>
      </c>
      <c r="C438" t="s">
        <v>2890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2806</v>
      </c>
      <c r="J438" t="str">
        <f>"{ name: "&amp;CHAR(34)&amp;B438&amp;CHAR(34)&amp;", landmark: "&amp;CHAR(34)&amp;IF(LEN(C438)=LEN(SUBSTITUTE(C438,"Transport","")),"Korok x1","Korok x2")&amp;CHAR(34)&amp;", type: "&amp;CHAR(34)&amp;C438&amp;CHAR(34)&amp;", region: "&amp;D438&amp;", level: "&amp;CHAR(34)&amp;E438&amp;CHAR(34)&amp;", x: "&amp;F438&amp;", y: "&amp;G438&amp;", z: "&amp;H438&amp;", details: "&amp;CHAR(34)&amp;I438&amp;CHAR(34)&amp;" },"</f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3985</v>
      </c>
      <c r="C439" t="s">
        <v>2875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>"{ name: "&amp;CHAR(34)&amp;B439&amp;CHAR(34)&amp;", landmark: "&amp;CHAR(34)&amp;IF(LEN(C439)=LEN(SUBSTITUTE(C439,"Transport","")),"Korok x1","Korok x2")&amp;CHAR(34)&amp;", type: "&amp;CHAR(34)&amp;C439&amp;CHAR(34)&amp;", region: "&amp;D439&amp;", level: "&amp;CHAR(34)&amp;E439&amp;CHAR(34)&amp;", x: "&amp;F439&amp;", y: "&amp;G439&amp;", z: "&amp;H439&amp;", details: "&amp;CHAR(34)&amp;I439&amp;CHAR(34)&amp;" },"</f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3986</v>
      </c>
      <c r="C440" t="s">
        <v>2890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2793</v>
      </c>
      <c r="J440" t="str">
        <f>"{ name: "&amp;CHAR(34)&amp;B440&amp;CHAR(34)&amp;", landmark: "&amp;CHAR(34)&amp;IF(LEN(C440)=LEN(SUBSTITUTE(C440,"Transport","")),"Korok x1","Korok x2")&amp;CHAR(34)&amp;", type: "&amp;CHAR(34)&amp;C440&amp;CHAR(34)&amp;", region: "&amp;D440&amp;", level: "&amp;CHAR(34)&amp;E440&amp;CHAR(34)&amp;", x: "&amp;F440&amp;", y: "&amp;G440&amp;", z: "&amp;H440&amp;", details: "&amp;CHAR(34)&amp;I440&amp;CHAR(34)&amp;" },"</f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3989</v>
      </c>
      <c r="C441" t="s">
        <v>2869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>"{ name: "&amp;CHAR(34)&amp;B441&amp;CHAR(34)&amp;", landmark: "&amp;CHAR(34)&amp;IF(LEN(C441)=LEN(SUBSTITUTE(C441,"Transport","")),"Korok x1","Korok x2")&amp;CHAR(34)&amp;", type: "&amp;CHAR(34)&amp;C441&amp;CHAR(34)&amp;", region: "&amp;D441&amp;", level: "&amp;CHAR(34)&amp;E441&amp;CHAR(34)&amp;", x: "&amp;F441&amp;", y: "&amp;G441&amp;", z: "&amp;H441&amp;", details: "&amp;CHAR(34)&amp;I441&amp;CHAR(34)&amp;" },"</f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3991</v>
      </c>
      <c r="C442" t="s">
        <v>2865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2664</v>
      </c>
      <c r="J442" t="str">
        <f>"{ name: "&amp;CHAR(34)&amp;B442&amp;CHAR(34)&amp;", landmark: "&amp;CHAR(34)&amp;IF(LEN(C442)=LEN(SUBSTITUTE(C442,"Transport","")),"Korok x1","Korok x2")&amp;CHAR(34)&amp;", type: "&amp;CHAR(34)&amp;C442&amp;CHAR(34)&amp;", region: "&amp;D442&amp;", level: "&amp;CHAR(34)&amp;E442&amp;CHAR(34)&amp;", x: "&amp;F442&amp;", y: "&amp;G442&amp;", z: "&amp;H442&amp;", details: "&amp;CHAR(34)&amp;I442&amp;CHAR(34)&amp;" },"</f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4019</v>
      </c>
      <c r="C443" t="s">
        <v>2887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>"{ name: "&amp;CHAR(34)&amp;B443&amp;CHAR(34)&amp;", landmark: "&amp;CHAR(34)&amp;IF(LEN(C443)=LEN(SUBSTITUTE(C443,"Transport","")),"Korok x1","Korok x2")&amp;CHAR(34)&amp;", type: "&amp;CHAR(34)&amp;C443&amp;CHAR(34)&amp;", region: "&amp;D443&amp;", level: "&amp;CHAR(34)&amp;E443&amp;CHAR(34)&amp;", x: "&amp;F443&amp;", y: "&amp;G443&amp;", z: "&amp;H443&amp;", details: "&amp;CHAR(34)&amp;I443&amp;CHAR(34)&amp;" },"</f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4063</v>
      </c>
      <c r="C444" t="s">
        <v>2883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>"{ name: "&amp;CHAR(34)&amp;B444&amp;CHAR(34)&amp;", landmark: "&amp;CHAR(34)&amp;IF(LEN(C444)=LEN(SUBSTITUTE(C444,"Transport","")),"Korok x1","Korok x2")&amp;CHAR(34)&amp;", type: "&amp;CHAR(34)&amp;C444&amp;CHAR(34)&amp;", region: "&amp;D444&amp;", level: "&amp;CHAR(34)&amp;E444&amp;CHAR(34)&amp;", x: "&amp;F444&amp;", y: "&amp;G444&amp;", z: "&amp;H444&amp;", details: "&amp;CHAR(34)&amp;I444&amp;CHAR(34)&amp;" },"</f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4064</v>
      </c>
      <c r="C445" t="s">
        <v>2875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>"{ name: "&amp;CHAR(34)&amp;B445&amp;CHAR(34)&amp;", landmark: "&amp;CHAR(34)&amp;IF(LEN(C445)=LEN(SUBSTITUTE(C445,"Transport","")),"Korok x1","Korok x2")&amp;CHAR(34)&amp;", type: "&amp;CHAR(34)&amp;C445&amp;CHAR(34)&amp;", region: "&amp;D445&amp;", level: "&amp;CHAR(34)&amp;E445&amp;CHAR(34)&amp;", x: "&amp;F445&amp;", y: "&amp;G445&amp;", z: "&amp;H445&amp;", details: "&amp;CHAR(34)&amp;I445&amp;CHAR(34)&amp;" },"</f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4065</v>
      </c>
      <c r="C446" t="s">
        <v>2875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>"{ name: "&amp;CHAR(34)&amp;B446&amp;CHAR(34)&amp;", landmark: "&amp;CHAR(34)&amp;IF(LEN(C446)=LEN(SUBSTITUTE(C446,"Transport","")),"Korok x1","Korok x2")&amp;CHAR(34)&amp;", type: "&amp;CHAR(34)&amp;C446&amp;CHAR(34)&amp;", region: "&amp;D446&amp;", level: "&amp;CHAR(34)&amp;E446&amp;CHAR(34)&amp;", x: "&amp;F446&amp;", y: "&amp;G446&amp;", z: "&amp;H446&amp;", details: "&amp;CHAR(34)&amp;I446&amp;CHAR(34)&amp;" },"</f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4088</v>
      </c>
      <c r="C447" t="s">
        <v>2874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2803</v>
      </c>
      <c r="J447" t="str">
        <f>"{ name: "&amp;CHAR(34)&amp;B447&amp;CHAR(34)&amp;", landmark: "&amp;CHAR(34)&amp;IF(LEN(C447)=LEN(SUBSTITUTE(C447,"Transport","")),"Korok x1","Korok x2")&amp;CHAR(34)&amp;", type: "&amp;CHAR(34)&amp;C447&amp;CHAR(34)&amp;", region: "&amp;D447&amp;", level: "&amp;CHAR(34)&amp;E447&amp;CHAR(34)&amp;", x: "&amp;F447&amp;", y: "&amp;G447&amp;", z: "&amp;H447&amp;", details: "&amp;CHAR(34)&amp;I447&amp;CHAR(34)&amp;" },"</f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4096</v>
      </c>
      <c r="C448" t="s">
        <v>2864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>"{ name: "&amp;CHAR(34)&amp;B448&amp;CHAR(34)&amp;", landmark: "&amp;CHAR(34)&amp;IF(LEN(C448)=LEN(SUBSTITUTE(C448,"Transport","")),"Korok x1","Korok x2")&amp;CHAR(34)&amp;", type: "&amp;CHAR(34)&amp;C448&amp;CHAR(34)&amp;", region: "&amp;D448&amp;", level: "&amp;CHAR(34)&amp;E448&amp;CHAR(34)&amp;", x: "&amp;F448&amp;", y: "&amp;G448&amp;", z: "&amp;H448&amp;", details: "&amp;CHAR(34)&amp;I448&amp;CHAR(34)&amp;" },"</f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4097</v>
      </c>
      <c r="C449" t="s">
        <v>2865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2669</v>
      </c>
      <c r="J449" t="str">
        <f>"{ name: "&amp;CHAR(34)&amp;B449&amp;CHAR(34)&amp;", landmark: "&amp;CHAR(34)&amp;IF(LEN(C449)=LEN(SUBSTITUTE(C449,"Transport","")),"Korok x1","Korok x2")&amp;CHAR(34)&amp;", type: "&amp;CHAR(34)&amp;C449&amp;CHAR(34)&amp;", region: "&amp;D449&amp;", level: "&amp;CHAR(34)&amp;E449&amp;CHAR(34)&amp;", x: "&amp;F449&amp;", y: "&amp;G449&amp;", z: "&amp;H449&amp;", details: "&amp;CHAR(34)&amp;I449&amp;CHAR(34)&amp;" },"</f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4098</v>
      </c>
      <c r="C450" t="s">
        <v>2875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3292</v>
      </c>
      <c r="C451" t="s">
        <v>2867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>"{ name: "&amp;CHAR(34)&amp;B451&amp;CHAR(34)&amp;", landmark: "&amp;CHAR(34)&amp;IF(LEN(C451)=LEN(SUBSTITUTE(C451,"Transport","")),"Korok x1","Korok x2")&amp;CHAR(34)&amp;", type: "&amp;CHAR(34)&amp;C451&amp;CHAR(34)&amp;", region: "&amp;D451&amp;", level: "&amp;CHAR(34)&amp;E451&amp;CHAR(34)&amp;", x: "&amp;F451&amp;", y: "&amp;G451&amp;", z: "&amp;H451&amp;", details: "&amp;CHAR(34)&amp;I451&amp;CHAR(34)&amp;" },"</f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3298</v>
      </c>
      <c r="C452" t="s">
        <v>2886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>"{ name: "&amp;CHAR(34)&amp;B452&amp;CHAR(34)&amp;", landmark: "&amp;CHAR(34)&amp;IF(LEN(C452)=LEN(SUBSTITUTE(C452,"Transport","")),"Korok x1","Korok x2")&amp;CHAR(34)&amp;", type: "&amp;CHAR(34)&amp;C452&amp;CHAR(34)&amp;", region: "&amp;D452&amp;", level: "&amp;CHAR(34)&amp;E452&amp;CHAR(34)&amp;", x: "&amp;F452&amp;", y: "&amp;G452&amp;", z: "&amp;H452&amp;", details: "&amp;CHAR(34)&amp;I452&amp;CHAR(34)&amp;" },"</f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3308</v>
      </c>
      <c r="C453" t="s">
        <v>2880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2667</v>
      </c>
      <c r="J453" t="str">
        <f>"{ name: "&amp;CHAR(34)&amp;B453&amp;CHAR(34)&amp;", landmark: "&amp;CHAR(34)&amp;IF(LEN(C453)=LEN(SUBSTITUTE(C453,"Transport","")),"Korok x1","Korok x2")&amp;CHAR(34)&amp;", type: "&amp;CHAR(34)&amp;C453&amp;CHAR(34)&amp;", region: "&amp;D453&amp;", level: "&amp;CHAR(34)&amp;E453&amp;CHAR(34)&amp;", x: "&amp;F453&amp;", y: "&amp;G453&amp;", z: "&amp;H453&amp;", details: "&amp;CHAR(34)&amp;I453&amp;CHAR(34)&amp;" },"</f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3331</v>
      </c>
      <c r="C454" t="s">
        <v>2870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>"{ name: "&amp;CHAR(34)&amp;B454&amp;CHAR(34)&amp;", landmark: "&amp;CHAR(34)&amp;IF(LEN(C454)=LEN(SUBSTITUTE(C454,"Transport","")),"Korok x1","Korok x2")&amp;CHAR(34)&amp;", type: "&amp;CHAR(34)&amp;C454&amp;CHAR(34)&amp;", region: "&amp;D454&amp;", level: "&amp;CHAR(34)&amp;E454&amp;CHAR(34)&amp;", x: "&amp;F454&amp;", y: "&amp;G454&amp;", z: "&amp;H454&amp;", details: "&amp;CHAR(34)&amp;I454&amp;CHAR(34)&amp;" },"</f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3332</v>
      </c>
      <c r="C455" t="s">
        <v>2872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>"{ name: "&amp;CHAR(34)&amp;B455&amp;CHAR(34)&amp;", landmark: "&amp;CHAR(34)&amp;IF(LEN(C455)=LEN(SUBSTITUTE(C455,"Transport","")),"Korok x1","Korok x2")&amp;CHAR(34)&amp;", type: "&amp;CHAR(34)&amp;C455&amp;CHAR(34)&amp;", region: "&amp;D455&amp;", level: "&amp;CHAR(34)&amp;E455&amp;CHAR(34)&amp;", x: "&amp;F455&amp;", y: "&amp;G455&amp;", z: "&amp;H455&amp;", details: "&amp;CHAR(34)&amp;I455&amp;CHAR(34)&amp;" },"</f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3333</v>
      </c>
      <c r="C456" t="s">
        <v>2864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>"{ name: "&amp;CHAR(34)&amp;B456&amp;CHAR(34)&amp;", landmark: "&amp;CHAR(34)&amp;IF(LEN(C456)=LEN(SUBSTITUTE(C456,"Transport","")),"Korok x1","Korok x2")&amp;CHAR(34)&amp;", type: "&amp;CHAR(34)&amp;C456&amp;CHAR(34)&amp;", region: "&amp;D456&amp;", level: "&amp;CHAR(34)&amp;E456&amp;CHAR(34)&amp;", x: "&amp;F456&amp;", y: "&amp;G456&amp;", z: "&amp;H456&amp;", details: "&amp;CHAR(34)&amp;I456&amp;CHAR(34)&amp;" },"</f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3350</v>
      </c>
      <c r="C457" t="s">
        <v>2871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>"{ name: "&amp;CHAR(34)&amp;B457&amp;CHAR(34)&amp;", landmark: "&amp;CHAR(34)&amp;IF(LEN(C457)=LEN(SUBSTITUTE(C457,"Transport","")),"Korok x1","Korok x2")&amp;CHAR(34)&amp;", type: "&amp;CHAR(34)&amp;C457&amp;CHAR(34)&amp;", region: "&amp;D457&amp;", level: "&amp;CHAR(34)&amp;E457&amp;CHAR(34)&amp;", x: "&amp;F457&amp;", y: "&amp;G457&amp;", z: "&amp;H457&amp;", details: "&amp;CHAR(34)&amp;I457&amp;CHAR(34)&amp;" },"</f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3391</v>
      </c>
      <c r="C458" t="s">
        <v>2890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2805</v>
      </c>
      <c r="J458" t="str">
        <f>"{ name: "&amp;CHAR(34)&amp;B458&amp;CHAR(34)&amp;", landmark: "&amp;CHAR(34)&amp;IF(LEN(C458)=LEN(SUBSTITUTE(C458,"Transport","")),"Korok x1","Korok x2")&amp;CHAR(34)&amp;", type: "&amp;CHAR(34)&amp;C458&amp;CHAR(34)&amp;", region: "&amp;D458&amp;", level: "&amp;CHAR(34)&amp;E458&amp;CHAR(34)&amp;", x: "&amp;F458&amp;", y: "&amp;G458&amp;", z: "&amp;H458&amp;", details: "&amp;CHAR(34)&amp;I458&amp;CHAR(34)&amp;" },"</f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3443</v>
      </c>
      <c r="C459" t="s">
        <v>2886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>"{ name: "&amp;CHAR(34)&amp;B459&amp;CHAR(34)&amp;", landmark: "&amp;CHAR(34)&amp;IF(LEN(C459)=LEN(SUBSTITUTE(C459,"Transport","")),"Korok x1","Korok x2")&amp;CHAR(34)&amp;", type: "&amp;CHAR(34)&amp;C459&amp;CHAR(34)&amp;", region: "&amp;D459&amp;", level: "&amp;CHAR(34)&amp;E459&amp;CHAR(34)&amp;", x: "&amp;F459&amp;", y: "&amp;G459&amp;", z: "&amp;H459&amp;", details: "&amp;CHAR(34)&amp;I459&amp;CHAR(34)&amp;" },"</f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3444</v>
      </c>
      <c r="C460" t="s">
        <v>2884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>"{ name: "&amp;CHAR(34)&amp;B460&amp;CHAR(34)&amp;", landmark: "&amp;CHAR(34)&amp;IF(LEN(C460)=LEN(SUBSTITUTE(C460,"Transport","")),"Korok x1","Korok x2")&amp;CHAR(34)&amp;", type: "&amp;CHAR(34)&amp;C460&amp;CHAR(34)&amp;", region: "&amp;D460&amp;", level: "&amp;CHAR(34)&amp;E460&amp;CHAR(34)&amp;", x: "&amp;F460&amp;", y: "&amp;G460&amp;", z: "&amp;H460&amp;", details: "&amp;CHAR(34)&amp;I460&amp;CHAR(34)&amp;" },"</f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3445</v>
      </c>
      <c r="C461" t="s">
        <v>2885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>"{ name: "&amp;CHAR(34)&amp;B461&amp;CHAR(34)&amp;", landmark: "&amp;CHAR(34)&amp;IF(LEN(C461)=LEN(SUBSTITUTE(C461,"Transport","")),"Korok x1","Korok x2")&amp;CHAR(34)&amp;", type: "&amp;CHAR(34)&amp;C461&amp;CHAR(34)&amp;", region: "&amp;D461&amp;", level: "&amp;CHAR(34)&amp;E461&amp;CHAR(34)&amp;", x: "&amp;F461&amp;", y: "&amp;G461&amp;", z: "&amp;H461&amp;", details: "&amp;CHAR(34)&amp;I461&amp;CHAR(34)&amp;" },"</f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3446</v>
      </c>
      <c r="C462" t="s">
        <v>2874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2849</v>
      </c>
      <c r="J462" t="str">
        <f>"{ name: "&amp;CHAR(34)&amp;B462&amp;CHAR(34)&amp;", landmark: "&amp;CHAR(34)&amp;IF(LEN(C462)=LEN(SUBSTITUTE(C462,"Transport","")),"Korok x1","Korok x2")&amp;CHAR(34)&amp;", type: "&amp;CHAR(34)&amp;C462&amp;CHAR(34)&amp;", region: "&amp;D462&amp;", level: "&amp;CHAR(34)&amp;E462&amp;CHAR(34)&amp;", x: "&amp;F462&amp;", y: "&amp;G462&amp;", z: "&amp;H462&amp;", details: "&amp;CHAR(34)&amp;I462&amp;CHAR(34)&amp;" },"</f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3447</v>
      </c>
      <c r="C463" t="s">
        <v>2884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>"{ name: "&amp;CHAR(34)&amp;B463&amp;CHAR(34)&amp;", landmark: "&amp;CHAR(34)&amp;IF(LEN(C463)=LEN(SUBSTITUTE(C463,"Transport","")),"Korok x1","Korok x2")&amp;CHAR(34)&amp;", type: "&amp;CHAR(34)&amp;C463&amp;CHAR(34)&amp;", region: "&amp;D463&amp;", level: "&amp;CHAR(34)&amp;E463&amp;CHAR(34)&amp;", x: "&amp;F463&amp;", y: "&amp;G463&amp;", z: "&amp;H463&amp;", details: "&amp;CHAR(34)&amp;I463&amp;CHAR(34)&amp;" },"</f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3448</v>
      </c>
      <c r="C464" t="s">
        <v>2879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>"{ name: "&amp;CHAR(34)&amp;B464&amp;CHAR(34)&amp;", landmark: "&amp;CHAR(34)&amp;IF(LEN(C464)=LEN(SUBSTITUTE(C464,"Transport","")),"Korok x1","Korok x2")&amp;CHAR(34)&amp;", type: "&amp;CHAR(34)&amp;C464&amp;CHAR(34)&amp;", region: "&amp;D464&amp;", level: "&amp;CHAR(34)&amp;E464&amp;CHAR(34)&amp;", x: "&amp;F464&amp;", y: "&amp;G464&amp;", z: "&amp;H464&amp;", details: "&amp;CHAR(34)&amp;I464&amp;CHAR(34)&amp;" },"</f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3474</v>
      </c>
      <c r="C465" t="s">
        <v>2865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2710</v>
      </c>
      <c r="J465" t="str">
        <f>"{ name: "&amp;CHAR(34)&amp;B465&amp;CHAR(34)&amp;", landmark: "&amp;CHAR(34)&amp;IF(LEN(C465)=LEN(SUBSTITUTE(C465,"Transport","")),"Korok x1","Korok x2")&amp;CHAR(34)&amp;", type: "&amp;CHAR(34)&amp;C465&amp;CHAR(34)&amp;", region: "&amp;D465&amp;", level: "&amp;CHAR(34)&amp;E465&amp;CHAR(34)&amp;", x: "&amp;F465&amp;", y: "&amp;G465&amp;", z: "&amp;H465&amp;", details: "&amp;CHAR(34)&amp;I465&amp;CHAR(34)&amp;" },"</f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3554</v>
      </c>
      <c r="C466" t="s">
        <v>2875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>"{ name: "&amp;CHAR(34)&amp;B466&amp;CHAR(34)&amp;", landmark: "&amp;CHAR(34)&amp;IF(LEN(C466)=LEN(SUBSTITUTE(C466,"Transport","")),"Korok x1","Korok x2")&amp;CHAR(34)&amp;", type: "&amp;CHAR(34)&amp;C466&amp;CHAR(34)&amp;", region: "&amp;D466&amp;", level: "&amp;CHAR(34)&amp;E466&amp;CHAR(34)&amp;", x: "&amp;F466&amp;", y: "&amp;G466&amp;", z: "&amp;H466&amp;", details: "&amp;CHAR(34)&amp;I466&amp;CHAR(34)&amp;" },"</f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3638</v>
      </c>
      <c r="C467" t="s">
        <v>2884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>"{ name: "&amp;CHAR(34)&amp;B467&amp;CHAR(34)&amp;", landmark: "&amp;CHAR(34)&amp;IF(LEN(C467)=LEN(SUBSTITUTE(C467,"Transport","")),"Korok x1","Korok x2")&amp;CHAR(34)&amp;", type: "&amp;CHAR(34)&amp;C467&amp;CHAR(34)&amp;", region: "&amp;D467&amp;", level: "&amp;CHAR(34)&amp;E467&amp;CHAR(34)&amp;", x: "&amp;F467&amp;", y: "&amp;G467&amp;", z: "&amp;H467&amp;", details: "&amp;CHAR(34)&amp;I467&amp;CHAR(34)&amp;" },"</f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3641</v>
      </c>
      <c r="C468" t="s">
        <v>2875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>"{ name: "&amp;CHAR(34)&amp;B468&amp;CHAR(34)&amp;", landmark: "&amp;CHAR(34)&amp;IF(LEN(C468)=LEN(SUBSTITUTE(C468,"Transport","")),"Korok x1","Korok x2")&amp;CHAR(34)&amp;", type: "&amp;CHAR(34)&amp;C468&amp;CHAR(34)&amp;", region: "&amp;D468&amp;", level: "&amp;CHAR(34)&amp;E468&amp;CHAR(34)&amp;", x: "&amp;F468&amp;", y: "&amp;G468&amp;", z: "&amp;H468&amp;", details: "&amp;CHAR(34)&amp;I468&amp;CHAR(34)&amp;" },"</f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3642</v>
      </c>
      <c r="C469" t="s">
        <v>2870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>"{ name: "&amp;CHAR(34)&amp;B469&amp;CHAR(34)&amp;", landmark: "&amp;CHAR(34)&amp;IF(LEN(C469)=LEN(SUBSTITUTE(C469,"Transport","")),"Korok x1","Korok x2")&amp;CHAR(34)&amp;", type: "&amp;CHAR(34)&amp;C469&amp;CHAR(34)&amp;", region: "&amp;D469&amp;", level: "&amp;CHAR(34)&amp;E469&amp;CHAR(34)&amp;", x: "&amp;F469&amp;", y: "&amp;G469&amp;", z: "&amp;H469&amp;", details: "&amp;CHAR(34)&amp;I469&amp;CHAR(34)&amp;" },"</f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3643</v>
      </c>
      <c r="C470" t="s">
        <v>2865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2764</v>
      </c>
      <c r="J470" t="str">
        <f>"{ name: "&amp;CHAR(34)&amp;B470&amp;CHAR(34)&amp;", landmark: "&amp;CHAR(34)&amp;IF(LEN(C470)=LEN(SUBSTITUTE(C470,"Transport","")),"Korok x1","Korok x2")&amp;CHAR(34)&amp;", type: "&amp;CHAR(34)&amp;C470&amp;CHAR(34)&amp;", region: "&amp;D470&amp;", level: "&amp;CHAR(34)&amp;E470&amp;CHAR(34)&amp;", x: "&amp;F470&amp;", y: "&amp;G470&amp;", z: "&amp;H470&amp;", details: "&amp;CHAR(34)&amp;I470&amp;CHAR(34)&amp;" },"</f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3646</v>
      </c>
      <c r="C471" t="s">
        <v>2874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2804</v>
      </c>
      <c r="J471" t="str">
        <f>"{ name: "&amp;CHAR(34)&amp;B471&amp;CHAR(34)&amp;", landmark: "&amp;CHAR(34)&amp;IF(LEN(C471)=LEN(SUBSTITUTE(C471,"Transport","")),"Korok x1","Korok x2")&amp;CHAR(34)&amp;", type: "&amp;CHAR(34)&amp;C471&amp;CHAR(34)&amp;", region: "&amp;D471&amp;", level: "&amp;CHAR(34)&amp;E471&amp;CHAR(34)&amp;", x: "&amp;F471&amp;", y: "&amp;G471&amp;", z: "&amp;H471&amp;", details: "&amp;CHAR(34)&amp;I471&amp;CHAR(34)&amp;" },"</f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3707</v>
      </c>
      <c r="C472" t="s">
        <v>2865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2763</v>
      </c>
      <c r="J472" t="str">
        <f>"{ name: "&amp;CHAR(34)&amp;B472&amp;CHAR(34)&amp;", landmark: "&amp;CHAR(34)&amp;IF(LEN(C472)=LEN(SUBSTITUTE(C472,"Transport","")),"Korok x1","Korok x2")&amp;CHAR(34)&amp;", type: "&amp;CHAR(34)&amp;C472&amp;CHAR(34)&amp;", region: "&amp;D472&amp;", level: "&amp;CHAR(34)&amp;E472&amp;CHAR(34)&amp;", x: "&amp;F472&amp;", y: "&amp;G472&amp;", z: "&amp;H472&amp;", details: "&amp;CHAR(34)&amp;I472&amp;CHAR(34)&amp;" },"</f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3708</v>
      </c>
      <c r="C473" t="s">
        <v>2874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>"{ name: "&amp;CHAR(34)&amp;B473&amp;CHAR(34)&amp;", landmark: "&amp;CHAR(34)&amp;IF(LEN(C473)=LEN(SUBSTITUTE(C473,"Transport","")),"Korok x1","Korok x2")&amp;CHAR(34)&amp;", type: "&amp;CHAR(34)&amp;C473&amp;CHAR(34)&amp;", region: "&amp;D473&amp;", level: "&amp;CHAR(34)&amp;E473&amp;CHAR(34)&amp;", x: "&amp;F473&amp;", y: "&amp;G473&amp;", z: "&amp;H473&amp;", details: "&amp;CHAR(34)&amp;I473&amp;CHAR(34)&amp;" },"</f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3709</v>
      </c>
      <c r="C474" t="s">
        <v>2886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>"{ name: "&amp;CHAR(34)&amp;B474&amp;CHAR(34)&amp;", landmark: "&amp;CHAR(34)&amp;IF(LEN(C474)=LEN(SUBSTITUTE(C474,"Transport","")),"Korok x1","Korok x2")&amp;CHAR(34)&amp;", type: "&amp;CHAR(34)&amp;C474&amp;CHAR(34)&amp;", region: "&amp;D474&amp;", level: "&amp;CHAR(34)&amp;E474&amp;CHAR(34)&amp;", x: "&amp;F474&amp;", y: "&amp;G474&amp;", z: "&amp;H474&amp;", details: "&amp;CHAR(34)&amp;I474&amp;CHAR(34)&amp;" },"</f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3710</v>
      </c>
      <c r="C475" t="s">
        <v>2880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2765</v>
      </c>
      <c r="J475" t="str">
        <f>"{ name: "&amp;CHAR(34)&amp;B475&amp;CHAR(34)&amp;", landmark: "&amp;CHAR(34)&amp;IF(LEN(C475)=LEN(SUBSTITUTE(C475,"Transport","")),"Korok x1","Korok x2")&amp;CHAR(34)&amp;", type: "&amp;CHAR(34)&amp;C475&amp;CHAR(34)&amp;", region: "&amp;D475&amp;", level: "&amp;CHAR(34)&amp;E475&amp;CHAR(34)&amp;", x: "&amp;F475&amp;", y: "&amp;G475&amp;", z: "&amp;H475&amp;", details: "&amp;CHAR(34)&amp;I475&amp;CHAR(34)&amp;" },"</f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3717</v>
      </c>
      <c r="C476" t="s">
        <v>2869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>"{ name: "&amp;CHAR(34)&amp;B476&amp;CHAR(34)&amp;", landmark: "&amp;CHAR(34)&amp;IF(LEN(C476)=LEN(SUBSTITUTE(C476,"Transport","")),"Korok x1","Korok x2")&amp;CHAR(34)&amp;", type: "&amp;CHAR(34)&amp;C476&amp;CHAR(34)&amp;", region: "&amp;D476&amp;", level: "&amp;CHAR(34)&amp;E476&amp;CHAR(34)&amp;", x: "&amp;F476&amp;", y: "&amp;G476&amp;", z: "&amp;H476&amp;", details: "&amp;CHAR(34)&amp;I476&amp;CHAR(34)&amp;" },"</f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3732</v>
      </c>
      <c r="C477" t="s">
        <v>2870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>"{ name: "&amp;CHAR(34)&amp;B477&amp;CHAR(34)&amp;", landmark: "&amp;CHAR(34)&amp;IF(LEN(C477)=LEN(SUBSTITUTE(C477,"Transport","")),"Korok x1","Korok x2")&amp;CHAR(34)&amp;", type: "&amp;CHAR(34)&amp;C477&amp;CHAR(34)&amp;", region: "&amp;D477&amp;", level: "&amp;CHAR(34)&amp;E477&amp;CHAR(34)&amp;", x: "&amp;F477&amp;", y: "&amp;G477&amp;", z: "&amp;H477&amp;", details: "&amp;CHAR(34)&amp;I477&amp;CHAR(34)&amp;" },"</f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3733</v>
      </c>
      <c r="C478" t="s">
        <v>2889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>"{ name: "&amp;CHAR(34)&amp;B478&amp;CHAR(34)&amp;", landmark: "&amp;CHAR(34)&amp;IF(LEN(C478)=LEN(SUBSTITUTE(C478,"Transport","")),"Korok x1","Korok x2")&amp;CHAR(34)&amp;", type: "&amp;CHAR(34)&amp;C478&amp;CHAR(34)&amp;", region: "&amp;D478&amp;", level: "&amp;CHAR(34)&amp;E478&amp;CHAR(34)&amp;", x: "&amp;F478&amp;", y: "&amp;G478&amp;", z: "&amp;H478&amp;", details: "&amp;CHAR(34)&amp;I478&amp;CHAR(34)&amp;" },"</f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3835</v>
      </c>
      <c r="C479" t="s">
        <v>2888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>"{ name: "&amp;CHAR(34)&amp;B479&amp;CHAR(34)&amp;", landmark: "&amp;CHAR(34)&amp;IF(LEN(C479)=LEN(SUBSTITUTE(C479,"Transport","")),"Korok x1","Korok x2")&amp;CHAR(34)&amp;", type: "&amp;CHAR(34)&amp;C479&amp;CHAR(34)&amp;", region: "&amp;D479&amp;", level: "&amp;CHAR(34)&amp;E479&amp;CHAR(34)&amp;", x: "&amp;F479&amp;", y: "&amp;G479&amp;", z: "&amp;H479&amp;", details: "&amp;CHAR(34)&amp;I479&amp;CHAR(34)&amp;" },"</f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3845</v>
      </c>
      <c r="C480" t="s">
        <v>2875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>"{ name: "&amp;CHAR(34)&amp;B480&amp;CHAR(34)&amp;", landmark: "&amp;CHAR(34)&amp;IF(LEN(C480)=LEN(SUBSTITUTE(C480,"Transport","")),"Korok x1","Korok x2")&amp;CHAR(34)&amp;", type: "&amp;CHAR(34)&amp;C480&amp;CHAR(34)&amp;", region: "&amp;D480&amp;", level: "&amp;CHAR(34)&amp;E480&amp;CHAR(34)&amp;", x: "&amp;F480&amp;", y: "&amp;G480&amp;", z: "&amp;H480&amp;", details: "&amp;CHAR(34)&amp;I480&amp;CHAR(34)&amp;" },"</f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3898</v>
      </c>
      <c r="C481" t="s">
        <v>2864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>"{ name: "&amp;CHAR(34)&amp;B481&amp;CHAR(34)&amp;", landmark: "&amp;CHAR(34)&amp;IF(LEN(C481)=LEN(SUBSTITUTE(C481,"Transport","")),"Korok x1","Korok x2")&amp;CHAR(34)&amp;", type: "&amp;CHAR(34)&amp;C481&amp;CHAR(34)&amp;", region: "&amp;D481&amp;", level: "&amp;CHAR(34)&amp;E481&amp;CHAR(34)&amp;", x: "&amp;F481&amp;", y: "&amp;G481&amp;", z: "&amp;H481&amp;", details: "&amp;CHAR(34)&amp;I481&amp;CHAR(34)&amp;" },"</f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3899</v>
      </c>
      <c r="C482" t="s">
        <v>2880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2758</v>
      </c>
      <c r="J482" t="str">
        <f>"{ name: "&amp;CHAR(34)&amp;B482&amp;CHAR(34)&amp;", landmark: "&amp;CHAR(34)&amp;IF(LEN(C482)=LEN(SUBSTITUTE(C482,"Transport","")),"Korok x1","Korok x2")&amp;CHAR(34)&amp;", type: "&amp;CHAR(34)&amp;C482&amp;CHAR(34)&amp;", region: "&amp;D482&amp;", level: "&amp;CHAR(34)&amp;E482&amp;CHAR(34)&amp;", x: "&amp;F482&amp;", y: "&amp;G482&amp;", z: "&amp;H482&amp;", details: "&amp;CHAR(34)&amp;I482&amp;CHAR(34)&amp;" },"</f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3936</v>
      </c>
      <c r="C483" t="s">
        <v>2865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2760</v>
      </c>
      <c r="J483" t="str">
        <f>"{ name: "&amp;CHAR(34)&amp;B483&amp;CHAR(34)&amp;", landmark: "&amp;CHAR(34)&amp;IF(LEN(C483)=LEN(SUBSTITUTE(C483,"Transport","")),"Korok x1","Korok x2")&amp;CHAR(34)&amp;", type: "&amp;CHAR(34)&amp;C483&amp;CHAR(34)&amp;", region: "&amp;D483&amp;", level: "&amp;CHAR(34)&amp;E483&amp;CHAR(34)&amp;", x: "&amp;F483&amp;", y: "&amp;G483&amp;", z: "&amp;H483&amp;", details: "&amp;CHAR(34)&amp;I483&amp;CHAR(34)&amp;" },"</f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3937</v>
      </c>
      <c r="C484" t="s">
        <v>2871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>"{ name: "&amp;CHAR(34)&amp;B484&amp;CHAR(34)&amp;", landmark: "&amp;CHAR(34)&amp;IF(LEN(C484)=LEN(SUBSTITUTE(C484,"Transport","")),"Korok x1","Korok x2")&amp;CHAR(34)&amp;", type: "&amp;CHAR(34)&amp;C484&amp;CHAR(34)&amp;", region: "&amp;D484&amp;", level: "&amp;CHAR(34)&amp;E484&amp;CHAR(34)&amp;", x: "&amp;F484&amp;", y: "&amp;G484&amp;", z: "&amp;H484&amp;", details: "&amp;CHAR(34)&amp;I484&amp;CHAR(34)&amp;" },"</f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3938</v>
      </c>
      <c r="C485" t="s">
        <v>2874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2850</v>
      </c>
      <c r="J485" t="str">
        <f>"{ name: "&amp;CHAR(34)&amp;B485&amp;CHAR(34)&amp;", landmark: "&amp;CHAR(34)&amp;IF(LEN(C485)=LEN(SUBSTITUTE(C485,"Transport","")),"Korok x1","Korok x2")&amp;CHAR(34)&amp;", type: "&amp;CHAR(34)&amp;C485&amp;CHAR(34)&amp;", region: "&amp;D485&amp;", level: "&amp;CHAR(34)&amp;E485&amp;CHAR(34)&amp;", x: "&amp;F485&amp;", y: "&amp;G485&amp;", z: "&amp;H485&amp;", details: "&amp;CHAR(34)&amp;I485&amp;CHAR(34)&amp;" },"</f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3939</v>
      </c>
      <c r="C486" t="s">
        <v>2872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>"{ name: "&amp;CHAR(34)&amp;B486&amp;CHAR(34)&amp;", landmark: "&amp;CHAR(34)&amp;IF(LEN(C486)=LEN(SUBSTITUTE(C486,"Transport","")),"Korok x1","Korok x2")&amp;CHAR(34)&amp;", type: "&amp;CHAR(34)&amp;C486&amp;CHAR(34)&amp;", region: "&amp;D486&amp;", level: "&amp;CHAR(34)&amp;E486&amp;CHAR(34)&amp;", x: "&amp;F486&amp;", y: "&amp;G486&amp;", z: "&amp;H486&amp;", details: "&amp;CHAR(34)&amp;I486&amp;CHAR(34)&amp;" },"</f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3942</v>
      </c>
      <c r="C487" t="s">
        <v>2888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>"{ name: "&amp;CHAR(34)&amp;B487&amp;CHAR(34)&amp;", landmark: "&amp;CHAR(34)&amp;IF(LEN(C487)=LEN(SUBSTITUTE(C487,"Transport","")),"Korok x1","Korok x2")&amp;CHAR(34)&amp;", type: "&amp;CHAR(34)&amp;C487&amp;CHAR(34)&amp;", region: "&amp;D487&amp;", level: "&amp;CHAR(34)&amp;E487&amp;CHAR(34)&amp;", x: "&amp;F487&amp;", y: "&amp;G487&amp;", z: "&amp;H487&amp;", details: "&amp;CHAR(34)&amp;I487&amp;CHAR(34)&amp;" },"</f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3943</v>
      </c>
      <c r="C488" t="s">
        <v>2890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2851</v>
      </c>
      <c r="J488" t="str">
        <f>"{ name: "&amp;CHAR(34)&amp;B488&amp;CHAR(34)&amp;", landmark: "&amp;CHAR(34)&amp;IF(LEN(C488)=LEN(SUBSTITUTE(C488,"Transport","")),"Korok x1","Korok x2")&amp;CHAR(34)&amp;", type: "&amp;CHAR(34)&amp;C488&amp;CHAR(34)&amp;", region: "&amp;D488&amp;", level: "&amp;CHAR(34)&amp;E488&amp;CHAR(34)&amp;", x: "&amp;F488&amp;", y: "&amp;G488&amp;", z: "&amp;H488&amp;", details: "&amp;CHAR(34)&amp;I488&amp;CHAR(34)&amp;" },"</f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3944</v>
      </c>
      <c r="C489" t="s">
        <v>2884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>"{ name: "&amp;CHAR(34)&amp;B489&amp;CHAR(34)&amp;", landmark: "&amp;CHAR(34)&amp;IF(LEN(C489)=LEN(SUBSTITUTE(C489,"Transport","")),"Korok x1","Korok x2")&amp;CHAR(34)&amp;", type: "&amp;CHAR(34)&amp;C489&amp;CHAR(34)&amp;", region: "&amp;D489&amp;", level: "&amp;CHAR(34)&amp;E489&amp;CHAR(34)&amp;", x: "&amp;F489&amp;", y: "&amp;G489&amp;", z: "&amp;H489&amp;", details: "&amp;CHAR(34)&amp;I489&amp;CHAR(34)&amp;" },"</f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3954</v>
      </c>
      <c r="C490" t="s">
        <v>2877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>"{ name: "&amp;CHAR(34)&amp;B490&amp;CHAR(34)&amp;", landmark: "&amp;CHAR(34)&amp;IF(LEN(C490)=LEN(SUBSTITUTE(C490,"Transport","")),"Korok x1","Korok x2")&amp;CHAR(34)&amp;", type: "&amp;CHAR(34)&amp;C490&amp;CHAR(34)&amp;", region: "&amp;D490&amp;", level: "&amp;CHAR(34)&amp;E490&amp;CHAR(34)&amp;", x: "&amp;F490&amp;", y: "&amp;G490&amp;", z: "&amp;H490&amp;", details: "&amp;CHAR(34)&amp;I490&amp;CHAR(34)&amp;" },"</f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3955</v>
      </c>
      <c r="C491" t="s">
        <v>2875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>"{ name: "&amp;CHAR(34)&amp;B491&amp;CHAR(34)&amp;", landmark: "&amp;CHAR(34)&amp;IF(LEN(C491)=LEN(SUBSTITUTE(C491,"Transport","")),"Korok x1","Korok x2")&amp;CHAR(34)&amp;", type: "&amp;CHAR(34)&amp;C491&amp;CHAR(34)&amp;", region: "&amp;D491&amp;", level: "&amp;CHAR(34)&amp;E491&amp;CHAR(34)&amp;", x: "&amp;F491&amp;", y: "&amp;G491&amp;", z: "&amp;H491&amp;", details: "&amp;CHAR(34)&amp;I491&amp;CHAR(34)&amp;" },"</f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3982</v>
      </c>
      <c r="C492" t="s">
        <v>2865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2761</v>
      </c>
      <c r="J492" t="str">
        <f>"{ name: "&amp;CHAR(34)&amp;B492&amp;CHAR(34)&amp;", landmark: "&amp;CHAR(34)&amp;IF(LEN(C492)=LEN(SUBSTITUTE(C492,"Transport","")),"Korok x1","Korok x2")&amp;CHAR(34)&amp;", type: "&amp;CHAR(34)&amp;C492&amp;CHAR(34)&amp;", region: "&amp;D492&amp;", level: "&amp;CHAR(34)&amp;E492&amp;CHAR(34)&amp;", x: "&amp;F492&amp;", y: "&amp;G492&amp;", z: "&amp;H492&amp;", details: "&amp;CHAR(34)&amp;I492&amp;CHAR(34)&amp;" },"</f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4016</v>
      </c>
      <c r="C493" t="s">
        <v>2870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>"{ name: "&amp;CHAR(34)&amp;B493&amp;CHAR(34)&amp;", landmark: "&amp;CHAR(34)&amp;IF(LEN(C493)=LEN(SUBSTITUTE(C493,"Transport","")),"Korok x1","Korok x2")&amp;CHAR(34)&amp;", type: "&amp;CHAR(34)&amp;C493&amp;CHAR(34)&amp;", region: "&amp;D493&amp;", level: "&amp;CHAR(34)&amp;E493&amp;CHAR(34)&amp;", x: "&amp;F493&amp;", y: "&amp;G493&amp;", z: "&amp;H493&amp;", details: "&amp;CHAR(34)&amp;I493&amp;CHAR(34)&amp;" },"</f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4017</v>
      </c>
      <c r="C494" t="s">
        <v>2870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>"{ name: "&amp;CHAR(34)&amp;B494&amp;CHAR(34)&amp;", landmark: "&amp;CHAR(34)&amp;IF(LEN(C494)=LEN(SUBSTITUTE(C494,"Transport","")),"Korok x1","Korok x2")&amp;CHAR(34)&amp;", type: "&amp;CHAR(34)&amp;C494&amp;CHAR(34)&amp;", region: "&amp;D494&amp;", level: "&amp;CHAR(34)&amp;E494&amp;CHAR(34)&amp;", x: "&amp;F494&amp;", y: "&amp;G494&amp;", z: "&amp;H494&amp;", details: "&amp;CHAR(34)&amp;I494&amp;CHAR(34)&amp;" },"</f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4031</v>
      </c>
      <c r="C495" t="s">
        <v>2875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>"{ name: "&amp;CHAR(34)&amp;B495&amp;CHAR(34)&amp;", landmark: "&amp;CHAR(34)&amp;IF(LEN(C495)=LEN(SUBSTITUTE(C495,"Transport","")),"Korok x1","Korok x2")&amp;CHAR(34)&amp;", type: "&amp;CHAR(34)&amp;C495&amp;CHAR(34)&amp;", region: "&amp;D495&amp;", level: "&amp;CHAR(34)&amp;E495&amp;CHAR(34)&amp;", x: "&amp;F495&amp;", y: "&amp;G495&amp;", z: "&amp;H495&amp;", details: "&amp;CHAR(34)&amp;I495&amp;CHAR(34)&amp;" },"</f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4032</v>
      </c>
      <c r="C496" t="s">
        <v>2874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2848</v>
      </c>
      <c r="J496" t="str">
        <f>"{ name: "&amp;CHAR(34)&amp;B496&amp;CHAR(34)&amp;", landmark: "&amp;CHAR(34)&amp;IF(LEN(C496)=LEN(SUBSTITUTE(C496,"Transport","")),"Korok x1","Korok x2")&amp;CHAR(34)&amp;", type: "&amp;CHAR(34)&amp;C496&amp;CHAR(34)&amp;", region: "&amp;D496&amp;", level: "&amp;CHAR(34)&amp;E496&amp;CHAR(34)&amp;", x: "&amp;F496&amp;", y: "&amp;G496&amp;", z: "&amp;H496&amp;", details: "&amp;CHAR(34)&amp;I496&amp;CHAR(34)&amp;" },"</f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4044</v>
      </c>
      <c r="C497" t="s">
        <v>2875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>"{ name: "&amp;CHAR(34)&amp;B497&amp;CHAR(34)&amp;", landmark: "&amp;CHAR(34)&amp;IF(LEN(C497)=LEN(SUBSTITUTE(C497,"Transport","")),"Korok x1","Korok x2")&amp;CHAR(34)&amp;", type: "&amp;CHAR(34)&amp;C497&amp;CHAR(34)&amp;", region: "&amp;D497&amp;", level: "&amp;CHAR(34)&amp;E497&amp;CHAR(34)&amp;", x: "&amp;F497&amp;", y: "&amp;G497&amp;", z: "&amp;H497&amp;", details: "&amp;CHAR(34)&amp;I497&amp;CHAR(34)&amp;" },"</f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4045</v>
      </c>
      <c r="C498" t="s">
        <v>2878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>"{ name: "&amp;CHAR(34)&amp;B498&amp;CHAR(34)&amp;", landmark: "&amp;CHAR(34)&amp;IF(LEN(C498)=LEN(SUBSTITUTE(C498,"Transport","")),"Korok x1","Korok x2")&amp;CHAR(34)&amp;", type: "&amp;CHAR(34)&amp;C498&amp;CHAR(34)&amp;", region: "&amp;D498&amp;", level: "&amp;CHAR(34)&amp;E498&amp;CHAR(34)&amp;", x: "&amp;F498&amp;", y: "&amp;G498&amp;", z: "&amp;H498&amp;", details: "&amp;CHAR(34)&amp;I498&amp;CHAR(34)&amp;" },"</f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4046</v>
      </c>
      <c r="C499" t="s">
        <v>2875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>"{ name: "&amp;CHAR(34)&amp;B499&amp;CHAR(34)&amp;", landmark: "&amp;CHAR(34)&amp;IF(LEN(C499)=LEN(SUBSTITUTE(C499,"Transport","")),"Korok x1","Korok x2")&amp;CHAR(34)&amp;", type: "&amp;CHAR(34)&amp;C499&amp;CHAR(34)&amp;", region: "&amp;D499&amp;", level: "&amp;CHAR(34)&amp;E499&amp;CHAR(34)&amp;", x: "&amp;F499&amp;", y: "&amp;G499&amp;", z: "&amp;H499&amp;", details: "&amp;CHAR(34)&amp;I499&amp;CHAR(34)&amp;" },"</f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4049</v>
      </c>
      <c r="C500" t="s">
        <v>2658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>"{ name: "&amp;CHAR(34)&amp;B500&amp;CHAR(34)&amp;", landmark: "&amp;CHAR(34)&amp;IF(LEN(C500)=LEN(SUBSTITUTE(C500,"Transport","")),"Korok x1","Korok x2")&amp;CHAR(34)&amp;", type: "&amp;CHAR(34)&amp;C500&amp;CHAR(34)&amp;", region: "&amp;D500&amp;", level: "&amp;CHAR(34)&amp;E500&amp;CHAR(34)&amp;", x: "&amp;F500&amp;", y: "&amp;G500&amp;", z: "&amp;H500&amp;", details: "&amp;CHAR(34)&amp;I500&amp;CHAR(34)&amp;" },"</f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4050</v>
      </c>
      <c r="C501" t="s">
        <v>2875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>"{ name: "&amp;CHAR(34)&amp;B501&amp;CHAR(34)&amp;", landmark: "&amp;CHAR(34)&amp;IF(LEN(C501)=LEN(SUBSTITUTE(C501,"Transport","")),"Korok x1","Korok x2")&amp;CHAR(34)&amp;", type: "&amp;CHAR(34)&amp;C501&amp;CHAR(34)&amp;", region: "&amp;D501&amp;", level: "&amp;CHAR(34)&amp;E501&amp;CHAR(34)&amp;", x: "&amp;F501&amp;", y: "&amp;G501&amp;", z: "&amp;H501&amp;", details: "&amp;CHAR(34)&amp;I501&amp;CHAR(34)&amp;" },"</f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4075</v>
      </c>
      <c r="C502" t="s">
        <v>2865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2712</v>
      </c>
      <c r="J502" t="str">
        <f>"{ name: "&amp;CHAR(34)&amp;B502&amp;CHAR(34)&amp;", landmark: "&amp;CHAR(34)&amp;IF(LEN(C502)=LEN(SUBSTITUTE(C502,"Transport","")),"Korok x1","Korok x2")&amp;CHAR(34)&amp;", type: "&amp;CHAR(34)&amp;C502&amp;CHAR(34)&amp;", region: "&amp;D502&amp;", level: "&amp;CHAR(34)&amp;E502&amp;CHAR(34)&amp;", x: "&amp;F502&amp;", y: "&amp;G502&amp;", z: "&amp;H502&amp;", details: "&amp;CHAR(34)&amp;I502&amp;CHAR(34)&amp;" },"</f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4086</v>
      </c>
      <c r="C503" t="s">
        <v>2886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>"{ name: "&amp;CHAR(34)&amp;B503&amp;CHAR(34)&amp;", landmark: "&amp;CHAR(34)&amp;IF(LEN(C503)=LEN(SUBSTITUTE(C503,"Transport","")),"Korok x1","Korok x2")&amp;CHAR(34)&amp;", type: "&amp;CHAR(34)&amp;C503&amp;CHAR(34)&amp;", region: "&amp;D503&amp;", level: "&amp;CHAR(34)&amp;E503&amp;CHAR(34)&amp;", x: "&amp;F503&amp;", y: "&amp;G503&amp;", z: "&amp;H503&amp;", details: "&amp;CHAR(34)&amp;I503&amp;CHAR(34)&amp;" },"</f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4089</v>
      </c>
      <c r="C504" t="s">
        <v>2871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>"{ name: "&amp;CHAR(34)&amp;B504&amp;CHAR(34)&amp;", landmark: "&amp;CHAR(34)&amp;IF(LEN(C504)=LEN(SUBSTITUTE(C504,"Transport","")),"Korok x1","Korok x2")&amp;CHAR(34)&amp;", type: "&amp;CHAR(34)&amp;C504&amp;CHAR(34)&amp;", region: "&amp;D504&amp;", level: "&amp;CHAR(34)&amp;E504&amp;CHAR(34)&amp;", x: "&amp;F504&amp;", y: "&amp;G504&amp;", z: "&amp;H504&amp;", details: "&amp;CHAR(34)&amp;I504&amp;CHAR(34)&amp;" },"</f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4093</v>
      </c>
      <c r="C505" t="s">
        <v>2887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>"{ name: "&amp;CHAR(34)&amp;B505&amp;CHAR(34)&amp;", landmark: "&amp;CHAR(34)&amp;IF(LEN(C505)=LEN(SUBSTITUTE(C505,"Transport","")),"Korok x1","Korok x2")&amp;CHAR(34)&amp;", type: "&amp;CHAR(34)&amp;C505&amp;CHAR(34)&amp;", region: "&amp;D505&amp;", level: "&amp;CHAR(34)&amp;E505&amp;CHAR(34)&amp;", x: "&amp;F505&amp;", y: "&amp;G505&amp;", z: "&amp;H505&amp;", details: "&amp;CHAR(34)&amp;I505&amp;CHAR(34)&amp;" },"</f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4103</v>
      </c>
      <c r="C506" t="s">
        <v>2871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>"{ name: "&amp;CHAR(34)&amp;B506&amp;CHAR(34)&amp;", landmark: "&amp;CHAR(34)&amp;IF(LEN(C506)=LEN(SUBSTITUTE(C506,"Transport","")),"Korok x1","Korok x2")&amp;CHAR(34)&amp;", type: "&amp;CHAR(34)&amp;C506&amp;CHAR(34)&amp;", region: "&amp;D506&amp;", level: "&amp;CHAR(34)&amp;E506&amp;CHAR(34)&amp;", x: "&amp;F506&amp;", y: "&amp;G506&amp;", z: "&amp;H506&amp;", details: "&amp;CHAR(34)&amp;I506&amp;CHAR(34)&amp;" },"</f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4104</v>
      </c>
      <c r="C507" t="s">
        <v>2865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2666</v>
      </c>
      <c r="J507" t="str">
        <f>"{ name: "&amp;CHAR(34)&amp;B507&amp;CHAR(34)&amp;", landmark: "&amp;CHAR(34)&amp;IF(LEN(C507)=LEN(SUBSTITUTE(C507,"Transport","")),"Korok x1","Korok x2")&amp;CHAR(34)&amp;", type: "&amp;CHAR(34)&amp;C507&amp;CHAR(34)&amp;", region: "&amp;D507&amp;", level: "&amp;CHAR(34)&amp;E507&amp;CHAR(34)&amp;", x: "&amp;F507&amp;", y: "&amp;G507&amp;", z: "&amp;H507&amp;", details: "&amp;CHAR(34)&amp;I507&amp;CHAR(34)&amp;" },"</f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4105</v>
      </c>
      <c r="C508" t="s">
        <v>2889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>"{ name: "&amp;CHAR(34)&amp;B508&amp;CHAR(34)&amp;", landmark: "&amp;CHAR(34)&amp;IF(LEN(C508)=LEN(SUBSTITUTE(C508,"Transport","")),"Korok x1","Korok x2")&amp;CHAR(34)&amp;", type: "&amp;CHAR(34)&amp;C508&amp;CHAR(34)&amp;", region: "&amp;D508&amp;", level: "&amp;CHAR(34)&amp;E508&amp;CHAR(34)&amp;", x: "&amp;F508&amp;", y: "&amp;G508&amp;", z: "&amp;H508&amp;", details: "&amp;CHAR(34)&amp;I508&amp;CHAR(34)&amp;" },"</f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4106</v>
      </c>
      <c r="C509" t="s">
        <v>2879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>"{ name: "&amp;CHAR(34)&amp;B509&amp;CHAR(34)&amp;", landmark: "&amp;CHAR(34)&amp;IF(LEN(C509)=LEN(SUBSTITUTE(C509,"Transport","")),"Korok x1","Korok x2")&amp;CHAR(34)&amp;", type: "&amp;CHAR(34)&amp;C509&amp;CHAR(34)&amp;", region: "&amp;D509&amp;", level: "&amp;CHAR(34)&amp;E509&amp;CHAR(34)&amp;", x: "&amp;F509&amp;", y: "&amp;G509&amp;", z: "&amp;H509&amp;", details: "&amp;CHAR(34)&amp;I509&amp;CHAR(34)&amp;" },"</f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4107</v>
      </c>
      <c r="C510" t="s">
        <v>2884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>"{ name: "&amp;CHAR(34)&amp;B510&amp;CHAR(34)&amp;", landmark: "&amp;CHAR(34)&amp;IF(LEN(C510)=LEN(SUBSTITUTE(C510,"Transport","")),"Korok x1","Korok x2")&amp;CHAR(34)&amp;", type: "&amp;CHAR(34)&amp;C510&amp;CHAR(34)&amp;", region: "&amp;D510&amp;", level: "&amp;CHAR(34)&amp;E510&amp;CHAR(34)&amp;", x: "&amp;F510&amp;", y: "&amp;G510&amp;", z: "&amp;H510&amp;", details: "&amp;CHAR(34)&amp;I510&amp;CHAR(34)&amp;" },"</f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4108</v>
      </c>
      <c r="C511" t="s">
        <v>2871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>"{ name: "&amp;CHAR(34)&amp;B511&amp;CHAR(34)&amp;", landmark: "&amp;CHAR(34)&amp;IF(LEN(C511)=LEN(SUBSTITUTE(C511,"Transport","")),"Korok x1","Korok x2")&amp;CHAR(34)&amp;", type: "&amp;CHAR(34)&amp;C511&amp;CHAR(34)&amp;", region: "&amp;D511&amp;", level: "&amp;CHAR(34)&amp;E511&amp;CHAR(34)&amp;", x: "&amp;F511&amp;", y: "&amp;G511&amp;", z: "&amp;H511&amp;", details: "&amp;CHAR(34)&amp;I511&amp;CHAR(34)&amp;" },"</f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4109</v>
      </c>
      <c r="C512" t="s">
        <v>2888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>"{ name: "&amp;CHAR(34)&amp;B512&amp;CHAR(34)&amp;", landmark: "&amp;CHAR(34)&amp;IF(LEN(C512)=LEN(SUBSTITUTE(C512,"Transport","")),"Korok x1","Korok x2")&amp;CHAR(34)&amp;", type: "&amp;CHAR(34)&amp;C512&amp;CHAR(34)&amp;", region: "&amp;D512&amp;", level: "&amp;CHAR(34)&amp;E512&amp;CHAR(34)&amp;", x: "&amp;F512&amp;", y: "&amp;G512&amp;", z: "&amp;H512&amp;", details: "&amp;CHAR(34)&amp;I512&amp;CHAR(34)&amp;" },"</f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4112</v>
      </c>
      <c r="C513" t="s">
        <v>2875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>"{ name: "&amp;CHAR(34)&amp;B513&amp;CHAR(34)&amp;", landmark: "&amp;CHAR(34)&amp;IF(LEN(C513)=LEN(SUBSTITUTE(C513,"Transport","")),"Korok x1","Korok x2")&amp;CHAR(34)&amp;", type: "&amp;CHAR(34)&amp;C513&amp;CHAR(34)&amp;", region: "&amp;D513&amp;", level: "&amp;CHAR(34)&amp;E513&amp;CHAR(34)&amp;", x: "&amp;F513&amp;", y: "&amp;G513&amp;", z: "&amp;H513&amp;", details: "&amp;CHAR(34)&amp;I513&amp;CHAR(34)&amp;" },"</f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4113</v>
      </c>
      <c r="C514" t="s">
        <v>2870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4114</v>
      </c>
      <c r="C515" t="s">
        <v>2880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2756</v>
      </c>
      <c r="J515" t="str">
        <f>"{ name: "&amp;CHAR(34)&amp;B515&amp;CHAR(34)&amp;", landmark: "&amp;CHAR(34)&amp;IF(LEN(C515)=LEN(SUBSTITUTE(C515,"Transport","")),"Korok x1","Korok x2")&amp;CHAR(34)&amp;", type: "&amp;CHAR(34)&amp;C515&amp;CHAR(34)&amp;", region: "&amp;D515&amp;", level: "&amp;CHAR(34)&amp;E515&amp;CHAR(34)&amp;", x: "&amp;F515&amp;", y: "&amp;G515&amp;", z: "&amp;H515&amp;", details: "&amp;CHAR(34)&amp;I515&amp;CHAR(34)&amp;" },"</f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4123</v>
      </c>
      <c r="C516" t="s">
        <v>2880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2759</v>
      </c>
      <c r="J516" t="str">
        <f>"{ name: "&amp;CHAR(34)&amp;B516&amp;CHAR(34)&amp;", landmark: "&amp;CHAR(34)&amp;IF(LEN(C516)=LEN(SUBSTITUTE(C516,"Transport","")),"Korok x1","Korok x2")&amp;CHAR(34)&amp;", type: "&amp;CHAR(34)&amp;C516&amp;CHAR(34)&amp;", region: "&amp;D516&amp;", level: "&amp;CHAR(34)&amp;E516&amp;CHAR(34)&amp;", x: "&amp;F516&amp;", y: "&amp;G516&amp;", z: "&amp;H516&amp;", details: "&amp;CHAR(34)&amp;I516&amp;CHAR(34)&amp;" },"</f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4129</v>
      </c>
      <c r="C517" t="s">
        <v>2884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>"{ name: "&amp;CHAR(34)&amp;B517&amp;CHAR(34)&amp;", landmark: "&amp;CHAR(34)&amp;IF(LEN(C517)=LEN(SUBSTITUTE(C517,"Transport","")),"Korok x1","Korok x2")&amp;CHAR(34)&amp;", type: "&amp;CHAR(34)&amp;C517&amp;CHAR(34)&amp;", region: "&amp;D517&amp;", level: "&amp;CHAR(34)&amp;E517&amp;CHAR(34)&amp;", x: "&amp;F517&amp;", y: "&amp;G517&amp;", z: "&amp;H517&amp;", details: "&amp;CHAR(34)&amp;I517&amp;CHAR(34)&amp;" },"</f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4130</v>
      </c>
      <c r="C518" t="s">
        <v>2887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>"{ name: "&amp;CHAR(34)&amp;B518&amp;CHAR(34)&amp;", landmark: "&amp;CHAR(34)&amp;IF(LEN(C518)=LEN(SUBSTITUTE(C518,"Transport","")),"Korok x1","Korok x2")&amp;CHAR(34)&amp;", type: "&amp;CHAR(34)&amp;C518&amp;CHAR(34)&amp;", region: "&amp;D518&amp;", level: "&amp;CHAR(34)&amp;E518&amp;CHAR(34)&amp;", x: "&amp;F518&amp;", y: "&amp;G518&amp;", z: "&amp;H518&amp;", details: "&amp;CHAR(34)&amp;I518&amp;CHAR(34)&amp;" },"</f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4172</v>
      </c>
      <c r="C519" t="s">
        <v>2889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>"{ name: "&amp;CHAR(34)&amp;B519&amp;CHAR(34)&amp;", landmark: "&amp;CHAR(34)&amp;IF(LEN(C519)=LEN(SUBSTITUTE(C519,"Transport","")),"Korok x1","Korok x2")&amp;CHAR(34)&amp;", type: "&amp;CHAR(34)&amp;C519&amp;CHAR(34)&amp;", region: "&amp;D519&amp;", level: "&amp;CHAR(34)&amp;E519&amp;CHAR(34)&amp;", x: "&amp;F519&amp;", y: "&amp;G519&amp;", z: "&amp;H519&amp;", details: "&amp;CHAR(34)&amp;I519&amp;CHAR(34)&amp;" },"</f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4178</v>
      </c>
      <c r="C520" t="s">
        <v>2865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2755</v>
      </c>
      <c r="J520" t="str">
        <f>"{ name: "&amp;CHAR(34)&amp;B520&amp;CHAR(34)&amp;", landmark: "&amp;CHAR(34)&amp;IF(LEN(C520)=LEN(SUBSTITUTE(C520,"Transport","")),"Korok x1","Korok x2")&amp;CHAR(34)&amp;", type: "&amp;CHAR(34)&amp;C520&amp;CHAR(34)&amp;", region: "&amp;D520&amp;", level: "&amp;CHAR(34)&amp;E520&amp;CHAR(34)&amp;", x: "&amp;F520&amp;", y: "&amp;G520&amp;", z: "&amp;H520&amp;", details: "&amp;CHAR(34)&amp;I520&amp;CHAR(34)&amp;" },"</f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4179</v>
      </c>
      <c r="C521" t="s">
        <v>2865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2757</v>
      </c>
      <c r="J521" t="str">
        <f>"{ name: "&amp;CHAR(34)&amp;B521&amp;CHAR(34)&amp;", landmark: "&amp;CHAR(34)&amp;IF(LEN(C521)=LEN(SUBSTITUTE(C521,"Transport","")),"Korok x1","Korok x2")&amp;CHAR(34)&amp;", type: "&amp;CHAR(34)&amp;C521&amp;CHAR(34)&amp;", region: "&amp;D521&amp;", level: "&amp;CHAR(34)&amp;E521&amp;CHAR(34)&amp;", x: "&amp;F521&amp;", y: "&amp;G521&amp;", z: "&amp;H521&amp;", details: "&amp;CHAR(34)&amp;I521&amp;CHAR(34)&amp;" },"</f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4180</v>
      </c>
      <c r="C522" t="s">
        <v>2879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>"{ name: "&amp;CHAR(34)&amp;B522&amp;CHAR(34)&amp;", landmark: "&amp;CHAR(34)&amp;IF(LEN(C522)=LEN(SUBSTITUTE(C522,"Transport","")),"Korok x1","Korok x2")&amp;CHAR(34)&amp;", type: "&amp;CHAR(34)&amp;C522&amp;CHAR(34)&amp;", region: "&amp;D522&amp;", level: "&amp;CHAR(34)&amp;E522&amp;CHAR(34)&amp;", x: "&amp;F522&amp;", y: "&amp;G522&amp;", z: "&amp;H522&amp;", details: "&amp;CHAR(34)&amp;I522&amp;CHAR(34)&amp;" },"</f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4181</v>
      </c>
      <c r="C523" t="s">
        <v>2871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>"{ name: "&amp;CHAR(34)&amp;B523&amp;CHAR(34)&amp;", landmark: "&amp;CHAR(34)&amp;IF(LEN(C523)=LEN(SUBSTITUTE(C523,"Transport","")),"Korok x1","Korok x2")&amp;CHAR(34)&amp;", type: "&amp;CHAR(34)&amp;C523&amp;CHAR(34)&amp;", region: "&amp;D523&amp;", level: "&amp;CHAR(34)&amp;E523&amp;CHAR(34)&amp;", x: "&amp;F523&amp;", y: "&amp;G523&amp;", z: "&amp;H523&amp;", details: "&amp;CHAR(34)&amp;I523&amp;CHAR(34)&amp;" },"</f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4182</v>
      </c>
      <c r="C524" t="s">
        <v>2888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>"{ name: "&amp;CHAR(34)&amp;B524&amp;CHAR(34)&amp;", landmark: "&amp;CHAR(34)&amp;IF(LEN(C524)=LEN(SUBSTITUTE(C524,"Transport","")),"Korok x1","Korok x2")&amp;CHAR(34)&amp;", type: "&amp;CHAR(34)&amp;C524&amp;CHAR(34)&amp;", region: "&amp;D524&amp;", level: "&amp;CHAR(34)&amp;E524&amp;CHAR(34)&amp;", x: "&amp;F524&amp;", y: "&amp;G524&amp;", z: "&amp;H524&amp;", details: "&amp;CHAR(34)&amp;I524&amp;CHAR(34)&amp;" },"</f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4183</v>
      </c>
      <c r="C525" t="s">
        <v>2875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>"{ name: "&amp;CHAR(34)&amp;B525&amp;CHAR(34)&amp;", landmark: "&amp;CHAR(34)&amp;IF(LEN(C525)=LEN(SUBSTITUTE(C525,"Transport","")),"Korok x1","Korok x2")&amp;CHAR(34)&amp;", type: "&amp;CHAR(34)&amp;C525&amp;CHAR(34)&amp;", region: "&amp;D525&amp;", level: "&amp;CHAR(34)&amp;E525&amp;CHAR(34)&amp;", x: "&amp;F525&amp;", y: "&amp;G525&amp;", z: "&amp;H525&amp;", details: "&amp;CHAR(34)&amp;I525&amp;CHAR(34)&amp;" },"</f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4184</v>
      </c>
      <c r="C526" t="s">
        <v>2872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>"{ name: "&amp;CHAR(34)&amp;B526&amp;CHAR(34)&amp;", landmark: "&amp;CHAR(34)&amp;IF(LEN(C526)=LEN(SUBSTITUTE(C526,"Transport","")),"Korok x1","Korok x2")&amp;CHAR(34)&amp;", type: "&amp;CHAR(34)&amp;C526&amp;CHAR(34)&amp;", region: "&amp;D526&amp;", level: "&amp;CHAR(34)&amp;E526&amp;CHAR(34)&amp;", x: "&amp;F526&amp;", y: "&amp;G526&amp;", z: "&amp;H526&amp;", details: "&amp;CHAR(34)&amp;I526&amp;CHAR(34)&amp;" },"</f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3335</v>
      </c>
      <c r="C527" t="s">
        <v>2875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>"{ name: "&amp;CHAR(34)&amp;B527&amp;CHAR(34)&amp;", landmark: "&amp;CHAR(34)&amp;IF(LEN(C527)=LEN(SUBSTITUTE(C527,"Transport","")),"Korok x1","Korok x2")&amp;CHAR(34)&amp;", type: "&amp;CHAR(34)&amp;C527&amp;CHAR(34)&amp;", region: "&amp;D527&amp;", level: "&amp;CHAR(34)&amp;E527&amp;CHAR(34)&amp;", x: "&amp;F527&amp;", y: "&amp;G527&amp;", z: "&amp;H527&amp;", details: "&amp;CHAR(34)&amp;I527&amp;CHAR(34)&amp;" },"</f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3374</v>
      </c>
      <c r="C528" t="s">
        <v>2887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>"{ name: "&amp;CHAR(34)&amp;B528&amp;CHAR(34)&amp;", landmark: "&amp;CHAR(34)&amp;IF(LEN(C528)=LEN(SUBSTITUTE(C528,"Transport","")),"Korok x1","Korok x2")&amp;CHAR(34)&amp;", type: "&amp;CHAR(34)&amp;C528&amp;CHAR(34)&amp;", region: "&amp;D528&amp;", level: "&amp;CHAR(34)&amp;E528&amp;CHAR(34)&amp;", x: "&amp;F528&amp;", y: "&amp;G528&amp;", z: "&amp;H528&amp;", details: "&amp;CHAR(34)&amp;I528&amp;CHAR(34)&amp;" },"</f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3375</v>
      </c>
      <c r="C529" t="s">
        <v>2658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>"{ name: "&amp;CHAR(34)&amp;B529&amp;CHAR(34)&amp;", landmark: "&amp;CHAR(34)&amp;IF(LEN(C529)=LEN(SUBSTITUTE(C529,"Transport","")),"Korok x1","Korok x2")&amp;CHAR(34)&amp;", type: "&amp;CHAR(34)&amp;C529&amp;CHAR(34)&amp;", region: "&amp;D529&amp;", level: "&amp;CHAR(34)&amp;E529&amp;CHAR(34)&amp;", x: "&amp;F529&amp;", y: "&amp;G529&amp;", z: "&amp;H529&amp;", details: "&amp;CHAR(34)&amp;I529&amp;CHAR(34)&amp;" },"</f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3376</v>
      </c>
      <c r="C530" t="s">
        <v>2874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2815</v>
      </c>
      <c r="J530" t="str">
        <f>"{ name: "&amp;CHAR(34)&amp;B530&amp;CHAR(34)&amp;", landmark: "&amp;CHAR(34)&amp;IF(LEN(C530)=LEN(SUBSTITUTE(C530,"Transport","")),"Korok x1","Korok x2")&amp;CHAR(34)&amp;", type: "&amp;CHAR(34)&amp;C530&amp;CHAR(34)&amp;", region: "&amp;D530&amp;", level: "&amp;CHAR(34)&amp;E530&amp;CHAR(34)&amp;", x: "&amp;F530&amp;", y: "&amp;G530&amp;", z: "&amp;H530&amp;", details: "&amp;CHAR(34)&amp;I530&amp;CHAR(34)&amp;" },"</f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3377</v>
      </c>
      <c r="C531" t="s">
        <v>2874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2816</v>
      </c>
      <c r="J531" t="str">
        <f>"{ name: "&amp;CHAR(34)&amp;B531&amp;CHAR(34)&amp;", landmark: "&amp;CHAR(34)&amp;IF(LEN(C531)=LEN(SUBSTITUTE(C531,"Transport","")),"Korok x1","Korok x2")&amp;CHAR(34)&amp;", type: "&amp;CHAR(34)&amp;C531&amp;CHAR(34)&amp;", region: "&amp;D531&amp;", level: "&amp;CHAR(34)&amp;E531&amp;CHAR(34)&amp;", x: "&amp;F531&amp;", y: "&amp;G531&amp;", z: "&amp;H531&amp;", details: "&amp;CHAR(34)&amp;I531&amp;CHAR(34)&amp;" },"</f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3378</v>
      </c>
      <c r="C532" t="s">
        <v>2889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>"{ name: "&amp;CHAR(34)&amp;B532&amp;CHAR(34)&amp;", landmark: "&amp;CHAR(34)&amp;IF(LEN(C532)=LEN(SUBSTITUTE(C532,"Transport","")),"Korok x1","Korok x2")&amp;CHAR(34)&amp;", type: "&amp;CHAR(34)&amp;C532&amp;CHAR(34)&amp;", region: "&amp;D532&amp;", level: "&amp;CHAR(34)&amp;E532&amp;CHAR(34)&amp;", x: "&amp;F532&amp;", y: "&amp;G532&amp;", z: "&amp;H532&amp;", details: "&amp;CHAR(34)&amp;I532&amp;CHAR(34)&amp;" },"</f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3379</v>
      </c>
      <c r="C533" t="s">
        <v>2658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>"{ name: "&amp;CHAR(34)&amp;B533&amp;CHAR(34)&amp;", landmark: "&amp;CHAR(34)&amp;IF(LEN(C533)=LEN(SUBSTITUTE(C533,"Transport","")),"Korok x1","Korok x2")&amp;CHAR(34)&amp;", type: "&amp;CHAR(34)&amp;C533&amp;CHAR(34)&amp;", region: "&amp;D533&amp;", level: "&amp;CHAR(34)&amp;E533&amp;CHAR(34)&amp;", x: "&amp;F533&amp;", y: "&amp;G533&amp;", z: "&amp;H533&amp;", details: "&amp;CHAR(34)&amp;I533&amp;CHAR(34)&amp;" },"</f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3380</v>
      </c>
      <c r="C534" t="s">
        <v>2867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>"{ name: "&amp;CHAR(34)&amp;B534&amp;CHAR(34)&amp;", landmark: "&amp;CHAR(34)&amp;IF(LEN(C534)=LEN(SUBSTITUTE(C534,"Transport","")),"Korok x1","Korok x2")&amp;CHAR(34)&amp;", type: "&amp;CHAR(34)&amp;C534&amp;CHAR(34)&amp;", region: "&amp;D534&amp;", level: "&amp;CHAR(34)&amp;E534&amp;CHAR(34)&amp;", x: "&amp;F534&amp;", y: "&amp;G534&amp;", z: "&amp;H534&amp;", details: "&amp;CHAR(34)&amp;I534&amp;CHAR(34)&amp;" },"</f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3409</v>
      </c>
      <c r="C535" t="s">
        <v>2884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>"{ name: "&amp;CHAR(34)&amp;B535&amp;CHAR(34)&amp;", landmark: "&amp;CHAR(34)&amp;IF(LEN(C535)=LEN(SUBSTITUTE(C535,"Transport","")),"Korok x1","Korok x2")&amp;CHAR(34)&amp;", type: "&amp;CHAR(34)&amp;C535&amp;CHAR(34)&amp;", region: "&amp;D535&amp;", level: "&amp;CHAR(34)&amp;E535&amp;CHAR(34)&amp;", x: "&amp;F535&amp;", y: "&amp;G535&amp;", z: "&amp;H535&amp;", details: "&amp;CHAR(34)&amp;I535&amp;CHAR(34)&amp;" },"</f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3410</v>
      </c>
      <c r="C536" t="s">
        <v>2885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>"{ name: "&amp;CHAR(34)&amp;B536&amp;CHAR(34)&amp;", landmark: "&amp;CHAR(34)&amp;IF(LEN(C536)=LEN(SUBSTITUTE(C536,"Transport","")),"Korok x1","Korok x2")&amp;CHAR(34)&amp;", type: "&amp;CHAR(34)&amp;C536&amp;CHAR(34)&amp;", region: "&amp;D536&amp;", level: "&amp;CHAR(34)&amp;E536&amp;CHAR(34)&amp;", x: "&amp;F536&amp;", y: "&amp;G536&amp;", z: "&amp;H536&amp;", details: "&amp;CHAR(34)&amp;I536&amp;CHAR(34)&amp;" },"</f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3411</v>
      </c>
      <c r="C537" t="s">
        <v>2870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>"{ name: "&amp;CHAR(34)&amp;B537&amp;CHAR(34)&amp;", landmark: "&amp;CHAR(34)&amp;IF(LEN(C537)=LEN(SUBSTITUTE(C537,"Transport","")),"Korok x1","Korok x2")&amp;CHAR(34)&amp;", type: "&amp;CHAR(34)&amp;C537&amp;CHAR(34)&amp;", region: "&amp;D537&amp;", level: "&amp;CHAR(34)&amp;E537&amp;CHAR(34)&amp;", x: "&amp;F537&amp;", y: "&amp;G537&amp;", z: "&amp;H537&amp;", details: "&amp;CHAR(34)&amp;I537&amp;CHAR(34)&amp;" },"</f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3412</v>
      </c>
      <c r="C538" t="s">
        <v>2884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>"{ name: "&amp;CHAR(34)&amp;B538&amp;CHAR(34)&amp;", landmark: "&amp;CHAR(34)&amp;IF(LEN(C538)=LEN(SUBSTITUTE(C538,"Transport","")),"Korok x1","Korok x2")&amp;CHAR(34)&amp;", type: "&amp;CHAR(34)&amp;C538&amp;CHAR(34)&amp;", region: "&amp;D538&amp;", level: "&amp;CHAR(34)&amp;E538&amp;CHAR(34)&amp;", x: "&amp;F538&amp;", y: "&amp;G538&amp;", z: "&amp;H538&amp;", details: "&amp;CHAR(34)&amp;I538&amp;CHAR(34)&amp;" },"</f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3413</v>
      </c>
      <c r="C539" t="s">
        <v>2658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>"{ name: "&amp;CHAR(34)&amp;B539&amp;CHAR(34)&amp;", landmark: "&amp;CHAR(34)&amp;IF(LEN(C539)=LEN(SUBSTITUTE(C539,"Transport","")),"Korok x1","Korok x2")&amp;CHAR(34)&amp;", type: "&amp;CHAR(34)&amp;C539&amp;CHAR(34)&amp;", region: "&amp;D539&amp;", level: "&amp;CHAR(34)&amp;E539&amp;CHAR(34)&amp;", x: "&amp;F539&amp;", y: "&amp;G539&amp;", z: "&amp;H539&amp;", details: "&amp;CHAR(34)&amp;I539&amp;CHAR(34)&amp;" },"</f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3414</v>
      </c>
      <c r="C540" t="s">
        <v>2865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2786</v>
      </c>
      <c r="J540" t="str">
        <f>"{ name: "&amp;CHAR(34)&amp;B540&amp;CHAR(34)&amp;", landmark: "&amp;CHAR(34)&amp;IF(LEN(C540)=LEN(SUBSTITUTE(C540,"Transport","")),"Korok x1","Korok x2")&amp;CHAR(34)&amp;", type: "&amp;CHAR(34)&amp;C540&amp;CHAR(34)&amp;", region: "&amp;D540&amp;", level: "&amp;CHAR(34)&amp;E540&amp;CHAR(34)&amp;", x: "&amp;F540&amp;", y: "&amp;G540&amp;", z: "&amp;H540&amp;", details: "&amp;CHAR(34)&amp;I540&amp;CHAR(34)&amp;" },"</f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3415</v>
      </c>
      <c r="C541" t="s">
        <v>2890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2859</v>
      </c>
      <c r="J541" t="str">
        <f>"{ name: "&amp;CHAR(34)&amp;B541&amp;CHAR(34)&amp;", landmark: "&amp;CHAR(34)&amp;IF(LEN(C541)=LEN(SUBSTITUTE(C541,"Transport","")),"Korok x1","Korok x2")&amp;CHAR(34)&amp;", type: "&amp;CHAR(34)&amp;C541&amp;CHAR(34)&amp;", region: "&amp;D541&amp;", level: "&amp;CHAR(34)&amp;E541&amp;CHAR(34)&amp;", x: "&amp;F541&amp;", y: "&amp;G541&amp;", z: "&amp;H541&amp;", details: "&amp;CHAR(34)&amp;I541&amp;CHAR(34)&amp;" },"</f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3416</v>
      </c>
      <c r="C542" t="s">
        <v>2879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>"{ name: "&amp;CHAR(34)&amp;B542&amp;CHAR(34)&amp;", landmark: "&amp;CHAR(34)&amp;IF(LEN(C542)=LEN(SUBSTITUTE(C542,"Transport","")),"Korok x1","Korok x2")&amp;CHAR(34)&amp;", type: "&amp;CHAR(34)&amp;C542&amp;CHAR(34)&amp;", region: "&amp;D542&amp;", level: "&amp;CHAR(34)&amp;E542&amp;CHAR(34)&amp;", x: "&amp;F542&amp;", y: "&amp;G542&amp;", z: "&amp;H542&amp;", details: "&amp;CHAR(34)&amp;I542&amp;CHAR(34)&amp;" },"</f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3417</v>
      </c>
      <c r="C543" t="s">
        <v>2886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>"{ name: "&amp;CHAR(34)&amp;B543&amp;CHAR(34)&amp;", landmark: "&amp;CHAR(34)&amp;IF(LEN(C543)=LEN(SUBSTITUTE(C543,"Transport","")),"Korok x1","Korok x2")&amp;CHAR(34)&amp;", type: "&amp;CHAR(34)&amp;C543&amp;CHAR(34)&amp;", region: "&amp;D543&amp;", level: "&amp;CHAR(34)&amp;E543&amp;CHAR(34)&amp;", x: "&amp;F543&amp;", y: "&amp;G543&amp;", z: "&amp;H543&amp;", details: "&amp;CHAR(34)&amp;I543&amp;CHAR(34)&amp;" },"</f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3419</v>
      </c>
      <c r="C544" t="s">
        <v>2879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>"{ name: "&amp;CHAR(34)&amp;B544&amp;CHAR(34)&amp;", landmark: "&amp;CHAR(34)&amp;IF(LEN(C544)=LEN(SUBSTITUTE(C544,"Transport","")),"Korok x1","Korok x2")&amp;CHAR(34)&amp;", type: "&amp;CHAR(34)&amp;C544&amp;CHAR(34)&amp;", region: "&amp;D544&amp;", level: "&amp;CHAR(34)&amp;E544&amp;CHAR(34)&amp;", x: "&amp;F544&amp;", y: "&amp;G544&amp;", z: "&amp;H544&amp;", details: "&amp;CHAR(34)&amp;I544&amp;CHAR(34)&amp;" },"</f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3420</v>
      </c>
      <c r="C545" t="s">
        <v>2865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2787</v>
      </c>
      <c r="J545" t="str">
        <f>"{ name: "&amp;CHAR(34)&amp;B545&amp;CHAR(34)&amp;", landmark: "&amp;CHAR(34)&amp;IF(LEN(C545)=LEN(SUBSTITUTE(C545,"Transport","")),"Korok x1","Korok x2")&amp;CHAR(34)&amp;", type: "&amp;CHAR(34)&amp;C545&amp;CHAR(34)&amp;", region: "&amp;D545&amp;", level: "&amp;CHAR(34)&amp;E545&amp;CHAR(34)&amp;", x: "&amp;F545&amp;", y: "&amp;G545&amp;", z: "&amp;H545&amp;", details: "&amp;CHAR(34)&amp;I545&amp;CHAR(34)&amp;" },"</f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3436</v>
      </c>
      <c r="C546" t="s">
        <v>2865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2784</v>
      </c>
      <c r="J546" t="str">
        <f>"{ name: "&amp;CHAR(34)&amp;B546&amp;CHAR(34)&amp;", landmark: "&amp;CHAR(34)&amp;IF(LEN(C546)=LEN(SUBSTITUTE(C546,"Transport","")),"Korok x1","Korok x2")&amp;CHAR(34)&amp;", type: "&amp;CHAR(34)&amp;C546&amp;CHAR(34)&amp;", region: "&amp;D546&amp;", level: "&amp;CHAR(34)&amp;E546&amp;CHAR(34)&amp;", x: "&amp;F546&amp;", y: "&amp;G546&amp;", z: "&amp;H546&amp;", details: "&amp;CHAR(34)&amp;I546&amp;CHAR(34)&amp;" },"</f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3480</v>
      </c>
      <c r="C547" t="s">
        <v>2875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>"{ name: "&amp;CHAR(34)&amp;B547&amp;CHAR(34)&amp;", landmark: "&amp;CHAR(34)&amp;IF(LEN(C547)=LEN(SUBSTITUTE(C547,"Transport","")),"Korok x1","Korok x2")&amp;CHAR(34)&amp;", type: "&amp;CHAR(34)&amp;C547&amp;CHAR(34)&amp;", region: "&amp;D547&amp;", level: "&amp;CHAR(34)&amp;E547&amp;CHAR(34)&amp;", x: "&amp;F547&amp;", y: "&amp;G547&amp;", z: "&amp;H547&amp;", details: "&amp;CHAR(34)&amp;I547&amp;CHAR(34)&amp;" },"</f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3512</v>
      </c>
      <c r="C548" t="s">
        <v>2865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2767</v>
      </c>
      <c r="J548" t="str">
        <f>"{ name: "&amp;CHAR(34)&amp;B548&amp;CHAR(34)&amp;", landmark: "&amp;CHAR(34)&amp;IF(LEN(C548)=LEN(SUBSTITUTE(C548,"Transport","")),"Korok x1","Korok x2")&amp;CHAR(34)&amp;", type: "&amp;CHAR(34)&amp;C548&amp;CHAR(34)&amp;", region: "&amp;D548&amp;", level: "&amp;CHAR(34)&amp;E548&amp;CHAR(34)&amp;", x: "&amp;F548&amp;", y: "&amp;G548&amp;", z: "&amp;H548&amp;", details: "&amp;CHAR(34)&amp;I548&amp;CHAR(34)&amp;" },"</f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3600</v>
      </c>
      <c r="C549" t="s">
        <v>2875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>"{ name: "&amp;CHAR(34)&amp;B549&amp;CHAR(34)&amp;", landmark: "&amp;CHAR(34)&amp;IF(LEN(C549)=LEN(SUBSTITUTE(C549,"Transport","")),"Korok x1","Korok x2")&amp;CHAR(34)&amp;", type: "&amp;CHAR(34)&amp;C549&amp;CHAR(34)&amp;", region: "&amp;D549&amp;", level: "&amp;CHAR(34)&amp;E549&amp;CHAR(34)&amp;", x: "&amp;F549&amp;", y: "&amp;G549&amp;", z: "&amp;H549&amp;", details: "&amp;CHAR(34)&amp;I549&amp;CHAR(34)&amp;" },"</f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3601</v>
      </c>
      <c r="C550" t="s">
        <v>2885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>"{ name: "&amp;CHAR(34)&amp;B550&amp;CHAR(34)&amp;", landmark: "&amp;CHAR(34)&amp;IF(LEN(C550)=LEN(SUBSTITUTE(C550,"Transport","")),"Korok x1","Korok x2")&amp;CHAR(34)&amp;", type: "&amp;CHAR(34)&amp;C550&amp;CHAR(34)&amp;", region: "&amp;D550&amp;", level: "&amp;CHAR(34)&amp;E550&amp;CHAR(34)&amp;", x: "&amp;F550&amp;", y: "&amp;G550&amp;", z: "&amp;H550&amp;", details: "&amp;CHAR(34)&amp;I550&amp;CHAR(34)&amp;" },"</f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3602</v>
      </c>
      <c r="C551" t="s">
        <v>2865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2686</v>
      </c>
      <c r="J551" t="str">
        <f>"{ name: "&amp;CHAR(34)&amp;B551&amp;CHAR(34)&amp;", landmark: "&amp;CHAR(34)&amp;IF(LEN(C551)=LEN(SUBSTITUTE(C551,"Transport","")),"Korok x1","Korok x2")&amp;CHAR(34)&amp;", type: "&amp;CHAR(34)&amp;C551&amp;CHAR(34)&amp;", region: "&amp;D551&amp;", level: "&amp;CHAR(34)&amp;E551&amp;CHAR(34)&amp;", x: "&amp;F551&amp;", y: "&amp;G551&amp;", z: "&amp;H551&amp;", details: "&amp;CHAR(34)&amp;I551&amp;CHAR(34)&amp;" },"</f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3647</v>
      </c>
      <c r="C552" t="s">
        <v>2867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>"{ name: "&amp;CHAR(34)&amp;B552&amp;CHAR(34)&amp;", landmark: "&amp;CHAR(34)&amp;IF(LEN(C552)=LEN(SUBSTITUTE(C552,"Transport","")),"Korok x1","Korok x2")&amp;CHAR(34)&amp;", type: "&amp;CHAR(34)&amp;C552&amp;CHAR(34)&amp;", region: "&amp;D552&amp;", level: "&amp;CHAR(34)&amp;E552&amp;CHAR(34)&amp;", x: "&amp;F552&amp;", y: "&amp;G552&amp;", z: "&amp;H552&amp;", details: "&amp;CHAR(34)&amp;I552&amp;CHAR(34)&amp;" },"</f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3648</v>
      </c>
      <c r="C553" t="s">
        <v>2875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>"{ name: "&amp;CHAR(34)&amp;B553&amp;CHAR(34)&amp;", landmark: "&amp;CHAR(34)&amp;IF(LEN(C553)=LEN(SUBSTITUTE(C553,"Transport","")),"Korok x1","Korok x2")&amp;CHAR(34)&amp;", type: "&amp;CHAR(34)&amp;C553&amp;CHAR(34)&amp;", region: "&amp;D553&amp;", level: "&amp;CHAR(34)&amp;E553&amp;CHAR(34)&amp;", x: "&amp;F553&amp;", y: "&amp;G553&amp;", z: "&amp;H553&amp;", details: "&amp;CHAR(34)&amp;I553&amp;CHAR(34)&amp;" },"</f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3649</v>
      </c>
      <c r="C554" t="s">
        <v>2888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>"{ name: "&amp;CHAR(34)&amp;B554&amp;CHAR(34)&amp;", landmark: "&amp;CHAR(34)&amp;IF(LEN(C554)=LEN(SUBSTITUTE(C554,"Transport","")),"Korok x1","Korok x2")&amp;CHAR(34)&amp;", type: "&amp;CHAR(34)&amp;C554&amp;CHAR(34)&amp;", region: "&amp;D554&amp;", level: "&amp;CHAR(34)&amp;E554&amp;CHAR(34)&amp;", x: "&amp;F554&amp;", y: "&amp;G554&amp;", z: "&amp;H554&amp;", details: "&amp;CHAR(34)&amp;I554&amp;CHAR(34)&amp;" },"</f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3650</v>
      </c>
      <c r="C555" t="s">
        <v>2887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>"{ name: "&amp;CHAR(34)&amp;B555&amp;CHAR(34)&amp;", landmark: "&amp;CHAR(34)&amp;IF(LEN(C555)=LEN(SUBSTITUTE(C555,"Transport","")),"Korok x1","Korok x2")&amp;CHAR(34)&amp;", type: "&amp;CHAR(34)&amp;C555&amp;CHAR(34)&amp;", region: "&amp;D555&amp;", level: "&amp;CHAR(34)&amp;E555&amp;CHAR(34)&amp;", x: "&amp;F555&amp;", y: "&amp;G555&amp;", z: "&amp;H555&amp;", details: "&amp;CHAR(34)&amp;I555&amp;CHAR(34)&amp;" },"</f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3651</v>
      </c>
      <c r="C556" t="s">
        <v>2864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>"{ name: "&amp;CHAR(34)&amp;B556&amp;CHAR(34)&amp;", landmark: "&amp;CHAR(34)&amp;IF(LEN(C556)=LEN(SUBSTITUTE(C556,"Transport","")),"Korok x1","Korok x2")&amp;CHAR(34)&amp;", type: "&amp;CHAR(34)&amp;C556&amp;CHAR(34)&amp;", region: "&amp;D556&amp;", level: "&amp;CHAR(34)&amp;E556&amp;CHAR(34)&amp;", x: "&amp;F556&amp;", y: "&amp;G556&amp;", z: "&amp;H556&amp;", details: "&amp;CHAR(34)&amp;I556&amp;CHAR(34)&amp;" },"</f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3652</v>
      </c>
      <c r="C557" t="s">
        <v>2864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>"{ name: "&amp;CHAR(34)&amp;B557&amp;CHAR(34)&amp;", landmark: "&amp;CHAR(34)&amp;IF(LEN(C557)=LEN(SUBSTITUTE(C557,"Transport","")),"Korok x1","Korok x2")&amp;CHAR(34)&amp;", type: "&amp;CHAR(34)&amp;C557&amp;CHAR(34)&amp;", region: "&amp;D557&amp;", level: "&amp;CHAR(34)&amp;E557&amp;CHAR(34)&amp;", x: "&amp;F557&amp;", y: "&amp;G557&amp;", z: "&amp;H557&amp;", details: "&amp;CHAR(34)&amp;I557&amp;CHAR(34)&amp;" },"</f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3664</v>
      </c>
      <c r="C558" t="s">
        <v>2875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>"{ name: "&amp;CHAR(34)&amp;B558&amp;CHAR(34)&amp;", landmark: "&amp;CHAR(34)&amp;IF(LEN(C558)=LEN(SUBSTITUTE(C558,"Transport","")),"Korok x1","Korok x2")&amp;CHAR(34)&amp;", type: "&amp;CHAR(34)&amp;C558&amp;CHAR(34)&amp;", region: "&amp;D558&amp;", level: "&amp;CHAR(34)&amp;E558&amp;CHAR(34)&amp;", x: "&amp;F558&amp;", y: "&amp;G558&amp;", z: "&amp;H558&amp;", details: "&amp;CHAR(34)&amp;I558&amp;CHAR(34)&amp;" },"</f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3692</v>
      </c>
      <c r="C559" t="s">
        <v>2885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>"{ name: "&amp;CHAR(34)&amp;B559&amp;CHAR(34)&amp;", landmark: "&amp;CHAR(34)&amp;IF(LEN(C559)=LEN(SUBSTITUTE(C559,"Transport","")),"Korok x1","Korok x2")&amp;CHAR(34)&amp;", type: "&amp;CHAR(34)&amp;C559&amp;CHAR(34)&amp;", region: "&amp;D559&amp;", level: "&amp;CHAR(34)&amp;E559&amp;CHAR(34)&amp;", x: "&amp;F559&amp;", y: "&amp;G559&amp;", z: "&amp;H559&amp;", details: "&amp;CHAR(34)&amp;I559&amp;CHAR(34)&amp;" },"</f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3693</v>
      </c>
      <c r="C560" t="s">
        <v>2875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>"{ name: "&amp;CHAR(34)&amp;B560&amp;CHAR(34)&amp;", landmark: "&amp;CHAR(34)&amp;IF(LEN(C560)=LEN(SUBSTITUTE(C560,"Transport","")),"Korok x1","Korok x2")&amp;CHAR(34)&amp;", type: "&amp;CHAR(34)&amp;C560&amp;CHAR(34)&amp;", region: "&amp;D560&amp;", level: "&amp;CHAR(34)&amp;E560&amp;CHAR(34)&amp;", x: "&amp;F560&amp;", y: "&amp;G560&amp;", z: "&amp;H560&amp;", details: "&amp;CHAR(34)&amp;I560&amp;CHAR(34)&amp;" },"</f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3694</v>
      </c>
      <c r="C561" t="s">
        <v>2874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2860</v>
      </c>
      <c r="J561" t="str">
        <f>"{ name: "&amp;CHAR(34)&amp;B561&amp;CHAR(34)&amp;", landmark: "&amp;CHAR(34)&amp;IF(LEN(C561)=LEN(SUBSTITUTE(C561,"Transport","")),"Korok x1","Korok x2")&amp;CHAR(34)&amp;", type: "&amp;CHAR(34)&amp;C561&amp;CHAR(34)&amp;", region: "&amp;D561&amp;", level: "&amp;CHAR(34)&amp;E561&amp;CHAR(34)&amp;", x: "&amp;F561&amp;", y: "&amp;G561&amp;", z: "&amp;H561&amp;", details: "&amp;CHAR(34)&amp;I561&amp;CHAR(34)&amp;" },"</f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3695</v>
      </c>
      <c r="C562" t="s">
        <v>2875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>"{ name: "&amp;CHAR(34)&amp;B562&amp;CHAR(34)&amp;", landmark: "&amp;CHAR(34)&amp;IF(LEN(C562)=LEN(SUBSTITUTE(C562,"Transport","")),"Korok x1","Korok x2")&amp;CHAR(34)&amp;", type: "&amp;CHAR(34)&amp;C562&amp;CHAR(34)&amp;", region: "&amp;D562&amp;", level: "&amp;CHAR(34)&amp;E562&amp;CHAR(34)&amp;", x: "&amp;F562&amp;", y: "&amp;G562&amp;", z: "&amp;H562&amp;", details: "&amp;CHAR(34)&amp;I562&amp;CHAR(34)&amp;" },"</f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3696</v>
      </c>
      <c r="C563" t="s">
        <v>2887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>"{ name: "&amp;CHAR(34)&amp;B563&amp;CHAR(34)&amp;", landmark: "&amp;CHAR(34)&amp;IF(LEN(C563)=LEN(SUBSTITUTE(C563,"Transport","")),"Korok x1","Korok x2")&amp;CHAR(34)&amp;", type: "&amp;CHAR(34)&amp;C563&amp;CHAR(34)&amp;", region: "&amp;D563&amp;", level: "&amp;CHAR(34)&amp;E563&amp;CHAR(34)&amp;", x: "&amp;F563&amp;", y: "&amp;G563&amp;", z: "&amp;H563&amp;", details: "&amp;CHAR(34)&amp;I563&amp;CHAR(34)&amp;" },"</f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3712</v>
      </c>
      <c r="C564" t="s">
        <v>2878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>"{ name: "&amp;CHAR(34)&amp;B564&amp;CHAR(34)&amp;", landmark: "&amp;CHAR(34)&amp;IF(LEN(C564)=LEN(SUBSTITUTE(C564,"Transport","")),"Korok x1","Korok x2")&amp;CHAR(34)&amp;", type: "&amp;CHAR(34)&amp;C564&amp;CHAR(34)&amp;", region: "&amp;D564&amp;", level: "&amp;CHAR(34)&amp;E564&amp;CHAR(34)&amp;", x: "&amp;F564&amp;", y: "&amp;G564&amp;", z: "&amp;H564&amp;", details: "&amp;CHAR(34)&amp;I564&amp;CHAR(34)&amp;" },"</f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3713</v>
      </c>
      <c r="C565" t="s">
        <v>2864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>"{ name: "&amp;CHAR(34)&amp;B565&amp;CHAR(34)&amp;", landmark: "&amp;CHAR(34)&amp;IF(LEN(C565)=LEN(SUBSTITUTE(C565,"Transport","")),"Korok x1","Korok x2")&amp;CHAR(34)&amp;", type: "&amp;CHAR(34)&amp;C565&amp;CHAR(34)&amp;", region: "&amp;D565&amp;", level: "&amp;CHAR(34)&amp;E565&amp;CHAR(34)&amp;", x: "&amp;F565&amp;", y: "&amp;G565&amp;", z: "&amp;H565&amp;", details: "&amp;CHAR(34)&amp;I565&amp;CHAR(34)&amp;" },"</f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3714</v>
      </c>
      <c r="C566" t="s">
        <v>2874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2854</v>
      </c>
      <c r="J566" t="str">
        <f>"{ name: "&amp;CHAR(34)&amp;B566&amp;CHAR(34)&amp;", landmark: "&amp;CHAR(34)&amp;IF(LEN(C566)=LEN(SUBSTITUTE(C566,"Transport","")),"Korok x1","Korok x2")&amp;CHAR(34)&amp;", type: "&amp;CHAR(34)&amp;C566&amp;CHAR(34)&amp;", region: "&amp;D566&amp;", level: "&amp;CHAR(34)&amp;E566&amp;CHAR(34)&amp;", x: "&amp;F566&amp;", y: "&amp;G566&amp;", z: "&amp;H566&amp;", details: "&amp;CHAR(34)&amp;I566&amp;CHAR(34)&amp;" },"</f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3715</v>
      </c>
      <c r="C567" t="s">
        <v>2875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>"{ name: "&amp;CHAR(34)&amp;B567&amp;CHAR(34)&amp;", landmark: "&amp;CHAR(34)&amp;IF(LEN(C567)=LEN(SUBSTITUTE(C567,"Transport","")),"Korok x1","Korok x2")&amp;CHAR(34)&amp;", type: "&amp;CHAR(34)&amp;C567&amp;CHAR(34)&amp;", region: "&amp;D567&amp;", level: "&amp;CHAR(34)&amp;E567&amp;CHAR(34)&amp;", x: "&amp;F567&amp;", y: "&amp;G567&amp;", z: "&amp;H567&amp;", details: "&amp;CHAR(34)&amp;I567&amp;CHAR(34)&amp;" },"</f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3716</v>
      </c>
      <c r="C568" t="s">
        <v>2877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>"{ name: "&amp;CHAR(34)&amp;B568&amp;CHAR(34)&amp;", landmark: "&amp;CHAR(34)&amp;IF(LEN(C568)=LEN(SUBSTITUTE(C568,"Transport","")),"Korok x1","Korok x2")&amp;CHAR(34)&amp;", type: "&amp;CHAR(34)&amp;C568&amp;CHAR(34)&amp;", region: "&amp;D568&amp;", level: "&amp;CHAR(34)&amp;E568&amp;CHAR(34)&amp;", x: "&amp;F568&amp;", y: "&amp;G568&amp;", z: "&amp;H568&amp;", details: "&amp;CHAR(34)&amp;I568&amp;CHAR(34)&amp;" },"</f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3731</v>
      </c>
      <c r="C569" t="s">
        <v>2888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>"{ name: "&amp;CHAR(34)&amp;B569&amp;CHAR(34)&amp;", landmark: "&amp;CHAR(34)&amp;IF(LEN(C569)=LEN(SUBSTITUTE(C569,"Transport","")),"Korok x1","Korok x2")&amp;CHAR(34)&amp;", type: "&amp;CHAR(34)&amp;C569&amp;CHAR(34)&amp;", region: "&amp;D569&amp;", level: "&amp;CHAR(34)&amp;E569&amp;CHAR(34)&amp;", x: "&amp;F569&amp;", y: "&amp;G569&amp;", z: "&amp;H569&amp;", details: "&amp;CHAR(34)&amp;I569&amp;CHAR(34)&amp;" },"</f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3744</v>
      </c>
      <c r="C570" t="s">
        <v>2864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>"{ name: "&amp;CHAR(34)&amp;B570&amp;CHAR(34)&amp;", landmark: "&amp;CHAR(34)&amp;IF(LEN(C570)=LEN(SUBSTITUTE(C570,"Transport","")),"Korok x1","Korok x2")&amp;CHAR(34)&amp;", type: "&amp;CHAR(34)&amp;C570&amp;CHAR(34)&amp;", region: "&amp;D570&amp;", level: "&amp;CHAR(34)&amp;E570&amp;CHAR(34)&amp;", x: "&amp;F570&amp;", y: "&amp;G570&amp;", z: "&amp;H570&amp;", details: "&amp;CHAR(34)&amp;I570&amp;CHAR(34)&amp;" },"</f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3764</v>
      </c>
      <c r="C571" t="s">
        <v>2872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>"{ name: "&amp;CHAR(34)&amp;B571&amp;CHAR(34)&amp;", landmark: "&amp;CHAR(34)&amp;IF(LEN(C571)=LEN(SUBSTITUTE(C571,"Transport","")),"Korok x1","Korok x2")&amp;CHAR(34)&amp;", type: "&amp;CHAR(34)&amp;C571&amp;CHAR(34)&amp;", region: "&amp;D571&amp;", level: "&amp;CHAR(34)&amp;E571&amp;CHAR(34)&amp;", x: "&amp;F571&amp;", y: "&amp;G571&amp;", z: "&amp;H571&amp;", details: "&amp;CHAR(34)&amp;I571&amp;CHAR(34)&amp;" },"</f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3765</v>
      </c>
      <c r="C572" t="s">
        <v>2658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>"{ name: "&amp;CHAR(34)&amp;B572&amp;CHAR(34)&amp;", landmark: "&amp;CHAR(34)&amp;IF(LEN(C572)=LEN(SUBSTITUTE(C572,"Transport","")),"Korok x1","Korok x2")&amp;CHAR(34)&amp;", type: "&amp;CHAR(34)&amp;C572&amp;CHAR(34)&amp;", region: "&amp;D572&amp;", level: "&amp;CHAR(34)&amp;E572&amp;CHAR(34)&amp;", x: "&amp;F572&amp;", y: "&amp;G572&amp;", z: "&amp;H572&amp;", details: "&amp;CHAR(34)&amp;I572&amp;CHAR(34)&amp;" },"</f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3766</v>
      </c>
      <c r="C573" t="s">
        <v>2875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>"{ name: "&amp;CHAR(34)&amp;B573&amp;CHAR(34)&amp;", landmark: "&amp;CHAR(34)&amp;IF(LEN(C573)=LEN(SUBSTITUTE(C573,"Transport","")),"Korok x1","Korok x2")&amp;CHAR(34)&amp;", type: "&amp;CHAR(34)&amp;C573&amp;CHAR(34)&amp;", region: "&amp;D573&amp;", level: "&amp;CHAR(34)&amp;E573&amp;CHAR(34)&amp;", x: "&amp;F573&amp;", y: "&amp;G573&amp;", z: "&amp;H573&amp;", details: "&amp;CHAR(34)&amp;I573&amp;CHAR(34)&amp;" },"</f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3769</v>
      </c>
      <c r="C574" t="s">
        <v>2867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>"{ name: "&amp;CHAR(34)&amp;B574&amp;CHAR(34)&amp;", landmark: "&amp;CHAR(34)&amp;IF(LEN(C574)=LEN(SUBSTITUTE(C574,"Transport","")),"Korok x1","Korok x2")&amp;CHAR(34)&amp;", type: "&amp;CHAR(34)&amp;C574&amp;CHAR(34)&amp;", region: "&amp;D574&amp;", level: "&amp;CHAR(34)&amp;E574&amp;CHAR(34)&amp;", x: "&amp;F574&amp;", y: "&amp;G574&amp;", z: "&amp;H574&amp;", details: "&amp;CHAR(34)&amp;I574&amp;CHAR(34)&amp;" },"</f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3770</v>
      </c>
      <c r="C575" t="s">
        <v>2884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>"{ name: "&amp;CHAR(34)&amp;B575&amp;CHAR(34)&amp;", landmark: "&amp;CHAR(34)&amp;IF(LEN(C575)=LEN(SUBSTITUTE(C575,"Transport","")),"Korok x1","Korok x2")&amp;CHAR(34)&amp;", type: "&amp;CHAR(34)&amp;C575&amp;CHAR(34)&amp;", region: "&amp;D575&amp;", level: "&amp;CHAR(34)&amp;E575&amp;CHAR(34)&amp;", x: "&amp;F575&amp;", y: "&amp;G575&amp;", z: "&amp;H575&amp;", details: "&amp;CHAR(34)&amp;I575&amp;CHAR(34)&amp;" },"</f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3827</v>
      </c>
      <c r="C576" t="s">
        <v>2869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>"{ name: "&amp;CHAR(34)&amp;B576&amp;CHAR(34)&amp;", landmark: "&amp;CHAR(34)&amp;IF(LEN(C576)=LEN(SUBSTITUTE(C576,"Transport","")),"Korok x1","Korok x2")&amp;CHAR(34)&amp;", type: "&amp;CHAR(34)&amp;C576&amp;CHAR(34)&amp;", region: "&amp;D576&amp;", level: "&amp;CHAR(34)&amp;E576&amp;CHAR(34)&amp;", x: "&amp;F576&amp;", y: "&amp;G576&amp;", z: "&amp;H576&amp;", details: "&amp;CHAR(34)&amp;I576&amp;CHAR(34)&amp;" },"</f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3828</v>
      </c>
      <c r="C577" t="s">
        <v>2878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>"{ name: "&amp;CHAR(34)&amp;B577&amp;CHAR(34)&amp;", landmark: "&amp;CHAR(34)&amp;IF(LEN(C577)=LEN(SUBSTITUTE(C577,"Transport","")),"Korok x1","Korok x2")&amp;CHAR(34)&amp;", type: "&amp;CHAR(34)&amp;C577&amp;CHAR(34)&amp;", region: "&amp;D577&amp;", level: "&amp;CHAR(34)&amp;E577&amp;CHAR(34)&amp;", x: "&amp;F577&amp;", y: "&amp;G577&amp;", z: "&amp;H577&amp;", details: "&amp;CHAR(34)&amp;I577&amp;CHAR(34)&amp;" },"</f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3846</v>
      </c>
      <c r="C578" t="s">
        <v>2865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2682</v>
      </c>
      <c r="J578" t="str">
        <f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3847</v>
      </c>
      <c r="C579" t="s">
        <v>2872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>"{ name: "&amp;CHAR(34)&amp;B579&amp;CHAR(34)&amp;", landmark: "&amp;CHAR(34)&amp;IF(LEN(C579)=LEN(SUBSTITUTE(C579,"Transport","")),"Korok x1","Korok x2")&amp;CHAR(34)&amp;", type: "&amp;CHAR(34)&amp;C579&amp;CHAR(34)&amp;", region: "&amp;D579&amp;", level: "&amp;CHAR(34)&amp;E579&amp;CHAR(34)&amp;", x: "&amp;F579&amp;", y: "&amp;G579&amp;", z: "&amp;H579&amp;", details: "&amp;CHAR(34)&amp;I579&amp;CHAR(34)&amp;" },"</f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3875</v>
      </c>
      <c r="C580" t="s">
        <v>2871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>"{ name: "&amp;CHAR(34)&amp;B580&amp;CHAR(34)&amp;", landmark: "&amp;CHAR(34)&amp;IF(LEN(C580)=LEN(SUBSTITUTE(C580,"Transport","")),"Korok x1","Korok x2")&amp;CHAR(34)&amp;", type: "&amp;CHAR(34)&amp;C580&amp;CHAR(34)&amp;", region: "&amp;D580&amp;", level: "&amp;CHAR(34)&amp;E580&amp;CHAR(34)&amp;", x: "&amp;F580&amp;", y: "&amp;G580&amp;", z: "&amp;H580&amp;", details: "&amp;CHAR(34)&amp;I580&amp;CHAR(34)&amp;" },"</f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3883</v>
      </c>
      <c r="C581" t="s">
        <v>2865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2791</v>
      </c>
      <c r="J581" t="str">
        <f>"{ name: "&amp;CHAR(34)&amp;B581&amp;CHAR(34)&amp;", landmark: "&amp;CHAR(34)&amp;IF(LEN(C581)=LEN(SUBSTITUTE(C581,"Transport","")),"Korok x1","Korok x2")&amp;CHAR(34)&amp;", type: "&amp;CHAR(34)&amp;C581&amp;CHAR(34)&amp;", region: "&amp;D581&amp;", level: "&amp;CHAR(34)&amp;E581&amp;CHAR(34)&amp;", x: "&amp;F581&amp;", y: "&amp;G581&amp;", z: "&amp;H581&amp;", details: "&amp;CHAR(34)&amp;I581&amp;CHAR(34)&amp;" },"</f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3893</v>
      </c>
      <c r="C582" t="s">
        <v>2885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>"{ name: "&amp;CHAR(34)&amp;B582&amp;CHAR(34)&amp;", landmark: "&amp;CHAR(34)&amp;IF(LEN(C582)=LEN(SUBSTITUTE(C582,"Transport","")),"Korok x1","Korok x2")&amp;CHAR(34)&amp;", type: "&amp;CHAR(34)&amp;C582&amp;CHAR(34)&amp;", region: "&amp;D582&amp;", level: "&amp;CHAR(34)&amp;E582&amp;CHAR(34)&amp;", x: "&amp;F582&amp;", y: "&amp;G582&amp;", z: "&amp;H582&amp;", details: "&amp;CHAR(34)&amp;I582&amp;CHAR(34)&amp;" },"</f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3895</v>
      </c>
      <c r="C583" t="s">
        <v>2875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>"{ name: "&amp;CHAR(34)&amp;B583&amp;CHAR(34)&amp;", landmark: "&amp;CHAR(34)&amp;IF(LEN(C583)=LEN(SUBSTITUTE(C583,"Transport","")),"Korok x1","Korok x2")&amp;CHAR(34)&amp;", type: "&amp;CHAR(34)&amp;C583&amp;CHAR(34)&amp;", region: "&amp;D583&amp;", level: "&amp;CHAR(34)&amp;E583&amp;CHAR(34)&amp;", x: "&amp;F583&amp;", y: "&amp;G583&amp;", z: "&amp;H583&amp;", details: "&amp;CHAR(34)&amp;I583&amp;CHAR(34)&amp;" },"</f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3896</v>
      </c>
      <c r="C584" t="s">
        <v>2864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>"{ name: "&amp;CHAR(34)&amp;B584&amp;CHAR(34)&amp;", landmark: "&amp;CHAR(34)&amp;IF(LEN(C584)=LEN(SUBSTITUTE(C584,"Transport","")),"Korok x1","Korok x2")&amp;CHAR(34)&amp;", type: "&amp;CHAR(34)&amp;C584&amp;CHAR(34)&amp;", region: "&amp;D584&amp;", level: "&amp;CHAR(34)&amp;E584&amp;CHAR(34)&amp;", x: "&amp;F584&amp;", y: "&amp;G584&amp;", z: "&amp;H584&amp;", details: "&amp;CHAR(34)&amp;I584&amp;CHAR(34)&amp;" },"</f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3897</v>
      </c>
      <c r="C585" t="s">
        <v>2865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2762</v>
      </c>
      <c r="J585" t="str">
        <f>"{ name: "&amp;CHAR(34)&amp;B585&amp;CHAR(34)&amp;", landmark: "&amp;CHAR(34)&amp;IF(LEN(C585)=LEN(SUBSTITUTE(C585,"Transport","")),"Korok x1","Korok x2")&amp;CHAR(34)&amp;", type: "&amp;CHAR(34)&amp;C585&amp;CHAR(34)&amp;", region: "&amp;D585&amp;", level: "&amp;CHAR(34)&amp;E585&amp;CHAR(34)&amp;", x: "&amp;F585&amp;", y: "&amp;G585&amp;", z: "&amp;H585&amp;", details: "&amp;CHAR(34)&amp;I585&amp;CHAR(34)&amp;" },"</f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3905</v>
      </c>
      <c r="C586" t="s">
        <v>2880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2687</v>
      </c>
      <c r="J586" t="str">
        <f>"{ name: "&amp;CHAR(34)&amp;B586&amp;CHAR(34)&amp;", landmark: "&amp;CHAR(34)&amp;IF(LEN(C586)=LEN(SUBSTITUTE(C586,"Transport","")),"Korok x1","Korok x2")&amp;CHAR(34)&amp;", type: "&amp;CHAR(34)&amp;C586&amp;CHAR(34)&amp;", region: "&amp;D586&amp;", level: "&amp;CHAR(34)&amp;E586&amp;CHAR(34)&amp;", x: "&amp;F586&amp;", y: "&amp;G586&amp;", z: "&amp;H586&amp;", details: "&amp;CHAR(34)&amp;I586&amp;CHAR(34)&amp;" },"</f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3930</v>
      </c>
      <c r="C587" t="s">
        <v>2889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>"{ name: "&amp;CHAR(34)&amp;B587&amp;CHAR(34)&amp;", landmark: "&amp;CHAR(34)&amp;IF(LEN(C587)=LEN(SUBSTITUTE(C587,"Transport","")),"Korok x1","Korok x2")&amp;CHAR(34)&amp;", type: "&amp;CHAR(34)&amp;C587&amp;CHAR(34)&amp;", region: "&amp;D587&amp;", level: "&amp;CHAR(34)&amp;E587&amp;CHAR(34)&amp;", x: "&amp;F587&amp;", y: "&amp;G587&amp;", z: "&amp;H587&amp;", details: "&amp;CHAR(34)&amp;I587&amp;CHAR(34)&amp;" },"</f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3948</v>
      </c>
      <c r="C588" t="s">
        <v>2864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>"{ name: "&amp;CHAR(34)&amp;B588&amp;CHAR(34)&amp;", landmark: "&amp;CHAR(34)&amp;IF(LEN(C588)=LEN(SUBSTITUTE(C588,"Transport","")),"Korok x1","Korok x2")&amp;CHAR(34)&amp;", type: "&amp;CHAR(34)&amp;C588&amp;CHAR(34)&amp;", region: "&amp;D588&amp;", level: "&amp;CHAR(34)&amp;E588&amp;CHAR(34)&amp;", x: "&amp;F588&amp;", y: "&amp;G588&amp;", z: "&amp;H588&amp;", details: "&amp;CHAR(34)&amp;I588&amp;CHAR(34)&amp;" },"</f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3949</v>
      </c>
      <c r="C589" t="s">
        <v>2875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>"{ name: "&amp;CHAR(34)&amp;B589&amp;CHAR(34)&amp;", landmark: "&amp;CHAR(34)&amp;IF(LEN(C589)=LEN(SUBSTITUTE(C589,"Transport","")),"Korok x1","Korok x2")&amp;CHAR(34)&amp;", type: "&amp;CHAR(34)&amp;C589&amp;CHAR(34)&amp;", region: "&amp;D589&amp;", level: "&amp;CHAR(34)&amp;E589&amp;CHAR(34)&amp;", x: "&amp;F589&amp;", y: "&amp;G589&amp;", z: "&amp;H589&amp;", details: "&amp;CHAR(34)&amp;I589&amp;CHAR(34)&amp;" },"</f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3950</v>
      </c>
      <c r="C590" t="s">
        <v>2874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2857</v>
      </c>
      <c r="J590" t="str">
        <f>"{ name: "&amp;CHAR(34)&amp;B590&amp;CHAR(34)&amp;", landmark: "&amp;CHAR(34)&amp;IF(LEN(C590)=LEN(SUBSTITUTE(C590,"Transport","")),"Korok x1","Korok x2")&amp;CHAR(34)&amp;", type: "&amp;CHAR(34)&amp;C590&amp;CHAR(34)&amp;", region: "&amp;D590&amp;", level: "&amp;CHAR(34)&amp;E590&amp;CHAR(34)&amp;", x: "&amp;F590&amp;", y: "&amp;G590&amp;", z: "&amp;H590&amp;", details: "&amp;CHAR(34)&amp;I590&amp;CHAR(34)&amp;" },"</f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3951</v>
      </c>
      <c r="C591" t="s">
        <v>2658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>"{ name: "&amp;CHAR(34)&amp;B591&amp;CHAR(34)&amp;", landmark: "&amp;CHAR(34)&amp;IF(LEN(C591)=LEN(SUBSTITUTE(C591,"Transport","")),"Korok x1","Korok x2")&amp;CHAR(34)&amp;", type: "&amp;CHAR(34)&amp;C591&amp;CHAR(34)&amp;", region: "&amp;D591&amp;", level: "&amp;CHAR(34)&amp;E591&amp;CHAR(34)&amp;", x: "&amp;F591&amp;", y: "&amp;G591&amp;", z: "&amp;H591&amp;", details: "&amp;CHAR(34)&amp;I591&amp;CHAR(34)&amp;" },"</f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4066</v>
      </c>
      <c r="C592" t="s">
        <v>2875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>"{ name: "&amp;CHAR(34)&amp;B592&amp;CHAR(34)&amp;", landmark: "&amp;CHAR(34)&amp;IF(LEN(C592)=LEN(SUBSTITUTE(C592,"Transport","")),"Korok x1","Korok x2")&amp;CHAR(34)&amp;", type: "&amp;CHAR(34)&amp;C592&amp;CHAR(34)&amp;", region: "&amp;D592&amp;", level: "&amp;CHAR(34)&amp;E592&amp;CHAR(34)&amp;", x: "&amp;F592&amp;", y: "&amp;G592&amp;", z: "&amp;H592&amp;", details: "&amp;CHAR(34)&amp;I592&amp;CHAR(34)&amp;" },"</f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4094</v>
      </c>
      <c r="C593" t="s">
        <v>2871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>"{ name: "&amp;CHAR(34)&amp;B593&amp;CHAR(34)&amp;", landmark: "&amp;CHAR(34)&amp;IF(LEN(C593)=LEN(SUBSTITUTE(C593,"Transport","")),"Korok x1","Korok x2")&amp;CHAR(34)&amp;", type: "&amp;CHAR(34)&amp;C593&amp;CHAR(34)&amp;", region: "&amp;D593&amp;", level: "&amp;CHAR(34)&amp;E593&amp;CHAR(34)&amp;", x: "&amp;F593&amp;", y: "&amp;G593&amp;", z: "&amp;H593&amp;", details: "&amp;CHAR(34)&amp;I593&amp;CHAR(34)&amp;" },"</f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4142</v>
      </c>
      <c r="C594" t="s">
        <v>2871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>"{ name: "&amp;CHAR(34)&amp;B594&amp;CHAR(34)&amp;", landmark: "&amp;CHAR(34)&amp;IF(LEN(C594)=LEN(SUBSTITUTE(C594,"Transport","")),"Korok x1","Korok x2")&amp;CHAR(34)&amp;", type: "&amp;CHAR(34)&amp;C594&amp;CHAR(34)&amp;", region: "&amp;D594&amp;", level: "&amp;CHAR(34)&amp;E594&amp;CHAR(34)&amp;", x: "&amp;F594&amp;", y: "&amp;G594&amp;", z: "&amp;H594&amp;", details: "&amp;CHAR(34)&amp;I594&amp;CHAR(34)&amp;" },"</f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4143</v>
      </c>
      <c r="C595" t="s">
        <v>2890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2802</v>
      </c>
      <c r="J595" t="str">
        <f>"{ name: "&amp;CHAR(34)&amp;B595&amp;CHAR(34)&amp;", landmark: "&amp;CHAR(34)&amp;IF(LEN(C595)=LEN(SUBSTITUTE(C595,"Transport","")),"Korok x1","Korok x2")&amp;CHAR(34)&amp;", type: "&amp;CHAR(34)&amp;C595&amp;CHAR(34)&amp;", region: "&amp;D595&amp;", level: "&amp;CHAR(34)&amp;E595&amp;CHAR(34)&amp;", x: "&amp;F595&amp;", y: "&amp;G595&amp;", z: "&amp;H595&amp;", details: "&amp;CHAR(34)&amp;I595&amp;CHAR(34)&amp;" },"</f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4154</v>
      </c>
      <c r="C596" t="s">
        <v>2886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>"{ name: "&amp;CHAR(34)&amp;B596&amp;CHAR(34)&amp;", landmark: "&amp;CHAR(34)&amp;IF(LEN(C596)=LEN(SUBSTITUTE(C596,"Transport","")),"Korok x1","Korok x2")&amp;CHAR(34)&amp;", type: "&amp;CHAR(34)&amp;C596&amp;CHAR(34)&amp;", region: "&amp;D596&amp;", level: "&amp;CHAR(34)&amp;E596&amp;CHAR(34)&amp;", x: "&amp;F596&amp;", y: "&amp;G596&amp;", z: "&amp;H596&amp;", details: "&amp;CHAR(34)&amp;I596&amp;CHAR(34)&amp;" },"</f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4155</v>
      </c>
      <c r="C597" t="s">
        <v>2871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>"{ name: "&amp;CHAR(34)&amp;B597&amp;CHAR(34)&amp;", landmark: "&amp;CHAR(34)&amp;IF(LEN(C597)=LEN(SUBSTITUTE(C597,"Transport","")),"Korok x1","Korok x2")&amp;CHAR(34)&amp;", type: "&amp;CHAR(34)&amp;C597&amp;CHAR(34)&amp;", region: "&amp;D597&amp;", level: "&amp;CHAR(34)&amp;E597&amp;CHAR(34)&amp;", x: "&amp;F597&amp;", y: "&amp;G597&amp;", z: "&amp;H597&amp;", details: "&amp;CHAR(34)&amp;I597&amp;CHAR(34)&amp;" },"</f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4156</v>
      </c>
      <c r="C598" t="s">
        <v>2865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2766</v>
      </c>
      <c r="J598" t="str">
        <f>"{ name: "&amp;CHAR(34)&amp;B598&amp;CHAR(34)&amp;", landmark: "&amp;CHAR(34)&amp;IF(LEN(C598)=LEN(SUBSTITUTE(C598,"Transport","")),"Korok x1","Korok x2")&amp;CHAR(34)&amp;", type: "&amp;CHAR(34)&amp;C598&amp;CHAR(34)&amp;", region: "&amp;D598&amp;", level: "&amp;CHAR(34)&amp;E598&amp;CHAR(34)&amp;", x: "&amp;F598&amp;", y: "&amp;G598&amp;", z: "&amp;H598&amp;", details: "&amp;CHAR(34)&amp;I598&amp;CHAR(34)&amp;" },"</f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4167</v>
      </c>
      <c r="C599" t="s">
        <v>2865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2754</v>
      </c>
      <c r="J599" t="str">
        <f>"{ name: "&amp;CHAR(34)&amp;B599&amp;CHAR(34)&amp;", landmark: "&amp;CHAR(34)&amp;IF(LEN(C599)=LEN(SUBSTITUTE(C599,"Transport","")),"Korok x1","Korok x2")&amp;CHAR(34)&amp;", type: "&amp;CHAR(34)&amp;C599&amp;CHAR(34)&amp;", region: "&amp;D599&amp;", level: "&amp;CHAR(34)&amp;E599&amp;CHAR(34)&amp;", x: "&amp;F599&amp;", y: "&amp;G599&amp;", z: "&amp;H599&amp;", details: "&amp;CHAR(34)&amp;I599&amp;CHAR(34)&amp;" },"</f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4168</v>
      </c>
      <c r="C600" t="s">
        <v>2864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>"{ name: "&amp;CHAR(34)&amp;B600&amp;CHAR(34)&amp;", landmark: "&amp;CHAR(34)&amp;IF(LEN(C600)=LEN(SUBSTITUTE(C600,"Transport","")),"Korok x1","Korok x2")&amp;CHAR(34)&amp;", type: "&amp;CHAR(34)&amp;C600&amp;CHAR(34)&amp;", region: "&amp;D600&amp;", level: "&amp;CHAR(34)&amp;E600&amp;CHAR(34)&amp;", x: "&amp;F600&amp;", y: "&amp;G600&amp;", z: "&amp;H600&amp;", details: "&amp;CHAR(34)&amp;I600&amp;CHAR(34)&amp;" },"</f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4173</v>
      </c>
      <c r="C601" t="s">
        <v>2871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>"{ name: "&amp;CHAR(34)&amp;B601&amp;CHAR(34)&amp;", landmark: "&amp;CHAR(34)&amp;IF(LEN(C601)=LEN(SUBSTITUTE(C601,"Transport","")),"Korok x1","Korok x2")&amp;CHAR(34)&amp;", type: "&amp;CHAR(34)&amp;C601&amp;CHAR(34)&amp;", region: "&amp;D601&amp;", level: "&amp;CHAR(34)&amp;E601&amp;CHAR(34)&amp;", x: "&amp;F601&amp;", y: "&amp;G601&amp;", z: "&amp;H601&amp;", details: "&amp;CHAR(34)&amp;I601&amp;CHAR(34)&amp;" },"</f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4174</v>
      </c>
      <c r="C602" t="s">
        <v>2875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>"{ name: "&amp;CHAR(34)&amp;B602&amp;CHAR(34)&amp;", landmark: "&amp;CHAR(34)&amp;IF(LEN(C602)=LEN(SUBSTITUTE(C602,"Transport","")),"Korok x1","Korok x2")&amp;CHAR(34)&amp;", type: "&amp;CHAR(34)&amp;C602&amp;CHAR(34)&amp;", region: "&amp;D602&amp;", level: "&amp;CHAR(34)&amp;E602&amp;CHAR(34)&amp;", x: "&amp;F602&amp;", y: "&amp;G602&amp;", z: "&amp;H602&amp;", details: "&amp;CHAR(34)&amp;I602&amp;CHAR(34)&amp;" },"</f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4175</v>
      </c>
      <c r="C603" t="s">
        <v>2880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2662</v>
      </c>
      <c r="J603" t="str">
        <f>"{ name: "&amp;CHAR(34)&amp;B603&amp;CHAR(34)&amp;", landmark: "&amp;CHAR(34)&amp;IF(LEN(C603)=LEN(SUBSTITUTE(C603,"Transport","")),"Korok x1","Korok x2")&amp;CHAR(34)&amp;", type: "&amp;CHAR(34)&amp;C603&amp;CHAR(34)&amp;", region: "&amp;D603&amp;", level: "&amp;CHAR(34)&amp;E603&amp;CHAR(34)&amp;", x: "&amp;F603&amp;", y: "&amp;G603&amp;", z: "&amp;H603&amp;", details: "&amp;CHAR(34)&amp;I603&amp;CHAR(34)&amp;" },"</f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4176</v>
      </c>
      <c r="C604" t="s">
        <v>2874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2801</v>
      </c>
      <c r="J604" t="str">
        <f>"{ name: "&amp;CHAR(34)&amp;B604&amp;CHAR(34)&amp;", landmark: "&amp;CHAR(34)&amp;IF(LEN(C604)=LEN(SUBSTITUTE(C604,"Transport","")),"Korok x1","Korok x2")&amp;CHAR(34)&amp;", type: "&amp;CHAR(34)&amp;C604&amp;CHAR(34)&amp;", region: "&amp;D604&amp;", level: "&amp;CHAR(34)&amp;E604&amp;CHAR(34)&amp;", x: "&amp;F604&amp;", y: "&amp;G604&amp;", z: "&amp;H604&amp;", details: "&amp;CHAR(34)&amp;I604&amp;CHAR(34)&amp;" },"</f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e">
        <f>IF(LEFT(B604,LEN(#REF!))=#REF!,LEFT(B604,LEN(B604)-2)&amp;TEXT(INT(RIGHT(B604,2))+1,"00"),IF(#REF!=#REF!,#REF!&amp;" Korok #01",#REF!&amp;" Korok"))</f>
        <v>#REF!</v>
      </c>
      <c r="C605" t="s">
        <v>2878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e">
        <f>"{ name: "&amp;CHAR(34)&amp;B605&amp;CHAR(34)&amp;", landmark: "&amp;CHAR(34)&amp;IF(LEN(C605)=LEN(SUBSTITUTE(C605,"Transport","")),"Korok x1","Korok x2")&amp;CHAR(34)&amp;", type: "&amp;CHAR(34)&amp;C605&amp;CHAR(34)&amp;", region: "&amp;D605&amp;", level: "&amp;CHAR(34)&amp;E605&amp;CHAR(34)&amp;", x: "&amp;F605&amp;", y: "&amp;G605&amp;", z: "&amp;H605&amp;", details: "&amp;CHAR(34)&amp;I605&amp;CHAR(34)&amp;" },"</f>
        <v>#REF!</v>
      </c>
    </row>
    <row r="606" spans="1:10" x14ac:dyDescent="0.2">
      <c r="A606" s="2">
        <v>618</v>
      </c>
      <c r="B606" s="34" t="s">
        <v>3288</v>
      </c>
      <c r="C606" t="s">
        <v>2874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2853</v>
      </c>
      <c r="J606" t="str">
        <f>"{ name: "&amp;CHAR(34)&amp;B606&amp;CHAR(34)&amp;", landmark: "&amp;CHAR(34)&amp;IF(LEN(C606)=LEN(SUBSTITUTE(C606,"Transport","")),"Korok x1","Korok x2")&amp;CHAR(34)&amp;", type: "&amp;CHAR(34)&amp;C606&amp;CHAR(34)&amp;", region: "&amp;D606&amp;", level: "&amp;CHAR(34)&amp;E606&amp;CHAR(34)&amp;", x: "&amp;F606&amp;", y: "&amp;G606&amp;", z: "&amp;H606&amp;", details: "&amp;CHAR(34)&amp;I606&amp;CHAR(34)&amp;" },"</f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3352</v>
      </c>
      <c r="C607" t="s">
        <v>2890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2855</v>
      </c>
      <c r="J607" t="str">
        <f>"{ name: "&amp;CHAR(34)&amp;B607&amp;CHAR(34)&amp;", landmark: "&amp;CHAR(34)&amp;IF(LEN(C607)=LEN(SUBSTITUTE(C607,"Transport","")),"Korok x1","Korok x2")&amp;CHAR(34)&amp;", type: "&amp;CHAR(34)&amp;C607&amp;CHAR(34)&amp;", region: "&amp;D607&amp;", level: "&amp;CHAR(34)&amp;E607&amp;CHAR(34)&amp;", x: "&amp;F607&amp;", y: "&amp;G607&amp;", z: "&amp;H607&amp;", details: "&amp;CHAR(34)&amp;I607&amp;CHAR(34)&amp;" },"</f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3365</v>
      </c>
      <c r="C608" t="s">
        <v>2879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>"{ name: "&amp;CHAR(34)&amp;B608&amp;CHAR(34)&amp;", landmark: "&amp;CHAR(34)&amp;IF(LEN(C608)=LEN(SUBSTITUTE(C608,"Transport","")),"Korok x1","Korok x2")&amp;CHAR(34)&amp;", type: "&amp;CHAR(34)&amp;C608&amp;CHAR(34)&amp;", region: "&amp;D608&amp;", level: "&amp;CHAR(34)&amp;E608&amp;CHAR(34)&amp;", x: "&amp;F608&amp;", y: "&amp;G608&amp;", z: "&amp;H608&amp;", details: "&amp;CHAR(34)&amp;I608&amp;CHAR(34)&amp;" },"</f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3366</v>
      </c>
      <c r="C609" t="s">
        <v>2885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>"{ name: "&amp;CHAR(34)&amp;B609&amp;CHAR(34)&amp;", landmark: "&amp;CHAR(34)&amp;IF(LEN(C609)=LEN(SUBSTITUTE(C609,"Transport","")),"Korok x1","Korok x2")&amp;CHAR(34)&amp;", type: "&amp;CHAR(34)&amp;C609&amp;CHAR(34)&amp;", region: "&amp;D609&amp;", level: "&amp;CHAR(34)&amp;E609&amp;CHAR(34)&amp;", x: "&amp;F609&amp;", y: "&amp;G609&amp;", z: "&amp;H609&amp;", details: "&amp;CHAR(34)&amp;I609&amp;CHAR(34)&amp;" },"</f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3396</v>
      </c>
      <c r="C610" t="s">
        <v>2870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>"{ name: "&amp;CHAR(34)&amp;B610&amp;CHAR(34)&amp;", landmark: "&amp;CHAR(34)&amp;IF(LEN(C610)=LEN(SUBSTITUTE(C610,"Transport","")),"Korok x1","Korok x2")&amp;CHAR(34)&amp;", type: "&amp;CHAR(34)&amp;C610&amp;CHAR(34)&amp;", region: "&amp;D610&amp;", level: "&amp;CHAR(34)&amp;E610&amp;CHAR(34)&amp;", x: "&amp;F610&amp;", y: "&amp;G610&amp;", z: "&amp;H610&amp;", details: "&amp;CHAR(34)&amp;I610&amp;CHAR(34)&amp;" },"</f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3451</v>
      </c>
      <c r="C611" t="s">
        <v>2884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>"{ name: "&amp;CHAR(34)&amp;B611&amp;CHAR(34)&amp;", landmark: "&amp;CHAR(34)&amp;IF(LEN(C611)=LEN(SUBSTITUTE(C611,"Transport","")),"Korok x1","Korok x2")&amp;CHAR(34)&amp;", type: "&amp;CHAR(34)&amp;C611&amp;CHAR(34)&amp;", region: "&amp;D611&amp;", level: "&amp;CHAR(34)&amp;E611&amp;CHAR(34)&amp;", x: "&amp;F611&amp;", y: "&amp;G611&amp;", z: "&amp;H611&amp;", details: "&amp;CHAR(34)&amp;I611&amp;CHAR(34)&amp;" },"</f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3452</v>
      </c>
      <c r="C612" t="s">
        <v>2870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>"{ name: "&amp;CHAR(34)&amp;B612&amp;CHAR(34)&amp;", landmark: "&amp;CHAR(34)&amp;IF(LEN(C612)=LEN(SUBSTITUTE(C612,"Transport","")),"Korok x1","Korok x2")&amp;CHAR(34)&amp;", type: "&amp;CHAR(34)&amp;C612&amp;CHAR(34)&amp;", region: "&amp;D612&amp;", level: "&amp;CHAR(34)&amp;E612&amp;CHAR(34)&amp;", x: "&amp;F612&amp;", y: "&amp;G612&amp;", z: "&amp;H612&amp;", details: "&amp;CHAR(34)&amp;I612&amp;CHAR(34)&amp;" },"</f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3465</v>
      </c>
      <c r="C613" t="s">
        <v>2872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>"{ name: "&amp;CHAR(34)&amp;B613&amp;CHAR(34)&amp;", landmark: "&amp;CHAR(34)&amp;IF(LEN(C613)=LEN(SUBSTITUTE(C613,"Transport","")),"Korok x1","Korok x2")&amp;CHAR(34)&amp;", type: "&amp;CHAR(34)&amp;C613&amp;CHAR(34)&amp;", region: "&amp;D613&amp;", level: "&amp;CHAR(34)&amp;E613&amp;CHAR(34)&amp;", x: "&amp;F613&amp;", y: "&amp;G613&amp;", z: "&amp;H613&amp;", details: "&amp;CHAR(34)&amp;I613&amp;CHAR(34)&amp;" },"</f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3467</v>
      </c>
      <c r="C614" t="s">
        <v>2875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>"{ name: "&amp;CHAR(34)&amp;B614&amp;CHAR(34)&amp;", landmark: "&amp;CHAR(34)&amp;IF(LEN(C614)=LEN(SUBSTITUTE(C614,"Transport","")),"Korok x1","Korok x2")&amp;CHAR(34)&amp;", type: "&amp;CHAR(34)&amp;C614&amp;CHAR(34)&amp;", region: "&amp;D614&amp;", level: "&amp;CHAR(34)&amp;E614&amp;CHAR(34)&amp;", x: "&amp;F614&amp;", y: "&amp;G614&amp;", z: "&amp;H614&amp;", details: "&amp;CHAR(34)&amp;I614&amp;CHAR(34)&amp;" },"</f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3558</v>
      </c>
      <c r="C615" t="s">
        <v>2888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>"{ name: "&amp;CHAR(34)&amp;B615&amp;CHAR(34)&amp;", landmark: "&amp;CHAR(34)&amp;IF(LEN(C615)=LEN(SUBSTITUTE(C615,"Transport","")),"Korok x1","Korok x2")&amp;CHAR(34)&amp;", type: "&amp;CHAR(34)&amp;C615&amp;CHAR(34)&amp;", region: "&amp;D615&amp;", level: "&amp;CHAR(34)&amp;E615&amp;CHAR(34)&amp;", x: "&amp;F615&amp;", y: "&amp;G615&amp;", z: "&amp;H615&amp;", details: "&amp;CHAR(34)&amp;I615&amp;CHAR(34)&amp;" },"</f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3559</v>
      </c>
      <c r="C616" t="s">
        <v>2886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>"{ name: "&amp;CHAR(34)&amp;B616&amp;CHAR(34)&amp;", landmark: "&amp;CHAR(34)&amp;IF(LEN(C616)=LEN(SUBSTITUTE(C616,"Transport","")),"Korok x1","Korok x2")&amp;CHAR(34)&amp;", type: "&amp;CHAR(34)&amp;C616&amp;CHAR(34)&amp;", region: "&amp;D616&amp;", level: "&amp;CHAR(34)&amp;E616&amp;CHAR(34)&amp;", x: "&amp;F616&amp;", y: "&amp;G616&amp;", z: "&amp;H616&amp;", details: "&amp;CHAR(34)&amp;I616&amp;CHAR(34)&amp;" },"</f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3560</v>
      </c>
      <c r="C617" t="s">
        <v>2886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>"{ name: "&amp;CHAR(34)&amp;B617&amp;CHAR(34)&amp;", landmark: "&amp;CHAR(34)&amp;IF(LEN(C617)=LEN(SUBSTITUTE(C617,"Transport","")),"Korok x1","Korok x2")&amp;CHAR(34)&amp;", type: "&amp;CHAR(34)&amp;C617&amp;CHAR(34)&amp;", region: "&amp;D617&amp;", level: "&amp;CHAR(34)&amp;E617&amp;CHAR(34)&amp;", x: "&amp;F617&amp;", y: "&amp;G617&amp;", z: "&amp;H617&amp;", details: "&amp;CHAR(34)&amp;I617&amp;CHAR(34)&amp;" },"</f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3561</v>
      </c>
      <c r="C618" t="s">
        <v>2658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>"{ name: "&amp;CHAR(34)&amp;B618&amp;CHAR(34)&amp;", landmark: "&amp;CHAR(34)&amp;IF(LEN(C618)=LEN(SUBSTITUTE(C618,"Transport","")),"Korok x1","Korok x2")&amp;CHAR(34)&amp;", type: "&amp;CHAR(34)&amp;C618&amp;CHAR(34)&amp;", region: "&amp;D618&amp;", level: "&amp;CHAR(34)&amp;E618&amp;CHAR(34)&amp;", x: "&amp;F618&amp;", y: "&amp;G618&amp;", z: "&amp;H618&amp;", details: "&amp;CHAR(34)&amp;I618&amp;CHAR(34)&amp;" },"</f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3562</v>
      </c>
      <c r="C619" t="s">
        <v>2883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>"{ name: "&amp;CHAR(34)&amp;B619&amp;CHAR(34)&amp;", landmark: "&amp;CHAR(34)&amp;IF(LEN(C619)=LEN(SUBSTITUTE(C619,"Transport","")),"Korok x1","Korok x2")&amp;CHAR(34)&amp;", type: "&amp;CHAR(34)&amp;C619&amp;CHAR(34)&amp;", region: "&amp;D619&amp;", level: "&amp;CHAR(34)&amp;E619&amp;CHAR(34)&amp;", x: "&amp;F619&amp;", y: "&amp;G619&amp;", z: "&amp;H619&amp;", details: "&amp;CHAR(34)&amp;I619&amp;CHAR(34)&amp;" },"</f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3563</v>
      </c>
      <c r="C620" t="s">
        <v>2888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>"{ name: "&amp;CHAR(34)&amp;B620&amp;CHAR(34)&amp;", landmark: "&amp;CHAR(34)&amp;IF(LEN(C620)=LEN(SUBSTITUTE(C620,"Transport","")),"Korok x1","Korok x2")&amp;CHAR(34)&amp;", type: "&amp;CHAR(34)&amp;C620&amp;CHAR(34)&amp;", region: "&amp;D620&amp;", level: "&amp;CHAR(34)&amp;E620&amp;CHAR(34)&amp;", x: "&amp;F620&amp;", y: "&amp;G620&amp;", z: "&amp;H620&amp;", details: "&amp;CHAR(34)&amp;I620&amp;CHAR(34)&amp;" },"</f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3564</v>
      </c>
      <c r="C621" t="s">
        <v>2875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>"{ name: "&amp;CHAR(34)&amp;B621&amp;CHAR(34)&amp;", landmark: "&amp;CHAR(34)&amp;IF(LEN(C621)=LEN(SUBSTITUTE(C621,"Transport","")),"Korok x1","Korok x2")&amp;CHAR(34)&amp;", type: "&amp;CHAR(34)&amp;C621&amp;CHAR(34)&amp;", region: "&amp;D621&amp;", level: "&amp;CHAR(34)&amp;E621&amp;CHAR(34)&amp;", x: "&amp;F621&amp;", y: "&amp;G621&amp;", z: "&amp;H621&amp;", details: "&amp;CHAR(34)&amp;I621&amp;CHAR(34)&amp;" },"</f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3565</v>
      </c>
      <c r="C622" t="s">
        <v>2865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2775</v>
      </c>
      <c r="J622" t="str">
        <f>"{ name: "&amp;CHAR(34)&amp;B622&amp;CHAR(34)&amp;", landmark: "&amp;CHAR(34)&amp;IF(LEN(C622)=LEN(SUBSTITUTE(C622,"Transport","")),"Korok x1","Korok x2")&amp;CHAR(34)&amp;", type: "&amp;CHAR(34)&amp;C622&amp;CHAR(34)&amp;", region: "&amp;D622&amp;", level: "&amp;CHAR(34)&amp;E622&amp;CHAR(34)&amp;", x: "&amp;F622&amp;", y: "&amp;G622&amp;", z: "&amp;H622&amp;", details: "&amp;CHAR(34)&amp;I622&amp;CHAR(34)&amp;" },"</f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3665</v>
      </c>
      <c r="C623" t="s">
        <v>2875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>"{ name: "&amp;CHAR(34)&amp;B623&amp;CHAR(34)&amp;", landmark: "&amp;CHAR(34)&amp;IF(LEN(C623)=LEN(SUBSTITUTE(C623,"Transport","")),"Korok x1","Korok x2")&amp;CHAR(34)&amp;", type: "&amp;CHAR(34)&amp;C623&amp;CHAR(34)&amp;", region: "&amp;D623&amp;", level: "&amp;CHAR(34)&amp;E623&amp;CHAR(34)&amp;", x: "&amp;F623&amp;", y: "&amp;G623&amp;", z: "&amp;H623&amp;", details: "&amp;CHAR(34)&amp;I623&amp;CHAR(34)&amp;" },"</f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3697</v>
      </c>
      <c r="C624" t="s">
        <v>2887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>"{ name: "&amp;CHAR(34)&amp;B624&amp;CHAR(34)&amp;", landmark: "&amp;CHAR(34)&amp;IF(LEN(C624)=LEN(SUBSTITUTE(C624,"Transport","")),"Korok x1","Korok x2")&amp;CHAR(34)&amp;", type: "&amp;CHAR(34)&amp;C624&amp;CHAR(34)&amp;", region: "&amp;D624&amp;", level: "&amp;CHAR(34)&amp;E624&amp;CHAR(34)&amp;", x: "&amp;F624&amp;", y: "&amp;G624&amp;", z: "&amp;H624&amp;", details: "&amp;CHAR(34)&amp;I624&amp;CHAR(34)&amp;" },"</f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3711</v>
      </c>
      <c r="C625" t="s">
        <v>2872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>"{ name: "&amp;CHAR(34)&amp;B625&amp;CHAR(34)&amp;", landmark: "&amp;CHAR(34)&amp;IF(LEN(C625)=LEN(SUBSTITUTE(C625,"Transport","")),"Korok x1","Korok x2")&amp;CHAR(34)&amp;", type: "&amp;CHAR(34)&amp;C625&amp;CHAR(34)&amp;", region: "&amp;D625&amp;", level: "&amp;CHAR(34)&amp;E625&amp;CHAR(34)&amp;", x: "&amp;F625&amp;", y: "&amp;G625&amp;", z: "&amp;H625&amp;", details: "&amp;CHAR(34)&amp;I625&amp;CHAR(34)&amp;" },"</f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3734</v>
      </c>
      <c r="C626" t="s">
        <v>2874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2852</v>
      </c>
      <c r="J626" t="str">
        <f>"{ name: "&amp;CHAR(34)&amp;B626&amp;CHAR(34)&amp;", landmark: "&amp;CHAR(34)&amp;IF(LEN(C626)=LEN(SUBSTITUTE(C626,"Transport","")),"Korok x1","Korok x2")&amp;CHAR(34)&amp;", type: "&amp;CHAR(34)&amp;C626&amp;CHAR(34)&amp;", region: "&amp;D626&amp;", level: "&amp;CHAR(34)&amp;E626&amp;CHAR(34)&amp;", x: "&amp;F626&amp;", y: "&amp;G626&amp;", z: "&amp;H626&amp;", details: "&amp;CHAR(34)&amp;I626&amp;CHAR(34)&amp;" },"</f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3745</v>
      </c>
      <c r="C627" t="s">
        <v>2888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>"{ name: "&amp;CHAR(34)&amp;B627&amp;CHAR(34)&amp;", landmark: "&amp;CHAR(34)&amp;IF(LEN(C627)=LEN(SUBSTITUTE(C627,"Transport","")),"Korok x1","Korok x2")&amp;CHAR(34)&amp;", type: "&amp;CHAR(34)&amp;C627&amp;CHAR(34)&amp;", region: "&amp;D627&amp;", level: "&amp;CHAR(34)&amp;E627&amp;CHAR(34)&amp;", x: "&amp;F627&amp;", y: "&amp;G627&amp;", z: "&amp;H627&amp;", details: "&amp;CHAR(34)&amp;I627&amp;CHAR(34)&amp;" },"</f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3746</v>
      </c>
      <c r="C628" t="s">
        <v>2888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>"{ name: "&amp;CHAR(34)&amp;B628&amp;CHAR(34)&amp;", landmark: "&amp;CHAR(34)&amp;IF(LEN(C628)=LEN(SUBSTITUTE(C628,"Transport","")),"Korok x1","Korok x2")&amp;CHAR(34)&amp;", type: "&amp;CHAR(34)&amp;C628&amp;CHAR(34)&amp;", region: "&amp;D628&amp;", level: "&amp;CHAR(34)&amp;E628&amp;CHAR(34)&amp;", x: "&amp;F628&amp;", y: "&amp;G628&amp;", z: "&amp;H628&amp;", details: "&amp;CHAR(34)&amp;I628&amp;CHAR(34)&amp;" },"</f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3747</v>
      </c>
      <c r="C629" t="s">
        <v>2888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>"{ name: "&amp;CHAR(34)&amp;B629&amp;CHAR(34)&amp;", landmark: "&amp;CHAR(34)&amp;IF(LEN(C629)=LEN(SUBSTITUTE(C629,"Transport","")),"Korok x1","Korok x2")&amp;CHAR(34)&amp;", type: "&amp;CHAR(34)&amp;C629&amp;CHAR(34)&amp;", region: "&amp;D629&amp;", level: "&amp;CHAR(34)&amp;E629&amp;CHAR(34)&amp;", x: "&amp;F629&amp;", y: "&amp;G629&amp;", z: "&amp;H629&amp;", details: "&amp;CHAR(34)&amp;I629&amp;CHAR(34)&amp;" },"</f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3752</v>
      </c>
      <c r="C630" t="s">
        <v>2879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>"{ name: "&amp;CHAR(34)&amp;B630&amp;CHAR(34)&amp;", landmark: "&amp;CHAR(34)&amp;IF(LEN(C630)=LEN(SUBSTITUTE(C630,"Transport","")),"Korok x1","Korok x2")&amp;CHAR(34)&amp;", type: "&amp;CHAR(34)&amp;C630&amp;CHAR(34)&amp;", region: "&amp;D630&amp;", level: "&amp;CHAR(34)&amp;E630&amp;CHAR(34)&amp;", x: "&amp;F630&amp;", y: "&amp;G630&amp;", z: "&amp;H630&amp;", details: "&amp;CHAR(34)&amp;I630&amp;CHAR(34)&amp;" },"</f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3788</v>
      </c>
      <c r="C631" t="s">
        <v>2888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>"{ name: "&amp;CHAR(34)&amp;B631&amp;CHAR(34)&amp;", landmark: "&amp;CHAR(34)&amp;IF(LEN(C631)=LEN(SUBSTITUTE(C631,"Transport","")),"Korok x1","Korok x2")&amp;CHAR(34)&amp;", type: "&amp;CHAR(34)&amp;C631&amp;CHAR(34)&amp;", region: "&amp;D631&amp;", level: "&amp;CHAR(34)&amp;E631&amp;CHAR(34)&amp;", x: "&amp;F631&amp;", y: "&amp;G631&amp;", z: "&amp;H631&amp;", details: "&amp;CHAR(34)&amp;I631&amp;CHAR(34)&amp;" },"</f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3789</v>
      </c>
      <c r="C632" t="s">
        <v>2658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>"{ name: "&amp;CHAR(34)&amp;B632&amp;CHAR(34)&amp;", landmark: "&amp;CHAR(34)&amp;IF(LEN(C632)=LEN(SUBSTITUTE(C632,"Transport","")),"Korok x1","Korok x2")&amp;CHAR(34)&amp;", type: "&amp;CHAR(34)&amp;C632&amp;CHAR(34)&amp;", region: "&amp;D632&amp;", level: "&amp;CHAR(34)&amp;E632&amp;CHAR(34)&amp;", x: "&amp;F632&amp;", y: "&amp;G632&amp;", z: "&amp;H632&amp;", details: "&amp;CHAR(34)&amp;I632&amp;CHAR(34)&amp;" },"</f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3790</v>
      </c>
      <c r="C633" t="s">
        <v>2879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>"{ name: "&amp;CHAR(34)&amp;B633&amp;CHAR(34)&amp;", landmark: "&amp;CHAR(34)&amp;IF(LEN(C633)=LEN(SUBSTITUTE(C633,"Transport","")),"Korok x1","Korok x2")&amp;CHAR(34)&amp;", type: "&amp;CHAR(34)&amp;C633&amp;CHAR(34)&amp;", region: "&amp;D633&amp;", level: "&amp;CHAR(34)&amp;E633&amp;CHAR(34)&amp;", x: "&amp;F633&amp;", y: "&amp;G633&amp;", z: "&amp;H633&amp;", details: "&amp;CHAR(34)&amp;I633&amp;CHAR(34)&amp;" },"</f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3800</v>
      </c>
      <c r="C634" t="s">
        <v>2865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2768</v>
      </c>
      <c r="J634" t="str">
        <f>"{ name: "&amp;CHAR(34)&amp;B634&amp;CHAR(34)&amp;", landmark: "&amp;CHAR(34)&amp;IF(LEN(C634)=LEN(SUBSTITUTE(C634,"Transport","")),"Korok x1","Korok x2")&amp;CHAR(34)&amp;", type: "&amp;CHAR(34)&amp;C634&amp;CHAR(34)&amp;", region: "&amp;D634&amp;", level: "&amp;CHAR(34)&amp;E634&amp;CHAR(34)&amp;", x: "&amp;F634&amp;", y: "&amp;G634&amp;", z: "&amp;H634&amp;", details: "&amp;CHAR(34)&amp;I634&amp;CHAR(34)&amp;" },"</f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3812</v>
      </c>
      <c r="C635" t="s">
        <v>2871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>"{ name: "&amp;CHAR(34)&amp;B635&amp;CHAR(34)&amp;", landmark: "&amp;CHAR(34)&amp;IF(LEN(C635)=LEN(SUBSTITUTE(C635,"Transport","")),"Korok x1","Korok x2")&amp;CHAR(34)&amp;", type: "&amp;CHAR(34)&amp;C635&amp;CHAR(34)&amp;", region: "&amp;D635&amp;", level: "&amp;CHAR(34)&amp;E635&amp;CHAR(34)&amp;", x: "&amp;F635&amp;", y: "&amp;G635&amp;", z: "&amp;H635&amp;", details: "&amp;CHAR(34)&amp;I635&amp;CHAR(34)&amp;" },"</f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3841</v>
      </c>
      <c r="C636" t="s">
        <v>2865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2772</v>
      </c>
      <c r="J636" t="str">
        <f>"{ name: "&amp;CHAR(34)&amp;B636&amp;CHAR(34)&amp;", landmark: "&amp;CHAR(34)&amp;IF(LEN(C636)=LEN(SUBSTITUTE(C636,"Transport","")),"Korok x1","Korok x2")&amp;CHAR(34)&amp;", type: "&amp;CHAR(34)&amp;C636&amp;CHAR(34)&amp;", region: "&amp;D636&amp;", level: "&amp;CHAR(34)&amp;E636&amp;CHAR(34)&amp;", x: "&amp;F636&amp;", y: "&amp;G636&amp;", z: "&amp;H636&amp;", details: "&amp;CHAR(34)&amp;I636&amp;CHAR(34)&amp;" },"</f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3842</v>
      </c>
      <c r="C637" t="s">
        <v>2875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>"{ name: "&amp;CHAR(34)&amp;B637&amp;CHAR(34)&amp;", landmark: "&amp;CHAR(34)&amp;IF(LEN(C637)=LEN(SUBSTITUTE(C637,"Transport","")),"Korok x1","Korok x2")&amp;CHAR(34)&amp;", type: "&amp;CHAR(34)&amp;C637&amp;CHAR(34)&amp;", region: "&amp;D637&amp;", level: "&amp;CHAR(34)&amp;E637&amp;CHAR(34)&amp;", x: "&amp;F637&amp;", y: "&amp;G637&amp;", z: "&amp;H637&amp;", details: "&amp;CHAR(34)&amp;I637&amp;CHAR(34)&amp;" },"</f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3859</v>
      </c>
      <c r="C638" t="s">
        <v>2888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>"{ name: "&amp;CHAR(34)&amp;B638&amp;CHAR(34)&amp;", landmark: "&amp;CHAR(34)&amp;IF(LEN(C638)=LEN(SUBSTITUTE(C638,"Transport","")),"Korok x1","Korok x2")&amp;CHAR(34)&amp;", type: "&amp;CHAR(34)&amp;C638&amp;CHAR(34)&amp;", region: "&amp;D638&amp;", level: "&amp;CHAR(34)&amp;E638&amp;CHAR(34)&amp;", x: "&amp;F638&amp;", y: "&amp;G638&amp;", z: "&amp;H638&amp;", details: "&amp;CHAR(34)&amp;I638&amp;CHAR(34)&amp;" },"</f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3860</v>
      </c>
      <c r="C639" t="s">
        <v>2887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>"{ name: "&amp;CHAR(34)&amp;B639&amp;CHAR(34)&amp;", landmark: "&amp;CHAR(34)&amp;IF(LEN(C639)=LEN(SUBSTITUTE(C639,"Transport","")),"Korok x1","Korok x2")&amp;CHAR(34)&amp;", type: "&amp;CHAR(34)&amp;C639&amp;CHAR(34)&amp;", region: "&amp;D639&amp;", level: "&amp;CHAR(34)&amp;E639&amp;CHAR(34)&amp;", x: "&amp;F639&amp;", y: "&amp;G639&amp;", z: "&amp;H639&amp;", details: "&amp;CHAR(34)&amp;I639&amp;CHAR(34)&amp;" },"</f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3861</v>
      </c>
      <c r="C640" t="s">
        <v>2865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2773</v>
      </c>
      <c r="J640" t="str">
        <f>"{ name: "&amp;CHAR(34)&amp;B640&amp;CHAR(34)&amp;", landmark: "&amp;CHAR(34)&amp;IF(LEN(C640)=LEN(SUBSTITUTE(C640,"Transport","")),"Korok x1","Korok x2")&amp;CHAR(34)&amp;", type: "&amp;CHAR(34)&amp;C640&amp;CHAR(34)&amp;", region: "&amp;D640&amp;", level: "&amp;CHAR(34)&amp;E640&amp;CHAR(34)&amp;", x: "&amp;F640&amp;", y: "&amp;G640&amp;", z: "&amp;H640&amp;", details: "&amp;CHAR(34)&amp;I640&amp;CHAR(34)&amp;" },"</f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3874</v>
      </c>
      <c r="C641" t="s">
        <v>2879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>"{ name: "&amp;CHAR(34)&amp;B641&amp;CHAR(34)&amp;", landmark: "&amp;CHAR(34)&amp;IF(LEN(C641)=LEN(SUBSTITUTE(C641,"Transport","")),"Korok x1","Korok x2")&amp;CHAR(34)&amp;", type: "&amp;CHAR(34)&amp;C641&amp;CHAR(34)&amp;", region: "&amp;D641&amp;", level: "&amp;CHAR(34)&amp;E641&amp;CHAR(34)&amp;", x: "&amp;F641&amp;", y: "&amp;G641&amp;", z: "&amp;H641&amp;", details: "&amp;CHAR(34)&amp;I641&amp;CHAR(34)&amp;" },"</f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3891</v>
      </c>
      <c r="C642" t="s">
        <v>2870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3912</v>
      </c>
      <c r="C643" t="s">
        <v>2884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>"{ name: "&amp;CHAR(34)&amp;B643&amp;CHAR(34)&amp;", landmark: "&amp;CHAR(34)&amp;IF(LEN(C643)=LEN(SUBSTITUTE(C643,"Transport","")),"Korok x1","Korok x2")&amp;CHAR(34)&amp;", type: "&amp;CHAR(34)&amp;C643&amp;CHAR(34)&amp;", region: "&amp;D643&amp;", level: "&amp;CHAR(34)&amp;E643&amp;CHAR(34)&amp;", x: "&amp;F643&amp;", y: "&amp;G643&amp;", z: "&amp;H643&amp;", details: "&amp;CHAR(34)&amp;I643&amp;CHAR(34)&amp;" },"</f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3990</v>
      </c>
      <c r="C644" t="s">
        <v>2875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>"{ name: "&amp;CHAR(34)&amp;B644&amp;CHAR(34)&amp;", landmark: "&amp;CHAR(34)&amp;IF(LEN(C644)=LEN(SUBSTITUTE(C644,"Transport","")),"Korok x1","Korok x2")&amp;CHAR(34)&amp;", type: "&amp;CHAR(34)&amp;C644&amp;CHAR(34)&amp;", region: "&amp;D644&amp;", level: "&amp;CHAR(34)&amp;E644&amp;CHAR(34)&amp;", x: "&amp;F644&amp;", y: "&amp;G644&amp;", z: "&amp;H644&amp;", details: "&amp;CHAR(34)&amp;I644&amp;CHAR(34)&amp;" },"</f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3997</v>
      </c>
      <c r="C645" t="s">
        <v>2884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>"{ name: "&amp;CHAR(34)&amp;B645&amp;CHAR(34)&amp;", landmark: "&amp;CHAR(34)&amp;IF(LEN(C645)=LEN(SUBSTITUTE(C645,"Transport","")),"Korok x1","Korok x2")&amp;CHAR(34)&amp;", type: "&amp;CHAR(34)&amp;C645&amp;CHAR(34)&amp;", region: "&amp;D645&amp;", level: "&amp;CHAR(34)&amp;E645&amp;CHAR(34)&amp;", x: "&amp;F645&amp;", y: "&amp;G645&amp;", z: "&amp;H645&amp;", details: "&amp;CHAR(34)&amp;I645&amp;CHAR(34)&amp;" },"</f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3998</v>
      </c>
      <c r="C646" t="s">
        <v>2869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>"{ name: "&amp;CHAR(34)&amp;B646&amp;CHAR(34)&amp;", landmark: "&amp;CHAR(34)&amp;IF(LEN(C646)=LEN(SUBSTITUTE(C646,"Transport","")),"Korok x1","Korok x2")&amp;CHAR(34)&amp;", type: "&amp;CHAR(34)&amp;C646&amp;CHAR(34)&amp;", region: "&amp;D646&amp;", level: "&amp;CHAR(34)&amp;E646&amp;CHAR(34)&amp;", x: "&amp;F646&amp;", y: "&amp;G646&amp;", z: "&amp;H646&amp;", details: "&amp;CHAR(34)&amp;I646&amp;CHAR(34)&amp;" },"</f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4020</v>
      </c>
      <c r="C647" t="s">
        <v>2865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2769</v>
      </c>
      <c r="J647" t="str">
        <f>"{ name: "&amp;CHAR(34)&amp;B647&amp;CHAR(34)&amp;", landmark: "&amp;CHAR(34)&amp;IF(LEN(C647)=LEN(SUBSTITUTE(C647,"Transport","")),"Korok x1","Korok x2")&amp;CHAR(34)&amp;", type: "&amp;CHAR(34)&amp;C647&amp;CHAR(34)&amp;", region: "&amp;D647&amp;", level: "&amp;CHAR(34)&amp;E647&amp;CHAR(34)&amp;", x: "&amp;F647&amp;", y: "&amp;G647&amp;", z: "&amp;H647&amp;", details: "&amp;CHAR(34)&amp;I647&amp;CHAR(34)&amp;" },"</f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4073</v>
      </c>
      <c r="C648" t="s">
        <v>2888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>"{ name: "&amp;CHAR(34)&amp;B648&amp;CHAR(34)&amp;", landmark: "&amp;CHAR(34)&amp;IF(LEN(C648)=LEN(SUBSTITUTE(C648,"Transport","")),"Korok x1","Korok x2")&amp;CHAR(34)&amp;", type: "&amp;CHAR(34)&amp;C648&amp;CHAR(34)&amp;", region: "&amp;D648&amp;", level: "&amp;CHAR(34)&amp;E648&amp;CHAR(34)&amp;", x: "&amp;F648&amp;", y: "&amp;G648&amp;", z: "&amp;H648&amp;", details: "&amp;CHAR(34)&amp;I648&amp;CHAR(34)&amp;" },"</f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4074</v>
      </c>
      <c r="C649" t="s">
        <v>2879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>"{ name: "&amp;CHAR(34)&amp;B649&amp;CHAR(34)&amp;", landmark: "&amp;CHAR(34)&amp;IF(LEN(C649)=LEN(SUBSTITUTE(C649,"Transport","")),"Korok x1","Korok x2")&amp;CHAR(34)&amp;", type: "&amp;CHAR(34)&amp;C649&amp;CHAR(34)&amp;", region: "&amp;D649&amp;", level: "&amp;CHAR(34)&amp;E649&amp;CHAR(34)&amp;", x: "&amp;F649&amp;", y: "&amp;G649&amp;", z: "&amp;H649&amp;", details: "&amp;CHAR(34)&amp;I649&amp;CHAR(34)&amp;" },"</f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4116</v>
      </c>
      <c r="C650" t="s">
        <v>2869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>"{ name: "&amp;CHAR(34)&amp;B650&amp;CHAR(34)&amp;", landmark: "&amp;CHAR(34)&amp;IF(LEN(C650)=LEN(SUBSTITUTE(C650,"Transport","")),"Korok x1","Korok x2")&amp;CHAR(34)&amp;", type: "&amp;CHAR(34)&amp;C650&amp;CHAR(34)&amp;", region: "&amp;D650&amp;", level: "&amp;CHAR(34)&amp;E650&amp;CHAR(34)&amp;", x: "&amp;F650&amp;", y: "&amp;G650&amp;", z: "&amp;H650&amp;", details: "&amp;CHAR(34)&amp;I650&amp;CHAR(34)&amp;" },"</f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4124</v>
      </c>
      <c r="C651" t="s">
        <v>2871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>"{ name: "&amp;CHAR(34)&amp;B651&amp;CHAR(34)&amp;", landmark: "&amp;CHAR(34)&amp;IF(LEN(C651)=LEN(SUBSTITUTE(C651,"Transport","")),"Korok x1","Korok x2")&amp;CHAR(34)&amp;", type: "&amp;CHAR(34)&amp;C651&amp;CHAR(34)&amp;", region: "&amp;D651&amp;", level: "&amp;CHAR(34)&amp;E651&amp;CHAR(34)&amp;", x: "&amp;F651&amp;", y: "&amp;G651&amp;", z: "&amp;H651&amp;", details: "&amp;CHAR(34)&amp;I651&amp;CHAR(34)&amp;" },"</f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4163</v>
      </c>
      <c r="C652" t="s">
        <v>2887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>"{ name: "&amp;CHAR(34)&amp;B652&amp;CHAR(34)&amp;", landmark: "&amp;CHAR(34)&amp;IF(LEN(C652)=LEN(SUBSTITUTE(C652,"Transport","")),"Korok x1","Korok x2")&amp;CHAR(34)&amp;", type: "&amp;CHAR(34)&amp;C652&amp;CHAR(34)&amp;", region: "&amp;D652&amp;", level: "&amp;CHAR(34)&amp;E652&amp;CHAR(34)&amp;", x: "&amp;F652&amp;", y: "&amp;G652&amp;", z: "&amp;H652&amp;", details: "&amp;CHAR(34)&amp;I652&amp;CHAR(34)&amp;" },"</f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4166</v>
      </c>
      <c r="C653" t="s">
        <v>2865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2774</v>
      </c>
      <c r="J653" t="str">
        <f>"{ name: "&amp;CHAR(34)&amp;B653&amp;CHAR(34)&amp;", landmark: "&amp;CHAR(34)&amp;IF(LEN(C653)=LEN(SUBSTITUTE(C653,"Transport","")),"Korok x1","Korok x2")&amp;CHAR(34)&amp;", type: "&amp;CHAR(34)&amp;C653&amp;CHAR(34)&amp;", region: "&amp;D653&amp;", level: "&amp;CHAR(34)&amp;E653&amp;CHAR(34)&amp;", x: "&amp;F653&amp;", y: "&amp;G653&amp;", z: "&amp;H653&amp;", details: "&amp;CHAR(34)&amp;I653&amp;CHAR(34)&amp;" },"</f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3307</v>
      </c>
      <c r="C654" t="s">
        <v>2888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>"{ name: "&amp;CHAR(34)&amp;B654&amp;CHAR(34)&amp;", landmark: "&amp;CHAR(34)&amp;IF(LEN(C654)=LEN(SUBSTITUTE(C654,"Transport","")),"Korok x1","Korok x2")&amp;CHAR(34)&amp;", type: "&amp;CHAR(34)&amp;C654&amp;CHAR(34)&amp;", region: "&amp;D654&amp;", level: "&amp;CHAR(34)&amp;E654&amp;CHAR(34)&amp;", x: "&amp;F654&amp;", y: "&amp;G654&amp;", z: "&amp;H654&amp;", details: "&amp;CHAR(34)&amp;I654&amp;CHAR(34)&amp;" },"</f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3310</v>
      </c>
      <c r="C655" t="s">
        <v>2880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2782</v>
      </c>
      <c r="J655" t="str">
        <f>"{ name: "&amp;CHAR(34)&amp;B655&amp;CHAR(34)&amp;", landmark: "&amp;CHAR(34)&amp;IF(LEN(C655)=LEN(SUBSTITUTE(C655,"Transport","")),"Korok x1","Korok x2")&amp;CHAR(34)&amp;", type: "&amp;CHAR(34)&amp;C655&amp;CHAR(34)&amp;", region: "&amp;D655&amp;", level: "&amp;CHAR(34)&amp;E655&amp;CHAR(34)&amp;", x: "&amp;F655&amp;", y: "&amp;G655&amp;", z: "&amp;H655&amp;", details: "&amp;CHAR(34)&amp;I655&amp;CHAR(34)&amp;" },"</f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3311</v>
      </c>
      <c r="C656" t="s">
        <v>2886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>"{ name: "&amp;CHAR(34)&amp;B656&amp;CHAR(34)&amp;", landmark: "&amp;CHAR(34)&amp;IF(LEN(C656)=LEN(SUBSTITUTE(C656,"Transport","")),"Korok x1","Korok x2")&amp;CHAR(34)&amp;", type: "&amp;CHAR(34)&amp;C656&amp;CHAR(34)&amp;", region: "&amp;D656&amp;", level: "&amp;CHAR(34)&amp;E656&amp;CHAR(34)&amp;", x: "&amp;F656&amp;", y: "&amp;G656&amp;", z: "&amp;H656&amp;", details: "&amp;CHAR(34)&amp;I656&amp;CHAR(34)&amp;" },"</f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3313</v>
      </c>
      <c r="C657" t="s">
        <v>2865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2778</v>
      </c>
      <c r="J657" t="str">
        <f>"{ name: "&amp;CHAR(34)&amp;B657&amp;CHAR(34)&amp;", landmark: "&amp;CHAR(34)&amp;IF(LEN(C657)=LEN(SUBSTITUTE(C657,"Transport","")),"Korok x1","Korok x2")&amp;CHAR(34)&amp;", type: "&amp;CHAR(34)&amp;C657&amp;CHAR(34)&amp;", region: "&amp;D657&amp;", level: "&amp;CHAR(34)&amp;E657&amp;CHAR(34)&amp;", x: "&amp;F657&amp;", y: "&amp;G657&amp;", z: "&amp;H657&amp;", details: "&amp;CHAR(34)&amp;I657&amp;CHAR(34)&amp;" },"</f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3312</v>
      </c>
      <c r="C658" t="s">
        <v>2890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2856</v>
      </c>
      <c r="J658" t="str">
        <f>"{ name: "&amp;CHAR(34)&amp;B658&amp;CHAR(34)&amp;", landmark: "&amp;CHAR(34)&amp;IF(LEN(C658)=LEN(SUBSTITUTE(C658,"Transport","")),"Korok x1","Korok x2")&amp;CHAR(34)&amp;", type: "&amp;CHAR(34)&amp;C658&amp;CHAR(34)&amp;", region: "&amp;D658&amp;", level: "&amp;CHAR(34)&amp;E658&amp;CHAR(34)&amp;", x: "&amp;F658&amp;", y: "&amp;G658&amp;", z: "&amp;H658&amp;", details: "&amp;CHAR(34)&amp;I658&amp;CHAR(34)&amp;" },"</f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3340</v>
      </c>
      <c r="C659" t="s">
        <v>2877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>"{ name: "&amp;CHAR(34)&amp;B659&amp;CHAR(34)&amp;", landmark: "&amp;CHAR(34)&amp;IF(LEN(C659)=LEN(SUBSTITUTE(C659,"Transport","")),"Korok x1","Korok x2")&amp;CHAR(34)&amp;", type: "&amp;CHAR(34)&amp;C659&amp;CHAR(34)&amp;", region: "&amp;D659&amp;", level: "&amp;CHAR(34)&amp;E659&amp;CHAR(34)&amp;", x: "&amp;F659&amp;", y: "&amp;G659&amp;", z: "&amp;H659&amp;", details: "&amp;CHAR(34)&amp;I659&amp;CHAR(34)&amp;" },"</f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3341</v>
      </c>
      <c r="C660" t="s">
        <v>2884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>"{ name: "&amp;CHAR(34)&amp;B660&amp;CHAR(34)&amp;", landmark: "&amp;CHAR(34)&amp;IF(LEN(C660)=LEN(SUBSTITUTE(C660,"Transport","")),"Korok x1","Korok x2")&amp;CHAR(34)&amp;", type: "&amp;CHAR(34)&amp;C660&amp;CHAR(34)&amp;", region: "&amp;D660&amp;", level: "&amp;CHAR(34)&amp;E660&amp;CHAR(34)&amp;", x: "&amp;F660&amp;", y: "&amp;G660&amp;", z: "&amp;H660&amp;", details: "&amp;CHAR(34)&amp;I660&amp;CHAR(34)&amp;" },"</f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3351</v>
      </c>
      <c r="C661" t="s">
        <v>2658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>"{ name: "&amp;CHAR(34)&amp;B661&amp;CHAR(34)&amp;", landmark: "&amp;CHAR(34)&amp;IF(LEN(C661)=LEN(SUBSTITUTE(C661,"Transport","")),"Korok x1","Korok x2")&amp;CHAR(34)&amp;", type: "&amp;CHAR(34)&amp;C661&amp;CHAR(34)&amp;", region: "&amp;D661&amp;", level: "&amp;CHAR(34)&amp;E661&amp;CHAR(34)&amp;", x: "&amp;F661&amp;", y: "&amp;G661&amp;", z: "&amp;H661&amp;", details: "&amp;CHAR(34)&amp;I661&amp;CHAR(34)&amp;" },"</f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3353</v>
      </c>
      <c r="C662" t="s">
        <v>2864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>"{ name: "&amp;CHAR(34)&amp;B662&amp;CHAR(34)&amp;", landmark: "&amp;CHAR(34)&amp;IF(LEN(C662)=LEN(SUBSTITUTE(C662,"Transport","")),"Korok x1","Korok x2")&amp;CHAR(34)&amp;", type: "&amp;CHAR(34)&amp;C662&amp;CHAR(34)&amp;", region: "&amp;D662&amp;", level: "&amp;CHAR(34)&amp;E662&amp;CHAR(34)&amp;", x: "&amp;F662&amp;", y: "&amp;G662&amp;", z: "&amp;H662&amp;", details: "&amp;CHAR(34)&amp;I662&amp;CHAR(34)&amp;" },"</f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3354</v>
      </c>
      <c r="C663" t="s">
        <v>2875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>"{ name: "&amp;CHAR(34)&amp;B663&amp;CHAR(34)&amp;", landmark: "&amp;CHAR(34)&amp;IF(LEN(C663)=LEN(SUBSTITUTE(C663,"Transport","")),"Korok x1","Korok x2")&amp;CHAR(34)&amp;", type: "&amp;CHAR(34)&amp;C663&amp;CHAR(34)&amp;", region: "&amp;D663&amp;", level: "&amp;CHAR(34)&amp;E663&amp;CHAR(34)&amp;", x: "&amp;F663&amp;", y: "&amp;G663&amp;", z: "&amp;H663&amp;", details: "&amp;CHAR(34)&amp;I663&amp;CHAR(34)&amp;" },"</f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3355</v>
      </c>
      <c r="C664" t="s">
        <v>2865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2781</v>
      </c>
      <c r="J664" t="str">
        <f>"{ name: "&amp;CHAR(34)&amp;B664&amp;CHAR(34)&amp;", landmark: "&amp;CHAR(34)&amp;IF(LEN(C664)=LEN(SUBSTITUTE(C664,"Transport","")),"Korok x1","Korok x2")&amp;CHAR(34)&amp;", type: "&amp;CHAR(34)&amp;C664&amp;CHAR(34)&amp;", region: "&amp;D664&amp;", level: "&amp;CHAR(34)&amp;E664&amp;CHAR(34)&amp;", x: "&amp;F664&amp;", y: "&amp;G664&amp;", z: "&amp;H664&amp;", details: "&amp;CHAR(34)&amp;I664&amp;CHAR(34)&amp;" },"</f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3364</v>
      </c>
      <c r="C665" t="s">
        <v>2865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2783</v>
      </c>
      <c r="J665" t="str">
        <f>"{ name: "&amp;CHAR(34)&amp;B665&amp;CHAR(34)&amp;", landmark: "&amp;CHAR(34)&amp;IF(LEN(C665)=LEN(SUBSTITUTE(C665,"Transport","")),"Korok x1","Korok x2")&amp;CHAR(34)&amp;", type: "&amp;CHAR(34)&amp;C665&amp;CHAR(34)&amp;", region: "&amp;D665&amp;", level: "&amp;CHAR(34)&amp;E665&amp;CHAR(34)&amp;", x: "&amp;F665&amp;", y: "&amp;G665&amp;", z: "&amp;H665&amp;", details: "&amp;CHAR(34)&amp;I665&amp;CHAR(34)&amp;" },"</f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3373</v>
      </c>
      <c r="C666" t="s">
        <v>2887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>"{ name: "&amp;CHAR(34)&amp;B666&amp;CHAR(34)&amp;", landmark: "&amp;CHAR(34)&amp;IF(LEN(C666)=LEN(SUBSTITUTE(C666,"Transport","")),"Korok x1","Korok x2")&amp;CHAR(34)&amp;", type: "&amp;CHAR(34)&amp;C666&amp;CHAR(34)&amp;", region: "&amp;D666&amp;", level: "&amp;CHAR(34)&amp;E666&amp;CHAR(34)&amp;", x: "&amp;F666&amp;", y: "&amp;G666&amp;", z: "&amp;H666&amp;", details: "&amp;CHAR(34)&amp;I666&amp;CHAR(34)&amp;" },"</f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3421</v>
      </c>
      <c r="C667" t="s">
        <v>2871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>"{ name: "&amp;CHAR(34)&amp;B667&amp;CHAR(34)&amp;", landmark: "&amp;CHAR(34)&amp;IF(LEN(C667)=LEN(SUBSTITUTE(C667,"Transport","")),"Korok x1","Korok x2")&amp;CHAR(34)&amp;", type: "&amp;CHAR(34)&amp;C667&amp;CHAR(34)&amp;", region: "&amp;D667&amp;", level: "&amp;CHAR(34)&amp;E667&amp;CHAR(34)&amp;", x: "&amp;F667&amp;", y: "&amp;G667&amp;", z: "&amp;H667&amp;", details: "&amp;CHAR(34)&amp;I667&amp;CHAR(34)&amp;" },"</f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3456</v>
      </c>
      <c r="C668" t="s">
        <v>2884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>"{ name: "&amp;CHAR(34)&amp;B668&amp;CHAR(34)&amp;", landmark: "&amp;CHAR(34)&amp;IF(LEN(C668)=LEN(SUBSTITUTE(C668,"Transport","")),"Korok x1","Korok x2")&amp;CHAR(34)&amp;", type: "&amp;CHAR(34)&amp;C668&amp;CHAR(34)&amp;", region: "&amp;D668&amp;", level: "&amp;CHAR(34)&amp;E668&amp;CHAR(34)&amp;", x: "&amp;F668&amp;", y: "&amp;G668&amp;", z: "&amp;H668&amp;", details: "&amp;CHAR(34)&amp;I668&amp;CHAR(34)&amp;" },"</f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3457</v>
      </c>
      <c r="C669" t="s">
        <v>2875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>"{ name: "&amp;CHAR(34)&amp;B669&amp;CHAR(34)&amp;", landmark: "&amp;CHAR(34)&amp;IF(LEN(C669)=LEN(SUBSTITUTE(C669,"Transport","")),"Korok x1","Korok x2")&amp;CHAR(34)&amp;", type: "&amp;CHAR(34)&amp;C669&amp;CHAR(34)&amp;", region: "&amp;D669&amp;", level: "&amp;CHAR(34)&amp;E669&amp;CHAR(34)&amp;", x: "&amp;F669&amp;", y: "&amp;G669&amp;", z: "&amp;H669&amp;", details: "&amp;CHAR(34)&amp;I669&amp;CHAR(34)&amp;" },"</f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3458</v>
      </c>
      <c r="C670" t="s">
        <v>2888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>"{ name: "&amp;CHAR(34)&amp;B670&amp;CHAR(34)&amp;", landmark: "&amp;CHAR(34)&amp;IF(LEN(C670)=LEN(SUBSTITUTE(C670,"Transport","")),"Korok x1","Korok x2")&amp;CHAR(34)&amp;", type: "&amp;CHAR(34)&amp;C670&amp;CHAR(34)&amp;", region: "&amp;D670&amp;", level: "&amp;CHAR(34)&amp;E670&amp;CHAR(34)&amp;", x: "&amp;F670&amp;", y: "&amp;G670&amp;", z: "&amp;H670&amp;", details: "&amp;CHAR(34)&amp;I670&amp;CHAR(34)&amp;" },"</f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3459</v>
      </c>
      <c r="C671" t="s">
        <v>2887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>"{ name: "&amp;CHAR(34)&amp;B671&amp;CHAR(34)&amp;", landmark: "&amp;CHAR(34)&amp;IF(LEN(C671)=LEN(SUBSTITUTE(C671,"Transport","")),"Korok x1","Korok x2")&amp;CHAR(34)&amp;", type: "&amp;CHAR(34)&amp;C671&amp;CHAR(34)&amp;", region: "&amp;D671&amp;", level: "&amp;CHAR(34)&amp;E671&amp;CHAR(34)&amp;", x: "&amp;F671&amp;", y: "&amp;G671&amp;", z: "&amp;H671&amp;", details: "&amp;CHAR(34)&amp;I671&amp;CHAR(34)&amp;" },"</f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3466</v>
      </c>
      <c r="C672" t="s">
        <v>2872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>"{ name: "&amp;CHAR(34)&amp;B672&amp;CHAR(34)&amp;", landmark: "&amp;CHAR(34)&amp;IF(LEN(C672)=LEN(SUBSTITUTE(C672,"Transport","")),"Korok x1","Korok x2")&amp;CHAR(34)&amp;", type: "&amp;CHAR(34)&amp;C672&amp;CHAR(34)&amp;", region: "&amp;D672&amp;", level: "&amp;CHAR(34)&amp;E672&amp;CHAR(34)&amp;", x: "&amp;F672&amp;", y: "&amp;G672&amp;", z: "&amp;H672&amp;", details: "&amp;CHAR(34)&amp;I672&amp;CHAR(34)&amp;" },"</f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3587</v>
      </c>
      <c r="C673" t="s">
        <v>2874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2862</v>
      </c>
      <c r="J673" t="str">
        <f>"{ name: "&amp;CHAR(34)&amp;B673&amp;CHAR(34)&amp;", landmark: "&amp;CHAR(34)&amp;IF(LEN(C673)=LEN(SUBSTITUTE(C673,"Transport","")),"Korok x1","Korok x2")&amp;CHAR(34)&amp;", type: "&amp;CHAR(34)&amp;C673&amp;CHAR(34)&amp;", region: "&amp;D673&amp;", level: "&amp;CHAR(34)&amp;E673&amp;CHAR(34)&amp;", x: "&amp;F673&amp;", y: "&amp;G673&amp;", z: "&amp;H673&amp;", details: "&amp;CHAR(34)&amp;I673&amp;CHAR(34)&amp;" },"</f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3588</v>
      </c>
      <c r="C674" t="s">
        <v>2879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>"{ name: "&amp;CHAR(34)&amp;B674&amp;CHAR(34)&amp;", landmark: "&amp;CHAR(34)&amp;IF(LEN(C674)=LEN(SUBSTITUTE(C674,"Transport","")),"Korok x1","Korok x2")&amp;CHAR(34)&amp;", type: "&amp;CHAR(34)&amp;C674&amp;CHAR(34)&amp;", region: "&amp;D674&amp;", level: "&amp;CHAR(34)&amp;E674&amp;CHAR(34)&amp;", x: "&amp;F674&amp;", y: "&amp;G674&amp;", z: "&amp;H674&amp;", details: "&amp;CHAR(34)&amp;I674&amp;CHAR(34)&amp;" },"</f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3741</v>
      </c>
      <c r="C675" t="s">
        <v>2880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2779</v>
      </c>
      <c r="J675" t="str">
        <f>"{ name: "&amp;CHAR(34)&amp;B675&amp;CHAR(34)&amp;", landmark: "&amp;CHAR(34)&amp;IF(LEN(C675)=LEN(SUBSTITUTE(C675,"Transport","")),"Korok x1","Korok x2")&amp;CHAR(34)&amp;", type: "&amp;CHAR(34)&amp;C675&amp;CHAR(34)&amp;", region: "&amp;D675&amp;", level: "&amp;CHAR(34)&amp;E675&amp;CHAR(34)&amp;", x: "&amp;F675&amp;", y: "&amp;G675&amp;", z: "&amp;H675&amp;", details: "&amp;CHAR(34)&amp;I675&amp;CHAR(34)&amp;" },"</f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3753</v>
      </c>
      <c r="C676" t="s">
        <v>2875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>"{ name: "&amp;CHAR(34)&amp;B676&amp;CHAR(34)&amp;", landmark: "&amp;CHAR(34)&amp;IF(LEN(C676)=LEN(SUBSTITUTE(C676,"Transport","")),"Korok x1","Korok x2")&amp;CHAR(34)&amp;", type: "&amp;CHAR(34)&amp;C676&amp;CHAR(34)&amp;", region: "&amp;D676&amp;", level: "&amp;CHAR(34)&amp;E676&amp;CHAR(34)&amp;", x: "&amp;F676&amp;", y: "&amp;G676&amp;", z: "&amp;H676&amp;", details: "&amp;CHAR(34)&amp;I676&amp;CHAR(34)&amp;" },"</f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3758</v>
      </c>
      <c r="C677" t="s">
        <v>2870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>"{ name: "&amp;CHAR(34)&amp;B677&amp;CHAR(34)&amp;", landmark: "&amp;CHAR(34)&amp;IF(LEN(C677)=LEN(SUBSTITUTE(C677,"Transport","")),"Korok x1","Korok x2")&amp;CHAR(34)&amp;", type: "&amp;CHAR(34)&amp;C677&amp;CHAR(34)&amp;", region: "&amp;D677&amp;", level: "&amp;CHAR(34)&amp;E677&amp;CHAR(34)&amp;", x: "&amp;F677&amp;", y: "&amp;G677&amp;", z: "&amp;H677&amp;", details: "&amp;CHAR(34)&amp;I677&amp;CHAR(34)&amp;" },"</f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3780</v>
      </c>
      <c r="C678" t="s">
        <v>2884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>"{ name: "&amp;CHAR(34)&amp;B678&amp;CHAR(34)&amp;", landmark: "&amp;CHAR(34)&amp;IF(LEN(C678)=LEN(SUBSTITUTE(C678,"Transport","")),"Korok x1","Korok x2")&amp;CHAR(34)&amp;", type: "&amp;CHAR(34)&amp;C678&amp;CHAR(34)&amp;", region: "&amp;D678&amp;", level: "&amp;CHAR(34)&amp;E678&amp;CHAR(34)&amp;", x: "&amp;F678&amp;", y: "&amp;G678&amp;", z: "&amp;H678&amp;", details: "&amp;CHAR(34)&amp;I678&amp;CHAR(34)&amp;" },"</f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3781</v>
      </c>
      <c r="C679" t="s">
        <v>2864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>"{ name: "&amp;CHAR(34)&amp;B679&amp;CHAR(34)&amp;", landmark: "&amp;CHAR(34)&amp;IF(LEN(C679)=LEN(SUBSTITUTE(C679,"Transport","")),"Korok x1","Korok x2")&amp;CHAR(34)&amp;", type: "&amp;CHAR(34)&amp;C679&amp;CHAR(34)&amp;", region: "&amp;D679&amp;", level: "&amp;CHAR(34)&amp;E679&amp;CHAR(34)&amp;", x: "&amp;F679&amp;", y: "&amp;G679&amp;", z: "&amp;H679&amp;", details: "&amp;CHAR(34)&amp;I679&amp;CHAR(34)&amp;" },"</f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3782</v>
      </c>
      <c r="C680" t="s">
        <v>2875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>"{ name: "&amp;CHAR(34)&amp;B680&amp;CHAR(34)&amp;", landmark: "&amp;CHAR(34)&amp;IF(LEN(C680)=LEN(SUBSTITUTE(C680,"Transport","")),"Korok x1","Korok x2")&amp;CHAR(34)&amp;", type: "&amp;CHAR(34)&amp;C680&amp;CHAR(34)&amp;", region: "&amp;D680&amp;", level: "&amp;CHAR(34)&amp;E680&amp;CHAR(34)&amp;", x: "&amp;F680&amp;", y: "&amp;G680&amp;", z: "&amp;H680&amp;", details: "&amp;CHAR(34)&amp;I680&amp;CHAR(34)&amp;" },"</f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3793</v>
      </c>
      <c r="C681" t="s">
        <v>2885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>"{ name: "&amp;CHAR(34)&amp;B681&amp;CHAR(34)&amp;", landmark: "&amp;CHAR(34)&amp;IF(LEN(C681)=LEN(SUBSTITUTE(C681,"Transport","")),"Korok x1","Korok x2")&amp;CHAR(34)&amp;", type: "&amp;CHAR(34)&amp;C681&amp;CHAR(34)&amp;", region: "&amp;D681&amp;", level: "&amp;CHAR(34)&amp;E681&amp;CHAR(34)&amp;", x: "&amp;F681&amp;", y: "&amp;G681&amp;", z: "&amp;H681&amp;", details: "&amp;CHAR(34)&amp;I681&amp;CHAR(34)&amp;" },"</f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3794</v>
      </c>
      <c r="C682" t="s">
        <v>2871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>"{ name: "&amp;CHAR(34)&amp;B682&amp;CHAR(34)&amp;", landmark: "&amp;CHAR(34)&amp;IF(LEN(C682)=LEN(SUBSTITUTE(C682,"Transport","")),"Korok x1","Korok x2")&amp;CHAR(34)&amp;", type: "&amp;CHAR(34)&amp;C682&amp;CHAR(34)&amp;", region: "&amp;D682&amp;", level: "&amp;CHAR(34)&amp;E682&amp;CHAR(34)&amp;", x: "&amp;F682&amp;", y: "&amp;G682&amp;", z: "&amp;H682&amp;", details: "&amp;CHAR(34)&amp;I682&amp;CHAR(34)&amp;" },"</f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3795</v>
      </c>
      <c r="C683" t="s">
        <v>2880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2770</v>
      </c>
      <c r="J683" t="str">
        <f>"{ name: "&amp;CHAR(34)&amp;B683&amp;CHAR(34)&amp;", landmark: "&amp;CHAR(34)&amp;IF(LEN(C683)=LEN(SUBSTITUTE(C683,"Transport","")),"Korok x1","Korok x2")&amp;CHAR(34)&amp;", type: "&amp;CHAR(34)&amp;C683&amp;CHAR(34)&amp;", region: "&amp;D683&amp;", level: "&amp;CHAR(34)&amp;E683&amp;CHAR(34)&amp;", x: "&amp;F683&amp;", y: "&amp;G683&amp;", z: "&amp;H683&amp;", details: "&amp;CHAR(34)&amp;I683&amp;CHAR(34)&amp;" },"</f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3801</v>
      </c>
      <c r="C684" t="s">
        <v>2875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>"{ name: "&amp;CHAR(34)&amp;B684&amp;CHAR(34)&amp;", landmark: "&amp;CHAR(34)&amp;IF(LEN(C684)=LEN(SUBSTITUTE(C684,"Transport","")),"Korok x1","Korok x2")&amp;CHAR(34)&amp;", type: "&amp;CHAR(34)&amp;C684&amp;CHAR(34)&amp;", region: "&amp;D684&amp;", level: "&amp;CHAR(34)&amp;E684&amp;CHAR(34)&amp;", x: "&amp;F684&amp;", y: "&amp;G684&amp;", z: "&amp;H684&amp;", details: "&amp;CHAR(34)&amp;I684&amp;CHAR(34)&amp;" },"</f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3802</v>
      </c>
      <c r="C685" t="s">
        <v>2891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>"{ name: "&amp;CHAR(34)&amp;B685&amp;CHAR(34)&amp;", landmark: "&amp;CHAR(34)&amp;IF(LEN(C685)=LEN(SUBSTITUTE(C685,"Transport","")),"Korok x1","Korok x2")&amp;CHAR(34)&amp;", type: "&amp;CHAR(34)&amp;C685&amp;CHAR(34)&amp;", region: "&amp;D685&amp;", level: "&amp;CHAR(34)&amp;E685&amp;CHAR(34)&amp;", x: "&amp;F685&amp;", y: "&amp;G685&amp;", z: "&amp;H685&amp;", details: "&amp;CHAR(34)&amp;I685&amp;CHAR(34)&amp;" },"</f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3831</v>
      </c>
      <c r="C686" t="s">
        <v>2877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>"{ name: "&amp;CHAR(34)&amp;B686&amp;CHAR(34)&amp;", landmark: "&amp;CHAR(34)&amp;IF(LEN(C686)=LEN(SUBSTITUTE(C686,"Transport","")),"Korok x1","Korok x2")&amp;CHAR(34)&amp;", type: "&amp;CHAR(34)&amp;C686&amp;CHAR(34)&amp;", region: "&amp;D686&amp;", level: "&amp;CHAR(34)&amp;E686&amp;CHAR(34)&amp;", x: "&amp;F686&amp;", y: "&amp;G686&amp;", z: "&amp;H686&amp;", details: "&amp;CHAR(34)&amp;I686&amp;CHAR(34)&amp;" },"</f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3863</v>
      </c>
      <c r="C687" t="s">
        <v>2865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2780</v>
      </c>
      <c r="J687" t="str">
        <f>"{ name: "&amp;CHAR(34)&amp;B687&amp;CHAR(34)&amp;", landmark: "&amp;CHAR(34)&amp;IF(LEN(C687)=LEN(SUBSTITUTE(C687,"Transport","")),"Korok x1","Korok x2")&amp;CHAR(34)&amp;", type: "&amp;CHAR(34)&amp;C687&amp;CHAR(34)&amp;", region: "&amp;D687&amp;", level: "&amp;CHAR(34)&amp;E687&amp;CHAR(34)&amp;", x: "&amp;F687&amp;", y: "&amp;G687&amp;", z: "&amp;H687&amp;", details: "&amp;CHAR(34)&amp;I687&amp;CHAR(34)&amp;" },"</f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3864</v>
      </c>
      <c r="C688" t="s">
        <v>2886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>"{ name: "&amp;CHAR(34)&amp;B688&amp;CHAR(34)&amp;", landmark: "&amp;CHAR(34)&amp;IF(LEN(C688)=LEN(SUBSTITUTE(C688,"Transport","")),"Korok x1","Korok x2")&amp;CHAR(34)&amp;", type: "&amp;CHAR(34)&amp;C688&amp;CHAR(34)&amp;", region: "&amp;D688&amp;", level: "&amp;CHAR(34)&amp;E688&amp;CHAR(34)&amp;", x: "&amp;F688&amp;", y: "&amp;G688&amp;", z: "&amp;H688&amp;", details: "&amp;CHAR(34)&amp;I688&amp;CHAR(34)&amp;" },"</f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3894</v>
      </c>
      <c r="C689" t="s">
        <v>2865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2771</v>
      </c>
      <c r="J689" t="str">
        <f>"{ name: "&amp;CHAR(34)&amp;B689&amp;CHAR(34)&amp;", landmark: "&amp;CHAR(34)&amp;IF(LEN(C689)=LEN(SUBSTITUTE(C689,"Transport","")),"Korok x1","Korok x2")&amp;CHAR(34)&amp;", type: "&amp;CHAR(34)&amp;C689&amp;CHAR(34)&amp;", region: "&amp;D689&amp;", level: "&amp;CHAR(34)&amp;E689&amp;CHAR(34)&amp;", x: "&amp;F689&amp;", y: "&amp;G689&amp;", z: "&amp;H689&amp;", details: "&amp;CHAR(34)&amp;I689&amp;CHAR(34)&amp;" },"</f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3913</v>
      </c>
      <c r="C690" t="s">
        <v>2867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>"{ name: "&amp;CHAR(34)&amp;B690&amp;CHAR(34)&amp;", landmark: "&amp;CHAR(34)&amp;IF(LEN(C690)=LEN(SUBSTITUTE(C690,"Transport","")),"Korok x1","Korok x2")&amp;CHAR(34)&amp;", type: "&amp;CHAR(34)&amp;C690&amp;CHAR(34)&amp;", region: "&amp;D690&amp;", level: "&amp;CHAR(34)&amp;E690&amp;CHAR(34)&amp;", x: "&amp;F690&amp;", y: "&amp;G690&amp;", z: "&amp;H690&amp;", details: "&amp;CHAR(34)&amp;I690&amp;CHAR(34)&amp;" },"</f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3988</v>
      </c>
      <c r="C691" t="s">
        <v>2888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>"{ name: "&amp;CHAR(34)&amp;B691&amp;CHAR(34)&amp;", landmark: "&amp;CHAR(34)&amp;IF(LEN(C691)=LEN(SUBSTITUTE(C691,"Transport","")),"Korok x1","Korok x2")&amp;CHAR(34)&amp;", type: "&amp;CHAR(34)&amp;C691&amp;CHAR(34)&amp;", region: "&amp;D691&amp;", level: "&amp;CHAR(34)&amp;E691&amp;CHAR(34)&amp;", x: "&amp;F691&amp;", y: "&amp;G691&amp;", z: "&amp;H691&amp;", details: "&amp;CHAR(34)&amp;I691&amp;CHAR(34)&amp;" },"</f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4021</v>
      </c>
      <c r="C692" t="s">
        <v>2864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>"{ name: "&amp;CHAR(34)&amp;B692&amp;CHAR(34)&amp;", landmark: "&amp;CHAR(34)&amp;IF(LEN(C692)=LEN(SUBSTITUTE(C692,"Transport","")),"Korok x1","Korok x2")&amp;CHAR(34)&amp;", type: "&amp;CHAR(34)&amp;C692&amp;CHAR(34)&amp;", region: "&amp;D692&amp;", level: "&amp;CHAR(34)&amp;E692&amp;CHAR(34)&amp;", x: "&amp;F692&amp;", y: "&amp;G692&amp;", z: "&amp;H692&amp;", details: "&amp;CHAR(34)&amp;I692&amp;CHAR(34)&amp;" },"</f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4022</v>
      </c>
      <c r="C693" t="s">
        <v>2872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>"{ name: "&amp;CHAR(34)&amp;B693&amp;CHAR(34)&amp;", landmark: "&amp;CHAR(34)&amp;IF(LEN(C693)=LEN(SUBSTITUTE(C693,"Transport","")),"Korok x1","Korok x2")&amp;CHAR(34)&amp;", type: "&amp;CHAR(34)&amp;C693&amp;CHAR(34)&amp;", region: "&amp;D693&amp;", level: "&amp;CHAR(34)&amp;E693&amp;CHAR(34)&amp;", x: "&amp;F693&amp;", y: "&amp;G693&amp;", z: "&amp;H693&amp;", details: "&amp;CHAR(34)&amp;I693&amp;CHAR(34)&amp;" },"</f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4025</v>
      </c>
      <c r="C694" t="s">
        <v>2879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>"{ name: "&amp;CHAR(34)&amp;B694&amp;CHAR(34)&amp;", landmark: "&amp;CHAR(34)&amp;IF(LEN(C694)=LEN(SUBSTITUTE(C694,"Transport","")),"Korok x1","Korok x2")&amp;CHAR(34)&amp;", type: "&amp;CHAR(34)&amp;C694&amp;CHAR(34)&amp;", region: "&amp;D694&amp;", level: "&amp;CHAR(34)&amp;E694&amp;CHAR(34)&amp;", x: "&amp;F694&amp;", y: "&amp;G694&amp;", z: "&amp;H694&amp;", details: "&amp;CHAR(34)&amp;I694&amp;CHAR(34)&amp;" },"</f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4062</v>
      </c>
      <c r="C695" t="s">
        <v>2888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>"{ name: "&amp;CHAR(34)&amp;B695&amp;CHAR(34)&amp;", landmark: "&amp;CHAR(34)&amp;IF(LEN(C695)=LEN(SUBSTITUTE(C695,"Transport","")),"Korok x1","Korok x2")&amp;CHAR(34)&amp;", type: "&amp;CHAR(34)&amp;C695&amp;CHAR(34)&amp;", region: "&amp;D695&amp;", level: "&amp;CHAR(34)&amp;E695&amp;CHAR(34)&amp;", x: "&amp;F695&amp;", y: "&amp;G695&amp;", z: "&amp;H695&amp;", details: "&amp;CHAR(34)&amp;I695&amp;CHAR(34)&amp;" },"</f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4071</v>
      </c>
      <c r="C696" t="s">
        <v>2880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2777</v>
      </c>
      <c r="J696" t="str">
        <f>"{ name: "&amp;CHAR(34)&amp;B696&amp;CHAR(34)&amp;", landmark: "&amp;CHAR(34)&amp;IF(LEN(C696)=LEN(SUBSTITUTE(C696,"Transport","")),"Korok x1","Korok x2")&amp;CHAR(34)&amp;", type: "&amp;CHAR(34)&amp;C696&amp;CHAR(34)&amp;", region: "&amp;D696&amp;", level: "&amp;CHAR(34)&amp;E696&amp;CHAR(34)&amp;", x: "&amp;F696&amp;", y: "&amp;G696&amp;", z: "&amp;H696&amp;", details: "&amp;CHAR(34)&amp;I696&amp;CHAR(34)&amp;" },"</f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4072</v>
      </c>
      <c r="C697" t="s">
        <v>2871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>"{ name: "&amp;CHAR(34)&amp;B697&amp;CHAR(34)&amp;", landmark: "&amp;CHAR(34)&amp;IF(LEN(C697)=LEN(SUBSTITUTE(C697,"Transport","")),"Korok x1","Korok x2")&amp;CHAR(34)&amp;", type: "&amp;CHAR(34)&amp;C697&amp;CHAR(34)&amp;", region: "&amp;D697&amp;", level: "&amp;CHAR(34)&amp;E697&amp;CHAR(34)&amp;", x: "&amp;F697&amp;", y: "&amp;G697&amp;", z: "&amp;H697&amp;", details: "&amp;CHAR(34)&amp;I697&amp;CHAR(34)&amp;" },"</f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4095</v>
      </c>
      <c r="C698" t="s">
        <v>2884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>"{ name: "&amp;CHAR(34)&amp;B698&amp;CHAR(34)&amp;", landmark: "&amp;CHAR(34)&amp;IF(LEN(C698)=LEN(SUBSTITUTE(C698,"Transport","")),"Korok x1","Korok x2")&amp;CHAR(34)&amp;", type: "&amp;CHAR(34)&amp;C698&amp;CHAR(34)&amp;", region: "&amp;D698&amp;", level: "&amp;CHAR(34)&amp;E698&amp;CHAR(34)&amp;", x: "&amp;F698&amp;", y: "&amp;G698&amp;", z: "&amp;H698&amp;", details: "&amp;CHAR(34)&amp;I698&amp;CHAR(34)&amp;" },"</f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4115</v>
      </c>
      <c r="C699" t="s">
        <v>2886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>"{ name: "&amp;CHAR(34)&amp;B699&amp;CHAR(34)&amp;", landmark: "&amp;CHAR(34)&amp;IF(LEN(C699)=LEN(SUBSTITUTE(C699,"Transport","")),"Korok x1","Korok x2")&amp;CHAR(34)&amp;", type: "&amp;CHAR(34)&amp;C699&amp;CHAR(34)&amp;", region: "&amp;D699&amp;", level: "&amp;CHAR(34)&amp;E699&amp;CHAR(34)&amp;", x: "&amp;F699&amp;", y: "&amp;G699&amp;", z: "&amp;H699&amp;", details: "&amp;CHAR(34)&amp;I699&amp;CHAR(34)&amp;" },"</f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3314</v>
      </c>
      <c r="C700" t="s">
        <v>2878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>"{ name: "&amp;CHAR(34)&amp;B700&amp;CHAR(34)&amp;", landmark: "&amp;CHAR(34)&amp;IF(LEN(C700)=LEN(SUBSTITUTE(C700,"Transport","")),"Korok x1","Korok x2")&amp;CHAR(34)&amp;", type: "&amp;CHAR(34)&amp;C700&amp;CHAR(34)&amp;", region: "&amp;D700&amp;", level: "&amp;CHAR(34)&amp;E700&amp;CHAR(34)&amp;", x: "&amp;F700&amp;", y: "&amp;G700&amp;", z: "&amp;H700&amp;", details: "&amp;CHAR(34)&amp;I700&amp;CHAR(34)&amp;" },"</f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3315</v>
      </c>
      <c r="C701" t="s">
        <v>2875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>"{ name: "&amp;CHAR(34)&amp;B701&amp;CHAR(34)&amp;", landmark: "&amp;CHAR(34)&amp;IF(LEN(C701)=LEN(SUBSTITUTE(C701,"Transport","")),"Korok x1","Korok x2")&amp;CHAR(34)&amp;", type: "&amp;CHAR(34)&amp;C701&amp;CHAR(34)&amp;", region: "&amp;D701&amp;", level: "&amp;CHAR(34)&amp;E701&amp;CHAR(34)&amp;", x: "&amp;F701&amp;", y: "&amp;G701&amp;", z: "&amp;H701&amp;", details: "&amp;CHAR(34)&amp;I701&amp;CHAR(34)&amp;" },"</f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3316</v>
      </c>
      <c r="C702" t="s">
        <v>2658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>"{ name: "&amp;CHAR(34)&amp;B702&amp;CHAR(34)&amp;", landmark: "&amp;CHAR(34)&amp;IF(LEN(C702)=LEN(SUBSTITUTE(C702,"Transport","")),"Korok x1","Korok x2")&amp;CHAR(34)&amp;", type: "&amp;CHAR(34)&amp;C702&amp;CHAR(34)&amp;", region: "&amp;D702&amp;", level: "&amp;CHAR(34)&amp;E702&amp;CHAR(34)&amp;", x: "&amp;F702&amp;", y: "&amp;G702&amp;", z: "&amp;H702&amp;", details: "&amp;CHAR(34)&amp;I702&amp;CHAR(34)&amp;" },"</f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3317</v>
      </c>
      <c r="C703" t="s">
        <v>2870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>"{ name: "&amp;CHAR(34)&amp;B703&amp;CHAR(34)&amp;", landmark: "&amp;CHAR(34)&amp;IF(LEN(C703)=LEN(SUBSTITUTE(C703,"Transport","")),"Korok x1","Korok x2")&amp;CHAR(34)&amp;", type: "&amp;CHAR(34)&amp;C703&amp;CHAR(34)&amp;", region: "&amp;D703&amp;", level: "&amp;CHAR(34)&amp;E703&amp;CHAR(34)&amp;", x: "&amp;F703&amp;", y: "&amp;G703&amp;", z: "&amp;H703&amp;", details: "&amp;CHAR(34)&amp;I703&amp;CHAR(34)&amp;" },"</f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3318</v>
      </c>
      <c r="C704" t="s">
        <v>2864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>"{ name: "&amp;CHAR(34)&amp;B704&amp;CHAR(34)&amp;", landmark: "&amp;CHAR(34)&amp;IF(LEN(C704)=LEN(SUBSTITUTE(C704,"Transport","")),"Korok x1","Korok x2")&amp;CHAR(34)&amp;", type: "&amp;CHAR(34)&amp;C704&amp;CHAR(34)&amp;", region: "&amp;D704&amp;", level: "&amp;CHAR(34)&amp;E704&amp;CHAR(34)&amp;", x: "&amp;F704&amp;", y: "&amp;G704&amp;", z: "&amp;H704&amp;", details: "&amp;CHAR(34)&amp;I704&amp;CHAR(34)&amp;" },"</f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3344</v>
      </c>
      <c r="C705" t="s">
        <v>2864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>"{ name: "&amp;CHAR(34)&amp;B705&amp;CHAR(34)&amp;", landmark: "&amp;CHAR(34)&amp;IF(LEN(C705)=LEN(SUBSTITUTE(C705,"Transport","")),"Korok x1","Korok x2")&amp;CHAR(34)&amp;", type: "&amp;CHAR(34)&amp;C705&amp;CHAR(34)&amp;", region: "&amp;D705&amp;", level: "&amp;CHAR(34)&amp;E705&amp;CHAR(34)&amp;", x: "&amp;F705&amp;", y: "&amp;G705&amp;", z: "&amp;H705&amp;", details: "&amp;CHAR(34)&amp;I705&amp;CHAR(34)&amp;" },"</f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3345</v>
      </c>
      <c r="C706" t="s">
        <v>2886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3346</v>
      </c>
      <c r="C707" t="s">
        <v>2880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2788</v>
      </c>
      <c r="J707" t="str">
        <f>"{ name: "&amp;CHAR(34)&amp;B707&amp;CHAR(34)&amp;", landmark: "&amp;CHAR(34)&amp;IF(LEN(C707)=LEN(SUBSTITUTE(C707,"Transport","")),"Korok x1","Korok x2")&amp;CHAR(34)&amp;", type: "&amp;CHAR(34)&amp;C707&amp;CHAR(34)&amp;", region: "&amp;D707&amp;", level: "&amp;CHAR(34)&amp;E707&amp;CHAR(34)&amp;", x: "&amp;F707&amp;", y: "&amp;G707&amp;", z: "&amp;H707&amp;", details: "&amp;CHAR(34)&amp;I707&amp;CHAR(34)&amp;" },"</f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3348</v>
      </c>
      <c r="C708" t="s">
        <v>2875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>"{ name: "&amp;CHAR(34)&amp;B708&amp;CHAR(34)&amp;", landmark: "&amp;CHAR(34)&amp;IF(LEN(C708)=LEN(SUBSTITUTE(C708,"Transport","")),"Korok x1","Korok x2")&amp;CHAR(34)&amp;", type: "&amp;CHAR(34)&amp;C708&amp;CHAR(34)&amp;", region: "&amp;D708&amp;", level: "&amp;CHAR(34)&amp;E708&amp;CHAR(34)&amp;", x: "&amp;F708&amp;", y: "&amp;G708&amp;", z: "&amp;H708&amp;", details: "&amp;CHAR(34)&amp;I708&amp;CHAR(34)&amp;" },"</f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3349</v>
      </c>
      <c r="C709" t="s">
        <v>2874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2863</v>
      </c>
      <c r="J709" t="str">
        <f>"{ name: "&amp;CHAR(34)&amp;B709&amp;CHAR(34)&amp;", landmark: "&amp;CHAR(34)&amp;IF(LEN(C709)=LEN(SUBSTITUTE(C709,"Transport","")),"Korok x1","Korok x2")&amp;CHAR(34)&amp;", type: "&amp;CHAR(34)&amp;C709&amp;CHAR(34)&amp;", region: "&amp;D709&amp;", level: "&amp;CHAR(34)&amp;E709&amp;CHAR(34)&amp;", x: "&amp;F709&amp;", y: "&amp;G709&amp;", z: "&amp;H709&amp;", details: "&amp;CHAR(34)&amp;I709&amp;CHAR(34)&amp;" },"</f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3369</v>
      </c>
      <c r="C710" t="s">
        <v>2874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2829</v>
      </c>
      <c r="J710" t="str">
        <f>"{ name: "&amp;CHAR(34)&amp;B710&amp;CHAR(34)&amp;", landmark: "&amp;CHAR(34)&amp;IF(LEN(C710)=LEN(SUBSTITUTE(C710,"Transport","")),"Korok x1","Korok x2")&amp;CHAR(34)&amp;", type: "&amp;CHAR(34)&amp;C710&amp;CHAR(34)&amp;", region: "&amp;D710&amp;", level: "&amp;CHAR(34)&amp;E710&amp;CHAR(34)&amp;", x: "&amp;F710&amp;", y: "&amp;G710&amp;", z: "&amp;H710&amp;", details: "&amp;CHAR(34)&amp;I710&amp;CHAR(34)&amp;" },"</f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3370</v>
      </c>
      <c r="C711" t="s">
        <v>2875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>"{ name: "&amp;CHAR(34)&amp;B711&amp;CHAR(34)&amp;", landmark: "&amp;CHAR(34)&amp;IF(LEN(C711)=LEN(SUBSTITUTE(C711,"Transport","")),"Korok x1","Korok x2")&amp;CHAR(34)&amp;", type: "&amp;CHAR(34)&amp;C711&amp;CHAR(34)&amp;", region: "&amp;D711&amp;", level: "&amp;CHAR(34)&amp;E711&amp;CHAR(34)&amp;", x: "&amp;F711&amp;", y: "&amp;G711&amp;", z: "&amp;H711&amp;", details: "&amp;CHAR(34)&amp;I711&amp;CHAR(34)&amp;" },"</f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3385</v>
      </c>
      <c r="C712" t="s">
        <v>2872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>"{ name: "&amp;CHAR(34)&amp;B712&amp;CHAR(34)&amp;", landmark: "&amp;CHAR(34)&amp;IF(LEN(C712)=LEN(SUBSTITUTE(C712,"Transport","")),"Korok x1","Korok x2")&amp;CHAR(34)&amp;", type: "&amp;CHAR(34)&amp;C712&amp;CHAR(34)&amp;", region: "&amp;D712&amp;", level: "&amp;CHAR(34)&amp;E712&amp;CHAR(34)&amp;", x: "&amp;F712&amp;", y: "&amp;G712&amp;", z: "&amp;H712&amp;", details: "&amp;CHAR(34)&amp;I712&amp;CHAR(34)&amp;" },"</f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3397</v>
      </c>
      <c r="C713" t="s">
        <v>2865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2790</v>
      </c>
      <c r="J713" t="str">
        <f>"{ name: "&amp;CHAR(34)&amp;B713&amp;CHAR(34)&amp;", landmark: "&amp;CHAR(34)&amp;IF(LEN(C713)=LEN(SUBSTITUTE(C713,"Transport","")),"Korok x1","Korok x2")&amp;CHAR(34)&amp;", type: "&amp;CHAR(34)&amp;C713&amp;CHAR(34)&amp;", region: "&amp;D713&amp;", level: "&amp;CHAR(34)&amp;E713&amp;CHAR(34)&amp;", x: "&amp;F713&amp;", y: "&amp;G713&amp;", z: "&amp;H713&amp;", details: "&amp;CHAR(34)&amp;I713&amp;CHAR(34)&amp;" },"</f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3398</v>
      </c>
      <c r="C714" t="s">
        <v>2867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>"{ name: "&amp;CHAR(34)&amp;B714&amp;CHAR(34)&amp;", landmark: "&amp;CHAR(34)&amp;IF(LEN(C714)=LEN(SUBSTITUTE(C714,"Transport","")),"Korok x1","Korok x2")&amp;CHAR(34)&amp;", type: "&amp;CHAR(34)&amp;C714&amp;CHAR(34)&amp;", region: "&amp;D714&amp;", level: "&amp;CHAR(34)&amp;E714&amp;CHAR(34)&amp;", x: "&amp;F714&amp;", y: "&amp;G714&amp;", z: "&amp;H714&amp;", details: "&amp;CHAR(34)&amp;I714&amp;CHAR(34)&amp;" },"</f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3399</v>
      </c>
      <c r="C715" t="s">
        <v>2887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>"{ name: "&amp;CHAR(34)&amp;B715&amp;CHAR(34)&amp;", landmark: "&amp;CHAR(34)&amp;IF(LEN(C715)=LEN(SUBSTITUTE(C715,"Transport","")),"Korok x1","Korok x2")&amp;CHAR(34)&amp;", type: "&amp;CHAR(34)&amp;C715&amp;CHAR(34)&amp;", region: "&amp;D715&amp;", level: "&amp;CHAR(34)&amp;E715&amp;CHAR(34)&amp;", x: "&amp;F715&amp;", y: "&amp;G715&amp;", z: "&amp;H715&amp;", details: "&amp;CHAR(34)&amp;I715&amp;CHAR(34)&amp;" },"</f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3406</v>
      </c>
      <c r="C716" t="s">
        <v>2872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>"{ name: "&amp;CHAR(34)&amp;B716&amp;CHAR(34)&amp;", landmark: "&amp;CHAR(34)&amp;IF(LEN(C716)=LEN(SUBSTITUTE(C716,"Transport","")),"Korok x1","Korok x2")&amp;CHAR(34)&amp;", type: "&amp;CHAR(34)&amp;C716&amp;CHAR(34)&amp;", region: "&amp;D716&amp;", level: "&amp;CHAR(34)&amp;E716&amp;CHAR(34)&amp;", x: "&amp;F716&amp;", y: "&amp;G716&amp;", z: "&amp;H716&amp;", details: "&amp;CHAR(34)&amp;I716&amp;CHAR(34)&amp;" },"</f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3418</v>
      </c>
      <c r="C717" t="s">
        <v>2880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2789</v>
      </c>
      <c r="J717" t="str">
        <f>"{ name: "&amp;CHAR(34)&amp;B717&amp;CHAR(34)&amp;", landmark: "&amp;CHAR(34)&amp;IF(LEN(C717)=LEN(SUBSTITUTE(C717,"Transport","")),"Korok x1","Korok x2")&amp;CHAR(34)&amp;", type: "&amp;CHAR(34)&amp;C717&amp;CHAR(34)&amp;", region: "&amp;D717&amp;", level: "&amp;CHAR(34)&amp;E717&amp;CHAR(34)&amp;", x: "&amp;F717&amp;", y: "&amp;G717&amp;", z: "&amp;H717&amp;", details: "&amp;CHAR(34)&amp;I717&amp;CHAR(34)&amp;" },"</f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3441</v>
      </c>
      <c r="C718" t="s">
        <v>2878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>"{ name: "&amp;CHAR(34)&amp;B718&amp;CHAR(34)&amp;", landmark: "&amp;CHAR(34)&amp;IF(LEN(C718)=LEN(SUBSTITUTE(C718,"Transport","")),"Korok x1","Korok x2")&amp;CHAR(34)&amp;", type: "&amp;CHAR(34)&amp;C718&amp;CHAR(34)&amp;", region: "&amp;D718&amp;", level: "&amp;CHAR(34)&amp;E718&amp;CHAR(34)&amp;", x: "&amp;F718&amp;", y: "&amp;G718&amp;", z: "&amp;H718&amp;", details: "&amp;CHAR(34)&amp;I718&amp;CHAR(34)&amp;" },"</f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3450</v>
      </c>
      <c r="C719" t="s">
        <v>2877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>"{ name: "&amp;CHAR(34)&amp;B719&amp;CHAR(34)&amp;", landmark: "&amp;CHAR(34)&amp;IF(LEN(C719)=LEN(SUBSTITUTE(C719,"Transport","")),"Korok x1","Korok x2")&amp;CHAR(34)&amp;", type: "&amp;CHAR(34)&amp;C719&amp;CHAR(34)&amp;", region: "&amp;D719&amp;", level: "&amp;CHAR(34)&amp;E719&amp;CHAR(34)&amp;", x: "&amp;F719&amp;", y: "&amp;G719&amp;", z: "&amp;H719&amp;", details: "&amp;CHAR(34)&amp;I719&amp;CHAR(34)&amp;" },"</f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3460</v>
      </c>
      <c r="C720" t="s">
        <v>2875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>"{ name: "&amp;CHAR(34)&amp;B720&amp;CHAR(34)&amp;", landmark: "&amp;CHAR(34)&amp;IF(LEN(C720)=LEN(SUBSTITUTE(C720,"Transport","")),"Korok x1","Korok x2")&amp;CHAR(34)&amp;", type: "&amp;CHAR(34)&amp;C720&amp;CHAR(34)&amp;", region: "&amp;D720&amp;", level: "&amp;CHAR(34)&amp;E720&amp;CHAR(34)&amp;", x: "&amp;F720&amp;", y: "&amp;G720&amp;", z: "&amp;H720&amp;", details: "&amp;CHAR(34)&amp;I720&amp;CHAR(34)&amp;" },"</f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3461</v>
      </c>
      <c r="C721" t="s">
        <v>2878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>"{ name: "&amp;CHAR(34)&amp;B721&amp;CHAR(34)&amp;", landmark: "&amp;CHAR(34)&amp;IF(LEN(C721)=LEN(SUBSTITUTE(C721,"Transport","")),"Korok x1","Korok x2")&amp;CHAR(34)&amp;", type: "&amp;CHAR(34)&amp;C721&amp;CHAR(34)&amp;", region: "&amp;D721&amp;", level: "&amp;CHAR(34)&amp;E721&amp;CHAR(34)&amp;", x: "&amp;F721&amp;", y: "&amp;G721&amp;", z: "&amp;H721&amp;", details: "&amp;CHAR(34)&amp;I721&amp;CHAR(34)&amp;" },"</f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3462</v>
      </c>
      <c r="C722" t="s">
        <v>2875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>"{ name: "&amp;CHAR(34)&amp;B722&amp;CHAR(34)&amp;", landmark: "&amp;CHAR(34)&amp;IF(LEN(C722)=LEN(SUBSTITUTE(C722,"Transport","")),"Korok x1","Korok x2")&amp;CHAR(34)&amp;", type: "&amp;CHAR(34)&amp;C722&amp;CHAR(34)&amp;", region: "&amp;D722&amp;", level: "&amp;CHAR(34)&amp;E722&amp;CHAR(34)&amp;", x: "&amp;F722&amp;", y: "&amp;G722&amp;", z: "&amp;H722&amp;", details: "&amp;CHAR(34)&amp;I722&amp;CHAR(34)&amp;" },"</f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3463</v>
      </c>
      <c r="C723" t="s">
        <v>2878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>"{ name: "&amp;CHAR(34)&amp;B723&amp;CHAR(34)&amp;", landmark: "&amp;CHAR(34)&amp;IF(LEN(C723)=LEN(SUBSTITUTE(C723,"Transport","")),"Korok x1","Korok x2")&amp;CHAR(34)&amp;", type: "&amp;CHAR(34)&amp;C723&amp;CHAR(34)&amp;", region: "&amp;D723&amp;", level: "&amp;CHAR(34)&amp;E723&amp;CHAR(34)&amp;", x: "&amp;F723&amp;", y: "&amp;G723&amp;", z: "&amp;H723&amp;", details: "&amp;CHAR(34)&amp;I723&amp;CHAR(34)&amp;" },"</f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3464</v>
      </c>
      <c r="C724" t="s">
        <v>2878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>"{ name: "&amp;CHAR(34)&amp;B724&amp;CHAR(34)&amp;", landmark: "&amp;CHAR(34)&amp;IF(LEN(C724)=LEN(SUBSTITUTE(C724,"Transport","")),"Korok x1","Korok x2")&amp;CHAR(34)&amp;", type: "&amp;CHAR(34)&amp;C724&amp;CHAR(34)&amp;", region: "&amp;D724&amp;", level: "&amp;CHAR(34)&amp;E724&amp;CHAR(34)&amp;", x: "&amp;F724&amp;", y: "&amp;G724&amp;", z: "&amp;H724&amp;", details: "&amp;CHAR(34)&amp;I724&amp;CHAR(34)&amp;" },"</f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3469</v>
      </c>
      <c r="C725" t="s">
        <v>2875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>"{ name: "&amp;CHAR(34)&amp;B725&amp;CHAR(34)&amp;", landmark: "&amp;CHAR(34)&amp;IF(LEN(C725)=LEN(SUBSTITUTE(C725,"Transport","")),"Korok x1","Korok x2")&amp;CHAR(34)&amp;", type: "&amp;CHAR(34)&amp;C725&amp;CHAR(34)&amp;", region: "&amp;D725&amp;", level: "&amp;CHAR(34)&amp;E725&amp;CHAR(34)&amp;", x: "&amp;F725&amp;", y: "&amp;G725&amp;", z: "&amp;H725&amp;", details: "&amp;CHAR(34)&amp;I725&amp;CHAR(34)&amp;" },"</f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3470</v>
      </c>
      <c r="C726" t="s">
        <v>2870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>"{ name: "&amp;CHAR(34)&amp;B726&amp;CHAR(34)&amp;", landmark: "&amp;CHAR(34)&amp;IF(LEN(C726)=LEN(SUBSTITUTE(C726,"Transport","")),"Korok x1","Korok x2")&amp;CHAR(34)&amp;", type: "&amp;CHAR(34)&amp;C726&amp;CHAR(34)&amp;", region: "&amp;D726&amp;", level: "&amp;CHAR(34)&amp;E726&amp;CHAR(34)&amp;", x: "&amp;F726&amp;", y: "&amp;G726&amp;", z: "&amp;H726&amp;", details: "&amp;CHAR(34)&amp;I726&amp;CHAR(34)&amp;" },"</f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3471</v>
      </c>
      <c r="C727" t="s">
        <v>2870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>"{ name: "&amp;CHAR(34)&amp;B727&amp;CHAR(34)&amp;", landmark: "&amp;CHAR(34)&amp;IF(LEN(C727)=LEN(SUBSTITUTE(C727,"Transport","")),"Korok x1","Korok x2")&amp;CHAR(34)&amp;", type: "&amp;CHAR(34)&amp;C727&amp;CHAR(34)&amp;", region: "&amp;D727&amp;", level: "&amp;CHAR(34)&amp;E727&amp;CHAR(34)&amp;", x: "&amp;F727&amp;", y: "&amp;G727&amp;", z: "&amp;H727&amp;", details: "&amp;CHAR(34)&amp;I727&amp;CHAR(34)&amp;" },"</f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3555</v>
      </c>
      <c r="C728" t="s">
        <v>2884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>"{ name: "&amp;CHAR(34)&amp;B728&amp;CHAR(34)&amp;", landmark: "&amp;CHAR(34)&amp;IF(LEN(C728)=LEN(SUBSTITUTE(C728,"Transport","")),"Korok x1","Korok x2")&amp;CHAR(34)&amp;", type: "&amp;CHAR(34)&amp;C728&amp;CHAR(34)&amp;", region: "&amp;D728&amp;", level: "&amp;CHAR(34)&amp;E728&amp;CHAR(34)&amp;", x: "&amp;F728&amp;", y: "&amp;G728&amp;", z: "&amp;H728&amp;", details: "&amp;CHAR(34)&amp;I728&amp;CHAR(34)&amp;" },"</f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3556</v>
      </c>
      <c r="C729" t="s">
        <v>2886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>"{ name: "&amp;CHAR(34)&amp;B729&amp;CHAR(34)&amp;", landmark: "&amp;CHAR(34)&amp;IF(LEN(C729)=LEN(SUBSTITUTE(C729,"Transport","")),"Korok x1","Korok x2")&amp;CHAR(34)&amp;", type: "&amp;CHAR(34)&amp;C729&amp;CHAR(34)&amp;", region: "&amp;D729&amp;", level: "&amp;CHAR(34)&amp;E729&amp;CHAR(34)&amp;", x: "&amp;F729&amp;", y: "&amp;G729&amp;", z: "&amp;H729&amp;", details: "&amp;CHAR(34)&amp;I729&amp;CHAR(34)&amp;" },"</f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3589</v>
      </c>
      <c r="C730" t="s">
        <v>2865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2720</v>
      </c>
      <c r="J730" t="str">
        <f>"{ name: "&amp;CHAR(34)&amp;B730&amp;CHAR(34)&amp;", landmark: "&amp;CHAR(34)&amp;IF(LEN(C730)=LEN(SUBSTITUTE(C730,"Transport","")),"Korok x1","Korok x2")&amp;CHAR(34)&amp;", type: "&amp;CHAR(34)&amp;C730&amp;CHAR(34)&amp;", region: "&amp;D730&amp;", level: "&amp;CHAR(34)&amp;E730&amp;CHAR(34)&amp;", x: "&amp;F730&amp;", y: "&amp;G730&amp;", z: "&amp;H730&amp;", details: "&amp;CHAR(34)&amp;I730&amp;CHAR(34)&amp;" },"</f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3590</v>
      </c>
      <c r="C731" t="s">
        <v>2658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>"{ name: "&amp;CHAR(34)&amp;B731&amp;CHAR(34)&amp;", landmark: "&amp;CHAR(34)&amp;IF(LEN(C731)=LEN(SUBSTITUTE(C731,"Transport","")),"Korok x1","Korok x2")&amp;CHAR(34)&amp;", type: "&amp;CHAR(34)&amp;C731&amp;CHAR(34)&amp;", region: "&amp;D731&amp;", level: "&amp;CHAR(34)&amp;E731&amp;CHAR(34)&amp;", x: "&amp;F731&amp;", y: "&amp;G731&amp;", z: "&amp;H731&amp;", details: "&amp;CHAR(34)&amp;I731&amp;CHAR(34)&amp;" },"</f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3591</v>
      </c>
      <c r="C732" t="s">
        <v>2874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2858</v>
      </c>
      <c r="J732" t="str">
        <f>"{ name: "&amp;CHAR(34)&amp;B732&amp;CHAR(34)&amp;", landmark: "&amp;CHAR(34)&amp;IF(LEN(C732)=LEN(SUBSTITUTE(C732,"Transport","")),"Korok x1","Korok x2")&amp;CHAR(34)&amp;", type: "&amp;CHAR(34)&amp;C732&amp;CHAR(34)&amp;", region: "&amp;D732&amp;", level: "&amp;CHAR(34)&amp;E732&amp;CHAR(34)&amp;", x: "&amp;F732&amp;", y: "&amp;G732&amp;", z: "&amp;H732&amp;", details: "&amp;CHAR(34)&amp;I732&amp;CHAR(34)&amp;" },"</f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3592</v>
      </c>
      <c r="C733" t="s">
        <v>2877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>"{ name: "&amp;CHAR(34)&amp;B733&amp;CHAR(34)&amp;", landmark: "&amp;CHAR(34)&amp;IF(LEN(C733)=LEN(SUBSTITUTE(C733,"Transport","")),"Korok x1","Korok x2")&amp;CHAR(34)&amp;", type: "&amp;CHAR(34)&amp;C733&amp;CHAR(34)&amp;", region: "&amp;D733&amp;", level: "&amp;CHAR(34)&amp;E733&amp;CHAR(34)&amp;", x: "&amp;F733&amp;", y: "&amp;G733&amp;", z: "&amp;H733&amp;", details: "&amp;CHAR(34)&amp;I733&amp;CHAR(34)&amp;" },"</f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3593</v>
      </c>
      <c r="C734" t="s">
        <v>2874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2861</v>
      </c>
      <c r="J734" t="str">
        <f>"{ name: "&amp;CHAR(34)&amp;B734&amp;CHAR(34)&amp;", landmark: "&amp;CHAR(34)&amp;IF(LEN(C734)=LEN(SUBSTITUTE(C734,"Transport","")),"Korok x1","Korok x2")&amp;CHAR(34)&amp;", type: "&amp;CHAR(34)&amp;C734&amp;CHAR(34)&amp;", region: "&amp;D734&amp;", level: "&amp;CHAR(34)&amp;E734&amp;CHAR(34)&amp;", x: "&amp;F734&amp;", y: "&amp;G734&amp;", z: "&amp;H734&amp;", details: "&amp;CHAR(34)&amp;I734&amp;CHAR(34)&amp;" },"</f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3595</v>
      </c>
      <c r="C735" t="s">
        <v>2872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>"{ name: "&amp;CHAR(34)&amp;B735&amp;CHAR(34)&amp;", landmark: "&amp;CHAR(34)&amp;IF(LEN(C735)=LEN(SUBSTITUTE(C735,"Transport","")),"Korok x1","Korok x2")&amp;CHAR(34)&amp;", type: "&amp;CHAR(34)&amp;C735&amp;CHAR(34)&amp;", region: "&amp;D735&amp;", level: "&amp;CHAR(34)&amp;E735&amp;CHAR(34)&amp;", x: "&amp;F735&amp;", y: "&amp;G735&amp;", z: "&amp;H735&amp;", details: "&amp;CHAR(34)&amp;I735&amp;CHAR(34)&amp;" },"</f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3596</v>
      </c>
      <c r="C736" t="s">
        <v>2865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2685</v>
      </c>
      <c r="J736" t="str">
        <f>"{ name: "&amp;CHAR(34)&amp;B736&amp;CHAR(34)&amp;", landmark: "&amp;CHAR(34)&amp;IF(LEN(C736)=LEN(SUBSTITUTE(C736,"Transport","")),"Korok x1","Korok x2")&amp;CHAR(34)&amp;", type: "&amp;CHAR(34)&amp;C736&amp;CHAR(34)&amp;", region: "&amp;D736&amp;", level: "&amp;CHAR(34)&amp;E736&amp;CHAR(34)&amp;", x: "&amp;F736&amp;", y: "&amp;G736&amp;", z: "&amp;H736&amp;", details: "&amp;CHAR(34)&amp;I736&amp;CHAR(34)&amp;" },"</f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3597</v>
      </c>
      <c r="C737" t="s">
        <v>2888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>"{ name: "&amp;CHAR(34)&amp;B737&amp;CHAR(34)&amp;", landmark: "&amp;CHAR(34)&amp;IF(LEN(C737)=LEN(SUBSTITUTE(C737,"Transport","")),"Korok x1","Korok x2")&amp;CHAR(34)&amp;", type: "&amp;CHAR(34)&amp;C737&amp;CHAR(34)&amp;", region: "&amp;D737&amp;", level: "&amp;CHAR(34)&amp;E737&amp;CHAR(34)&amp;", x: "&amp;F737&amp;", y: "&amp;G737&amp;", z: "&amp;H737&amp;", details: "&amp;CHAR(34)&amp;I737&amp;CHAR(34)&amp;" },"</f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3603</v>
      </c>
      <c r="C738" t="s">
        <v>2882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>"{ name: "&amp;CHAR(34)&amp;B738&amp;CHAR(34)&amp;", landmark: "&amp;CHAR(34)&amp;IF(LEN(C738)=LEN(SUBSTITUTE(C738,"Transport","")),"Korok x1","Korok x2")&amp;CHAR(34)&amp;", type: "&amp;CHAR(34)&amp;C738&amp;CHAR(34)&amp;", region: "&amp;D738&amp;", level: "&amp;CHAR(34)&amp;E738&amp;CHAR(34)&amp;", x: "&amp;F738&amp;", y: "&amp;G738&amp;", z: "&amp;H738&amp;", details: "&amp;CHAR(34)&amp;I738&amp;CHAR(34)&amp;" },"</f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3633</v>
      </c>
      <c r="C739" t="s">
        <v>2874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2830</v>
      </c>
      <c r="J739" t="str">
        <f>"{ name: "&amp;CHAR(34)&amp;B739&amp;CHAR(34)&amp;", landmark: "&amp;CHAR(34)&amp;IF(LEN(C739)=LEN(SUBSTITUTE(C739,"Transport","")),"Korok x1","Korok x2")&amp;CHAR(34)&amp;", type: "&amp;CHAR(34)&amp;C739&amp;CHAR(34)&amp;", region: "&amp;D739&amp;", level: "&amp;CHAR(34)&amp;E739&amp;CHAR(34)&amp;", x: "&amp;F739&amp;", y: "&amp;G739&amp;", z: "&amp;H739&amp;", details: "&amp;CHAR(34)&amp;I739&amp;CHAR(34)&amp;" },"</f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3653</v>
      </c>
      <c r="C740" t="s">
        <v>2871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>"{ name: "&amp;CHAR(34)&amp;B740&amp;CHAR(34)&amp;", landmark: "&amp;CHAR(34)&amp;IF(LEN(C740)=LEN(SUBSTITUTE(C740,"Transport","")),"Korok x1","Korok x2")&amp;CHAR(34)&amp;", type: "&amp;CHAR(34)&amp;C740&amp;CHAR(34)&amp;", region: "&amp;D740&amp;", level: "&amp;CHAR(34)&amp;E740&amp;CHAR(34)&amp;", x: "&amp;F740&amp;", y: "&amp;G740&amp;", z: "&amp;H740&amp;", details: "&amp;CHAR(34)&amp;I740&amp;CHAR(34)&amp;" },"</f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3654</v>
      </c>
      <c r="C741" t="s">
        <v>2658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>"{ name: "&amp;CHAR(34)&amp;B741&amp;CHAR(34)&amp;", landmark: "&amp;CHAR(34)&amp;IF(LEN(C741)=LEN(SUBSTITUTE(C741,"Transport","")),"Korok x1","Korok x2")&amp;CHAR(34)&amp;", type: "&amp;CHAR(34)&amp;C741&amp;CHAR(34)&amp;", region: "&amp;D741&amp;", level: "&amp;CHAR(34)&amp;E741&amp;CHAR(34)&amp;", x: "&amp;F741&amp;", y: "&amp;G741&amp;", z: "&amp;H741&amp;", details: "&amp;CHAR(34)&amp;I741&amp;CHAR(34)&amp;" },"</f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3667</v>
      </c>
      <c r="C742" t="s">
        <v>2870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>"{ name: "&amp;CHAR(34)&amp;B742&amp;CHAR(34)&amp;", landmark: "&amp;CHAR(34)&amp;IF(LEN(C742)=LEN(SUBSTITUTE(C742,"Transport","")),"Korok x1","Korok x2")&amp;CHAR(34)&amp;", type: "&amp;CHAR(34)&amp;C742&amp;CHAR(34)&amp;", region: "&amp;D742&amp;", level: "&amp;CHAR(34)&amp;E742&amp;CHAR(34)&amp;", x: "&amp;F742&amp;", y: "&amp;G742&amp;", z: "&amp;H742&amp;", details: "&amp;CHAR(34)&amp;I742&amp;CHAR(34)&amp;" },"</f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3673</v>
      </c>
      <c r="C743" t="s">
        <v>2886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>"{ name: "&amp;CHAR(34)&amp;B743&amp;CHAR(34)&amp;", landmark: "&amp;CHAR(34)&amp;IF(LEN(C743)=LEN(SUBSTITUTE(C743,"Transport","")),"Korok x1","Korok x2")&amp;CHAR(34)&amp;", type: "&amp;CHAR(34)&amp;C743&amp;CHAR(34)&amp;", region: "&amp;D743&amp;", level: "&amp;CHAR(34)&amp;E743&amp;CHAR(34)&amp;", x: "&amp;F743&amp;", y: "&amp;G743&amp;", z: "&amp;H743&amp;", details: "&amp;CHAR(34)&amp;I743&amp;CHAR(34)&amp;" },"</f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3676</v>
      </c>
      <c r="C744" t="s">
        <v>2888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>"{ name: "&amp;CHAR(34)&amp;B744&amp;CHAR(34)&amp;", landmark: "&amp;CHAR(34)&amp;IF(LEN(C744)=LEN(SUBSTITUTE(C744,"Transport","")),"Korok x1","Korok x2")&amp;CHAR(34)&amp;", type: "&amp;CHAR(34)&amp;C744&amp;CHAR(34)&amp;", region: "&amp;D744&amp;", level: "&amp;CHAR(34)&amp;E744&amp;CHAR(34)&amp;", x: "&amp;F744&amp;", y: "&amp;G744&amp;", z: "&amp;H744&amp;", details: "&amp;CHAR(34)&amp;I744&amp;CHAR(34)&amp;" },"</f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3677</v>
      </c>
      <c r="C745" t="s">
        <v>2870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>"{ name: "&amp;CHAR(34)&amp;B745&amp;CHAR(34)&amp;", landmark: "&amp;CHAR(34)&amp;IF(LEN(C745)=LEN(SUBSTITUTE(C745,"Transport","")),"Korok x1","Korok x2")&amp;CHAR(34)&amp;", type: "&amp;CHAR(34)&amp;C745&amp;CHAR(34)&amp;", region: "&amp;D745&amp;", level: "&amp;CHAR(34)&amp;E745&amp;CHAR(34)&amp;", x: "&amp;F745&amp;", y: "&amp;G745&amp;", z: "&amp;H745&amp;", details: "&amp;CHAR(34)&amp;I745&amp;CHAR(34)&amp;" },"</f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3678</v>
      </c>
      <c r="C746" t="s">
        <v>2884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>"{ name: "&amp;CHAR(34)&amp;B746&amp;CHAR(34)&amp;", landmark: "&amp;CHAR(34)&amp;IF(LEN(C746)=LEN(SUBSTITUTE(C746,"Transport","")),"Korok x1","Korok x2")&amp;CHAR(34)&amp;", type: "&amp;CHAR(34)&amp;C746&amp;CHAR(34)&amp;", region: "&amp;D746&amp;", level: "&amp;CHAR(34)&amp;E746&amp;CHAR(34)&amp;", x: "&amp;F746&amp;", y: "&amp;G746&amp;", z: "&amp;H746&amp;", details: "&amp;CHAR(34)&amp;I746&amp;CHAR(34)&amp;" },"</f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3680</v>
      </c>
      <c r="C747" t="s">
        <v>2875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>"{ name: "&amp;CHAR(34)&amp;B747&amp;CHAR(34)&amp;", landmark: "&amp;CHAR(34)&amp;IF(LEN(C747)=LEN(SUBSTITUTE(C747,"Transport","")),"Korok x1","Korok x2")&amp;CHAR(34)&amp;", type: "&amp;CHAR(34)&amp;C747&amp;CHAR(34)&amp;", region: "&amp;D747&amp;", level: "&amp;CHAR(34)&amp;E747&amp;CHAR(34)&amp;", x: "&amp;F747&amp;", y: "&amp;G747&amp;", z: "&amp;H747&amp;", details: "&amp;CHAR(34)&amp;I747&amp;CHAR(34)&amp;" },"</f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3706</v>
      </c>
      <c r="C748" t="s">
        <v>2865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2792</v>
      </c>
      <c r="J748" t="str">
        <f>"{ name: "&amp;CHAR(34)&amp;B748&amp;CHAR(34)&amp;", landmark: "&amp;CHAR(34)&amp;IF(LEN(C748)=LEN(SUBSTITUTE(C748,"Transport","")),"Korok x1","Korok x2")&amp;CHAR(34)&amp;", type: "&amp;CHAR(34)&amp;C748&amp;CHAR(34)&amp;", region: "&amp;D748&amp;", level: "&amp;CHAR(34)&amp;E748&amp;CHAR(34)&amp;", x: "&amp;F748&amp;", y: "&amp;G748&amp;", z: "&amp;H748&amp;", details: "&amp;CHAR(34)&amp;I748&amp;CHAR(34)&amp;" },"</f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3722</v>
      </c>
      <c r="C749" t="s">
        <v>2886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>"{ name: "&amp;CHAR(34)&amp;B749&amp;CHAR(34)&amp;", landmark: "&amp;CHAR(34)&amp;IF(LEN(C749)=LEN(SUBSTITUTE(C749,"Transport","")),"Korok x1","Korok x2")&amp;CHAR(34)&amp;", type: "&amp;CHAR(34)&amp;C749&amp;CHAR(34)&amp;", region: "&amp;D749&amp;", level: "&amp;CHAR(34)&amp;E749&amp;CHAR(34)&amp;", x: "&amp;F749&amp;", y: "&amp;G749&amp;", z: "&amp;H749&amp;", details: "&amp;CHAR(34)&amp;I749&amp;CHAR(34)&amp;" },"</f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3754</v>
      </c>
      <c r="C750" t="s">
        <v>2875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>"{ name: "&amp;CHAR(34)&amp;B750&amp;CHAR(34)&amp;", landmark: "&amp;CHAR(34)&amp;IF(LEN(C750)=LEN(SUBSTITUTE(C750,"Transport","")),"Korok x1","Korok x2")&amp;CHAR(34)&amp;", type: "&amp;CHAR(34)&amp;C750&amp;CHAR(34)&amp;", region: "&amp;D750&amp;", level: "&amp;CHAR(34)&amp;E750&amp;CHAR(34)&amp;", x: "&amp;F750&amp;", y: "&amp;G750&amp;", z: "&amp;H750&amp;", details: "&amp;CHAR(34)&amp;I750&amp;CHAR(34)&amp;" },"</f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3755</v>
      </c>
      <c r="C751" t="s">
        <v>2865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2776</v>
      </c>
      <c r="J751" t="str">
        <f>"{ name: "&amp;CHAR(34)&amp;B751&amp;CHAR(34)&amp;", landmark: "&amp;CHAR(34)&amp;IF(LEN(C751)=LEN(SUBSTITUTE(C751,"Transport","")),"Korok x1","Korok x2")&amp;CHAR(34)&amp;", type: "&amp;CHAR(34)&amp;C751&amp;CHAR(34)&amp;", region: "&amp;D751&amp;", level: "&amp;CHAR(34)&amp;E751&amp;CHAR(34)&amp;", x: "&amp;F751&amp;", y: "&amp;G751&amp;", z: "&amp;H751&amp;", details: "&amp;CHAR(34)&amp;I751&amp;CHAR(34)&amp;" },"</f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3760</v>
      </c>
      <c r="C752" t="s">
        <v>2872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>"{ name: "&amp;CHAR(34)&amp;B752&amp;CHAR(34)&amp;", landmark: "&amp;CHAR(34)&amp;IF(LEN(C752)=LEN(SUBSTITUTE(C752,"Transport","")),"Korok x1","Korok x2")&amp;CHAR(34)&amp;", type: "&amp;CHAR(34)&amp;C752&amp;CHAR(34)&amp;", region: "&amp;D752&amp;", level: "&amp;CHAR(34)&amp;E752&amp;CHAR(34)&amp;", x: "&amp;F752&amp;", y: "&amp;G752&amp;", z: "&amp;H752&amp;", details: "&amp;CHAR(34)&amp;I752&amp;CHAR(34)&amp;" },"</f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3778</v>
      </c>
      <c r="C753" t="s">
        <v>2871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>"{ name: "&amp;CHAR(34)&amp;B753&amp;CHAR(34)&amp;", landmark: "&amp;CHAR(34)&amp;IF(LEN(C753)=LEN(SUBSTITUTE(C753,"Transport","")),"Korok x1","Korok x2")&amp;CHAR(34)&amp;", type: "&amp;CHAR(34)&amp;C753&amp;CHAR(34)&amp;", region: "&amp;D753&amp;", level: "&amp;CHAR(34)&amp;E753&amp;CHAR(34)&amp;", x: "&amp;F753&amp;", y: "&amp;G753&amp;", z: "&amp;H753&amp;", details: "&amp;CHAR(34)&amp;I753&amp;CHAR(34)&amp;" },"</f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3783</v>
      </c>
      <c r="C754" t="s">
        <v>2867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>"{ name: "&amp;CHAR(34)&amp;B754&amp;CHAR(34)&amp;", landmark: "&amp;CHAR(34)&amp;IF(LEN(C754)=LEN(SUBSTITUTE(C754,"Transport","")),"Korok x1","Korok x2")&amp;CHAR(34)&amp;", type: "&amp;CHAR(34)&amp;C754&amp;CHAR(34)&amp;", region: "&amp;D754&amp;", level: "&amp;CHAR(34)&amp;E754&amp;CHAR(34)&amp;", x: "&amp;F754&amp;", y: "&amp;G754&amp;", z: "&amp;H754&amp;", details: "&amp;CHAR(34)&amp;I754&amp;CHAR(34)&amp;" },"</f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3798</v>
      </c>
      <c r="C755" t="s">
        <v>2872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>"{ name: "&amp;CHAR(34)&amp;B755&amp;CHAR(34)&amp;", landmark: "&amp;CHAR(34)&amp;IF(LEN(C755)=LEN(SUBSTITUTE(C755,"Transport","")),"Korok x1","Korok x2")&amp;CHAR(34)&amp;", type: "&amp;CHAR(34)&amp;C755&amp;CHAR(34)&amp;", region: "&amp;D755&amp;", level: "&amp;CHAR(34)&amp;E755&amp;CHAR(34)&amp;", x: "&amp;F755&amp;", y: "&amp;G755&amp;", z: "&amp;H755&amp;", details: "&amp;CHAR(34)&amp;I755&amp;CHAR(34)&amp;" },"</f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3799</v>
      </c>
      <c r="C756" t="s">
        <v>2880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2785</v>
      </c>
      <c r="J756" t="str">
        <f>"{ name: "&amp;CHAR(34)&amp;B756&amp;CHAR(34)&amp;", landmark: "&amp;CHAR(34)&amp;IF(LEN(C756)=LEN(SUBSTITUTE(C756,"Transport","")),"Korok x1","Korok x2")&amp;CHAR(34)&amp;", type: "&amp;CHAR(34)&amp;C756&amp;CHAR(34)&amp;", region: "&amp;D756&amp;", level: "&amp;CHAR(34)&amp;E756&amp;CHAR(34)&amp;", x: "&amp;F756&amp;", y: "&amp;G756&amp;", z: "&amp;H756&amp;", details: "&amp;CHAR(34)&amp;I756&amp;CHAR(34)&amp;" },"</f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3807</v>
      </c>
      <c r="C757" t="s">
        <v>2865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2719</v>
      </c>
      <c r="J757" t="str">
        <f>"{ name: "&amp;CHAR(34)&amp;B757&amp;CHAR(34)&amp;", landmark: "&amp;CHAR(34)&amp;IF(LEN(C757)=LEN(SUBSTITUTE(C757,"Transport","")),"Korok x1","Korok x2")&amp;CHAR(34)&amp;", type: "&amp;CHAR(34)&amp;C757&amp;CHAR(34)&amp;", region: "&amp;D757&amp;", level: "&amp;CHAR(34)&amp;E757&amp;CHAR(34)&amp;", x: "&amp;F757&amp;", y: "&amp;G757&amp;", z: "&amp;H757&amp;", details: "&amp;CHAR(34)&amp;I757&amp;CHAR(34)&amp;" },"</f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3808</v>
      </c>
      <c r="C758" t="s">
        <v>2878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>"{ name: "&amp;CHAR(34)&amp;B758&amp;CHAR(34)&amp;", landmark: "&amp;CHAR(34)&amp;IF(LEN(C758)=LEN(SUBSTITUTE(C758,"Transport","")),"Korok x1","Korok x2")&amp;CHAR(34)&amp;", type: "&amp;CHAR(34)&amp;C758&amp;CHAR(34)&amp;", region: "&amp;D758&amp;", level: "&amp;CHAR(34)&amp;E758&amp;CHAR(34)&amp;", x: "&amp;F758&amp;", y: "&amp;G758&amp;", z: "&amp;H758&amp;", details: "&amp;CHAR(34)&amp;I758&amp;CHAR(34)&amp;" },"</f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3809</v>
      </c>
      <c r="C759" t="s">
        <v>2878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>"{ name: "&amp;CHAR(34)&amp;B759&amp;CHAR(34)&amp;", landmark: "&amp;CHAR(34)&amp;IF(LEN(C759)=LEN(SUBSTITUTE(C759,"Transport","")),"Korok x1","Korok x2")&amp;CHAR(34)&amp;", type: "&amp;CHAR(34)&amp;C759&amp;CHAR(34)&amp;", region: "&amp;D759&amp;", level: "&amp;CHAR(34)&amp;E759&amp;CHAR(34)&amp;", x: "&amp;F759&amp;", y: "&amp;G759&amp;", z: "&amp;H759&amp;", details: "&amp;CHAR(34)&amp;I759&amp;CHAR(34)&amp;" },"</f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3848</v>
      </c>
      <c r="C760" t="s">
        <v>2864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>"{ name: "&amp;CHAR(34)&amp;B760&amp;CHAR(34)&amp;", landmark: "&amp;CHAR(34)&amp;IF(LEN(C760)=LEN(SUBSTITUTE(C760,"Transport","")),"Korok x1","Korok x2")&amp;CHAR(34)&amp;", type: "&amp;CHAR(34)&amp;C760&amp;CHAR(34)&amp;", region: "&amp;D760&amp;", level: "&amp;CHAR(34)&amp;E760&amp;CHAR(34)&amp;", x: "&amp;F760&amp;", y: "&amp;G760&amp;", z: "&amp;H760&amp;", details: "&amp;CHAR(34)&amp;I760&amp;CHAR(34)&amp;" },"</f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3866</v>
      </c>
      <c r="C761" t="s">
        <v>2887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>"{ name: "&amp;CHAR(34)&amp;B761&amp;CHAR(34)&amp;", landmark: "&amp;CHAR(34)&amp;IF(LEN(C761)=LEN(SUBSTITUTE(C761,"Transport","")),"Korok x1","Korok x2")&amp;CHAR(34)&amp;", type: "&amp;CHAR(34)&amp;C761&amp;CHAR(34)&amp;", region: "&amp;D761&amp;", level: "&amp;CHAR(34)&amp;E761&amp;CHAR(34)&amp;", x: "&amp;F761&amp;", y: "&amp;G761&amp;", z: "&amp;H761&amp;", details: "&amp;CHAR(34)&amp;I761&amp;CHAR(34)&amp;" },"</f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3867</v>
      </c>
      <c r="C762" t="s">
        <v>2865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2717</v>
      </c>
      <c r="J762" t="str">
        <f>"{ name: "&amp;CHAR(34)&amp;B762&amp;CHAR(34)&amp;", landmark: "&amp;CHAR(34)&amp;IF(LEN(C762)=LEN(SUBSTITUTE(C762,"Transport","")),"Korok x1","Korok x2")&amp;CHAR(34)&amp;", type: "&amp;CHAR(34)&amp;C762&amp;CHAR(34)&amp;", region: "&amp;D762&amp;", level: "&amp;CHAR(34)&amp;E762&amp;CHAR(34)&amp;", x: "&amp;F762&amp;", y: "&amp;G762&amp;", z: "&amp;H762&amp;", details: "&amp;CHAR(34)&amp;I762&amp;CHAR(34)&amp;" },"</f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3868</v>
      </c>
      <c r="C763" t="s">
        <v>2875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>"{ name: "&amp;CHAR(34)&amp;B763&amp;CHAR(34)&amp;", landmark: "&amp;CHAR(34)&amp;IF(LEN(C763)=LEN(SUBSTITUTE(C763,"Transport","")),"Korok x1","Korok x2")&amp;CHAR(34)&amp;", type: "&amp;CHAR(34)&amp;C763&amp;CHAR(34)&amp;", region: "&amp;D763&amp;", level: "&amp;CHAR(34)&amp;E763&amp;CHAR(34)&amp;", x: "&amp;F763&amp;", y: "&amp;G763&amp;", z: "&amp;H763&amp;", details: "&amp;CHAR(34)&amp;I763&amp;CHAR(34)&amp;" },"</f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3884</v>
      </c>
      <c r="C764" t="s">
        <v>2878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>"{ name: "&amp;CHAR(34)&amp;B764&amp;CHAR(34)&amp;", landmark: "&amp;CHAR(34)&amp;IF(LEN(C764)=LEN(SUBSTITUTE(C764,"Transport","")),"Korok x1","Korok x2")&amp;CHAR(34)&amp;", type: "&amp;CHAR(34)&amp;C764&amp;CHAR(34)&amp;", region: "&amp;D764&amp;", level: "&amp;CHAR(34)&amp;E764&amp;CHAR(34)&amp;", x: "&amp;F764&amp;", y: "&amp;G764&amp;", z: "&amp;H764&amp;", details: "&amp;CHAR(34)&amp;I764&amp;CHAR(34)&amp;" },"</f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3885</v>
      </c>
      <c r="C765" t="s">
        <v>2877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>"{ name: "&amp;CHAR(34)&amp;B765&amp;CHAR(34)&amp;", landmark: "&amp;CHAR(34)&amp;IF(LEN(C765)=LEN(SUBSTITUTE(C765,"Transport","")),"Korok x1","Korok x2")&amp;CHAR(34)&amp;", type: "&amp;CHAR(34)&amp;C765&amp;CHAR(34)&amp;", region: "&amp;D765&amp;", level: "&amp;CHAR(34)&amp;E765&amp;CHAR(34)&amp;", x: "&amp;F765&amp;", y: "&amp;G765&amp;", z: "&amp;H765&amp;", details: "&amp;CHAR(34)&amp;I765&amp;CHAR(34)&amp;" },"</f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3888</v>
      </c>
      <c r="C766" t="s">
        <v>2865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2718</v>
      </c>
      <c r="J766" t="str">
        <f>"{ name: "&amp;CHAR(34)&amp;B766&amp;CHAR(34)&amp;", landmark: "&amp;CHAR(34)&amp;IF(LEN(C766)=LEN(SUBSTITUTE(C766,"Transport","")),"Korok x1","Korok x2")&amp;CHAR(34)&amp;", type: "&amp;CHAR(34)&amp;C766&amp;CHAR(34)&amp;", region: "&amp;D766&amp;", level: "&amp;CHAR(34)&amp;E766&amp;CHAR(34)&amp;", x: "&amp;F766&amp;", y: "&amp;G766&amp;", z: "&amp;H766&amp;", details: "&amp;CHAR(34)&amp;I766&amp;CHAR(34)&amp;" },"</f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3889</v>
      </c>
      <c r="C767" t="s">
        <v>2879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>"{ name: "&amp;CHAR(34)&amp;B767&amp;CHAR(34)&amp;", landmark: "&amp;CHAR(34)&amp;IF(LEN(C767)=LEN(SUBSTITUTE(C767,"Transport","")),"Korok x1","Korok x2")&amp;CHAR(34)&amp;", type: "&amp;CHAR(34)&amp;C767&amp;CHAR(34)&amp;", region: "&amp;D767&amp;", level: "&amp;CHAR(34)&amp;E767&amp;CHAR(34)&amp;", x: "&amp;F767&amp;", y: "&amp;G767&amp;", z: "&amp;H767&amp;", details: "&amp;CHAR(34)&amp;I767&amp;CHAR(34)&amp;" },"</f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3890</v>
      </c>
      <c r="C768" t="s">
        <v>2864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>"{ name: "&amp;CHAR(34)&amp;B768&amp;CHAR(34)&amp;", landmark: "&amp;CHAR(34)&amp;IF(LEN(C768)=LEN(SUBSTITUTE(C768,"Transport","")),"Korok x1","Korok x2")&amp;CHAR(34)&amp;", type: "&amp;CHAR(34)&amp;C768&amp;CHAR(34)&amp;", region: "&amp;D768&amp;", level: "&amp;CHAR(34)&amp;E768&amp;CHAR(34)&amp;", x: "&amp;F768&amp;", y: "&amp;G768&amp;", z: "&amp;H768&amp;", details: "&amp;CHAR(34)&amp;I768&amp;CHAR(34)&amp;" },"</f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3914</v>
      </c>
      <c r="C769" t="s">
        <v>2881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>"{ name: "&amp;CHAR(34)&amp;B769&amp;CHAR(34)&amp;", landmark: "&amp;CHAR(34)&amp;IF(LEN(C769)=LEN(SUBSTITUTE(C769,"Transport","")),"Korok x1","Korok x2")&amp;CHAR(34)&amp;", type: "&amp;CHAR(34)&amp;C769&amp;CHAR(34)&amp;", region: "&amp;D769&amp;", level: "&amp;CHAR(34)&amp;E769&amp;CHAR(34)&amp;", x: "&amp;F769&amp;", y: "&amp;G769&amp;", z: "&amp;H769&amp;", details: "&amp;CHAR(34)&amp;I769&amp;CHAR(34)&amp;" },"</f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3929</v>
      </c>
      <c r="C770" t="s">
        <v>2865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2694</v>
      </c>
      <c r="J770" t="str">
        <f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3931</v>
      </c>
      <c r="C771" t="s">
        <v>2872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>"{ name: "&amp;CHAR(34)&amp;B771&amp;CHAR(34)&amp;", landmark: "&amp;CHAR(34)&amp;IF(LEN(C771)=LEN(SUBSTITUTE(C771,"Transport","")),"Korok x1","Korok x2")&amp;CHAR(34)&amp;", type: "&amp;CHAR(34)&amp;C771&amp;CHAR(34)&amp;", region: "&amp;D771&amp;", level: "&amp;CHAR(34)&amp;E771&amp;CHAR(34)&amp;", x: "&amp;F771&amp;", y: "&amp;G771&amp;", z: "&amp;H771&amp;", details: "&amp;CHAR(34)&amp;I771&amp;CHAR(34)&amp;" },"</f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3961</v>
      </c>
      <c r="C772" t="s">
        <v>2885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>"{ name: "&amp;CHAR(34)&amp;B772&amp;CHAR(34)&amp;", landmark: "&amp;CHAR(34)&amp;IF(LEN(C772)=LEN(SUBSTITUTE(C772,"Transport","")),"Korok x1","Korok x2")&amp;CHAR(34)&amp;", type: "&amp;CHAR(34)&amp;C772&amp;CHAR(34)&amp;", region: "&amp;D772&amp;", level: "&amp;CHAR(34)&amp;E772&amp;CHAR(34)&amp;", x: "&amp;F772&amp;", y: "&amp;G772&amp;", z: "&amp;H772&amp;", details: "&amp;CHAR(34)&amp;I772&amp;CHAR(34)&amp;" },"</f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3962</v>
      </c>
      <c r="C773" t="s">
        <v>2889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>"{ name: "&amp;CHAR(34)&amp;B773&amp;CHAR(34)&amp;", landmark: "&amp;CHAR(34)&amp;IF(LEN(C773)=LEN(SUBSTITUTE(C773,"Transport","")),"Korok x1","Korok x2")&amp;CHAR(34)&amp;", type: "&amp;CHAR(34)&amp;C773&amp;CHAR(34)&amp;", region: "&amp;D773&amp;", level: "&amp;CHAR(34)&amp;E773&amp;CHAR(34)&amp;", x: "&amp;F773&amp;", y: "&amp;G773&amp;", z: "&amp;H773&amp;", details: "&amp;CHAR(34)&amp;I773&amp;CHAR(34)&amp;" },"</f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3963</v>
      </c>
      <c r="C774" t="s">
        <v>2658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>"{ name: "&amp;CHAR(34)&amp;B774&amp;CHAR(34)&amp;", landmark: "&amp;CHAR(34)&amp;IF(LEN(C774)=LEN(SUBSTITUTE(C774,"Transport","")),"Korok x1","Korok x2")&amp;CHAR(34)&amp;", type: "&amp;CHAR(34)&amp;C774&amp;CHAR(34)&amp;", region: "&amp;D774&amp;", level: "&amp;CHAR(34)&amp;E774&amp;CHAR(34)&amp;", x: "&amp;F774&amp;", y: "&amp;G774&amp;", z: "&amp;H774&amp;", details: "&amp;CHAR(34)&amp;I774&amp;CHAR(34)&amp;" },"</f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3964</v>
      </c>
      <c r="C775" t="s">
        <v>2870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>"{ name: "&amp;CHAR(34)&amp;B775&amp;CHAR(34)&amp;", landmark: "&amp;CHAR(34)&amp;IF(LEN(C775)=LEN(SUBSTITUTE(C775,"Transport","")),"Korok x1","Korok x2")&amp;CHAR(34)&amp;", type: "&amp;CHAR(34)&amp;C775&amp;CHAR(34)&amp;", region: "&amp;D775&amp;", level: "&amp;CHAR(34)&amp;E775&amp;CHAR(34)&amp;", x: "&amp;F775&amp;", y: "&amp;G775&amp;", z: "&amp;H775&amp;", details: "&amp;CHAR(34)&amp;I775&amp;CHAR(34)&amp;" },"</f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3976</v>
      </c>
      <c r="C776" t="s">
        <v>2865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2693</v>
      </c>
      <c r="J776" t="str">
        <f>"{ name: "&amp;CHAR(34)&amp;B776&amp;CHAR(34)&amp;", landmark: "&amp;CHAR(34)&amp;IF(LEN(C776)=LEN(SUBSTITUTE(C776,"Transport","")),"Korok x1","Korok x2")&amp;CHAR(34)&amp;", type: "&amp;CHAR(34)&amp;C776&amp;CHAR(34)&amp;", region: "&amp;D776&amp;", level: "&amp;CHAR(34)&amp;E776&amp;CHAR(34)&amp;", x: "&amp;F776&amp;", y: "&amp;G776&amp;", z: "&amp;H776&amp;", details: "&amp;CHAR(34)&amp;I776&amp;CHAR(34)&amp;" },"</f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4001</v>
      </c>
      <c r="C777" t="s">
        <v>2864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>"{ name: "&amp;CHAR(34)&amp;B777&amp;CHAR(34)&amp;", landmark: "&amp;CHAR(34)&amp;IF(LEN(C777)=LEN(SUBSTITUTE(C777,"Transport","")),"Korok x1","Korok x2")&amp;CHAR(34)&amp;", type: "&amp;CHAR(34)&amp;C777&amp;CHAR(34)&amp;", region: "&amp;D777&amp;", level: "&amp;CHAR(34)&amp;E777&amp;CHAR(34)&amp;", x: "&amp;F777&amp;", y: "&amp;G777&amp;", z: "&amp;H777&amp;", details: "&amp;CHAR(34)&amp;I777&amp;CHAR(34)&amp;" },"</f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4002</v>
      </c>
      <c r="C778" t="s">
        <v>2878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>"{ name: "&amp;CHAR(34)&amp;B778&amp;CHAR(34)&amp;", landmark: "&amp;CHAR(34)&amp;IF(LEN(C778)=LEN(SUBSTITUTE(C778,"Transport","")),"Korok x1","Korok x2")&amp;CHAR(34)&amp;", type: "&amp;CHAR(34)&amp;C778&amp;CHAR(34)&amp;", region: "&amp;D778&amp;", level: "&amp;CHAR(34)&amp;E778&amp;CHAR(34)&amp;", x: "&amp;F778&amp;", y: "&amp;G778&amp;", z: "&amp;H778&amp;", details: "&amp;CHAR(34)&amp;I778&amp;CHAR(34)&amp;" },"</f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4018</v>
      </c>
      <c r="C779" t="s">
        <v>2880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2716</v>
      </c>
      <c r="J779" t="str">
        <f>"{ name: "&amp;CHAR(34)&amp;B779&amp;CHAR(34)&amp;", landmark: "&amp;CHAR(34)&amp;IF(LEN(C779)=LEN(SUBSTITUTE(C779,"Transport","")),"Korok x1","Korok x2")&amp;CHAR(34)&amp;", type: "&amp;CHAR(34)&amp;C779&amp;CHAR(34)&amp;", region: "&amp;D779&amp;", level: "&amp;CHAR(34)&amp;E779&amp;CHAR(34)&amp;", x: "&amp;F779&amp;", y: "&amp;G779&amp;", z: "&amp;H779&amp;", details: "&amp;CHAR(34)&amp;I779&amp;CHAR(34)&amp;" },"</f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4077</v>
      </c>
      <c r="C780" t="s">
        <v>2875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>"{ name: "&amp;CHAR(34)&amp;B780&amp;CHAR(34)&amp;", landmark: "&amp;CHAR(34)&amp;IF(LEN(C780)=LEN(SUBSTITUTE(C780,"Transport","")),"Korok x1","Korok x2")&amp;CHAR(34)&amp;", type: "&amp;CHAR(34)&amp;C780&amp;CHAR(34)&amp;", region: "&amp;D780&amp;", level: "&amp;CHAR(34)&amp;E780&amp;CHAR(34)&amp;", x: "&amp;F780&amp;", y: "&amp;G780&amp;", z: "&amp;H780&amp;", details: "&amp;CHAR(34)&amp;I780&amp;CHAR(34)&amp;" },"</f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4087</v>
      </c>
      <c r="C781" t="s">
        <v>2889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>"{ name: "&amp;CHAR(34)&amp;B781&amp;CHAR(34)&amp;", landmark: "&amp;CHAR(34)&amp;IF(LEN(C781)=LEN(SUBSTITUTE(C781,"Transport","")),"Korok x1","Korok x2")&amp;CHAR(34)&amp;", type: "&amp;CHAR(34)&amp;C781&amp;CHAR(34)&amp;", region: "&amp;D781&amp;", level: "&amp;CHAR(34)&amp;E781&amp;CHAR(34)&amp;", x: "&amp;F781&amp;", y: "&amp;G781&amp;", z: "&amp;H781&amp;", details: "&amp;CHAR(34)&amp;I781&amp;CHAR(34)&amp;" },"</f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4099</v>
      </c>
      <c r="C782" t="s">
        <v>2887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>"{ name: "&amp;CHAR(34)&amp;B782&amp;CHAR(34)&amp;", landmark: "&amp;CHAR(34)&amp;IF(LEN(C782)=LEN(SUBSTITUTE(C782,"Transport","")),"Korok x1","Korok x2")&amp;CHAR(34)&amp;", type: "&amp;CHAR(34)&amp;C782&amp;CHAR(34)&amp;", region: "&amp;D782&amp;", level: "&amp;CHAR(34)&amp;E782&amp;CHAR(34)&amp;", x: "&amp;F782&amp;", y: "&amp;G782&amp;", z: "&amp;H782&amp;", details: "&amp;CHAR(34)&amp;I782&amp;CHAR(34)&amp;" },"</f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4100</v>
      </c>
      <c r="C783" t="s">
        <v>2658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>"{ name: "&amp;CHAR(34)&amp;B783&amp;CHAR(34)&amp;", landmark: "&amp;CHAR(34)&amp;IF(LEN(C783)=LEN(SUBSTITUTE(C783,"Transport","")),"Korok x1","Korok x2")&amp;CHAR(34)&amp;", type: "&amp;CHAR(34)&amp;C783&amp;CHAR(34)&amp;", region: "&amp;D783&amp;", level: "&amp;CHAR(34)&amp;E783&amp;CHAR(34)&amp;", x: "&amp;F783&amp;", y: "&amp;G783&amp;", z: "&amp;H783&amp;", details: "&amp;CHAR(34)&amp;I783&amp;CHAR(34)&amp;" },"</f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4101</v>
      </c>
      <c r="C784" t="s">
        <v>2887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>"{ name: "&amp;CHAR(34)&amp;B784&amp;CHAR(34)&amp;", landmark: "&amp;CHAR(34)&amp;IF(LEN(C784)=LEN(SUBSTITUTE(C784,"Transport","")),"Korok x1","Korok x2")&amp;CHAR(34)&amp;", type: "&amp;CHAR(34)&amp;C784&amp;CHAR(34)&amp;", region: "&amp;D784&amp;", level: "&amp;CHAR(34)&amp;E784&amp;CHAR(34)&amp;", x: "&amp;F784&amp;", y: "&amp;G784&amp;", z: "&amp;H784&amp;", details: "&amp;CHAR(34)&amp;I784&amp;CHAR(34)&amp;" },"</f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4102</v>
      </c>
      <c r="C785" t="s">
        <v>2872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>"{ name: "&amp;CHAR(34)&amp;B785&amp;CHAR(34)&amp;", landmark: "&amp;CHAR(34)&amp;IF(LEN(C785)=LEN(SUBSTITUTE(C785,"Transport","")),"Korok x1","Korok x2")&amp;CHAR(34)&amp;", type: "&amp;CHAR(34)&amp;C785&amp;CHAR(34)&amp;", region: "&amp;D785&amp;", level: "&amp;CHAR(34)&amp;E785&amp;CHAR(34)&amp;", x: "&amp;F785&amp;", y: "&amp;G785&amp;", z: "&amp;H785&amp;", details: "&amp;CHAR(34)&amp;I785&amp;CHAR(34)&amp;" },"</f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4149</v>
      </c>
      <c r="C786" t="s">
        <v>2875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>"{ name: "&amp;CHAR(34)&amp;B786&amp;CHAR(34)&amp;", landmark: "&amp;CHAR(34)&amp;IF(LEN(C786)=LEN(SUBSTITUTE(C786,"Transport","")),"Korok x1","Korok x2")&amp;CHAR(34)&amp;", type: "&amp;CHAR(34)&amp;C786&amp;CHAR(34)&amp;", region: "&amp;D786&amp;", level: "&amp;CHAR(34)&amp;E786&amp;CHAR(34)&amp;", x: "&amp;F786&amp;", y: "&amp;G786&amp;", z: "&amp;H786&amp;", details: "&amp;CHAR(34)&amp;I786&amp;CHAR(34)&amp;" },"</f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4151</v>
      </c>
      <c r="C787" t="s">
        <v>2875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>"{ name: "&amp;CHAR(34)&amp;B787&amp;CHAR(34)&amp;", landmark: "&amp;CHAR(34)&amp;IF(LEN(C787)=LEN(SUBSTITUTE(C787,"Transport","")),"Korok x1","Korok x2")&amp;CHAR(34)&amp;", type: "&amp;CHAR(34)&amp;C787&amp;CHAR(34)&amp;", region: "&amp;D787&amp;", level: "&amp;CHAR(34)&amp;E787&amp;CHAR(34)&amp;", x: "&amp;F787&amp;", y: "&amp;G787&amp;", z: "&amp;H787&amp;", details: "&amp;CHAR(34)&amp;I787&amp;CHAR(34)&amp;" },"</f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3363</v>
      </c>
      <c r="C788" t="s">
        <v>2875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>"{ name: "&amp;CHAR(34)&amp;B788&amp;CHAR(34)&amp;", landmark: "&amp;CHAR(34)&amp;IF(LEN(C788)=LEN(SUBSTITUTE(C788,"Transport","")),"Korok x1","Korok x2")&amp;CHAR(34)&amp;", type: "&amp;CHAR(34)&amp;C788&amp;CHAR(34)&amp;", region: "&amp;D788&amp;", level: "&amp;CHAR(34)&amp;E788&amp;CHAR(34)&amp;", x: "&amp;F788&amp;", y: "&amp;G788&amp;", z: "&amp;H788&amp;", details: "&amp;CHAR(34)&amp;I788&amp;CHAR(34)&amp;" },"</f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3389</v>
      </c>
      <c r="C789" t="s">
        <v>2870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>"{ name: "&amp;CHAR(34)&amp;B789&amp;CHAR(34)&amp;", landmark: "&amp;CHAR(34)&amp;IF(LEN(C789)=LEN(SUBSTITUTE(C789,"Transport","")),"Korok x1","Korok x2")&amp;CHAR(34)&amp;", type: "&amp;CHAR(34)&amp;C789&amp;CHAR(34)&amp;", region: "&amp;D789&amp;", level: "&amp;CHAR(34)&amp;E789&amp;CHAR(34)&amp;", x: "&amp;F789&amp;", y: "&amp;G789&amp;", z: "&amp;H789&amp;", details: "&amp;CHAR(34)&amp;I789&amp;CHAR(34)&amp;" },"</f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3390</v>
      </c>
      <c r="C790" t="s">
        <v>2871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>"{ name: "&amp;CHAR(34)&amp;B790&amp;CHAR(34)&amp;", landmark: "&amp;CHAR(34)&amp;IF(LEN(C790)=LEN(SUBSTITUTE(C790,"Transport","")),"Korok x1","Korok x2")&amp;CHAR(34)&amp;", type: "&amp;CHAR(34)&amp;C790&amp;CHAR(34)&amp;", region: "&amp;D790&amp;", level: "&amp;CHAR(34)&amp;E790&amp;CHAR(34)&amp;", x: "&amp;F790&amp;", y: "&amp;G790&amp;", z: "&amp;H790&amp;", details: "&amp;CHAR(34)&amp;I790&amp;CHAR(34)&amp;" },"</f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3405</v>
      </c>
      <c r="C791" t="s">
        <v>2865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2724</v>
      </c>
      <c r="J791" t="str">
        <f>"{ name: "&amp;CHAR(34)&amp;B791&amp;CHAR(34)&amp;", landmark: "&amp;CHAR(34)&amp;IF(LEN(C791)=LEN(SUBSTITUTE(C791,"Transport","")),"Korok x1","Korok x2")&amp;CHAR(34)&amp;", type: "&amp;CHAR(34)&amp;C791&amp;CHAR(34)&amp;", region: "&amp;D791&amp;", level: "&amp;CHAR(34)&amp;E791&amp;CHAR(34)&amp;", x: "&amp;F791&amp;", y: "&amp;G791&amp;", z: "&amp;H791&amp;", details: "&amp;CHAR(34)&amp;I791&amp;CHAR(34)&amp;" },"</f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3425</v>
      </c>
      <c r="C792" t="s">
        <v>2658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>"{ name: "&amp;CHAR(34)&amp;B792&amp;CHAR(34)&amp;", landmark: "&amp;CHAR(34)&amp;IF(LEN(C792)=LEN(SUBSTITUTE(C792,"Transport","")),"Korok x1","Korok x2")&amp;CHAR(34)&amp;", type: "&amp;CHAR(34)&amp;C792&amp;CHAR(34)&amp;", region: "&amp;D792&amp;", level: "&amp;CHAR(34)&amp;E792&amp;CHAR(34)&amp;", x: "&amp;F792&amp;", y: "&amp;G792&amp;", z: "&amp;H792&amp;", details: "&amp;CHAR(34)&amp;I792&amp;CHAR(34)&amp;" },"</f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3426</v>
      </c>
      <c r="C793" t="s">
        <v>2865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2726</v>
      </c>
      <c r="J793" t="str">
        <f>"{ name: "&amp;CHAR(34)&amp;B793&amp;CHAR(34)&amp;", landmark: "&amp;CHAR(34)&amp;IF(LEN(C793)=LEN(SUBSTITUTE(C793,"Transport","")),"Korok x1","Korok x2")&amp;CHAR(34)&amp;", type: "&amp;CHAR(34)&amp;C793&amp;CHAR(34)&amp;", region: "&amp;D793&amp;", level: "&amp;CHAR(34)&amp;E793&amp;CHAR(34)&amp;", x: "&amp;F793&amp;", y: "&amp;G793&amp;", z: "&amp;H793&amp;", details: "&amp;CHAR(34)&amp;I793&amp;CHAR(34)&amp;" },"</f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3427</v>
      </c>
      <c r="C794" t="s">
        <v>2887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>"{ name: "&amp;CHAR(34)&amp;B794&amp;CHAR(34)&amp;", landmark: "&amp;CHAR(34)&amp;IF(LEN(C794)=LEN(SUBSTITUTE(C794,"Transport","")),"Korok x1","Korok x2")&amp;CHAR(34)&amp;", type: "&amp;CHAR(34)&amp;C794&amp;CHAR(34)&amp;", region: "&amp;D794&amp;", level: "&amp;CHAR(34)&amp;E794&amp;CHAR(34)&amp;", x: "&amp;F794&amp;", y: "&amp;G794&amp;", z: "&amp;H794&amp;", details: "&amp;CHAR(34)&amp;I794&amp;CHAR(34)&amp;" },"</f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3430</v>
      </c>
      <c r="C795" t="s">
        <v>2879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>"{ name: "&amp;CHAR(34)&amp;B795&amp;CHAR(34)&amp;", landmark: "&amp;CHAR(34)&amp;IF(LEN(C795)=LEN(SUBSTITUTE(C795,"Transport","")),"Korok x1","Korok x2")&amp;CHAR(34)&amp;", type: "&amp;CHAR(34)&amp;C795&amp;CHAR(34)&amp;", region: "&amp;D795&amp;", level: "&amp;CHAR(34)&amp;E795&amp;CHAR(34)&amp;", x: "&amp;F795&amp;", y: "&amp;G795&amp;", z: "&amp;H795&amp;", details: "&amp;CHAR(34)&amp;I795&amp;CHAR(34)&amp;" },"</f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3431</v>
      </c>
      <c r="C796" t="s">
        <v>2889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>"{ name: "&amp;CHAR(34)&amp;B796&amp;CHAR(34)&amp;", landmark: "&amp;CHAR(34)&amp;IF(LEN(C796)=LEN(SUBSTITUTE(C796,"Transport","")),"Korok x1","Korok x2")&amp;CHAR(34)&amp;", type: "&amp;CHAR(34)&amp;C796&amp;CHAR(34)&amp;", region: "&amp;D796&amp;", level: "&amp;CHAR(34)&amp;E796&amp;CHAR(34)&amp;", x: "&amp;F796&amp;", y: "&amp;G796&amp;", z: "&amp;H796&amp;", details: "&amp;CHAR(34)&amp;I796&amp;CHAR(34)&amp;" },"</f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3432</v>
      </c>
      <c r="C797" t="s">
        <v>2880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2723</v>
      </c>
      <c r="J797" t="str">
        <f>"{ name: "&amp;CHAR(34)&amp;B797&amp;CHAR(34)&amp;", landmark: "&amp;CHAR(34)&amp;IF(LEN(C797)=LEN(SUBSTITUTE(C797,"Transport","")),"Korok x1","Korok x2")&amp;CHAR(34)&amp;", type: "&amp;CHAR(34)&amp;C797&amp;CHAR(34)&amp;", region: "&amp;D797&amp;", level: "&amp;CHAR(34)&amp;E797&amp;CHAR(34)&amp;", x: "&amp;F797&amp;", y: "&amp;G797&amp;", z: "&amp;H797&amp;", details: "&amp;CHAR(34)&amp;I797&amp;CHAR(34)&amp;" },"</f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3433</v>
      </c>
      <c r="C798" t="s">
        <v>2890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2795</v>
      </c>
      <c r="J798" t="str">
        <f>"{ name: "&amp;CHAR(34)&amp;B798&amp;CHAR(34)&amp;", landmark: "&amp;CHAR(34)&amp;IF(LEN(C798)=LEN(SUBSTITUTE(C798,"Transport","")),"Korok x1","Korok x2")&amp;CHAR(34)&amp;", type: "&amp;CHAR(34)&amp;C798&amp;CHAR(34)&amp;", region: "&amp;D798&amp;", level: "&amp;CHAR(34)&amp;E798&amp;CHAR(34)&amp;", x: "&amp;F798&amp;", y: "&amp;G798&amp;", z: "&amp;H798&amp;", details: "&amp;CHAR(34)&amp;I798&amp;CHAR(34)&amp;" },"</f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3438</v>
      </c>
      <c r="C799" t="s">
        <v>2658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>"{ name: "&amp;CHAR(34)&amp;B799&amp;CHAR(34)&amp;", landmark: "&amp;CHAR(34)&amp;IF(LEN(C799)=LEN(SUBSTITUTE(C799,"Transport","")),"Korok x1","Korok x2")&amp;CHAR(34)&amp;", type: "&amp;CHAR(34)&amp;C799&amp;CHAR(34)&amp;", region: "&amp;D799&amp;", level: "&amp;CHAR(34)&amp;E799&amp;CHAR(34)&amp;", x: "&amp;F799&amp;", y: "&amp;G799&amp;", z: "&amp;H799&amp;", details: "&amp;CHAR(34)&amp;I799&amp;CHAR(34)&amp;" },"</f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3439</v>
      </c>
      <c r="C800" t="s">
        <v>2874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2833</v>
      </c>
      <c r="J800" t="str">
        <f>"{ name: "&amp;CHAR(34)&amp;B800&amp;CHAR(34)&amp;", landmark: "&amp;CHAR(34)&amp;IF(LEN(C800)=LEN(SUBSTITUTE(C800,"Transport","")),"Korok x1","Korok x2")&amp;CHAR(34)&amp;", type: "&amp;CHAR(34)&amp;C800&amp;CHAR(34)&amp;", region: "&amp;D800&amp;", level: "&amp;CHAR(34)&amp;E800&amp;CHAR(34)&amp;", x: "&amp;F800&amp;", y: "&amp;G800&amp;", z: "&amp;H800&amp;", details: "&amp;CHAR(34)&amp;I800&amp;CHAR(34)&amp;" },"</f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3483</v>
      </c>
      <c r="C801" t="s">
        <v>2864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>"{ name: "&amp;CHAR(34)&amp;B801&amp;CHAR(34)&amp;", landmark: "&amp;CHAR(34)&amp;IF(LEN(C801)=LEN(SUBSTITUTE(C801,"Transport","")),"Korok x1","Korok x2")&amp;CHAR(34)&amp;", type: "&amp;CHAR(34)&amp;C801&amp;CHAR(34)&amp;", region: "&amp;D801&amp;", level: "&amp;CHAR(34)&amp;E801&amp;CHAR(34)&amp;", x: "&amp;F801&amp;", y: "&amp;G801&amp;", z: "&amp;H801&amp;", details: "&amp;CHAR(34)&amp;I801&amp;CHAR(34)&amp;" },"</f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3484</v>
      </c>
      <c r="C802" t="s">
        <v>2875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>"{ name: "&amp;CHAR(34)&amp;B802&amp;CHAR(34)&amp;", landmark: "&amp;CHAR(34)&amp;IF(LEN(C802)=LEN(SUBSTITUTE(C802,"Transport","")),"Korok x1","Korok x2")&amp;CHAR(34)&amp;", type: "&amp;CHAR(34)&amp;C802&amp;CHAR(34)&amp;", region: "&amp;D802&amp;", level: "&amp;CHAR(34)&amp;E802&amp;CHAR(34)&amp;", x: "&amp;F802&amp;", y: "&amp;G802&amp;", z: "&amp;H802&amp;", details: "&amp;CHAR(34)&amp;I802&amp;CHAR(34)&amp;" },"</f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3485</v>
      </c>
      <c r="C803" t="s">
        <v>2875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>"{ name: "&amp;CHAR(34)&amp;B803&amp;CHAR(34)&amp;", landmark: "&amp;CHAR(34)&amp;IF(LEN(C803)=LEN(SUBSTITUTE(C803,"Transport","")),"Korok x1","Korok x2")&amp;CHAR(34)&amp;", type: "&amp;CHAR(34)&amp;C803&amp;CHAR(34)&amp;", region: "&amp;D803&amp;", level: "&amp;CHAR(34)&amp;E803&amp;CHAR(34)&amp;", x: "&amp;F803&amp;", y: "&amp;G803&amp;", z: "&amp;H803&amp;", details: "&amp;CHAR(34)&amp;I803&amp;CHAR(34)&amp;" },"</f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3486</v>
      </c>
      <c r="C804" t="s">
        <v>2864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>"{ name: "&amp;CHAR(34)&amp;B804&amp;CHAR(34)&amp;", landmark: "&amp;CHAR(34)&amp;IF(LEN(C804)=LEN(SUBSTITUTE(C804,"Transport","")),"Korok x1","Korok x2")&amp;CHAR(34)&amp;", type: "&amp;CHAR(34)&amp;C804&amp;CHAR(34)&amp;", region: "&amp;D804&amp;", level: "&amp;CHAR(34)&amp;E804&amp;CHAR(34)&amp;", x: "&amp;F804&amp;", y: "&amp;G804&amp;", z: "&amp;H804&amp;", details: "&amp;CHAR(34)&amp;I804&amp;CHAR(34)&amp;" },"</f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3487</v>
      </c>
      <c r="C805" t="s">
        <v>2886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>"{ name: "&amp;CHAR(34)&amp;B805&amp;CHAR(34)&amp;", landmark: "&amp;CHAR(34)&amp;IF(LEN(C805)=LEN(SUBSTITUTE(C805,"Transport","")),"Korok x1","Korok x2")&amp;CHAR(34)&amp;", type: "&amp;CHAR(34)&amp;C805&amp;CHAR(34)&amp;", region: "&amp;D805&amp;", level: "&amp;CHAR(34)&amp;E805&amp;CHAR(34)&amp;", x: "&amp;F805&amp;", y: "&amp;G805&amp;", z: "&amp;H805&amp;", details: "&amp;CHAR(34)&amp;I805&amp;CHAR(34)&amp;" },"</f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3488</v>
      </c>
      <c r="C806" t="s">
        <v>2875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>"{ name: "&amp;CHAR(34)&amp;B806&amp;CHAR(34)&amp;", landmark: "&amp;CHAR(34)&amp;IF(LEN(C806)=LEN(SUBSTITUTE(C806,"Transport","")),"Korok x1","Korok x2")&amp;CHAR(34)&amp;", type: "&amp;CHAR(34)&amp;C806&amp;CHAR(34)&amp;", region: "&amp;D806&amp;", level: "&amp;CHAR(34)&amp;E806&amp;CHAR(34)&amp;", x: "&amp;F806&amp;", y: "&amp;G806&amp;", z: "&amp;H806&amp;", details: "&amp;CHAR(34)&amp;I806&amp;CHAR(34)&amp;" },"</f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3489</v>
      </c>
      <c r="C807" t="s">
        <v>2865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2736</v>
      </c>
      <c r="J807" t="str">
        <f>"{ name: "&amp;CHAR(34)&amp;B807&amp;CHAR(34)&amp;", landmark: "&amp;CHAR(34)&amp;IF(LEN(C807)=LEN(SUBSTITUTE(C807,"Transport","")),"Korok x1","Korok x2")&amp;CHAR(34)&amp;", type: "&amp;CHAR(34)&amp;C807&amp;CHAR(34)&amp;", region: "&amp;D807&amp;", level: "&amp;CHAR(34)&amp;E807&amp;CHAR(34)&amp;", x: "&amp;F807&amp;", y: "&amp;G807&amp;", z: "&amp;H807&amp;", details: "&amp;CHAR(34)&amp;I807&amp;CHAR(34)&amp;" },"</f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3490</v>
      </c>
      <c r="C808" t="s">
        <v>2871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>"{ name: "&amp;CHAR(34)&amp;B808&amp;CHAR(34)&amp;", landmark: "&amp;CHAR(34)&amp;IF(LEN(C808)=LEN(SUBSTITUTE(C808,"Transport","")),"Korok x1","Korok x2")&amp;CHAR(34)&amp;", type: "&amp;CHAR(34)&amp;C808&amp;CHAR(34)&amp;", region: "&amp;D808&amp;", level: "&amp;CHAR(34)&amp;E808&amp;CHAR(34)&amp;", x: "&amp;F808&amp;", y: "&amp;G808&amp;", z: "&amp;H808&amp;", details: "&amp;CHAR(34)&amp;I808&amp;CHAR(34)&amp;" },"</f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3491</v>
      </c>
      <c r="C809" t="s">
        <v>2865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2737</v>
      </c>
      <c r="J809" t="str">
        <f>"{ name: "&amp;CHAR(34)&amp;B809&amp;CHAR(34)&amp;", landmark: "&amp;CHAR(34)&amp;IF(LEN(C809)=LEN(SUBSTITUTE(C809,"Transport","")),"Korok x1","Korok x2")&amp;CHAR(34)&amp;", type: "&amp;CHAR(34)&amp;C809&amp;CHAR(34)&amp;", region: "&amp;D809&amp;", level: "&amp;CHAR(34)&amp;E809&amp;CHAR(34)&amp;", x: "&amp;F809&amp;", y: "&amp;G809&amp;", z: "&amp;H809&amp;", details: "&amp;CHAR(34)&amp;I809&amp;CHAR(34)&amp;" },"</f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3492</v>
      </c>
      <c r="C810" t="s">
        <v>2865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2722</v>
      </c>
      <c r="J810" t="str">
        <f>"{ name: "&amp;CHAR(34)&amp;B810&amp;CHAR(34)&amp;", landmark: "&amp;CHAR(34)&amp;IF(LEN(C810)=LEN(SUBSTITUTE(C810,"Transport","")),"Korok x1","Korok x2")&amp;CHAR(34)&amp;", type: "&amp;CHAR(34)&amp;C810&amp;CHAR(34)&amp;", region: "&amp;D810&amp;", level: "&amp;CHAR(34)&amp;E810&amp;CHAR(34)&amp;", x: "&amp;F810&amp;", y: "&amp;G810&amp;", z: "&amp;H810&amp;", details: "&amp;CHAR(34)&amp;I810&amp;CHAR(34)&amp;" },"</f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3494</v>
      </c>
      <c r="C811" t="s">
        <v>2867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>"{ name: "&amp;CHAR(34)&amp;B811&amp;CHAR(34)&amp;", landmark: "&amp;CHAR(34)&amp;IF(LEN(C811)=LEN(SUBSTITUTE(C811,"Transport","")),"Korok x1","Korok x2")&amp;CHAR(34)&amp;", type: "&amp;CHAR(34)&amp;C811&amp;CHAR(34)&amp;", region: "&amp;D811&amp;", level: "&amp;CHAR(34)&amp;E811&amp;CHAR(34)&amp;", x: "&amp;F811&amp;", y: "&amp;G811&amp;", z: "&amp;H811&amp;", details: "&amp;CHAR(34)&amp;I811&amp;CHAR(34)&amp;" },"</f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3501</v>
      </c>
      <c r="C812" t="s">
        <v>2880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2721</v>
      </c>
      <c r="J812" t="str">
        <f>"{ name: "&amp;CHAR(34)&amp;B812&amp;CHAR(34)&amp;", landmark: "&amp;CHAR(34)&amp;IF(LEN(C812)=LEN(SUBSTITUTE(C812,"Transport","")),"Korok x1","Korok x2")&amp;CHAR(34)&amp;", type: "&amp;CHAR(34)&amp;C812&amp;CHAR(34)&amp;", region: "&amp;D812&amp;", level: "&amp;CHAR(34)&amp;E812&amp;CHAR(34)&amp;", x: "&amp;F812&amp;", y: "&amp;G812&amp;", z: "&amp;H812&amp;", details: "&amp;CHAR(34)&amp;I812&amp;CHAR(34)&amp;" },"</f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3502</v>
      </c>
      <c r="C813" t="s">
        <v>2888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>"{ name: "&amp;CHAR(34)&amp;B813&amp;CHAR(34)&amp;", landmark: "&amp;CHAR(34)&amp;IF(LEN(C813)=LEN(SUBSTITUTE(C813,"Transport","")),"Korok x1","Korok x2")&amp;CHAR(34)&amp;", type: "&amp;CHAR(34)&amp;C813&amp;CHAR(34)&amp;", region: "&amp;D813&amp;", level: "&amp;CHAR(34)&amp;E813&amp;CHAR(34)&amp;", x: "&amp;F813&amp;", y: "&amp;G813&amp;", z: "&amp;H813&amp;", details: "&amp;CHAR(34)&amp;I813&amp;CHAR(34)&amp;" },"</f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3503</v>
      </c>
      <c r="C814" t="s">
        <v>2889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>"{ name: "&amp;CHAR(34)&amp;B814&amp;CHAR(34)&amp;", landmark: "&amp;CHAR(34)&amp;IF(LEN(C814)=LEN(SUBSTITUTE(C814,"Transport","")),"Korok x1","Korok x2")&amp;CHAR(34)&amp;", type: "&amp;CHAR(34)&amp;C814&amp;CHAR(34)&amp;", region: "&amp;D814&amp;", level: "&amp;CHAR(34)&amp;E814&amp;CHAR(34)&amp;", x: "&amp;F814&amp;", y: "&amp;G814&amp;", z: "&amp;H814&amp;", details: "&amp;CHAR(34)&amp;I814&amp;CHAR(34)&amp;" },"</f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3504</v>
      </c>
      <c r="C815" t="s">
        <v>2865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2725</v>
      </c>
      <c r="J815" t="str">
        <f>"{ name: "&amp;CHAR(34)&amp;B815&amp;CHAR(34)&amp;", landmark: "&amp;CHAR(34)&amp;IF(LEN(C815)=LEN(SUBSTITUTE(C815,"Transport","")),"Korok x1","Korok x2")&amp;CHAR(34)&amp;", type: "&amp;CHAR(34)&amp;C815&amp;CHAR(34)&amp;", region: "&amp;D815&amp;", level: "&amp;CHAR(34)&amp;E815&amp;CHAR(34)&amp;", x: "&amp;F815&amp;", y: "&amp;G815&amp;", z: "&amp;H815&amp;", details: "&amp;CHAR(34)&amp;I815&amp;CHAR(34)&amp;" },"</f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3656</v>
      </c>
      <c r="C816" t="s">
        <v>2888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>"{ name: "&amp;CHAR(34)&amp;B816&amp;CHAR(34)&amp;", landmark: "&amp;CHAR(34)&amp;IF(LEN(C816)=LEN(SUBSTITUTE(C816,"Transport","")),"Korok x1","Korok x2")&amp;CHAR(34)&amp;", type: "&amp;CHAR(34)&amp;C816&amp;CHAR(34)&amp;", region: "&amp;D816&amp;", level: "&amp;CHAR(34)&amp;E816&amp;CHAR(34)&amp;", x: "&amp;F816&amp;", y: "&amp;G816&amp;", z: "&amp;H816&amp;", details: "&amp;CHAR(34)&amp;I816&amp;CHAR(34)&amp;" },"</f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3737</v>
      </c>
      <c r="C817" t="s">
        <v>2890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2834</v>
      </c>
      <c r="J817" t="str">
        <f>"{ name: "&amp;CHAR(34)&amp;B817&amp;CHAR(34)&amp;", landmark: "&amp;CHAR(34)&amp;IF(LEN(C817)=LEN(SUBSTITUTE(C817,"Transport","")),"Korok x1","Korok x2")&amp;CHAR(34)&amp;", type: "&amp;CHAR(34)&amp;C817&amp;CHAR(34)&amp;", region: "&amp;D817&amp;", level: "&amp;CHAR(34)&amp;E817&amp;CHAR(34)&amp;", x: "&amp;F817&amp;", y: "&amp;G817&amp;", z: "&amp;H817&amp;", details: "&amp;CHAR(34)&amp;I817&amp;CHAR(34)&amp;" },"</f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3779</v>
      </c>
      <c r="C818" t="s">
        <v>2865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2715</v>
      </c>
      <c r="J818" t="str">
        <f>"{ name: "&amp;CHAR(34)&amp;B818&amp;CHAR(34)&amp;", landmark: "&amp;CHAR(34)&amp;IF(LEN(C818)=LEN(SUBSTITUTE(C818,"Transport","")),"Korok x1","Korok x2")&amp;CHAR(34)&amp;", type: "&amp;CHAR(34)&amp;C818&amp;CHAR(34)&amp;", region: "&amp;D818&amp;", level: "&amp;CHAR(34)&amp;E818&amp;CHAR(34)&amp;", x: "&amp;F818&amp;", y: "&amp;G818&amp;", z: "&amp;H818&amp;", details: "&amp;CHAR(34)&amp;I818&amp;CHAR(34)&amp;" },"</f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3784</v>
      </c>
      <c r="C819" t="s">
        <v>2875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>"{ name: "&amp;CHAR(34)&amp;B819&amp;CHAR(34)&amp;", landmark: "&amp;CHAR(34)&amp;IF(LEN(C819)=LEN(SUBSTITUTE(C819,"Transport","")),"Korok x1","Korok x2")&amp;CHAR(34)&amp;", type: "&amp;CHAR(34)&amp;C819&amp;CHAR(34)&amp;", region: "&amp;D819&amp;", level: "&amp;CHAR(34)&amp;E819&amp;CHAR(34)&amp;", x: "&amp;F819&amp;", y: "&amp;G819&amp;", z: "&amp;H819&amp;", details: "&amp;CHAR(34)&amp;I819&amp;CHAR(34)&amp;" },"</f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3817</v>
      </c>
      <c r="C820" t="s">
        <v>2889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>"{ name: "&amp;CHAR(34)&amp;B820&amp;CHAR(34)&amp;", landmark: "&amp;CHAR(34)&amp;IF(LEN(C820)=LEN(SUBSTITUTE(C820,"Transport","")),"Korok x1","Korok x2")&amp;CHAR(34)&amp;", type: "&amp;CHAR(34)&amp;C820&amp;CHAR(34)&amp;", region: "&amp;D820&amp;", level: "&amp;CHAR(34)&amp;E820&amp;CHAR(34)&amp;", x: "&amp;F820&amp;", y: "&amp;G820&amp;", z: "&amp;H820&amp;", details: "&amp;CHAR(34)&amp;I820&amp;CHAR(34)&amp;" },"</f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3840</v>
      </c>
      <c r="C821" t="s">
        <v>2875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>"{ name: "&amp;CHAR(34)&amp;B821&amp;CHAR(34)&amp;", landmark: "&amp;CHAR(34)&amp;IF(LEN(C821)=LEN(SUBSTITUTE(C821,"Transport","")),"Korok x1","Korok x2")&amp;CHAR(34)&amp;", type: "&amp;CHAR(34)&amp;C821&amp;CHAR(34)&amp;", region: "&amp;D821&amp;", level: "&amp;CHAR(34)&amp;E821&amp;CHAR(34)&amp;", x: "&amp;F821&amp;", y: "&amp;G821&amp;", z: "&amp;H821&amp;", details: "&amp;CHAR(34)&amp;I821&amp;CHAR(34)&amp;" },"</f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3849</v>
      </c>
      <c r="C822" t="s">
        <v>2886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>"{ name: "&amp;CHAR(34)&amp;B822&amp;CHAR(34)&amp;", landmark: "&amp;CHAR(34)&amp;IF(LEN(C822)=LEN(SUBSTITUTE(C822,"Transport","")),"Korok x1","Korok x2")&amp;CHAR(34)&amp;", type: "&amp;CHAR(34)&amp;C822&amp;CHAR(34)&amp;", region: "&amp;D822&amp;", level: "&amp;CHAR(34)&amp;E822&amp;CHAR(34)&amp;", x: "&amp;F822&amp;", y: "&amp;G822&amp;", z: "&amp;H822&amp;", details: "&amp;CHAR(34)&amp;I822&amp;CHAR(34)&amp;" },"</f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3850</v>
      </c>
      <c r="C823" t="s">
        <v>2870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>"{ name: "&amp;CHAR(34)&amp;B823&amp;CHAR(34)&amp;", landmark: "&amp;CHAR(34)&amp;IF(LEN(C823)=LEN(SUBSTITUTE(C823,"Transport","")),"Korok x1","Korok x2")&amp;CHAR(34)&amp;", type: "&amp;CHAR(34)&amp;C823&amp;CHAR(34)&amp;", region: "&amp;D823&amp;", level: "&amp;CHAR(34)&amp;E823&amp;CHAR(34)&amp;", x: "&amp;F823&amp;", y: "&amp;G823&amp;", z: "&amp;H823&amp;", details: "&amp;CHAR(34)&amp;I823&amp;CHAR(34)&amp;" },"</f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3851</v>
      </c>
      <c r="C824" t="s">
        <v>2874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2837</v>
      </c>
      <c r="J824" t="str">
        <f>"{ name: "&amp;CHAR(34)&amp;B824&amp;CHAR(34)&amp;", landmark: "&amp;CHAR(34)&amp;IF(LEN(C824)=LEN(SUBSTITUTE(C824,"Transport","")),"Korok x1","Korok x2")&amp;CHAR(34)&amp;", type: "&amp;CHAR(34)&amp;C824&amp;CHAR(34)&amp;", region: "&amp;D824&amp;", level: "&amp;CHAR(34)&amp;E824&amp;CHAR(34)&amp;", x: "&amp;F824&amp;", y: "&amp;G824&amp;", z: "&amp;H824&amp;", details: "&amp;CHAR(34)&amp;I824&amp;CHAR(34)&amp;" },"</f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3865</v>
      </c>
      <c r="C825" t="s">
        <v>2865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2738</v>
      </c>
      <c r="J825" t="str">
        <f>"{ name: "&amp;CHAR(34)&amp;B825&amp;CHAR(34)&amp;", landmark: "&amp;CHAR(34)&amp;IF(LEN(C825)=LEN(SUBSTITUTE(C825,"Transport","")),"Korok x1","Korok x2")&amp;CHAR(34)&amp;", type: "&amp;CHAR(34)&amp;C825&amp;CHAR(34)&amp;", region: "&amp;D825&amp;", level: "&amp;CHAR(34)&amp;E825&amp;CHAR(34)&amp;", x: "&amp;F825&amp;", y: "&amp;G825&amp;", z: "&amp;H825&amp;", details: "&amp;CHAR(34)&amp;I825&amp;CHAR(34)&amp;" },"</f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3999</v>
      </c>
      <c r="C826" t="s">
        <v>2869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>"{ name: "&amp;CHAR(34)&amp;B826&amp;CHAR(34)&amp;", landmark: "&amp;CHAR(34)&amp;IF(LEN(C826)=LEN(SUBSTITUTE(C826,"Transport","")),"Korok x1","Korok x2")&amp;CHAR(34)&amp;", type: "&amp;CHAR(34)&amp;C826&amp;CHAR(34)&amp;", region: "&amp;D826&amp;", level: "&amp;CHAR(34)&amp;E826&amp;CHAR(34)&amp;", x: "&amp;F826&amp;", y: "&amp;G826&amp;", z: "&amp;H826&amp;", details: "&amp;CHAR(34)&amp;I826&amp;CHAR(34)&amp;" },"</f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4000</v>
      </c>
      <c r="C827" t="s">
        <v>2884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>"{ name: "&amp;CHAR(34)&amp;B827&amp;CHAR(34)&amp;", landmark: "&amp;CHAR(34)&amp;IF(LEN(C827)=LEN(SUBSTITUTE(C827,"Transport","")),"Korok x1","Korok x2")&amp;CHAR(34)&amp;", type: "&amp;CHAR(34)&amp;C827&amp;CHAR(34)&amp;", region: "&amp;D827&amp;", level: "&amp;CHAR(34)&amp;E827&amp;CHAR(34)&amp;", x: "&amp;F827&amp;", y: "&amp;G827&amp;", z: "&amp;H827&amp;", details: "&amp;CHAR(34)&amp;I827&amp;CHAR(34)&amp;" },"</f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4011</v>
      </c>
      <c r="C828" t="s">
        <v>2865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2734</v>
      </c>
      <c r="J828" t="str">
        <f>"{ name: "&amp;CHAR(34)&amp;B828&amp;CHAR(34)&amp;", landmark: "&amp;CHAR(34)&amp;IF(LEN(C828)=LEN(SUBSTITUTE(C828,"Transport","")),"Korok x1","Korok x2")&amp;CHAR(34)&amp;", type: "&amp;CHAR(34)&amp;C828&amp;CHAR(34)&amp;", region: "&amp;D828&amp;", level: "&amp;CHAR(34)&amp;E828&amp;CHAR(34)&amp;", x: "&amp;F828&amp;", y: "&amp;G828&amp;", z: "&amp;H828&amp;", details: "&amp;CHAR(34)&amp;I828&amp;CHAR(34)&amp;" },"</f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4012</v>
      </c>
      <c r="C829" t="s">
        <v>2867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>"{ name: "&amp;CHAR(34)&amp;B829&amp;CHAR(34)&amp;", landmark: "&amp;CHAR(34)&amp;IF(LEN(C829)=LEN(SUBSTITUTE(C829,"Transport","")),"Korok x1","Korok x2")&amp;CHAR(34)&amp;", type: "&amp;CHAR(34)&amp;C829&amp;CHAR(34)&amp;", region: "&amp;D829&amp;", level: "&amp;CHAR(34)&amp;E829&amp;CHAR(34)&amp;", x: "&amp;F829&amp;", y: "&amp;G829&amp;", z: "&amp;H829&amp;", details: "&amp;CHAR(34)&amp;I829&amp;CHAR(34)&amp;" },"</f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4013</v>
      </c>
      <c r="C830" t="s">
        <v>2880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2735</v>
      </c>
      <c r="J830" t="str">
        <f>"{ name: "&amp;CHAR(34)&amp;B830&amp;CHAR(34)&amp;", landmark: "&amp;CHAR(34)&amp;IF(LEN(C830)=LEN(SUBSTITUTE(C830,"Transport","")),"Korok x1","Korok x2")&amp;CHAR(34)&amp;", type: "&amp;CHAR(34)&amp;C830&amp;CHAR(34)&amp;", region: "&amp;D830&amp;", level: "&amp;CHAR(34)&amp;E830&amp;CHAR(34)&amp;", x: "&amp;F830&amp;", y: "&amp;G830&amp;", z: "&amp;H830&amp;", details: "&amp;CHAR(34)&amp;I830&amp;CHAR(34)&amp;" },"</f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4014</v>
      </c>
      <c r="C831" t="s">
        <v>2878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>"{ name: "&amp;CHAR(34)&amp;B831&amp;CHAR(34)&amp;", landmark: "&amp;CHAR(34)&amp;IF(LEN(C831)=LEN(SUBSTITUTE(C831,"Transport","")),"Korok x1","Korok x2")&amp;CHAR(34)&amp;", type: "&amp;CHAR(34)&amp;C831&amp;CHAR(34)&amp;", region: "&amp;D831&amp;", level: "&amp;CHAR(34)&amp;E831&amp;CHAR(34)&amp;", x: "&amp;F831&amp;", y: "&amp;G831&amp;", z: "&amp;H831&amp;", details: "&amp;CHAR(34)&amp;I831&amp;CHAR(34)&amp;" },"</f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4015</v>
      </c>
      <c r="C832" t="s">
        <v>2864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>"{ name: "&amp;CHAR(34)&amp;B832&amp;CHAR(34)&amp;", landmark: "&amp;CHAR(34)&amp;IF(LEN(C832)=LEN(SUBSTITUTE(C832,"Transport","")),"Korok x1","Korok x2")&amp;CHAR(34)&amp;", type: "&amp;CHAR(34)&amp;C832&amp;CHAR(34)&amp;", region: "&amp;D832&amp;", level: "&amp;CHAR(34)&amp;E832&amp;CHAR(34)&amp;", x: "&amp;F832&amp;", y: "&amp;G832&amp;", z: "&amp;H832&amp;", details: "&amp;CHAR(34)&amp;I832&amp;CHAR(34)&amp;" },"</f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4023</v>
      </c>
      <c r="C833" t="s">
        <v>2871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>"{ name: "&amp;CHAR(34)&amp;B833&amp;CHAR(34)&amp;", landmark: "&amp;CHAR(34)&amp;IF(LEN(C833)=LEN(SUBSTITUTE(C833,"Transport","")),"Korok x1","Korok x2")&amp;CHAR(34)&amp;", type: "&amp;CHAR(34)&amp;C833&amp;CHAR(34)&amp;", region: "&amp;D833&amp;", level: "&amp;CHAR(34)&amp;E833&amp;CHAR(34)&amp;", x: "&amp;F833&amp;", y: "&amp;G833&amp;", z: "&amp;H833&amp;", details: "&amp;CHAR(34)&amp;I833&amp;CHAR(34)&amp;" },"</f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4131</v>
      </c>
      <c r="C834" t="s">
        <v>2889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4133</v>
      </c>
      <c r="C835" t="s">
        <v>2884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>"{ name: "&amp;CHAR(34)&amp;B835&amp;CHAR(34)&amp;", landmark: "&amp;CHAR(34)&amp;IF(LEN(C835)=LEN(SUBSTITUTE(C835,"Transport","")),"Korok x1","Korok x2")&amp;CHAR(34)&amp;", type: "&amp;CHAR(34)&amp;C835&amp;CHAR(34)&amp;", region: "&amp;D835&amp;", level: "&amp;CHAR(34)&amp;E835&amp;CHAR(34)&amp;", x: "&amp;F835&amp;", y: "&amp;G835&amp;", z: "&amp;H835&amp;", details: "&amp;CHAR(34)&amp;I835&amp;CHAR(34)&amp;" },"</f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4134</v>
      </c>
      <c r="C836" t="s">
        <v>2658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>"{ name: "&amp;CHAR(34)&amp;B836&amp;CHAR(34)&amp;", landmark: "&amp;CHAR(34)&amp;IF(LEN(C836)=LEN(SUBSTITUTE(C836,"Transport","")),"Korok x1","Korok x2")&amp;CHAR(34)&amp;", type: "&amp;CHAR(34)&amp;C836&amp;CHAR(34)&amp;", region: "&amp;D836&amp;", level: "&amp;CHAR(34)&amp;E836&amp;CHAR(34)&amp;", x: "&amp;F836&amp;", y: "&amp;G836&amp;", z: "&amp;H836&amp;", details: "&amp;CHAR(34)&amp;I836&amp;CHAR(34)&amp;" },"</f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4135</v>
      </c>
      <c r="C837" t="s">
        <v>2890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2831</v>
      </c>
      <c r="J837" t="str">
        <f>"{ name: "&amp;CHAR(34)&amp;B837&amp;CHAR(34)&amp;", landmark: "&amp;CHAR(34)&amp;IF(LEN(C837)=LEN(SUBSTITUTE(C837,"Transport","")),"Korok x1","Korok x2")&amp;CHAR(34)&amp;", type: "&amp;CHAR(34)&amp;C837&amp;CHAR(34)&amp;", region: "&amp;D837&amp;", level: "&amp;CHAR(34)&amp;E837&amp;CHAR(34)&amp;", x: "&amp;F837&amp;", y: "&amp;G837&amp;", z: "&amp;H837&amp;", details: "&amp;CHAR(34)&amp;I837&amp;CHAR(34)&amp;" },"</f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4136</v>
      </c>
      <c r="C838" t="s">
        <v>2874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2832</v>
      </c>
      <c r="J838" t="str">
        <f>"{ name: "&amp;CHAR(34)&amp;B838&amp;CHAR(34)&amp;", landmark: "&amp;CHAR(34)&amp;IF(LEN(C838)=LEN(SUBSTITUTE(C838,"Transport","")),"Korok x1","Korok x2")&amp;CHAR(34)&amp;", type: "&amp;CHAR(34)&amp;C838&amp;CHAR(34)&amp;", region: "&amp;D838&amp;", level: "&amp;CHAR(34)&amp;E838&amp;CHAR(34)&amp;", x: "&amp;F838&amp;", y: "&amp;G838&amp;", z: "&amp;H838&amp;", details: "&amp;CHAR(34)&amp;I838&amp;CHAR(34)&amp;" },"</f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4152</v>
      </c>
      <c r="C839" t="s">
        <v>2887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>"{ name: "&amp;CHAR(34)&amp;B839&amp;CHAR(34)&amp;", landmark: "&amp;CHAR(34)&amp;IF(LEN(C839)=LEN(SUBSTITUTE(C839,"Transport","")),"Korok x1","Korok x2")&amp;CHAR(34)&amp;", type: "&amp;CHAR(34)&amp;C839&amp;CHAR(34)&amp;", region: "&amp;D839&amp;", level: "&amp;CHAR(34)&amp;E839&amp;CHAR(34)&amp;", x: "&amp;F839&amp;", y: "&amp;G839&amp;", z: "&amp;H839&amp;", details: "&amp;CHAR(34)&amp;I839&amp;CHAR(34)&amp;" },"</f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4164</v>
      </c>
      <c r="C840" t="s">
        <v>2870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>"{ name: "&amp;CHAR(34)&amp;B840&amp;CHAR(34)&amp;", landmark: "&amp;CHAR(34)&amp;IF(LEN(C840)=LEN(SUBSTITUTE(C840,"Transport","")),"Korok x1","Korok x2")&amp;CHAR(34)&amp;", type: "&amp;CHAR(34)&amp;C840&amp;CHAR(34)&amp;", region: "&amp;D840&amp;", level: "&amp;CHAR(34)&amp;E840&amp;CHAR(34)&amp;", x: "&amp;F840&amp;", y: "&amp;G840&amp;", z: "&amp;H840&amp;", details: "&amp;CHAR(34)&amp;I840&amp;CHAR(34)&amp;" },"</f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3320</v>
      </c>
      <c r="C841" t="s">
        <v>2879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>"{ name: "&amp;CHAR(34)&amp;B841&amp;CHAR(34)&amp;", landmark: "&amp;CHAR(34)&amp;IF(LEN(C841)=LEN(SUBSTITUTE(C841,"Transport","")),"Korok x1","Korok x2")&amp;CHAR(34)&amp;", type: "&amp;CHAR(34)&amp;C841&amp;CHAR(34)&amp;", region: "&amp;D841&amp;", level: "&amp;CHAR(34)&amp;E841&amp;CHAR(34)&amp;", x: "&amp;F841&amp;", y: "&amp;G841&amp;", z: "&amp;H841&amp;", details: "&amp;CHAR(34)&amp;I841&amp;CHAR(34)&amp;" },"</f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3321</v>
      </c>
      <c r="C842" t="s">
        <v>2864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>"{ name: "&amp;CHAR(34)&amp;B842&amp;CHAR(34)&amp;", landmark: "&amp;CHAR(34)&amp;IF(LEN(C842)=LEN(SUBSTITUTE(C842,"Transport","")),"Korok x1","Korok x2")&amp;CHAR(34)&amp;", type: "&amp;CHAR(34)&amp;C842&amp;CHAR(34)&amp;", region: "&amp;D842&amp;", level: "&amp;CHAR(34)&amp;E842&amp;CHAR(34)&amp;", x: "&amp;F842&amp;", y: "&amp;G842&amp;", z: "&amp;H842&amp;", details: "&amp;CHAR(34)&amp;I842&amp;CHAR(34)&amp;" },"</f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3322</v>
      </c>
      <c r="C843" t="s">
        <v>2884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>"{ name: "&amp;CHAR(34)&amp;B843&amp;CHAR(34)&amp;", landmark: "&amp;CHAR(34)&amp;IF(LEN(C843)=LEN(SUBSTITUTE(C843,"Transport","")),"Korok x1","Korok x2")&amp;CHAR(34)&amp;", type: "&amp;CHAR(34)&amp;C843&amp;CHAR(34)&amp;", region: "&amp;D843&amp;", level: "&amp;CHAR(34)&amp;E843&amp;CHAR(34)&amp;", x: "&amp;F843&amp;", y: "&amp;G843&amp;", z: "&amp;H843&amp;", details: "&amp;CHAR(34)&amp;I843&amp;CHAR(34)&amp;" },"</f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3493</v>
      </c>
      <c r="C844" t="s">
        <v>2874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2836</v>
      </c>
      <c r="J844" t="str">
        <f>"{ name: "&amp;CHAR(34)&amp;B844&amp;CHAR(34)&amp;", landmark: "&amp;CHAR(34)&amp;IF(LEN(C844)=LEN(SUBSTITUTE(C844,"Transport","")),"Korok x1","Korok x2")&amp;CHAR(34)&amp;", type: "&amp;CHAR(34)&amp;C844&amp;CHAR(34)&amp;", region: "&amp;D844&amp;", level: "&amp;CHAR(34)&amp;E844&amp;CHAR(34)&amp;", x: "&amp;F844&amp;", y: "&amp;G844&amp;", z: "&amp;H844&amp;", details: "&amp;CHAR(34)&amp;I844&amp;CHAR(34)&amp;" },"</f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3495</v>
      </c>
      <c r="C845" t="s">
        <v>2875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>"{ name: "&amp;CHAR(34)&amp;B845&amp;CHAR(34)&amp;", landmark: "&amp;CHAR(34)&amp;IF(LEN(C845)=LEN(SUBSTITUTE(C845,"Transport","")),"Korok x1","Korok x2")&amp;CHAR(34)&amp;", type: "&amp;CHAR(34)&amp;C845&amp;CHAR(34)&amp;", region: "&amp;D845&amp;", level: "&amp;CHAR(34)&amp;E845&amp;CHAR(34)&amp;", x: "&amp;F845&amp;", y: "&amp;G845&amp;", z: "&amp;H845&amp;", details: "&amp;CHAR(34)&amp;I845&amp;CHAR(34)&amp;" },"</f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3496</v>
      </c>
      <c r="C846" t="s">
        <v>2887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>"{ name: "&amp;CHAR(34)&amp;B846&amp;CHAR(34)&amp;", landmark: "&amp;CHAR(34)&amp;IF(LEN(C846)=LEN(SUBSTITUTE(C846,"Transport","")),"Korok x1","Korok x2")&amp;CHAR(34)&amp;", type: "&amp;CHAR(34)&amp;C846&amp;CHAR(34)&amp;", region: "&amp;D846&amp;", level: "&amp;CHAR(34)&amp;E846&amp;CHAR(34)&amp;", x: "&amp;F846&amp;", y: "&amp;G846&amp;", z: "&amp;H846&amp;", details: "&amp;CHAR(34)&amp;I846&amp;CHAR(34)&amp;" },"</f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3497</v>
      </c>
      <c r="C847" t="s">
        <v>2876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>"{ name: "&amp;CHAR(34)&amp;B847&amp;CHAR(34)&amp;", landmark: "&amp;CHAR(34)&amp;IF(LEN(C847)=LEN(SUBSTITUTE(C847,"Transport","")),"Korok x1","Korok x2")&amp;CHAR(34)&amp;", type: "&amp;CHAR(34)&amp;C847&amp;CHAR(34)&amp;", region: "&amp;D847&amp;", level: "&amp;CHAR(34)&amp;E847&amp;CHAR(34)&amp;", x: "&amp;F847&amp;", y: "&amp;G847&amp;", z: "&amp;H847&amp;", details: "&amp;CHAR(34)&amp;I847&amp;CHAR(34)&amp;" },"</f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3498</v>
      </c>
      <c r="C848" t="s">
        <v>2880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2727</v>
      </c>
      <c r="J848" t="str">
        <f>"{ name: "&amp;CHAR(34)&amp;B848&amp;CHAR(34)&amp;", landmark: "&amp;CHAR(34)&amp;IF(LEN(C848)=LEN(SUBSTITUTE(C848,"Transport","")),"Korok x1","Korok x2")&amp;CHAR(34)&amp;", type: "&amp;CHAR(34)&amp;C848&amp;CHAR(34)&amp;", region: "&amp;D848&amp;", level: "&amp;CHAR(34)&amp;E848&amp;CHAR(34)&amp;", x: "&amp;F848&amp;", y: "&amp;G848&amp;", z: "&amp;H848&amp;", details: "&amp;CHAR(34)&amp;I848&amp;CHAR(34)&amp;" },"</f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3499</v>
      </c>
      <c r="C849" t="s">
        <v>2871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>"{ name: "&amp;CHAR(34)&amp;B849&amp;CHAR(34)&amp;", landmark: "&amp;CHAR(34)&amp;IF(LEN(C849)=LEN(SUBSTITUTE(C849,"Transport","")),"Korok x1","Korok x2")&amp;CHAR(34)&amp;", type: "&amp;CHAR(34)&amp;C849&amp;CHAR(34)&amp;", region: "&amp;D849&amp;", level: "&amp;CHAR(34)&amp;E849&amp;CHAR(34)&amp;", x: "&amp;F849&amp;", y: "&amp;G849&amp;", z: "&amp;H849&amp;", details: "&amp;CHAR(34)&amp;I849&amp;CHAR(34)&amp;" },"</f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3500</v>
      </c>
      <c r="C850" t="s">
        <v>2888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>"{ name: "&amp;CHAR(34)&amp;B850&amp;CHAR(34)&amp;", landmark: "&amp;CHAR(34)&amp;IF(LEN(C850)=LEN(SUBSTITUTE(C850,"Transport","")),"Korok x1","Korok x2")&amp;CHAR(34)&amp;", type: "&amp;CHAR(34)&amp;C850&amp;CHAR(34)&amp;", region: "&amp;D850&amp;", level: "&amp;CHAR(34)&amp;E850&amp;CHAR(34)&amp;", x: "&amp;F850&amp;", y: "&amp;G850&amp;", z: "&amp;H850&amp;", details: "&amp;CHAR(34)&amp;I850&amp;CHAR(34)&amp;" },"</f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3528</v>
      </c>
      <c r="C851" t="s">
        <v>2871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>"{ name: "&amp;CHAR(34)&amp;B851&amp;CHAR(34)&amp;", landmark: "&amp;CHAR(34)&amp;IF(LEN(C851)=LEN(SUBSTITUTE(C851,"Transport","")),"Korok x1","Korok x2")&amp;CHAR(34)&amp;", type: "&amp;CHAR(34)&amp;C851&amp;CHAR(34)&amp;", region: "&amp;D851&amp;", level: "&amp;CHAR(34)&amp;E851&amp;CHAR(34)&amp;", x: "&amp;F851&amp;", y: "&amp;G851&amp;", z: "&amp;H851&amp;", details: "&amp;CHAR(34)&amp;I851&amp;CHAR(34)&amp;" },"</f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3529</v>
      </c>
      <c r="C852" t="s">
        <v>2887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>"{ name: "&amp;CHAR(34)&amp;B852&amp;CHAR(34)&amp;", landmark: "&amp;CHAR(34)&amp;IF(LEN(C852)=LEN(SUBSTITUTE(C852,"Transport","")),"Korok x1","Korok x2")&amp;CHAR(34)&amp;", type: "&amp;CHAR(34)&amp;C852&amp;CHAR(34)&amp;", region: "&amp;D852&amp;", level: "&amp;CHAR(34)&amp;E852&amp;CHAR(34)&amp;", x: "&amp;F852&amp;", y: "&amp;G852&amp;", z: "&amp;H852&amp;", details: "&amp;CHAR(34)&amp;I852&amp;CHAR(34)&amp;" },"</f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3530</v>
      </c>
      <c r="C853" t="s">
        <v>2870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>"{ name: "&amp;CHAR(34)&amp;B853&amp;CHAR(34)&amp;", landmark: "&amp;CHAR(34)&amp;IF(LEN(C853)=LEN(SUBSTITUTE(C853,"Transport","")),"Korok x1","Korok x2")&amp;CHAR(34)&amp;", type: "&amp;CHAR(34)&amp;C853&amp;CHAR(34)&amp;", region: "&amp;D853&amp;", level: "&amp;CHAR(34)&amp;E853&amp;CHAR(34)&amp;", x: "&amp;F853&amp;", y: "&amp;G853&amp;", z: "&amp;H853&amp;", details: "&amp;CHAR(34)&amp;I853&amp;CHAR(34)&amp;" },"</f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3657</v>
      </c>
      <c r="C854" t="s">
        <v>2870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>"{ name: "&amp;CHAR(34)&amp;B854&amp;CHAR(34)&amp;", landmark: "&amp;CHAR(34)&amp;IF(LEN(C854)=LEN(SUBSTITUTE(C854,"Transport","")),"Korok x1","Korok x2")&amp;CHAR(34)&amp;", type: "&amp;CHAR(34)&amp;C854&amp;CHAR(34)&amp;", region: "&amp;D854&amp;", level: "&amp;CHAR(34)&amp;E854&amp;CHAR(34)&amp;", x: "&amp;F854&amp;", y: "&amp;G854&amp;", z: "&amp;H854&amp;", details: "&amp;CHAR(34)&amp;I854&amp;CHAR(34)&amp;" },"</f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3658</v>
      </c>
      <c r="C855" t="s">
        <v>2864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>"{ name: "&amp;CHAR(34)&amp;B855&amp;CHAR(34)&amp;", landmark: "&amp;CHAR(34)&amp;IF(LEN(C855)=LEN(SUBSTITUTE(C855,"Transport","")),"Korok x1","Korok x2")&amp;CHAR(34)&amp;", type: "&amp;CHAR(34)&amp;C855&amp;CHAR(34)&amp;", region: "&amp;D855&amp;", level: "&amp;CHAR(34)&amp;E855&amp;CHAR(34)&amp;", x: "&amp;F855&amp;", y: "&amp;G855&amp;", z: "&amp;H855&amp;", details: "&amp;CHAR(34)&amp;I855&amp;CHAR(34)&amp;" },"</f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3659</v>
      </c>
      <c r="C856" t="s">
        <v>2875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>"{ name: "&amp;CHAR(34)&amp;B856&amp;CHAR(34)&amp;", landmark: "&amp;CHAR(34)&amp;IF(LEN(C856)=LEN(SUBSTITUTE(C856,"Transport","")),"Korok x1","Korok x2")&amp;CHAR(34)&amp;", type: "&amp;CHAR(34)&amp;C856&amp;CHAR(34)&amp;", region: "&amp;D856&amp;", level: "&amp;CHAR(34)&amp;E856&amp;CHAR(34)&amp;", x: "&amp;F856&amp;", y: "&amp;G856&amp;", z: "&amp;H856&amp;", details: "&amp;CHAR(34)&amp;I856&amp;CHAR(34)&amp;" },"</f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3660</v>
      </c>
      <c r="C857" t="s">
        <v>2877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>"{ name: "&amp;CHAR(34)&amp;B857&amp;CHAR(34)&amp;", landmark: "&amp;CHAR(34)&amp;IF(LEN(C857)=LEN(SUBSTITUTE(C857,"Transport","")),"Korok x1","Korok x2")&amp;CHAR(34)&amp;", type: "&amp;CHAR(34)&amp;C857&amp;CHAR(34)&amp;", region: "&amp;D857&amp;", level: "&amp;CHAR(34)&amp;E857&amp;CHAR(34)&amp;", x: "&amp;F857&amp;", y: "&amp;G857&amp;", z: "&amp;H857&amp;", details: "&amp;CHAR(34)&amp;I857&amp;CHAR(34)&amp;" },"</f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3661</v>
      </c>
      <c r="C858" t="s">
        <v>2870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>"{ name: "&amp;CHAR(34)&amp;B858&amp;CHAR(34)&amp;", landmark: "&amp;CHAR(34)&amp;IF(LEN(C858)=LEN(SUBSTITUTE(C858,"Transport","")),"Korok x1","Korok x2")&amp;CHAR(34)&amp;", type: "&amp;CHAR(34)&amp;C858&amp;CHAR(34)&amp;", region: "&amp;D858&amp;", level: "&amp;CHAR(34)&amp;E858&amp;CHAR(34)&amp;", x: "&amp;F858&amp;", y: "&amp;G858&amp;", z: "&amp;H858&amp;", details: "&amp;CHAR(34)&amp;I858&amp;CHAR(34)&amp;" },"</f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3662</v>
      </c>
      <c r="C859" t="s">
        <v>2880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2731</v>
      </c>
      <c r="J859" t="str">
        <f>"{ name: "&amp;CHAR(34)&amp;B859&amp;CHAR(34)&amp;", landmark: "&amp;CHAR(34)&amp;IF(LEN(C859)=LEN(SUBSTITUTE(C859,"Transport","")),"Korok x1","Korok x2")&amp;CHAR(34)&amp;", type: "&amp;CHAR(34)&amp;C859&amp;CHAR(34)&amp;", region: "&amp;D859&amp;", level: "&amp;CHAR(34)&amp;E859&amp;CHAR(34)&amp;", x: "&amp;F859&amp;", y: "&amp;G859&amp;", z: "&amp;H859&amp;", details: "&amp;CHAR(34)&amp;I859&amp;CHAR(34)&amp;" },"</f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3663</v>
      </c>
      <c r="C860" t="s">
        <v>2865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2733</v>
      </c>
      <c r="J860" t="str">
        <f>"{ name: "&amp;CHAR(34)&amp;B860&amp;CHAR(34)&amp;", landmark: "&amp;CHAR(34)&amp;IF(LEN(C860)=LEN(SUBSTITUTE(C860,"Transport","")),"Korok x1","Korok x2")&amp;CHAR(34)&amp;", type: "&amp;CHAR(34)&amp;C860&amp;CHAR(34)&amp;", region: "&amp;D860&amp;", level: "&amp;CHAR(34)&amp;E860&amp;CHAR(34)&amp;", x: "&amp;F860&amp;", y: "&amp;G860&amp;", z: "&amp;H860&amp;", details: "&amp;CHAR(34)&amp;I860&amp;CHAR(34)&amp;" },"</f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3681</v>
      </c>
      <c r="C861" t="s">
        <v>2882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>"{ name: "&amp;CHAR(34)&amp;B861&amp;CHAR(34)&amp;", landmark: "&amp;CHAR(34)&amp;IF(LEN(C861)=LEN(SUBSTITUTE(C861,"Transport","")),"Korok x1","Korok x2")&amp;CHAR(34)&amp;", type: "&amp;CHAR(34)&amp;C861&amp;CHAR(34)&amp;", region: "&amp;D861&amp;", level: "&amp;CHAR(34)&amp;E861&amp;CHAR(34)&amp;", x: "&amp;F861&amp;", y: "&amp;G861&amp;", z: "&amp;H861&amp;", details: "&amp;CHAR(34)&amp;I861&amp;CHAR(34)&amp;" },"</f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3718</v>
      </c>
      <c r="C862" t="s">
        <v>2866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>"{ name: "&amp;CHAR(34)&amp;B862&amp;CHAR(34)&amp;", landmark: "&amp;CHAR(34)&amp;IF(LEN(C862)=LEN(SUBSTITUTE(C862,"Transport","")),"Korok x1","Korok x2")&amp;CHAR(34)&amp;", type: "&amp;CHAR(34)&amp;C862&amp;CHAR(34)&amp;", region: "&amp;D862&amp;", level: "&amp;CHAR(34)&amp;E862&amp;CHAR(34)&amp;", x: "&amp;F862&amp;", y: "&amp;G862&amp;", z: "&amp;H862&amp;", details: "&amp;CHAR(34)&amp;I862&amp;CHAR(34)&amp;" },"</f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3719</v>
      </c>
      <c r="C863" t="s">
        <v>2879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>"{ name: "&amp;CHAR(34)&amp;B863&amp;CHAR(34)&amp;", landmark: "&amp;CHAR(34)&amp;IF(LEN(C863)=LEN(SUBSTITUTE(C863,"Transport","")),"Korok x1","Korok x2")&amp;CHAR(34)&amp;", type: "&amp;CHAR(34)&amp;C863&amp;CHAR(34)&amp;", region: "&amp;D863&amp;", level: "&amp;CHAR(34)&amp;E863&amp;CHAR(34)&amp;", x: "&amp;F863&amp;", y: "&amp;G863&amp;", z: "&amp;H863&amp;", details: "&amp;CHAR(34)&amp;I863&amp;CHAR(34)&amp;" },"</f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3720</v>
      </c>
      <c r="C864" t="s">
        <v>2888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>"{ name: "&amp;CHAR(34)&amp;B864&amp;CHAR(34)&amp;", landmark: "&amp;CHAR(34)&amp;IF(LEN(C864)=LEN(SUBSTITUTE(C864,"Transport","")),"Korok x1","Korok x2")&amp;CHAR(34)&amp;", type: "&amp;CHAR(34)&amp;C864&amp;CHAR(34)&amp;", region: "&amp;D864&amp;", level: "&amp;CHAR(34)&amp;E864&amp;CHAR(34)&amp;", x: "&amp;F864&amp;", y: "&amp;G864&amp;", z: "&amp;H864&amp;", details: "&amp;CHAR(34)&amp;I864&amp;CHAR(34)&amp;" },"</f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3721</v>
      </c>
      <c r="C865" t="s">
        <v>2889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>"{ name: "&amp;CHAR(34)&amp;B865&amp;CHAR(34)&amp;", landmark: "&amp;CHAR(34)&amp;IF(LEN(C865)=LEN(SUBSTITUTE(C865,"Transport","")),"Korok x1","Korok x2")&amp;CHAR(34)&amp;", type: "&amp;CHAR(34)&amp;C865&amp;CHAR(34)&amp;", region: "&amp;D865&amp;", level: "&amp;CHAR(34)&amp;E865&amp;CHAR(34)&amp;", x: "&amp;F865&amp;", y: "&amp;G865&amp;", z: "&amp;H865&amp;", details: "&amp;CHAR(34)&amp;I865&amp;CHAR(34)&amp;" },"</f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3796</v>
      </c>
      <c r="C866" t="s">
        <v>2866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>"{ name: "&amp;CHAR(34)&amp;B866&amp;CHAR(34)&amp;", landmark: "&amp;CHAR(34)&amp;IF(LEN(C866)=LEN(SUBSTITUTE(C866,"Transport","")),"Korok x1","Korok x2")&amp;CHAR(34)&amp;", type: "&amp;CHAR(34)&amp;C866&amp;CHAR(34)&amp;", region: "&amp;D866&amp;", level: "&amp;CHAR(34)&amp;E866&amp;CHAR(34)&amp;", x: "&amp;F866&amp;", y: "&amp;G866&amp;", z: "&amp;H866&amp;", details: "&amp;CHAR(34)&amp;I866&amp;CHAR(34)&amp;" },"</f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3797</v>
      </c>
      <c r="C867" t="s">
        <v>2880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2728</v>
      </c>
      <c r="J867" t="str">
        <f>"{ name: "&amp;CHAR(34)&amp;B867&amp;CHAR(34)&amp;", landmark: "&amp;CHAR(34)&amp;IF(LEN(C867)=LEN(SUBSTITUTE(C867,"Transport","")),"Korok x1","Korok x2")&amp;CHAR(34)&amp;", type: "&amp;CHAR(34)&amp;C867&amp;CHAR(34)&amp;", region: "&amp;D867&amp;", level: "&amp;CHAR(34)&amp;E867&amp;CHAR(34)&amp;", x: "&amp;F867&amp;", y: "&amp;G867&amp;", z: "&amp;H867&amp;", details: "&amp;CHAR(34)&amp;I867&amp;CHAR(34)&amp;" },"</f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3803</v>
      </c>
      <c r="C868" t="s">
        <v>2875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>"{ name: "&amp;CHAR(34)&amp;B868&amp;CHAR(34)&amp;", landmark: "&amp;CHAR(34)&amp;IF(LEN(C868)=LEN(SUBSTITUTE(C868,"Transport","")),"Korok x1","Korok x2")&amp;CHAR(34)&amp;", type: "&amp;CHAR(34)&amp;C868&amp;CHAR(34)&amp;", region: "&amp;D868&amp;", level: "&amp;CHAR(34)&amp;E868&amp;CHAR(34)&amp;", x: "&amp;F868&amp;", y: "&amp;G868&amp;", z: "&amp;H868&amp;", details: "&amp;CHAR(34)&amp;I868&amp;CHAR(34)&amp;" },"</f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3804</v>
      </c>
      <c r="C869" t="s">
        <v>2884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>"{ name: "&amp;CHAR(34)&amp;B869&amp;CHAR(34)&amp;", landmark: "&amp;CHAR(34)&amp;IF(LEN(C869)=LEN(SUBSTITUTE(C869,"Transport","")),"Korok x1","Korok x2")&amp;CHAR(34)&amp;", type: "&amp;CHAR(34)&amp;C869&amp;CHAR(34)&amp;", region: "&amp;D869&amp;", level: "&amp;CHAR(34)&amp;E869&amp;CHAR(34)&amp;", x: "&amp;F869&amp;", y: "&amp;G869&amp;", z: "&amp;H869&amp;", details: "&amp;CHAR(34)&amp;I869&amp;CHAR(34)&amp;" },"</f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3818</v>
      </c>
      <c r="C870" t="s">
        <v>2890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2800</v>
      </c>
      <c r="J870" t="str">
        <f>"{ name: "&amp;CHAR(34)&amp;B870&amp;CHAR(34)&amp;", landmark: "&amp;CHAR(34)&amp;IF(LEN(C870)=LEN(SUBSTITUTE(C870,"Transport","")),"Korok x1","Korok x2")&amp;CHAR(34)&amp;", type: "&amp;CHAR(34)&amp;C870&amp;CHAR(34)&amp;", region: "&amp;D870&amp;", level: "&amp;CHAR(34)&amp;E870&amp;CHAR(34)&amp;", x: "&amp;F870&amp;", y: "&amp;G870&amp;", z: "&amp;H870&amp;", details: "&amp;CHAR(34)&amp;I870&amp;CHAR(34)&amp;" },"</f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3917</v>
      </c>
      <c r="C871" t="s">
        <v>2878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>"{ name: "&amp;CHAR(34)&amp;B871&amp;CHAR(34)&amp;", landmark: "&amp;CHAR(34)&amp;IF(LEN(C871)=LEN(SUBSTITUTE(C871,"Transport","")),"Korok x1","Korok x2")&amp;CHAR(34)&amp;", type: "&amp;CHAR(34)&amp;C871&amp;CHAR(34)&amp;", region: "&amp;D871&amp;", level: "&amp;CHAR(34)&amp;E871&amp;CHAR(34)&amp;", x: "&amp;F871&amp;", y: "&amp;G871&amp;", z: "&amp;H871&amp;", details: "&amp;CHAR(34)&amp;I871&amp;CHAR(34)&amp;" },"</f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3918</v>
      </c>
      <c r="C872" t="s">
        <v>2885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>"{ name: "&amp;CHAR(34)&amp;B872&amp;CHAR(34)&amp;", landmark: "&amp;CHAR(34)&amp;IF(LEN(C872)=LEN(SUBSTITUTE(C872,"Transport","")),"Korok x1","Korok x2")&amp;CHAR(34)&amp;", type: "&amp;CHAR(34)&amp;C872&amp;CHAR(34)&amp;", region: "&amp;D872&amp;", level: "&amp;CHAR(34)&amp;E872&amp;CHAR(34)&amp;", x: "&amp;F872&amp;", y: "&amp;G872&amp;", z: "&amp;H872&amp;", details: "&amp;CHAR(34)&amp;I872&amp;CHAR(34)&amp;" },"</f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3919</v>
      </c>
      <c r="C873" t="s">
        <v>2886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>"{ name: "&amp;CHAR(34)&amp;B873&amp;CHAR(34)&amp;", landmark: "&amp;CHAR(34)&amp;IF(LEN(C873)=LEN(SUBSTITUTE(C873,"Transport","")),"Korok x1","Korok x2")&amp;CHAR(34)&amp;", type: "&amp;CHAR(34)&amp;C873&amp;CHAR(34)&amp;", region: "&amp;D873&amp;", level: "&amp;CHAR(34)&amp;E873&amp;CHAR(34)&amp;", x: "&amp;F873&amp;", y: "&amp;G873&amp;", z: "&amp;H873&amp;", details: "&amp;CHAR(34)&amp;I873&amp;CHAR(34)&amp;" },"</f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3920</v>
      </c>
      <c r="C874" t="s">
        <v>2865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2730</v>
      </c>
      <c r="J874" t="str">
        <f>"{ name: "&amp;CHAR(34)&amp;B874&amp;CHAR(34)&amp;", landmark: "&amp;CHAR(34)&amp;IF(LEN(C874)=LEN(SUBSTITUTE(C874,"Transport","")),"Korok x1","Korok x2")&amp;CHAR(34)&amp;", type: "&amp;CHAR(34)&amp;C874&amp;CHAR(34)&amp;", region: "&amp;D874&amp;", level: "&amp;CHAR(34)&amp;E874&amp;CHAR(34)&amp;", x: "&amp;F874&amp;", y: "&amp;G874&amp;", z: "&amp;H874&amp;", details: "&amp;CHAR(34)&amp;I874&amp;CHAR(34)&amp;" },"</f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3921</v>
      </c>
      <c r="C875" t="s">
        <v>2871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>"{ name: "&amp;CHAR(34)&amp;B875&amp;CHAR(34)&amp;", landmark: "&amp;CHAR(34)&amp;IF(LEN(C875)=LEN(SUBSTITUTE(C875,"Transport","")),"Korok x1","Korok x2")&amp;CHAR(34)&amp;", type: "&amp;CHAR(34)&amp;C875&amp;CHAR(34)&amp;", region: "&amp;D875&amp;", level: "&amp;CHAR(34)&amp;E875&amp;CHAR(34)&amp;", x: "&amp;F875&amp;", y: "&amp;G875&amp;", z: "&amp;H875&amp;", details: "&amp;CHAR(34)&amp;I875&amp;CHAR(34)&amp;" },"</f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3957</v>
      </c>
      <c r="C876" t="s">
        <v>2878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>"{ name: "&amp;CHAR(34)&amp;B876&amp;CHAR(34)&amp;", landmark: "&amp;CHAR(34)&amp;IF(LEN(C876)=LEN(SUBSTITUTE(C876,"Transport","")),"Korok x1","Korok x2")&amp;CHAR(34)&amp;", type: "&amp;CHAR(34)&amp;C876&amp;CHAR(34)&amp;", region: "&amp;D876&amp;", level: "&amp;CHAR(34)&amp;E876&amp;CHAR(34)&amp;", x: "&amp;F876&amp;", y: "&amp;G876&amp;", z: "&amp;H876&amp;", details: "&amp;CHAR(34)&amp;I876&amp;CHAR(34)&amp;" },"</f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3958</v>
      </c>
      <c r="C877" t="s">
        <v>2871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>"{ name: "&amp;CHAR(34)&amp;B877&amp;CHAR(34)&amp;", landmark: "&amp;CHAR(34)&amp;IF(LEN(C877)=LEN(SUBSTITUTE(C877,"Transport","")),"Korok x1","Korok x2")&amp;CHAR(34)&amp;", type: "&amp;CHAR(34)&amp;C877&amp;CHAR(34)&amp;", region: "&amp;D877&amp;", level: "&amp;CHAR(34)&amp;E877&amp;CHAR(34)&amp;", x: "&amp;F877&amp;", y: "&amp;G877&amp;", z: "&amp;H877&amp;", details: "&amp;CHAR(34)&amp;I877&amp;CHAR(34)&amp;" },"</f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3959</v>
      </c>
      <c r="C878" t="s">
        <v>2876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>"{ name: "&amp;CHAR(34)&amp;B878&amp;CHAR(34)&amp;", landmark: "&amp;CHAR(34)&amp;IF(LEN(C878)=LEN(SUBSTITUTE(C878,"Transport","")),"Korok x1","Korok x2")&amp;CHAR(34)&amp;", type: "&amp;CHAR(34)&amp;C878&amp;CHAR(34)&amp;", region: "&amp;D878&amp;", level: "&amp;CHAR(34)&amp;E878&amp;CHAR(34)&amp;", x: "&amp;F878&amp;", y: "&amp;G878&amp;", z: "&amp;H878&amp;", details: "&amp;CHAR(34)&amp;I878&amp;CHAR(34)&amp;" },"</f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3960</v>
      </c>
      <c r="C879" t="s">
        <v>2876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>"{ name: "&amp;CHAR(34)&amp;B879&amp;CHAR(34)&amp;", landmark: "&amp;CHAR(34)&amp;IF(LEN(C879)=LEN(SUBSTITUTE(C879,"Transport","")),"Korok x1","Korok x2")&amp;CHAR(34)&amp;", type: "&amp;CHAR(34)&amp;C879&amp;CHAR(34)&amp;", region: "&amp;D879&amp;", level: "&amp;CHAR(34)&amp;E879&amp;CHAR(34)&amp;", x: "&amp;F879&amp;", y: "&amp;G879&amp;", z: "&amp;H879&amp;", details: "&amp;CHAR(34)&amp;I879&amp;CHAR(34)&amp;" },"</f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4003</v>
      </c>
      <c r="C880" t="s">
        <v>2870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>"{ name: "&amp;CHAR(34)&amp;B880&amp;CHAR(34)&amp;", landmark: "&amp;CHAR(34)&amp;IF(LEN(C880)=LEN(SUBSTITUTE(C880,"Transport","")),"Korok x1","Korok x2")&amp;CHAR(34)&amp;", type: "&amp;CHAR(34)&amp;C880&amp;CHAR(34)&amp;", region: "&amp;D880&amp;", level: "&amp;CHAR(34)&amp;E880&amp;CHAR(34)&amp;", x: "&amp;F880&amp;", y: "&amp;G880&amp;", z: "&amp;H880&amp;", details: "&amp;CHAR(34)&amp;I880&amp;CHAR(34)&amp;" },"</f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4004</v>
      </c>
      <c r="C881" t="s">
        <v>2864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>"{ name: "&amp;CHAR(34)&amp;B881&amp;CHAR(34)&amp;", landmark: "&amp;CHAR(34)&amp;IF(LEN(C881)=LEN(SUBSTITUTE(C881,"Transport","")),"Korok x1","Korok x2")&amp;CHAR(34)&amp;", type: "&amp;CHAR(34)&amp;C881&amp;CHAR(34)&amp;", region: "&amp;D881&amp;", level: "&amp;CHAR(34)&amp;E881&amp;CHAR(34)&amp;", x: "&amp;F881&amp;", y: "&amp;G881&amp;", z: "&amp;H881&amp;", details: "&amp;CHAR(34)&amp;I881&amp;CHAR(34)&amp;" },"</f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4024</v>
      </c>
      <c r="C882" t="s">
        <v>2875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>"{ name: "&amp;CHAR(34)&amp;B882&amp;CHAR(34)&amp;", landmark: "&amp;CHAR(34)&amp;IF(LEN(C882)=LEN(SUBSTITUTE(C882,"Transport","")),"Korok x1","Korok x2")&amp;CHAR(34)&amp;", type: "&amp;CHAR(34)&amp;C882&amp;CHAR(34)&amp;", region: "&amp;D882&amp;", level: "&amp;CHAR(34)&amp;E882&amp;CHAR(34)&amp;", x: "&amp;F882&amp;", y: "&amp;G882&amp;", z: "&amp;H882&amp;", details: "&amp;CHAR(34)&amp;I882&amp;CHAR(34)&amp;" },"</f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4030</v>
      </c>
      <c r="C883" t="s">
        <v>2879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>"{ name: "&amp;CHAR(34)&amp;B883&amp;CHAR(34)&amp;", landmark: "&amp;CHAR(34)&amp;IF(LEN(C883)=LEN(SUBSTITUTE(C883,"Transport","")),"Korok x1","Korok x2")&amp;CHAR(34)&amp;", type: "&amp;CHAR(34)&amp;C883&amp;CHAR(34)&amp;", region: "&amp;D883&amp;", level: "&amp;CHAR(34)&amp;E883&amp;CHAR(34)&amp;", x: "&amp;F883&amp;", y: "&amp;G883&amp;", z: "&amp;H883&amp;", details: "&amp;CHAR(34)&amp;I883&amp;CHAR(34)&amp;" },"</f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4051</v>
      </c>
      <c r="C884" t="s">
        <v>2890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2822</v>
      </c>
      <c r="J884" t="str">
        <f>"{ name: "&amp;CHAR(34)&amp;B884&amp;CHAR(34)&amp;", landmark: "&amp;CHAR(34)&amp;IF(LEN(C884)=LEN(SUBSTITUTE(C884,"Transport","")),"Korok x1","Korok x2")&amp;CHAR(34)&amp;", type: "&amp;CHAR(34)&amp;C884&amp;CHAR(34)&amp;", region: "&amp;D884&amp;", level: "&amp;CHAR(34)&amp;E884&amp;CHAR(34)&amp;", x: "&amp;F884&amp;", y: "&amp;G884&amp;", z: "&amp;H884&amp;", details: "&amp;CHAR(34)&amp;I884&amp;CHAR(34)&amp;" },"</f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4059</v>
      </c>
      <c r="C885" t="s">
        <v>2870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>"{ name: "&amp;CHAR(34)&amp;B885&amp;CHAR(34)&amp;", landmark: "&amp;CHAR(34)&amp;IF(LEN(C885)=LEN(SUBSTITUTE(C885,"Transport","")),"Korok x1","Korok x2")&amp;CHAR(34)&amp;", type: "&amp;CHAR(34)&amp;C885&amp;CHAR(34)&amp;", region: "&amp;D885&amp;", level: "&amp;CHAR(34)&amp;E885&amp;CHAR(34)&amp;", x: "&amp;F885&amp;", y: "&amp;G885&amp;", z: "&amp;H885&amp;", details: "&amp;CHAR(34)&amp;I885&amp;CHAR(34)&amp;" },"</f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4060</v>
      </c>
      <c r="C886" t="s">
        <v>2889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>"{ name: "&amp;CHAR(34)&amp;B886&amp;CHAR(34)&amp;", landmark: "&amp;CHAR(34)&amp;IF(LEN(C886)=LEN(SUBSTITUTE(C886,"Transport","")),"Korok x1","Korok x2")&amp;CHAR(34)&amp;", type: "&amp;CHAR(34)&amp;C886&amp;CHAR(34)&amp;", region: "&amp;D886&amp;", level: "&amp;CHAR(34)&amp;E886&amp;CHAR(34)&amp;", x: "&amp;F886&amp;", y: "&amp;G886&amp;", z: "&amp;H886&amp;", details: "&amp;CHAR(34)&amp;I886&amp;CHAR(34)&amp;" },"</f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4061</v>
      </c>
      <c r="C887" t="s">
        <v>2865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2751</v>
      </c>
      <c r="J887" t="str">
        <f>"{ name: "&amp;CHAR(34)&amp;B887&amp;CHAR(34)&amp;", landmark: "&amp;CHAR(34)&amp;IF(LEN(C887)=LEN(SUBSTITUTE(C887,"Transport","")),"Korok x1","Korok x2")&amp;CHAR(34)&amp;", type: "&amp;CHAR(34)&amp;C887&amp;CHAR(34)&amp;", region: "&amp;D887&amp;", level: "&amp;CHAR(34)&amp;E887&amp;CHAR(34)&amp;", x: "&amp;F887&amp;", y: "&amp;G887&amp;", z: "&amp;H887&amp;", details: "&amp;CHAR(34)&amp;I887&amp;CHAR(34)&amp;" },"</f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4117</v>
      </c>
      <c r="C888" t="s">
        <v>2884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>"{ name: "&amp;CHAR(34)&amp;B888&amp;CHAR(34)&amp;", landmark: "&amp;CHAR(34)&amp;IF(LEN(C888)=LEN(SUBSTITUTE(C888,"Transport","")),"Korok x1","Korok x2")&amp;CHAR(34)&amp;", type: "&amp;CHAR(34)&amp;C888&amp;CHAR(34)&amp;", region: "&amp;D888&amp;", level: "&amp;CHAR(34)&amp;E888&amp;CHAR(34)&amp;", x: "&amp;F888&amp;", y: "&amp;G888&amp;", z: "&amp;H888&amp;", details: "&amp;CHAR(34)&amp;I888&amp;CHAR(34)&amp;" },"</f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4118</v>
      </c>
      <c r="C889" t="s">
        <v>2875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>"{ name: "&amp;CHAR(34)&amp;B889&amp;CHAR(34)&amp;", landmark: "&amp;CHAR(34)&amp;IF(LEN(C889)=LEN(SUBSTITUTE(C889,"Transport","")),"Korok x1","Korok x2")&amp;CHAR(34)&amp;", type: "&amp;CHAR(34)&amp;C889&amp;CHAR(34)&amp;", region: "&amp;D889&amp;", level: "&amp;CHAR(34)&amp;E889&amp;CHAR(34)&amp;", x: "&amp;F889&amp;", y: "&amp;G889&amp;", z: "&amp;H889&amp;", details: "&amp;CHAR(34)&amp;I889&amp;CHAR(34)&amp;" },"</f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4119</v>
      </c>
      <c r="C890" t="s">
        <v>2865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2729</v>
      </c>
      <c r="J890" t="str">
        <f>"{ name: "&amp;CHAR(34)&amp;B890&amp;CHAR(34)&amp;", landmark: "&amp;CHAR(34)&amp;IF(LEN(C890)=LEN(SUBSTITUTE(C890,"Transport","")),"Korok x1","Korok x2")&amp;CHAR(34)&amp;", type: "&amp;CHAR(34)&amp;C890&amp;CHAR(34)&amp;", region: "&amp;D890&amp;", level: "&amp;CHAR(34)&amp;E890&amp;CHAR(34)&amp;", x: "&amp;F890&amp;", y: "&amp;G890&amp;", z: "&amp;H890&amp;", details: "&amp;CHAR(34)&amp;I890&amp;CHAR(34)&amp;" },"</f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4120</v>
      </c>
      <c r="C891" t="s">
        <v>2870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>"{ name: "&amp;CHAR(34)&amp;B891&amp;CHAR(34)&amp;", landmark: "&amp;CHAR(34)&amp;IF(LEN(C891)=LEN(SUBSTITUTE(C891,"Transport","")),"Korok x1","Korok x2")&amp;CHAR(34)&amp;", type: "&amp;CHAR(34)&amp;C891&amp;CHAR(34)&amp;", region: "&amp;D891&amp;", level: "&amp;CHAR(34)&amp;E891&amp;CHAR(34)&amp;", x: "&amp;F891&amp;", y: "&amp;G891&amp;", z: "&amp;H891&amp;", details: "&amp;CHAR(34)&amp;I891&amp;CHAR(34)&amp;" },"</f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4121</v>
      </c>
      <c r="C892" t="s">
        <v>2874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2835</v>
      </c>
      <c r="J892" t="str">
        <f>"{ name: "&amp;CHAR(34)&amp;B892&amp;CHAR(34)&amp;", landmark: "&amp;CHAR(34)&amp;IF(LEN(C892)=LEN(SUBSTITUTE(C892,"Transport","")),"Korok x1","Korok x2")&amp;CHAR(34)&amp;", type: "&amp;CHAR(34)&amp;C892&amp;CHAR(34)&amp;", region: "&amp;D892&amp;", level: "&amp;CHAR(34)&amp;E892&amp;CHAR(34)&amp;", x: "&amp;F892&amp;", y: "&amp;G892&amp;", z: "&amp;H892&amp;", details: "&amp;CHAR(34)&amp;I892&amp;CHAR(34)&amp;" },"</f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4122</v>
      </c>
      <c r="C893" t="s">
        <v>2889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>"{ name: "&amp;CHAR(34)&amp;B893&amp;CHAR(34)&amp;", landmark: "&amp;CHAR(34)&amp;IF(LEN(C893)=LEN(SUBSTITUTE(C893,"Transport","")),"Korok x1","Korok x2")&amp;CHAR(34)&amp;", type: "&amp;CHAR(34)&amp;C893&amp;CHAR(34)&amp;", region: "&amp;D893&amp;", level: "&amp;CHAR(34)&amp;E893&amp;CHAR(34)&amp;", x: "&amp;F893&amp;", y: "&amp;G893&amp;", z: "&amp;H893&amp;", details: "&amp;CHAR(34)&amp;I893&amp;CHAR(34)&amp;" },"</f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4144</v>
      </c>
      <c r="C894" t="s">
        <v>2658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>"{ name: "&amp;CHAR(34)&amp;B894&amp;CHAR(34)&amp;", landmark: "&amp;CHAR(34)&amp;IF(LEN(C894)=LEN(SUBSTITUTE(C894,"Transport","")),"Korok x1","Korok x2")&amp;CHAR(34)&amp;", type: "&amp;CHAR(34)&amp;C894&amp;CHAR(34)&amp;", region: "&amp;D894&amp;", level: "&amp;CHAR(34)&amp;E894&amp;CHAR(34)&amp;", x: "&amp;F894&amp;", y: "&amp;G894&amp;", z: "&amp;H894&amp;", details: "&amp;CHAR(34)&amp;I894&amp;CHAR(34)&amp;" },"</f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4169</v>
      </c>
      <c r="C895" t="s">
        <v>2880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2732</v>
      </c>
      <c r="J895" t="str">
        <f>"{ name: "&amp;CHAR(34)&amp;B895&amp;CHAR(34)&amp;", landmark: "&amp;CHAR(34)&amp;IF(LEN(C895)=LEN(SUBSTITUTE(C895,"Transport","")),"Korok x1","Korok x2")&amp;CHAR(34)&amp;", type: "&amp;CHAR(34)&amp;C895&amp;CHAR(34)&amp;", region: "&amp;D895&amp;", level: "&amp;CHAR(34)&amp;E895&amp;CHAR(34)&amp;", x: "&amp;F895&amp;", y: "&amp;G895&amp;", z: "&amp;H895&amp;", details: "&amp;CHAR(34)&amp;I895&amp;CHAR(34)&amp;" },"</f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4170</v>
      </c>
      <c r="C896" t="s">
        <v>2871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>"{ name: "&amp;CHAR(34)&amp;B896&amp;CHAR(34)&amp;", landmark: "&amp;CHAR(34)&amp;IF(LEN(C896)=LEN(SUBSTITUTE(C896,"Transport","")),"Korok x1","Korok x2")&amp;CHAR(34)&amp;", type: "&amp;CHAR(34)&amp;C896&amp;CHAR(34)&amp;", region: "&amp;D896&amp;", level: "&amp;CHAR(34)&amp;E896&amp;CHAR(34)&amp;", x: "&amp;F896&amp;", y: "&amp;G896&amp;", z: "&amp;H896&amp;", details: "&amp;CHAR(34)&amp;I896&amp;CHAR(34)&amp;" },"</f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4171</v>
      </c>
      <c r="C897" t="s">
        <v>2866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>"{ name: "&amp;CHAR(34)&amp;B897&amp;CHAR(34)&amp;", landmark: "&amp;CHAR(34)&amp;IF(LEN(C897)=LEN(SUBSTITUTE(C897,"Transport","")),"Korok x1","Korok x2")&amp;CHAR(34)&amp;", type: "&amp;CHAR(34)&amp;C897&amp;CHAR(34)&amp;", region: "&amp;D897&amp;", level: "&amp;CHAR(34)&amp;E897&amp;CHAR(34)&amp;", x: "&amp;F897&amp;", y: "&amp;G897&amp;", z: "&amp;H897&amp;", details: "&amp;CHAR(34)&amp;I897&amp;CHAR(34)&amp;" },"</f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3586</v>
      </c>
      <c r="C898" t="s">
        <v>2864</v>
      </c>
      <c r="D898" s="2" t="s">
        <v>2583</v>
      </c>
      <c r="E898" s="2" t="s">
        <v>785</v>
      </c>
      <c r="F898" s="2">
        <v>399</v>
      </c>
      <c r="G898" s="2">
        <v>1174</v>
      </c>
      <c r="H898" s="2">
        <v>10</v>
      </c>
      <c r="J898" t="str">
        <f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3422</v>
      </c>
      <c r="C899" t="s">
        <v>2879</v>
      </c>
      <c r="D899" s="2" t="s">
        <v>2587</v>
      </c>
      <c r="E899" s="2" t="s">
        <v>785</v>
      </c>
      <c r="F899" s="2">
        <v>959</v>
      </c>
      <c r="G899" s="2">
        <v>-944</v>
      </c>
      <c r="H899" s="2">
        <v>11</v>
      </c>
      <c r="J899" t="str">
        <f>"{ name: "&amp;CHAR(34)&amp;B899&amp;CHAR(34)&amp;", landmark: "&amp;CHAR(34)&amp;IF(LEN(C899)=LEN(SUBSTITUTE(C899,"Transport","")),"Korok x1","Korok x2")&amp;CHAR(34)&amp;", type: "&amp;CHAR(34)&amp;C899&amp;CHAR(34)&amp;", region: "&amp;D899&amp;", level: "&amp;CHAR(34)&amp;E899&amp;CHAR(34)&amp;", x: "&amp;F899&amp;", y: "&amp;G899&amp;", z: "&amp;H899&amp;", details: "&amp;CHAR(34)&amp;I899&amp;CHAR(34)&amp;" },"</f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3679</v>
      </c>
      <c r="C900" t="s">
        <v>2872</v>
      </c>
      <c r="D900" s="2" t="s">
        <v>2586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>"{ name: "&amp;CHAR(34)&amp;B900&amp;CHAR(34)&amp;", landmark: "&amp;CHAR(34)&amp;IF(LEN(C900)=LEN(SUBSTITUTE(C900,"Transport","")),"Korok x1","Korok x2")&amp;CHAR(34)&amp;", type: "&amp;CHAR(34)&amp;C900&amp;CHAR(34)&amp;", region: "&amp;D900&amp;", level: "&amp;CHAR(34)&amp;E900&amp;CHAR(34)&amp;", x: "&amp;F900&amp;", y: "&amp;G900&amp;", z: "&amp;H900&amp;", details: "&amp;CHAR(34)&amp;I900&amp;CHAR(34)&amp;" },"</f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3862</v>
      </c>
      <c r="C901" t="s">
        <v>2875</v>
      </c>
      <c r="D901" s="2" t="s">
        <v>2586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>"{ name: "&amp;CHAR(34)&amp;B901&amp;CHAR(34)&amp;", landmark: "&amp;CHAR(34)&amp;IF(LEN(C901)=LEN(SUBSTITUTE(C901,"Transport","")),"Korok x1","Korok x2")&amp;CHAR(34)&amp;", type: "&amp;CHAR(34)&amp;C901&amp;CHAR(34)&amp;", region: "&amp;D901&amp;", level: "&amp;CHAR(34)&amp;E901&amp;CHAR(34)&amp;", x: "&amp;F901&amp;", y: "&amp;G901&amp;", z: "&amp;H901&amp;", details: "&amp;CHAR(34)&amp;I901&amp;CHAR(34)&amp;" },"</f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workbookViewId="0">
      <selection activeCell="H5" sqref="H5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2088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2089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2090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2091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2092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2093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2094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2095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2096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2097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2098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2099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2100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2101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2102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2103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2104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2105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2106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2107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2108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2109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2110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2111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2112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2113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2114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2115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2116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2117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2118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2119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2120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2121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2122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2123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2124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2125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2126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2127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2128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2129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2130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2131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2132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2133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2134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2135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2136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2137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2138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2139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2140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2141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2142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2143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2144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2145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2146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2147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2148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2149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2150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2151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2152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2153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2154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2155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2156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2157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2158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2159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2160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2161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2162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2163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2164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2165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2166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2167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2168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2169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2170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2171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2172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2173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2174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2175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2176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2177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2178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2179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2180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2181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2182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2183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2184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2185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2186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2187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2188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2189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2190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2191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2192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2193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2194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2195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2196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2197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2198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2199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2200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2201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2202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2203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2204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2205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2206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tabSelected="1" workbookViewId="0">
      <selection activeCell="F38" sqref="F38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2577</v>
      </c>
      <c r="I1" s="4" t="s">
        <v>2580</v>
      </c>
      <c r="J1" s="4" t="s">
        <v>2908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2592</v>
      </c>
      <c r="I2" s="2" t="s">
        <v>2555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2592</v>
      </c>
      <c r="I3" s="2" t="s">
        <v>2555</v>
      </c>
      <c r="J3" s="2">
        <v>2</v>
      </c>
      <c r="L3" t="str">
        <f t="shared" ref="L2:L65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2592</v>
      </c>
      <c r="I4" s="2" t="s">
        <v>2555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2592</v>
      </c>
      <c r="I5" s="2" t="s">
        <v>2555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2599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2592</v>
      </c>
      <c r="I6" s="2" t="s">
        <v>2581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2579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2582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2578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2910</v>
      </c>
      <c r="I8" s="2" t="s">
        <v>2582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2579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2582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2581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2555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2555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2555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2555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2555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2555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2555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2555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2555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2592</v>
      </c>
      <c r="I20" s="2" t="s">
        <v>2555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2592</v>
      </c>
      <c r="I21" s="26" t="s">
        <v>2555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2592</v>
      </c>
      <c r="I22" s="2" t="s">
        <v>2555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2592</v>
      </c>
      <c r="I23" s="26" t="s">
        <v>2555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2592</v>
      </c>
      <c r="I24" s="2" t="s">
        <v>2555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2592</v>
      </c>
      <c r="I25" s="2" t="s">
        <v>2555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2592</v>
      </c>
      <c r="I26" s="26" t="s">
        <v>2555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2592</v>
      </c>
      <c r="I27" s="2" t="s">
        <v>2555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2592</v>
      </c>
      <c r="I28" s="26" t="s">
        <v>2555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2592</v>
      </c>
      <c r="I29" s="26" t="s">
        <v>2555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2592</v>
      </c>
      <c r="I30" s="26" t="s">
        <v>2581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2592</v>
      </c>
      <c r="I31" s="26" t="s">
        <v>2555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2592</v>
      </c>
      <c r="I32" s="26" t="s">
        <v>2555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2592</v>
      </c>
      <c r="I33" s="2" t="s">
        <v>2555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2592</v>
      </c>
      <c r="I34" s="2" t="s">
        <v>2581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2592</v>
      </c>
      <c r="I35" s="26" t="s">
        <v>2581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2592</v>
      </c>
      <c r="I36" s="26" t="s">
        <v>2555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658</v>
      </c>
      <c r="G37" s="2">
        <v>21</v>
      </c>
      <c r="H37" s="2" t="s">
        <v>2592</v>
      </c>
      <c r="I37" s="2" t="s">
        <v>2555</v>
      </c>
      <c r="J37" s="2">
        <v>1</v>
      </c>
      <c r="L37" t="str">
        <f t="shared" si="0"/>
        <v>{ name: "Moat Bridge", landmark: "Named Location", type: "", region: 1, level: "Surface", x: -612, y: 658,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2592</v>
      </c>
      <c r="I38" s="26" t="s">
        <v>2582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2592</v>
      </c>
      <c r="I39" s="26" t="s">
        <v>2582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2592</v>
      </c>
      <c r="I40" s="26" t="s">
        <v>2581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2592</v>
      </c>
      <c r="I41" s="2" t="s">
        <v>2555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2592</v>
      </c>
      <c r="I42" s="26" t="s">
        <v>2555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2592</v>
      </c>
      <c r="I43" s="26" t="s">
        <v>2555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2592</v>
      </c>
      <c r="I44" s="26" t="s">
        <v>2581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2592</v>
      </c>
      <c r="I45" s="2" t="s">
        <v>2555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2592</v>
      </c>
      <c r="I46" s="2" t="s">
        <v>2555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2592</v>
      </c>
      <c r="I47" s="2" t="s">
        <v>2555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2592</v>
      </c>
      <c r="I48" s="2" t="s">
        <v>2555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2592</v>
      </c>
      <c r="I49" s="26" t="s">
        <v>2555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2597</v>
      </c>
      <c r="I50" s="2" t="s">
        <v>2581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2592</v>
      </c>
      <c r="I51" s="2" t="s">
        <v>2581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2592</v>
      </c>
      <c r="I52" s="2" t="s">
        <v>2555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2592</v>
      </c>
      <c r="I53" s="2" t="s">
        <v>2555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2592</v>
      </c>
      <c r="I54" s="2" t="s">
        <v>2555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2592</v>
      </c>
      <c r="I55" s="2" t="s">
        <v>2555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2592</v>
      </c>
      <c r="I56" s="2" t="s">
        <v>2555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2592</v>
      </c>
      <c r="I57" s="2" t="s">
        <v>2555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2578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2910</v>
      </c>
      <c r="I58" s="2" t="s">
        <v>2582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2578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2910</v>
      </c>
      <c r="I59" s="2" t="s">
        <v>2582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2592</v>
      </c>
      <c r="I60" s="26" t="s">
        <v>2555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2592</v>
      </c>
      <c r="I61" s="2" t="s">
        <v>2581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2592</v>
      </c>
      <c r="I62" s="2" t="s">
        <v>2555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2592</v>
      </c>
      <c r="I63" s="2" t="s">
        <v>2555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2592</v>
      </c>
      <c r="I64" s="2" t="s">
        <v>2555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2592</v>
      </c>
      <c r="I65" s="2" t="s">
        <v>2555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2592</v>
      </c>
      <c r="I66" s="26" t="s">
        <v>2555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2592</v>
      </c>
      <c r="I67" s="26" t="s">
        <v>2555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2592</v>
      </c>
      <c r="I68" s="26" t="s">
        <v>2555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2592</v>
      </c>
      <c r="I69" s="26" t="s">
        <v>2555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2592</v>
      </c>
      <c r="I70" s="2" t="s">
        <v>2555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2592</v>
      </c>
      <c r="I71" s="2" t="s">
        <v>2555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2592</v>
      </c>
      <c r="I72" s="26" t="s">
        <v>2555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2592</v>
      </c>
      <c r="I73" s="26" t="s">
        <v>2555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2592</v>
      </c>
      <c r="I74" s="2" t="s">
        <v>2555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2592</v>
      </c>
      <c r="I75" s="2" t="s">
        <v>2555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2592</v>
      </c>
      <c r="I76" s="26" t="s">
        <v>2555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2592</v>
      </c>
      <c r="I77" s="2" t="s">
        <v>2555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2592</v>
      </c>
      <c r="I78" s="26" t="s">
        <v>2582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2592</v>
      </c>
      <c r="I79" s="2" t="s">
        <v>2581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2592</v>
      </c>
      <c r="I80" s="2" t="s">
        <v>2555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2592</v>
      </c>
      <c r="I81" s="26" t="s">
        <v>2555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2592</v>
      </c>
      <c r="I82" s="2" t="s">
        <v>2555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2592</v>
      </c>
      <c r="I83" s="2" t="s">
        <v>2582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2592</v>
      </c>
      <c r="I84" s="2" t="s">
        <v>2555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2592</v>
      </c>
      <c r="I85" s="2" t="s">
        <v>2582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2592</v>
      </c>
      <c r="I86" s="26" t="s">
        <v>2582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2592</v>
      </c>
      <c r="I87" s="2" t="s">
        <v>2555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2592</v>
      </c>
      <c r="I88" s="26" t="s">
        <v>2582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2592</v>
      </c>
      <c r="I89" s="26" t="s">
        <v>2581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2592</v>
      </c>
      <c r="I90" s="2" t="s">
        <v>2555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2592</v>
      </c>
      <c r="I91" s="2" t="s">
        <v>2555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2592</v>
      </c>
      <c r="I92" s="2" t="s">
        <v>2555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2578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2910</v>
      </c>
      <c r="I93" s="2" t="s">
        <v>2582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2578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2910</v>
      </c>
      <c r="I94" s="2" t="s">
        <v>2582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2592</v>
      </c>
      <c r="I95" s="2" t="s">
        <v>2581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2592</v>
      </c>
      <c r="I96" s="2" t="s">
        <v>2581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2582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2581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2592</v>
      </c>
      <c r="I99" s="2" t="s">
        <v>2555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2592</v>
      </c>
      <c r="I100" s="2" t="s">
        <v>2581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2592</v>
      </c>
      <c r="I101" s="2" t="s">
        <v>2582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2592</v>
      </c>
      <c r="I102" s="2" t="s">
        <v>2581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2592</v>
      </c>
      <c r="I103" s="2" t="s">
        <v>2581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2592</v>
      </c>
      <c r="I104" s="2" t="s">
        <v>2581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2592</v>
      </c>
      <c r="I105" s="2" t="s">
        <v>2555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2592</v>
      </c>
      <c r="I106" s="2" t="s">
        <v>2582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2592</v>
      </c>
      <c r="I107" s="2" t="s">
        <v>2581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2592</v>
      </c>
      <c r="I108" s="2" t="s">
        <v>2555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2592</v>
      </c>
      <c r="I109" s="2" t="s">
        <v>2582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2592</v>
      </c>
      <c r="I110" s="2" t="s">
        <v>2582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2592</v>
      </c>
      <c r="I111" s="2" t="s">
        <v>2581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2592</v>
      </c>
      <c r="I112" s="2" t="s">
        <v>2582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2592</v>
      </c>
      <c r="I113" s="2" t="s">
        <v>2581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2592</v>
      </c>
      <c r="I114" s="2" t="s">
        <v>2581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2592</v>
      </c>
      <c r="I115" s="2" t="s">
        <v>2581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2592</v>
      </c>
      <c r="I116" s="2" t="s">
        <v>2582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2592</v>
      </c>
      <c r="I117" s="2" t="s">
        <v>2581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2592</v>
      </c>
      <c r="I118" s="2" t="s">
        <v>2581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2592</v>
      </c>
      <c r="I119" s="2" t="s">
        <v>2555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2592</v>
      </c>
      <c r="I120" s="2" t="s">
        <v>2555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2592</v>
      </c>
      <c r="I121" s="2" t="s">
        <v>2582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2592</v>
      </c>
      <c r="I122" s="2" t="s">
        <v>2555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2592</v>
      </c>
      <c r="I123" s="2" t="s">
        <v>2555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2592</v>
      </c>
      <c r="I124" s="2" t="s">
        <v>2581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2592</v>
      </c>
      <c r="I125" s="2" t="s">
        <v>2581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2592</v>
      </c>
      <c r="I126" s="2" t="s">
        <v>2582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2592</v>
      </c>
      <c r="I127" s="2" t="s">
        <v>2582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2592</v>
      </c>
      <c r="I128" s="2" t="s">
        <v>2581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2597</v>
      </c>
      <c r="I129" s="2" t="s">
        <v>2581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2592</v>
      </c>
      <c r="I130" s="2" t="s">
        <v>2555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2592</v>
      </c>
      <c r="I131" s="2" t="s">
        <v>2582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2592</v>
      </c>
      <c r="I132" s="2" t="s">
        <v>2555</v>
      </c>
      <c r="J132" s="2">
        <v>2</v>
      </c>
      <c r="L132" t="str">
        <f t="shared" si="2"/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2592</v>
      </c>
      <c r="I133" s="2" t="s">
        <v>2581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2592</v>
      </c>
      <c r="I134" s="2" t="s">
        <v>2582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2592</v>
      </c>
      <c r="I135" s="2" t="s">
        <v>2582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2579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2582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2351</v>
      </c>
      <c r="B137" t="s">
        <v>2578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2910</v>
      </c>
      <c r="I137" s="2" t="s">
        <v>2582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2578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2910</v>
      </c>
      <c r="I138" s="2" t="s">
        <v>2582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2578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2910</v>
      </c>
      <c r="I139" s="2" t="s">
        <v>2582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2579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2582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2582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2592</v>
      </c>
      <c r="I142" s="2" t="s">
        <v>2581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2592</v>
      </c>
      <c r="I143" s="2" t="s">
        <v>2581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2592</v>
      </c>
      <c r="I144" s="2" t="s">
        <v>2582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2592</v>
      </c>
      <c r="I145" s="2" t="s">
        <v>2555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2592</v>
      </c>
      <c r="I146" s="2" t="s">
        <v>2582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2592</v>
      </c>
      <c r="I147" s="2" t="s">
        <v>2555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2592</v>
      </c>
      <c r="I148" s="2" t="s">
        <v>2582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2592</v>
      </c>
      <c r="I149" s="2" t="s">
        <v>2582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2592</v>
      </c>
      <c r="I150" s="2" t="s">
        <v>2582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2592</v>
      </c>
      <c r="I151" s="2" t="s">
        <v>2582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2592</v>
      </c>
      <c r="I152" s="2" t="s">
        <v>2555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2592</v>
      </c>
      <c r="I153" s="2" t="s">
        <v>2582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2592</v>
      </c>
      <c r="I154" s="2" t="s">
        <v>2555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2592</v>
      </c>
      <c r="I155" s="2" t="s">
        <v>2581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2592</v>
      </c>
      <c r="I156" s="2" t="s">
        <v>2582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2592</v>
      </c>
      <c r="I157" s="2" t="s">
        <v>2582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2592</v>
      </c>
      <c r="I158" s="2" t="s">
        <v>2555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2592</v>
      </c>
      <c r="I159" s="2" t="s">
        <v>2555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2592</v>
      </c>
      <c r="I160" s="2" t="s">
        <v>2582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2592</v>
      </c>
      <c r="I161" s="2" t="s">
        <v>2582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2592</v>
      </c>
      <c r="I162" s="2" t="s">
        <v>2555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2592</v>
      </c>
      <c r="I163" s="2" t="s">
        <v>2555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2592</v>
      </c>
      <c r="I164" s="2" t="s">
        <v>2581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2592</v>
      </c>
      <c r="I165" s="2" t="s">
        <v>2555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2592</v>
      </c>
      <c r="I166" s="2" t="s">
        <v>2582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2600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2592</v>
      </c>
      <c r="I167" s="2" t="s">
        <v>2581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2592</v>
      </c>
      <c r="I168" s="2" t="s">
        <v>2555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2578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2910</v>
      </c>
      <c r="I169" s="2" t="s">
        <v>2582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2592</v>
      </c>
      <c r="I170" s="2" t="s">
        <v>2582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2581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2592</v>
      </c>
      <c r="I172" s="2" t="s">
        <v>2555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2592</v>
      </c>
      <c r="I173" s="2" t="s">
        <v>2555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2592</v>
      </c>
      <c r="I174" s="2" t="s">
        <v>2581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2592</v>
      </c>
      <c r="I175" s="2" t="s">
        <v>2555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2592</v>
      </c>
      <c r="I176" s="2" t="s">
        <v>2581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2592</v>
      </c>
      <c r="I177" s="2" t="s">
        <v>2581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2592</v>
      </c>
      <c r="I178" s="2" t="s">
        <v>2581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2592</v>
      </c>
      <c r="I179" s="2" t="s">
        <v>2555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2592</v>
      </c>
      <c r="I180" s="2" t="s">
        <v>2581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2592</v>
      </c>
      <c r="I181" s="2" t="s">
        <v>2555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2592</v>
      </c>
      <c r="I182" s="2" t="s">
        <v>2555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2592</v>
      </c>
      <c r="I183" s="2" t="s">
        <v>2555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2578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2910</v>
      </c>
      <c r="I184" s="2" t="s">
        <v>2582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2592</v>
      </c>
      <c r="I185" s="2" t="s">
        <v>2581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2555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2592</v>
      </c>
      <c r="I187" s="2" t="s">
        <v>2581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2592</v>
      </c>
      <c r="I188" s="2" t="s">
        <v>2582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2592</v>
      </c>
      <c r="I189" s="2" t="s">
        <v>2582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2592</v>
      </c>
      <c r="I190" s="2" t="s">
        <v>2582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2592</v>
      </c>
      <c r="I191" s="2" t="s">
        <v>2581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2592</v>
      </c>
      <c r="I192" s="2" t="s">
        <v>2582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2592</v>
      </c>
      <c r="I193" s="2" t="s">
        <v>2555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2592</v>
      </c>
      <c r="I194" s="2" t="s">
        <v>2555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2396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2592</v>
      </c>
      <c r="I195" s="2" t="s">
        <v>2555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2592</v>
      </c>
      <c r="I196" s="2" t="s">
        <v>2581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2592</v>
      </c>
      <c r="I197" s="2" t="s">
        <v>2555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2592</v>
      </c>
      <c r="I198" s="2" t="s">
        <v>2581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2592</v>
      </c>
      <c r="I199" s="2" t="s">
        <v>2582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2592</v>
      </c>
      <c r="I200" s="2" t="s">
        <v>2555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2592</v>
      </c>
      <c r="I201" s="2" t="s">
        <v>2581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2592</v>
      </c>
      <c r="I202" s="2" t="s">
        <v>2582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2597</v>
      </c>
      <c r="I203" s="2" t="s">
        <v>2581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2592</v>
      </c>
      <c r="I204" s="2" t="s">
        <v>2555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2592</v>
      </c>
      <c r="I205" s="2" t="s">
        <v>2555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2579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2582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2578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2910</v>
      </c>
      <c r="I207" s="2" t="s">
        <v>2582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2578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2910</v>
      </c>
      <c r="I208" s="2" t="s">
        <v>2582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2579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2582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2582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2581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2582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2592</v>
      </c>
      <c r="I213" s="2" t="s">
        <v>2555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2592</v>
      </c>
      <c r="I214" s="2" t="s">
        <v>2555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2592</v>
      </c>
      <c r="I215" s="2" t="s">
        <v>2581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2592</v>
      </c>
      <c r="I216" s="2" t="s">
        <v>2555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2592</v>
      </c>
      <c r="I217" s="2" t="s">
        <v>2555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2592</v>
      </c>
      <c r="I218" s="2" t="s">
        <v>2555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2592</v>
      </c>
      <c r="I219" s="2" t="s">
        <v>2582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2592</v>
      </c>
      <c r="I220" s="2" t="s">
        <v>2555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2592</v>
      </c>
      <c r="I221" s="2" t="s">
        <v>2581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2592</v>
      </c>
      <c r="I222" s="2" t="s">
        <v>2555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2592</v>
      </c>
      <c r="I223" s="2" t="s">
        <v>2555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2592</v>
      </c>
      <c r="I224" s="2" t="s">
        <v>2555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2592</v>
      </c>
      <c r="I225" s="2" t="s">
        <v>2582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2592</v>
      </c>
      <c r="I226" s="2" t="s">
        <v>2555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2592</v>
      </c>
      <c r="I227" s="2" t="s">
        <v>2582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2592</v>
      </c>
      <c r="I228" s="2" t="s">
        <v>2555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2592</v>
      </c>
      <c r="I229" s="2" t="s">
        <v>2555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2592</v>
      </c>
      <c r="I230" s="2" t="s">
        <v>2581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2592</v>
      </c>
      <c r="I231" s="2" t="s">
        <v>2582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2592</v>
      </c>
      <c r="I232" s="2" t="s">
        <v>2581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2592</v>
      </c>
      <c r="I233" s="2" t="s">
        <v>2555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2592</v>
      </c>
      <c r="I234" s="2" t="s">
        <v>2555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2592</v>
      </c>
      <c r="I235" s="2" t="s">
        <v>2555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2592</v>
      </c>
      <c r="I236" s="2" t="s">
        <v>2582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2592</v>
      </c>
      <c r="I237" s="2" t="s">
        <v>2555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2592</v>
      </c>
      <c r="I238" s="2" t="s">
        <v>2555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2592</v>
      </c>
      <c r="I239" s="2" t="s">
        <v>2555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2592</v>
      </c>
      <c r="I240" s="2" t="s">
        <v>2555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2592</v>
      </c>
      <c r="I241" s="2" t="s">
        <v>2555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2592</v>
      </c>
      <c r="I242" s="2" t="s">
        <v>2555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2592</v>
      </c>
      <c r="I243" s="2" t="s">
        <v>2581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2592</v>
      </c>
      <c r="I244" s="2" t="s">
        <v>2555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2597</v>
      </c>
      <c r="I245" s="2" t="s">
        <v>2581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2592</v>
      </c>
      <c r="I246" s="2" t="s">
        <v>2581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2592</v>
      </c>
      <c r="I247" s="2" t="s">
        <v>2555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2592</v>
      </c>
      <c r="I248" s="2" t="s">
        <v>2555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2592</v>
      </c>
      <c r="I249" s="2" t="s">
        <v>2555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2592</v>
      </c>
      <c r="I250" s="2" t="s">
        <v>2555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2592</v>
      </c>
      <c r="I251" s="2" t="s">
        <v>2555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2592</v>
      </c>
      <c r="I252" s="2" t="s">
        <v>2555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2579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2582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2578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2910</v>
      </c>
      <c r="I254" s="2" t="s">
        <v>2582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2578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2910</v>
      </c>
      <c r="I255" s="2" t="s">
        <v>2582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2592</v>
      </c>
      <c r="I256" s="2" t="s">
        <v>2582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2592</v>
      </c>
      <c r="I257" s="2" t="s">
        <v>2581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2579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2582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2582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2555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2581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2592</v>
      </c>
      <c r="I262" s="2" t="s">
        <v>2555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2592</v>
      </c>
      <c r="I263" s="2" t="s">
        <v>2555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2592</v>
      </c>
      <c r="I264" s="2" t="s">
        <v>2581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2592</v>
      </c>
      <c r="I265" s="2" t="s">
        <v>2555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2592</v>
      </c>
      <c r="I266" s="2" t="s">
        <v>2555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2592</v>
      </c>
      <c r="I267" s="2" t="s">
        <v>2581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2592</v>
      </c>
      <c r="I268" s="2" t="s">
        <v>2582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2592</v>
      </c>
      <c r="I269" s="2" t="s">
        <v>2555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2592</v>
      </c>
      <c r="I270" s="2" t="s">
        <v>2555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2592</v>
      </c>
      <c r="I271" s="2" t="s">
        <v>2555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2592</v>
      </c>
      <c r="I272" s="2" t="s">
        <v>2555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2592</v>
      </c>
      <c r="I273" s="2" t="s">
        <v>2582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2592</v>
      </c>
      <c r="I274" s="2" t="s">
        <v>2581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2592</v>
      </c>
      <c r="I275" s="2" t="s">
        <v>2582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2592</v>
      </c>
      <c r="I276" s="2" t="s">
        <v>2581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2592</v>
      </c>
      <c r="I277" s="2" t="s">
        <v>2581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2592</v>
      </c>
      <c r="I278" s="2" t="s">
        <v>2555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2592</v>
      </c>
      <c r="I279" s="2" t="s">
        <v>2582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2592</v>
      </c>
      <c r="I280" s="2" t="s">
        <v>2555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2592</v>
      </c>
      <c r="I281" s="2" t="s">
        <v>2555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2592</v>
      </c>
      <c r="I282" s="2" t="s">
        <v>2581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2592</v>
      </c>
      <c r="I283" s="2" t="s">
        <v>2581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2592</v>
      </c>
      <c r="I284" s="2" t="s">
        <v>2581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2592</v>
      </c>
      <c r="I285" s="2" t="s">
        <v>2582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2597</v>
      </c>
      <c r="I286" s="2" t="s">
        <v>2581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2592</v>
      </c>
      <c r="I287" s="2" t="s">
        <v>2555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2592</v>
      </c>
      <c r="I288" s="2" t="s">
        <v>2555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2592</v>
      </c>
      <c r="I289" s="2" t="s">
        <v>2555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2579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2582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2578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2910</v>
      </c>
      <c r="I291" s="2" t="s">
        <v>2582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2578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2592</v>
      </c>
      <c r="I292" s="2" t="s">
        <v>2582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2592</v>
      </c>
      <c r="I293" s="2" t="s">
        <v>2582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2579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2582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2555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2555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2592</v>
      </c>
      <c r="I297" s="2" t="s">
        <v>2555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2592</v>
      </c>
      <c r="I298" s="2" t="s">
        <v>2555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2592</v>
      </c>
      <c r="I299" s="2" t="s">
        <v>2555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2592</v>
      </c>
      <c r="I300" s="2" t="s">
        <v>2581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2592</v>
      </c>
      <c r="I301" s="2" t="s">
        <v>2555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2592</v>
      </c>
      <c r="I302" s="2" t="s">
        <v>2582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2592</v>
      </c>
      <c r="I303" s="2" t="s">
        <v>2581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2592</v>
      </c>
      <c r="I304" s="2" t="s">
        <v>2581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2592</v>
      </c>
      <c r="I305" s="2" t="s">
        <v>2555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2592</v>
      </c>
      <c r="I306" s="2" t="s">
        <v>2555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2592</v>
      </c>
      <c r="I307" s="2" t="s">
        <v>2555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2592</v>
      </c>
      <c r="I308" s="2" t="s">
        <v>2555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2592</v>
      </c>
      <c r="I309" s="2" t="s">
        <v>2581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2592</v>
      </c>
      <c r="I310" s="2" t="s">
        <v>2582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2592</v>
      </c>
      <c r="I311" s="2" t="s">
        <v>2581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2592</v>
      </c>
      <c r="I312" s="2" t="s">
        <v>2581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2592</v>
      </c>
      <c r="I313" s="2" t="s">
        <v>2555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2592</v>
      </c>
      <c r="I314" s="2" t="s">
        <v>2555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2592</v>
      </c>
      <c r="I315" s="2" t="s">
        <v>2555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2592</v>
      </c>
      <c r="I316" s="2" t="s">
        <v>2581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2592</v>
      </c>
      <c r="I317" s="2" t="s">
        <v>2555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2592</v>
      </c>
      <c r="I318" s="2" t="s">
        <v>2582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2592</v>
      </c>
      <c r="I319" s="2" t="s">
        <v>2555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2592</v>
      </c>
      <c r="I320" s="2" t="s">
        <v>2555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2592</v>
      </c>
      <c r="I321" s="2" t="s">
        <v>2555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2592</v>
      </c>
      <c r="I322" s="2" t="s">
        <v>2555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2592</v>
      </c>
      <c r="I323" s="2" t="s">
        <v>2582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2592</v>
      </c>
      <c r="I324" s="2" t="s">
        <v>2581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2592</v>
      </c>
      <c r="I325" s="2" t="s">
        <v>2581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2592</v>
      </c>
      <c r="I326" s="2" t="s">
        <v>2555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2592</v>
      </c>
      <c r="I327" s="2" t="s">
        <v>2555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2592</v>
      </c>
      <c r="I328" s="2" t="s">
        <v>2581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2592</v>
      </c>
      <c r="I329" s="2" t="s">
        <v>2555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2592</v>
      </c>
      <c r="I330" s="2" t="s">
        <v>2555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2592</v>
      </c>
      <c r="I331" s="2" t="s">
        <v>2555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2592</v>
      </c>
      <c r="I332" s="2" t="s">
        <v>2581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2592</v>
      </c>
      <c r="I333" s="2" t="s">
        <v>2582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2592</v>
      </c>
      <c r="I334" s="2" t="s">
        <v>2582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2592</v>
      </c>
      <c r="I335" s="2" t="s">
        <v>2581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2592</v>
      </c>
      <c r="I336" s="2" t="s">
        <v>2555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2592</v>
      </c>
      <c r="I337" s="2" t="s">
        <v>2581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2592</v>
      </c>
      <c r="I338" s="2" t="s">
        <v>2581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2592</v>
      </c>
      <c r="I339" s="2" t="s">
        <v>2581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2592</v>
      </c>
      <c r="I340" s="2" t="s">
        <v>2581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2592</v>
      </c>
      <c r="I341" s="2" t="s">
        <v>2555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2592</v>
      </c>
      <c r="I342" s="2" t="s">
        <v>2555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2592</v>
      </c>
      <c r="I343" s="2" t="s">
        <v>2582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2592</v>
      </c>
      <c r="I344" s="2" t="s">
        <v>2555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2597</v>
      </c>
      <c r="I345" s="2" t="s">
        <v>2581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2592</v>
      </c>
      <c r="I346" s="2" t="s">
        <v>2555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2592</v>
      </c>
      <c r="I347" s="2" t="s">
        <v>2555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2592</v>
      </c>
      <c r="I348" s="2" t="s">
        <v>2555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2578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2910</v>
      </c>
      <c r="I349" s="2" t="s">
        <v>2582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2578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2910</v>
      </c>
      <c r="I350" s="2" t="s">
        <v>2582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2592</v>
      </c>
      <c r="I351" s="2" t="s">
        <v>2582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2579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2582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2581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2581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2592</v>
      </c>
      <c r="I355" s="2" t="s">
        <v>2581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2592</v>
      </c>
      <c r="I356" s="2" t="s">
        <v>2555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2592</v>
      </c>
      <c r="I357" s="2" t="s">
        <v>2555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2592</v>
      </c>
      <c r="I358" s="2" t="s">
        <v>2582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2592</v>
      </c>
      <c r="I359" s="2" t="s">
        <v>2582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2592</v>
      </c>
      <c r="I360" s="2" t="s">
        <v>2582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2592</v>
      </c>
      <c r="I361" s="2" t="s">
        <v>2582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2592</v>
      </c>
      <c r="I362" s="2" t="s">
        <v>2582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2592</v>
      </c>
      <c r="I363" s="2" t="s">
        <v>2555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2592</v>
      </c>
      <c r="I364" s="2" t="s">
        <v>2555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2592</v>
      </c>
      <c r="I365" s="2" t="s">
        <v>2581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2592</v>
      </c>
      <c r="I366" s="2" t="s">
        <v>2555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2592</v>
      </c>
      <c r="I367" s="2" t="s">
        <v>2555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2592</v>
      </c>
      <c r="I368" s="2" t="s">
        <v>2581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2592</v>
      </c>
      <c r="I369" s="2" t="s">
        <v>2555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2592</v>
      </c>
      <c r="I370" s="2" t="s">
        <v>2581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2592</v>
      </c>
      <c r="I371" s="2" t="s">
        <v>2555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2592</v>
      </c>
      <c r="I372" s="2" t="s">
        <v>2555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2592</v>
      </c>
      <c r="I373" s="2" t="s">
        <v>2555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2592</v>
      </c>
      <c r="I374" s="2" t="s">
        <v>2581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2592</v>
      </c>
      <c r="I375" s="2" t="s">
        <v>2582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2592</v>
      </c>
      <c r="I376" s="2" t="s">
        <v>2581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2592</v>
      </c>
      <c r="I377" s="2" t="s">
        <v>2581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2592</v>
      </c>
      <c r="I378" s="2" t="s">
        <v>2581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2592</v>
      </c>
      <c r="I379" s="2" t="s">
        <v>2555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2592</v>
      </c>
      <c r="I380" s="2" t="s">
        <v>2581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2592</v>
      </c>
      <c r="I381" s="2" t="s">
        <v>2582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2592</v>
      </c>
      <c r="I382" s="2" t="s">
        <v>2582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2592</v>
      </c>
      <c r="I383" s="2" t="s">
        <v>2581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2592</v>
      </c>
      <c r="I384" s="2" t="s">
        <v>2581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2592</v>
      </c>
      <c r="I385" s="2" t="s">
        <v>2555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2592</v>
      </c>
      <c r="I386" s="2" t="s">
        <v>2581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2592</v>
      </c>
      <c r="I387" s="2" t="s">
        <v>2555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2592</v>
      </c>
      <c r="I388" s="2" t="s">
        <v>2581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2592</v>
      </c>
      <c r="I389" s="2" t="s">
        <v>2581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2592</v>
      </c>
      <c r="I390" s="2" t="s">
        <v>2555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2592</v>
      </c>
      <c r="I391" s="2" t="s">
        <v>2581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2592</v>
      </c>
      <c r="I392" s="2" t="s">
        <v>2581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2592</v>
      </c>
      <c r="I393" s="2" t="s">
        <v>2581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2597</v>
      </c>
      <c r="I394" s="2" t="s">
        <v>2581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2592</v>
      </c>
      <c r="I395" s="2" t="s">
        <v>2555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2592</v>
      </c>
      <c r="I396" s="2" t="s">
        <v>2555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2592</v>
      </c>
      <c r="I397" s="2" t="s">
        <v>2555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2592</v>
      </c>
      <c r="I398" s="2" t="s">
        <v>2555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2592</v>
      </c>
      <c r="I399" s="2" t="s">
        <v>2555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2592</v>
      </c>
      <c r="I400" s="2" t="s">
        <v>2555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2592</v>
      </c>
      <c r="I401" s="2" t="s">
        <v>2555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2592</v>
      </c>
      <c r="I402" s="2" t="s">
        <v>2555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2592</v>
      </c>
      <c r="I403" s="2" t="s">
        <v>2555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2579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2582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2578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2910</v>
      </c>
      <c r="I405" s="2" t="s">
        <v>2582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2592</v>
      </c>
      <c r="I406" s="2" t="s">
        <v>2581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2582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2555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2555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2592</v>
      </c>
      <c r="I410" s="2" t="s">
        <v>2555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2592</v>
      </c>
      <c r="I411" s="2" t="s">
        <v>2555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2592</v>
      </c>
      <c r="I412" s="2" t="s">
        <v>2582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2592</v>
      </c>
      <c r="I413" s="2" t="s">
        <v>2555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2592</v>
      </c>
      <c r="I414" s="2" t="s">
        <v>2582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2592</v>
      </c>
      <c r="I415" s="2" t="s">
        <v>2555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2592</v>
      </c>
      <c r="I416" s="2" t="s">
        <v>2555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2592</v>
      </c>
      <c r="I417" s="2" t="s">
        <v>2555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2592</v>
      </c>
      <c r="I418" s="2" t="s">
        <v>2555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2592</v>
      </c>
      <c r="I419" s="2" t="s">
        <v>2581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2592</v>
      </c>
      <c r="I420" s="2" t="s">
        <v>2555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2592</v>
      </c>
      <c r="I421" s="2" t="s">
        <v>2555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2592</v>
      </c>
      <c r="I422" s="2" t="s">
        <v>2555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2592</v>
      </c>
      <c r="I423" s="2" t="s">
        <v>2582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2592</v>
      </c>
      <c r="I424" s="2" t="s">
        <v>2582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2592</v>
      </c>
      <c r="I425" s="2" t="s">
        <v>2555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2592</v>
      </c>
      <c r="I426" s="2" t="s">
        <v>2555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2592</v>
      </c>
      <c r="I427" s="2" t="s">
        <v>2582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2592</v>
      </c>
      <c r="I428" s="2" t="s">
        <v>2581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2592</v>
      </c>
      <c r="I429" s="2" t="s">
        <v>2555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2592</v>
      </c>
      <c r="I430" s="2" t="s">
        <v>2581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2592</v>
      </c>
      <c r="I431" s="2" t="s">
        <v>2555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2592</v>
      </c>
      <c r="I432" s="2" t="s">
        <v>2582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2592</v>
      </c>
      <c r="I433" s="2" t="s">
        <v>2555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2592</v>
      </c>
      <c r="I434" s="2" t="s">
        <v>2581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2592</v>
      </c>
      <c r="I435" s="2" t="s">
        <v>2582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2592</v>
      </c>
      <c r="I436" s="2" t="s">
        <v>2555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2592</v>
      </c>
      <c r="I437" s="2" t="s">
        <v>2555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2592</v>
      </c>
      <c r="I438" s="2" t="s">
        <v>2581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2592</v>
      </c>
      <c r="I439" s="2" t="s">
        <v>2582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2592</v>
      </c>
      <c r="I440" s="2" t="s">
        <v>2555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2592</v>
      </c>
      <c r="I441" s="2" t="s">
        <v>2555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2592</v>
      </c>
      <c r="I442" s="2" t="s">
        <v>2581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2592</v>
      </c>
      <c r="I443" s="2" t="s">
        <v>2582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2592</v>
      </c>
      <c r="I444" s="2" t="s">
        <v>2581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2592</v>
      </c>
      <c r="I445" s="2" t="s">
        <v>2555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2597</v>
      </c>
      <c r="I446" s="2" t="s">
        <v>2581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2592</v>
      </c>
      <c r="I447" s="2" t="s">
        <v>2555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2592</v>
      </c>
      <c r="I448" s="2" t="s">
        <v>2555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2592</v>
      </c>
      <c r="I449" s="2" t="s">
        <v>2555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2592</v>
      </c>
      <c r="I450" s="2" t="s">
        <v>2555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2592</v>
      </c>
      <c r="I451" s="2" t="s">
        <v>2555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2592</v>
      </c>
      <c r="I452" s="2" t="s">
        <v>2555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2592</v>
      </c>
      <c r="I453" s="2" t="s">
        <v>2555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2592</v>
      </c>
      <c r="I454" s="2" t="s">
        <v>2555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2592</v>
      </c>
      <c r="I455" s="2" t="s">
        <v>2582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2592</v>
      </c>
      <c r="I456" s="2" t="s">
        <v>2555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2592</v>
      </c>
      <c r="I457" s="2" t="s">
        <v>2555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2592</v>
      </c>
      <c r="I458" s="2" t="s">
        <v>2555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2592</v>
      </c>
      <c r="I459" s="2" t="s">
        <v>2555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2578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2910</v>
      </c>
      <c r="I460" s="2" t="s">
        <v>2582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2578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2910</v>
      </c>
      <c r="I461" s="2" t="s">
        <v>2582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2581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2581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2592</v>
      </c>
      <c r="I464" s="26" t="s">
        <v>2555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2592</v>
      </c>
      <c r="I465" s="2" t="s">
        <v>2555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2592</v>
      </c>
      <c r="I466" s="26" t="s">
        <v>2581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2592</v>
      </c>
      <c r="I467" s="2" t="s">
        <v>2581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2592</v>
      </c>
      <c r="I468" s="26" t="s">
        <v>2582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2592</v>
      </c>
      <c r="I469" s="2" t="s">
        <v>2555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2592</v>
      </c>
      <c r="I470" s="26" t="s">
        <v>2555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2592</v>
      </c>
      <c r="I471" s="26" t="s">
        <v>2581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2592</v>
      </c>
      <c r="I472" s="26" t="s">
        <v>2581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2592</v>
      </c>
      <c r="I473" s="26" t="s">
        <v>2581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2592</v>
      </c>
      <c r="I474" s="26" t="s">
        <v>2582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2592</v>
      </c>
      <c r="I475" s="2" t="s">
        <v>2581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2592</v>
      </c>
      <c r="I476" s="2" t="s">
        <v>2581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2592</v>
      </c>
      <c r="I477" s="2" t="s">
        <v>2555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2592</v>
      </c>
      <c r="I478" s="26" t="s">
        <v>2555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2592</v>
      </c>
      <c r="I479" s="26" t="s">
        <v>2555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2592</v>
      </c>
      <c r="I480" s="26" t="s">
        <v>2555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2592</v>
      </c>
      <c r="I481" s="26" t="s">
        <v>2581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2592</v>
      </c>
      <c r="I482" s="26" t="s">
        <v>2581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2592</v>
      </c>
      <c r="I483" s="26" t="s">
        <v>2555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2592</v>
      </c>
      <c r="I484" s="2" t="s">
        <v>2581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2592</v>
      </c>
      <c r="I485" s="2" t="s">
        <v>2582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2592</v>
      </c>
      <c r="I486" s="26" t="s">
        <v>2582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2592</v>
      </c>
      <c r="I487" s="26" t="s">
        <v>2582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2592</v>
      </c>
      <c r="I488" s="2" t="s">
        <v>2582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2592</v>
      </c>
      <c r="I489" s="26" t="s">
        <v>2582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2592</v>
      </c>
      <c r="I490" s="26" t="s">
        <v>2581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2592</v>
      </c>
      <c r="I491" s="2" t="s">
        <v>2555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2592</v>
      </c>
      <c r="I492" s="26" t="s">
        <v>2581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2592</v>
      </c>
      <c r="I493" s="26" t="s">
        <v>2581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2592</v>
      </c>
      <c r="I494" s="26" t="s">
        <v>2555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2592</v>
      </c>
      <c r="I495" s="2" t="s">
        <v>2581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2592</v>
      </c>
      <c r="I496" s="2" t="s">
        <v>2582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2592</v>
      </c>
      <c r="I497" s="26" t="s">
        <v>2582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2592</v>
      </c>
      <c r="I498" s="26" t="s">
        <v>2581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2592</v>
      </c>
      <c r="I499" s="26" t="s">
        <v>2582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2592</v>
      </c>
      <c r="I500" s="26" t="s">
        <v>2555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2592</v>
      </c>
      <c r="I501" s="26" t="s">
        <v>2555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2592</v>
      </c>
      <c r="I502" s="2" t="s">
        <v>2555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2592</v>
      </c>
      <c r="I503" s="2" t="s">
        <v>2555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2592</v>
      </c>
      <c r="I504" s="2" t="s">
        <v>2555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2592</v>
      </c>
      <c r="I505" s="2" t="s">
        <v>2555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2592</v>
      </c>
      <c r="I506" s="2" t="s">
        <v>2555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2598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2592</v>
      </c>
      <c r="I507" s="2" t="s">
        <v>2555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2592</v>
      </c>
      <c r="I508" s="2" t="s">
        <v>2555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2592</v>
      </c>
      <c r="I509" s="2" t="s">
        <v>2555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2579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2582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2578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2910</v>
      </c>
      <c r="I511" s="2" t="s">
        <v>2582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2578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2910</v>
      </c>
      <c r="I512" s="2" t="s">
        <v>2582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2592</v>
      </c>
      <c r="I513" s="2" t="s">
        <v>2582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2579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2582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2581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2555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2555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2592</v>
      </c>
      <c r="I518" s="2" t="s">
        <v>2581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2592</v>
      </c>
      <c r="I519" s="26" t="s">
        <v>2581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2592</v>
      </c>
      <c r="I520" s="26" t="s">
        <v>2555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2592</v>
      </c>
      <c r="I521" s="2" t="s">
        <v>2555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2592</v>
      </c>
      <c r="I522" s="2" t="s">
        <v>2581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2592</v>
      </c>
      <c r="I523" s="26" t="s">
        <v>2555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2592</v>
      </c>
      <c r="I524" s="26" t="s">
        <v>2555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2592</v>
      </c>
      <c r="I525" s="26" t="s">
        <v>2555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2592</v>
      </c>
      <c r="I526" s="26" t="s">
        <v>2555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2592</v>
      </c>
      <c r="I527" s="26" t="s">
        <v>2581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2592</v>
      </c>
      <c r="I528" s="26" t="s">
        <v>2555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2592</v>
      </c>
      <c r="I529" s="26" t="s">
        <v>2555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2592</v>
      </c>
      <c r="I530" s="26" t="s">
        <v>2555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2592</v>
      </c>
      <c r="I531" s="26" t="s">
        <v>2555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2592</v>
      </c>
      <c r="I532" s="26" t="s">
        <v>2555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2592</v>
      </c>
      <c r="I533" s="2" t="s">
        <v>2555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2592</v>
      </c>
      <c r="I534" s="26" t="s">
        <v>2581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2592</v>
      </c>
      <c r="I535" s="26" t="s">
        <v>2555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2592</v>
      </c>
      <c r="I536" s="2" t="s">
        <v>2555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2592</v>
      </c>
      <c r="I537" s="26" t="s">
        <v>2555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2592</v>
      </c>
      <c r="I538" s="26" t="s">
        <v>2555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2592</v>
      </c>
      <c r="I539" s="26" t="s">
        <v>2581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2592</v>
      </c>
      <c r="I540" s="26" t="s">
        <v>2581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2592</v>
      </c>
      <c r="I541" s="26" t="s">
        <v>2581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2592</v>
      </c>
      <c r="I542" s="2" t="s">
        <v>2581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2592</v>
      </c>
      <c r="I543" s="26" t="s">
        <v>2555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2592</v>
      </c>
      <c r="I544" s="26" t="s">
        <v>2581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2592</v>
      </c>
      <c r="I545" s="26" t="s">
        <v>2555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2592</v>
      </c>
      <c r="I546" s="26" t="s">
        <v>2555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2592</v>
      </c>
      <c r="I547" s="26" t="s">
        <v>2582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2592</v>
      </c>
      <c r="I548" s="2" t="s">
        <v>2555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2592</v>
      </c>
      <c r="I549" s="26" t="s">
        <v>2581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2592</v>
      </c>
      <c r="I550" s="26" t="s">
        <v>2582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2592</v>
      </c>
      <c r="I551" s="26" t="s">
        <v>2582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2592</v>
      </c>
      <c r="I552" s="2" t="s">
        <v>2581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2592</v>
      </c>
      <c r="I553" s="2" t="s">
        <v>2581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2592</v>
      </c>
      <c r="I554" s="26" t="s">
        <v>2581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2592</v>
      </c>
      <c r="I555" s="26" t="s">
        <v>2555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2592</v>
      </c>
      <c r="I556" s="26" t="s">
        <v>2555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2592</v>
      </c>
      <c r="I557" s="26" t="s">
        <v>2581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2592</v>
      </c>
      <c r="I558" s="26" t="s">
        <v>2581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2592</v>
      </c>
      <c r="I559" s="26" t="s">
        <v>2555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2592</v>
      </c>
      <c r="I560" s="26" t="s">
        <v>2582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2592</v>
      </c>
      <c r="I561" s="26" t="s">
        <v>2581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2592</v>
      </c>
      <c r="I562" s="26" t="s">
        <v>2581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2592</v>
      </c>
      <c r="I563" s="26" t="s">
        <v>2581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2592</v>
      </c>
      <c r="I564" s="26" t="s">
        <v>2555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2592</v>
      </c>
      <c r="I565" s="2" t="s">
        <v>2555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2592</v>
      </c>
      <c r="I566" s="26" t="s">
        <v>2581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2592</v>
      </c>
      <c r="I567" s="26" t="s">
        <v>2582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2592</v>
      </c>
      <c r="I568" s="26" t="s">
        <v>2555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2592</v>
      </c>
      <c r="I569" s="26" t="s">
        <v>2555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2592</v>
      </c>
      <c r="I570" s="2" t="s">
        <v>2555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2592</v>
      </c>
      <c r="I571" s="26" t="s">
        <v>2555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2592</v>
      </c>
      <c r="I572" s="2" t="s">
        <v>2555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2592</v>
      </c>
      <c r="I573" s="26" t="s">
        <v>2555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2592</v>
      </c>
      <c r="I574" s="2" t="s">
        <v>2555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2592</v>
      </c>
      <c r="I575" s="2" t="s">
        <v>2555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2592</v>
      </c>
      <c r="I576" s="26" t="s">
        <v>2555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2592</v>
      </c>
      <c r="I577" s="26" t="s">
        <v>2581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2592</v>
      </c>
      <c r="I578" s="2" t="s">
        <v>2581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2592</v>
      </c>
      <c r="I579" s="26" t="s">
        <v>2581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2592</v>
      </c>
      <c r="I580" s="26" t="s">
        <v>2582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2592</v>
      </c>
      <c r="I581" s="2" t="s">
        <v>2555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2597</v>
      </c>
      <c r="I582" s="2" t="s">
        <v>2581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2597</v>
      </c>
      <c r="I583" s="2" t="s">
        <v>2581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2592</v>
      </c>
      <c r="I584" s="2" t="s">
        <v>2555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2592</v>
      </c>
      <c r="I585" s="2" t="s">
        <v>2555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2592</v>
      </c>
      <c r="I586" s="2" t="s">
        <v>2581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2592</v>
      </c>
      <c r="I587" s="2" t="s">
        <v>2555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2592</v>
      </c>
      <c r="I588" s="2" t="s">
        <v>2555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2592</v>
      </c>
      <c r="I589" s="2" t="s">
        <v>2555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2592</v>
      </c>
      <c r="I590" s="2" t="s">
        <v>2555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2579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2582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2578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2910</v>
      </c>
      <c r="I592" s="2" t="s">
        <v>2582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2592</v>
      </c>
      <c r="I593" s="2" t="s">
        <v>2582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2579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2582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2581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2592</v>
      </c>
      <c r="I596" s="2" t="s">
        <v>2555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2592</v>
      </c>
      <c r="I597" s="2" t="s">
        <v>2555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2592</v>
      </c>
      <c r="I598" s="2" t="s">
        <v>2582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2592</v>
      </c>
      <c r="I599" s="2" t="s">
        <v>2581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2592</v>
      </c>
      <c r="I600" s="2" t="s">
        <v>2581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2592</v>
      </c>
      <c r="I601" s="2" t="s">
        <v>2581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2592</v>
      </c>
      <c r="I602" s="2" t="s">
        <v>2581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2592</v>
      </c>
      <c r="I603" s="2" t="s">
        <v>2555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2592</v>
      </c>
      <c r="I604" s="2" t="s">
        <v>2582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2592</v>
      </c>
      <c r="I605" s="2" t="s">
        <v>2582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2592</v>
      </c>
      <c r="I606" s="2" t="s">
        <v>2581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2592</v>
      </c>
      <c r="I607" s="2" t="s">
        <v>2581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2592</v>
      </c>
      <c r="I608" s="2" t="s">
        <v>2582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2592</v>
      </c>
      <c r="I609" s="2" t="s">
        <v>2582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2592</v>
      </c>
      <c r="I610" s="2" t="s">
        <v>2555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2592</v>
      </c>
      <c r="I611" s="2" t="s">
        <v>2555</v>
      </c>
      <c r="J611" s="2">
        <v>1</v>
      </c>
      <c r="L611" t="str">
        <f t="shared" si="9"/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2592</v>
      </c>
      <c r="I612" s="2" t="s">
        <v>2581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2592</v>
      </c>
      <c r="I613" s="2" t="s">
        <v>2555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2592</v>
      </c>
      <c r="I614" s="2" t="s">
        <v>2555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2592</v>
      </c>
      <c r="I615" s="2" t="s">
        <v>2581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2592</v>
      </c>
      <c r="I616" s="2" t="s">
        <v>2581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2592</v>
      </c>
      <c r="I617" s="2" t="s">
        <v>2581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2592</v>
      </c>
      <c r="I618" s="2" t="s">
        <v>2582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2592</v>
      </c>
      <c r="I619" s="2" t="s">
        <v>2581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2592</v>
      </c>
      <c r="I620" s="2" t="s">
        <v>2555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2592</v>
      </c>
      <c r="I621" s="2" t="s">
        <v>2581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2592</v>
      </c>
      <c r="I622" s="2" t="s">
        <v>2555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2592</v>
      </c>
      <c r="I623" s="2" t="s">
        <v>2555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2578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2910</v>
      </c>
      <c r="I624" s="2" t="s">
        <v>2582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2592</v>
      </c>
      <c r="I625" s="2" t="s">
        <v>2581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2582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2592</v>
      </c>
      <c r="I627" s="2" t="s">
        <v>2582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2592</v>
      </c>
      <c r="I628" s="2" t="s">
        <v>2582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2592</v>
      </c>
      <c r="I629" s="2" t="s">
        <v>2582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2592</v>
      </c>
      <c r="I630" s="2" t="s">
        <v>2581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2592</v>
      </c>
      <c r="I631" s="2" t="s">
        <v>2582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2592</v>
      </c>
      <c r="I632" s="2" t="s">
        <v>2581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2592</v>
      </c>
      <c r="I633" s="2" t="s">
        <v>2555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2592</v>
      </c>
      <c r="I634" s="2" t="s">
        <v>2581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2592</v>
      </c>
      <c r="I635" s="2" t="s">
        <v>2581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2592</v>
      </c>
      <c r="I636" s="2" t="s">
        <v>2582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2592</v>
      </c>
      <c r="I637" s="2" t="s">
        <v>2581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2592</v>
      </c>
      <c r="I638" s="2" t="s">
        <v>2582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2592</v>
      </c>
      <c r="I639" s="2" t="s">
        <v>2581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2592</v>
      </c>
      <c r="I640" s="2" t="s">
        <v>2582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2592</v>
      </c>
      <c r="I641" s="2" t="s">
        <v>2581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2592</v>
      </c>
      <c r="I642" s="2" t="s">
        <v>2555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2592</v>
      </c>
      <c r="I643" s="2" t="s">
        <v>2582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2592</v>
      </c>
      <c r="I644" s="2" t="s">
        <v>2581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2592</v>
      </c>
      <c r="I645" s="2" t="s">
        <v>2581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3066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2592</v>
      </c>
      <c r="I646" s="2" t="s">
        <v>2555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2578</v>
      </c>
      <c r="C647" s="2" t="s">
        <v>3065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2910</v>
      </c>
      <c r="I647" s="2" t="s">
        <v>2582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2589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2592</v>
      </c>
      <c r="I648" s="2" t="s">
        <v>2555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2589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2592</v>
      </c>
      <c r="I649" s="2" t="s">
        <v>2555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2585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2592</v>
      </c>
      <c r="I650" s="26" t="s">
        <v>2555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2585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2592</v>
      </c>
      <c r="I651" s="2" t="s">
        <v>2555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2583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2592</v>
      </c>
      <c r="I652" s="2" t="s">
        <v>2555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2913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2592</v>
      </c>
      <c r="I653" s="2" t="s">
        <v>2555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2587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2592</v>
      </c>
      <c r="I654" s="2" t="s">
        <v>2555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2587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2592</v>
      </c>
      <c r="I655" s="2" t="s">
        <v>2555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2586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2592</v>
      </c>
      <c r="I656" s="26" t="s">
        <v>2555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2586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2592</v>
      </c>
      <c r="I657" s="26" t="s">
        <v>2555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2586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2592</v>
      </c>
      <c r="I658" s="2" t="s">
        <v>2555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2584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2592</v>
      </c>
      <c r="I659" s="2" t="s">
        <v>2555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2584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2592</v>
      </c>
      <c r="I660" s="2" t="s">
        <v>2555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2914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2592</v>
      </c>
      <c r="I661" s="2" t="s">
        <v>2555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2590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2592</v>
      </c>
      <c r="I662" s="2" t="s">
        <v>2555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2912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2592</v>
      </c>
      <c r="I663" s="2" t="s">
        <v>2555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H28" sqref="H28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2505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2482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2470</v>
      </c>
      <c r="I3" t="s">
        <v>2519</v>
      </c>
    </row>
    <row r="4" spans="1:9" x14ac:dyDescent="0.2">
      <c r="A4" t="s">
        <v>2381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2514</v>
      </c>
      <c r="I4" t="s">
        <v>2520</v>
      </c>
    </row>
    <row r="5" spans="1:9" x14ac:dyDescent="0.2">
      <c r="A5" t="s">
        <v>2386</v>
      </c>
      <c r="B5" t="s">
        <v>2482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2513</v>
      </c>
      <c r="I5" t="s">
        <v>2521</v>
      </c>
    </row>
    <row r="6" spans="1:9" x14ac:dyDescent="0.2">
      <c r="A6" t="s">
        <v>1399</v>
      </c>
      <c r="B6" t="s">
        <v>2482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2472</v>
      </c>
      <c r="I6" t="s">
        <v>2522</v>
      </c>
    </row>
    <row r="7" spans="1:9" x14ac:dyDescent="0.2">
      <c r="A7" t="s">
        <v>1399</v>
      </c>
      <c r="B7" t="s">
        <v>2475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2511</v>
      </c>
      <c r="I7" t="s">
        <v>2523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2515</v>
      </c>
      <c r="I8" t="s">
        <v>2524</v>
      </c>
    </row>
    <row r="9" spans="1:9" x14ac:dyDescent="0.2">
      <c r="A9" t="s">
        <v>1302</v>
      </c>
      <c r="B9" t="s">
        <v>2482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2490</v>
      </c>
      <c r="I9" t="s">
        <v>2525</v>
      </c>
    </row>
    <row r="10" spans="1:9" x14ac:dyDescent="0.2">
      <c r="A10" t="s">
        <v>1664</v>
      </c>
      <c r="B10" t="s">
        <v>2482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2508</v>
      </c>
      <c r="I10" t="s">
        <v>2526</v>
      </c>
    </row>
    <row r="11" spans="1:9" x14ac:dyDescent="0.2">
      <c r="A11" t="s">
        <v>1146</v>
      </c>
      <c r="B11" t="s">
        <v>2484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2527</v>
      </c>
    </row>
    <row r="12" spans="1:9" x14ac:dyDescent="0.2">
      <c r="A12" t="s">
        <v>2489</v>
      </c>
      <c r="B12" t="s">
        <v>2482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2512</v>
      </c>
      <c r="I12" t="s">
        <v>2528</v>
      </c>
    </row>
    <row r="13" spans="1:9" x14ac:dyDescent="0.2">
      <c r="A13" t="s">
        <v>2382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2517</v>
      </c>
      <c r="I13" t="s">
        <v>2529</v>
      </c>
    </row>
    <row r="14" spans="1:9" x14ac:dyDescent="0.2">
      <c r="A14" t="s">
        <v>2384</v>
      </c>
      <c r="B14" t="s">
        <v>2482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2471</v>
      </c>
      <c r="I14" t="s">
        <v>2530</v>
      </c>
    </row>
    <row r="15" spans="1:9" x14ac:dyDescent="0.2">
      <c r="A15" t="s">
        <v>2385</v>
      </c>
      <c r="B15" t="s">
        <v>2482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2491</v>
      </c>
      <c r="I15" t="s">
        <v>2531</v>
      </c>
    </row>
    <row r="16" spans="1:9" x14ac:dyDescent="0.2">
      <c r="A16" t="s">
        <v>1729</v>
      </c>
      <c r="B16" t="s">
        <v>2484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2594</v>
      </c>
    </row>
    <row r="17" spans="1:9" x14ac:dyDescent="0.2">
      <c r="A17" t="s">
        <v>2383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2518</v>
      </c>
      <c r="I17" t="s">
        <v>2532</v>
      </c>
    </row>
    <row r="18" spans="1:9" x14ac:dyDescent="0.2">
      <c r="A18" t="s">
        <v>2485</v>
      </c>
      <c r="B18" t="s">
        <v>2482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2486</v>
      </c>
      <c r="I18" t="s">
        <v>2533</v>
      </c>
    </row>
    <row r="19" spans="1:9" x14ac:dyDescent="0.2">
      <c r="A19" t="s">
        <v>2401</v>
      </c>
      <c r="B19" t="s">
        <v>2484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2534</v>
      </c>
    </row>
    <row r="20" spans="1:9" x14ac:dyDescent="0.2">
      <c r="A20" t="s">
        <v>1327</v>
      </c>
      <c r="B20" t="s">
        <v>2484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2591</v>
      </c>
      <c r="I20" t="s">
        <v>2593</v>
      </c>
    </row>
    <row r="21" spans="1:9" x14ac:dyDescent="0.2">
      <c r="A21" t="s">
        <v>1447</v>
      </c>
      <c r="B21" t="s">
        <v>2482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2509</v>
      </c>
      <c r="I21" t="s">
        <v>2535</v>
      </c>
    </row>
    <row r="22" spans="1:9" x14ac:dyDescent="0.2">
      <c r="A22" t="s">
        <v>2399</v>
      </c>
      <c r="B22" t="s">
        <v>2484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2536</v>
      </c>
    </row>
    <row r="23" spans="1:9" x14ac:dyDescent="0.2">
      <c r="A23" t="s">
        <v>1445</v>
      </c>
      <c r="B23" t="s">
        <v>2484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2537</v>
      </c>
    </row>
    <row r="24" spans="1:9" x14ac:dyDescent="0.2">
      <c r="A24" t="s">
        <v>2400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2488</v>
      </c>
      <c r="I24" t="s">
        <v>2538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2487</v>
      </c>
      <c r="I25" t="s">
        <v>2539</v>
      </c>
    </row>
    <row r="26" spans="1:9" x14ac:dyDescent="0.2">
      <c r="A26" t="s">
        <v>1284</v>
      </c>
      <c r="B26" t="s">
        <v>2473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2481</v>
      </c>
      <c r="I26" t="s">
        <v>2540</v>
      </c>
    </row>
    <row r="27" spans="1:9" x14ac:dyDescent="0.2">
      <c r="A27" t="s">
        <v>1385</v>
      </c>
      <c r="B27" t="s">
        <v>2473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2474</v>
      </c>
      <c r="I27" t="s">
        <v>2541</v>
      </c>
    </row>
    <row r="28" spans="1:9" x14ac:dyDescent="0.2">
      <c r="A28" t="s">
        <v>1284</v>
      </c>
      <c r="B28" t="s">
        <v>2476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2477</v>
      </c>
      <c r="I28" t="s">
        <v>2542</v>
      </c>
    </row>
    <row r="29" spans="1:9" x14ac:dyDescent="0.2">
      <c r="A29" t="s">
        <v>1284</v>
      </c>
      <c r="B29" t="s">
        <v>2478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2510</v>
      </c>
      <c r="I29" t="s">
        <v>2543</v>
      </c>
    </row>
    <row r="30" spans="1:9" x14ac:dyDescent="0.2">
      <c r="A30" t="s">
        <v>1385</v>
      </c>
      <c r="B30" t="s">
        <v>2482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2506</v>
      </c>
      <c r="I30" t="s">
        <v>2544</v>
      </c>
    </row>
    <row r="31" spans="1:9" x14ac:dyDescent="0.2">
      <c r="A31" t="s">
        <v>2469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2516</v>
      </c>
      <c r="I31" t="s">
        <v>2545</v>
      </c>
    </row>
    <row r="32" spans="1:9" x14ac:dyDescent="0.2">
      <c r="A32" t="s">
        <v>1284</v>
      </c>
      <c r="B32" t="s">
        <v>2479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2480</v>
      </c>
      <c r="I32" t="s">
        <v>2546</v>
      </c>
    </row>
    <row r="33" spans="1:9" x14ac:dyDescent="0.2">
      <c r="A33" t="s">
        <v>1385</v>
      </c>
      <c r="B33" t="s">
        <v>2479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2483</v>
      </c>
      <c r="I33" t="s">
        <v>2547</v>
      </c>
    </row>
    <row r="34" spans="1:9" x14ac:dyDescent="0.2">
      <c r="A34" t="s">
        <v>1284</v>
      </c>
      <c r="B34" t="s">
        <v>2475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2507</v>
      </c>
      <c r="I34" t="s">
        <v>2548</v>
      </c>
    </row>
    <row r="35" spans="1:9" x14ac:dyDescent="0.2">
      <c r="A35" t="s">
        <v>2492</v>
      </c>
      <c r="B35" t="s">
        <v>2484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2549</v>
      </c>
    </row>
    <row r="36" spans="1:9" x14ac:dyDescent="0.2">
      <c r="A36" t="s">
        <v>2493</v>
      </c>
      <c r="B36" t="s">
        <v>2484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2550</v>
      </c>
    </row>
    <row r="37" spans="1:9" x14ac:dyDescent="0.2">
      <c r="A37" t="s">
        <v>2494</v>
      </c>
      <c r="B37" t="s">
        <v>2484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2551</v>
      </c>
    </row>
    <row r="38" spans="1:9" x14ac:dyDescent="0.2">
      <c r="A38" t="s">
        <v>2403</v>
      </c>
      <c r="B38" t="s">
        <v>2484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2552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L154"/>
  <sheetViews>
    <sheetView topLeftCell="A129" workbookViewId="0">
      <selection activeCell="A143" sqref="A14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45.33203125" style="7" customWidth="1"/>
    <col min="10" max="10" width="89.5" style="16" bestFit="1" customWidth="1"/>
    <col min="11" max="11" width="18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2" t="s">
        <v>2081</v>
      </c>
      <c r="J1" s="17" t="s">
        <v>2075</v>
      </c>
      <c r="K1" s="10"/>
      <c r="L1" s="10"/>
    </row>
    <row r="2" spans="1:12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J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`"&amp;I2&amp;"` },"</f>
        <v>{ name: "Ishodag Shrine", landmark: "Shrine", type: "Puzzle Trial", region: 1, level: "Surface", x: -885, y: 418, z: 49, details: `` },</v>
      </c>
      <c r="K2" s="19"/>
    </row>
    <row r="3" spans="1:12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J3" s="16" t="str">
        <f t="shared" ref="J3:J66" si="0">"{ name: "&amp;CHAR(34)&amp;A3&amp;CHAR(34)&amp;", landmark: "&amp;CHAR(34)&amp;"Shrine"&amp;CHAR(34)&amp;", type: "&amp;CHAR(34)&amp;B3&amp;CHAR(34)&amp;", region: "&amp;D3&amp;", level: "&amp;CHAR(34)&amp;E3&amp;CHAR(34)&amp;", x: "&amp;F3&amp;", y: "&amp;G3&amp;", z: "&amp;H3&amp;", details: `"&amp;I3&amp;"` },"</f>
        <v>{ name: "Jiosin Shrine", landmark: "Shrine", type: "Puzzle Trial", region: 1, level: "Surface", x: -240, y: -374, z: 27, details: `` },</v>
      </c>
    </row>
    <row r="4" spans="1:12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J4" s="16" t="str">
        <f t="shared" si="0"/>
        <v>{ name: "Kyononis Shrine", landmark: "Shrine", type: "Combat Training", region: 1, level: "Surface", x: -205, y: 451, z: 21, details: `` },</v>
      </c>
    </row>
    <row r="5" spans="1:12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J5" s="16" t="str">
        <f t="shared" si="0"/>
        <v>{ name: "Sepapa Shrine", landmark: "Shrine", type: "Puzzle Trial", region: 1, level: "Surface", x: 219, y: 1082, z: 26, details: `` },</v>
      </c>
    </row>
    <row r="6" spans="1:12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J6" s="16" t="str">
        <f t="shared" si="0"/>
        <v>{ name: "Serutabomac Shrine", landmark: "Shrine", type: "Puzzle Trial", region: 1, level: "Surface", x: -180, y: 1170, z: 280, details: `` },</v>
      </c>
    </row>
    <row r="7" spans="1:12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J7" s="16" t="str">
        <f t="shared" si="0"/>
        <v>{ name: "Susuyai Shrine", landmark: "Shrine", type: "Puzzle Trial", region: 1, level: "Surface", x: -785, y: -433, z: 18, details: `` },</v>
      </c>
    </row>
    <row r="8" spans="1:12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J8" s="16" t="str">
        <f t="shared" si="0"/>
        <v>{ name: "Yamiyo Shrine", landmark: "Shrine", type: "Combat Training", region: 1, level: "Surface", x: 333, y: 468, z: 29, details: `` },</v>
      </c>
    </row>
    <row r="9" spans="1:12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J9" s="16" t="str">
        <f t="shared" si="0"/>
        <v>{ name: "In-isa Shrine", landmark: "Shrine", type: "Puzzle Trial", region: 2, level: "Sky", x: 27, y: -1506, z: 1408, details: `` },</v>
      </c>
    </row>
    <row r="10" spans="1:12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7" t="s">
        <v>4753</v>
      </c>
      <c r="J10" s="16" t="str">
        <f t="shared" si="0"/>
        <v>{ name: "Jinodok Shrine", landmark: "Shrine", type: "Rauru's Blessing", region: 2, level: "Sky", x: -1257, y: -1487, z: 1008, details: `&lt;strong&gt;First:&lt;/strong&gt; Complete &lt;img src="icons/shrine-quest.png" style="height: 20px; width: 20px; vertical-align: middle; margin-right: 5px;"&gt;&lt;span style="color: #7cc9c2; font-weight: bold;"&gt;The South Hyrule Sky Crystal&lt;/span&gt; shrine quest` },</v>
      </c>
    </row>
    <row r="11" spans="1:12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J11" s="16" t="str">
        <f t="shared" si="0"/>
        <v>{ name: "Ukouh Shrine", landmark: "Shrine", type: "Puzzle Trial", region: 2, level: "Sky", x: 275, y: -910, z: 1474, details: `` },</v>
      </c>
    </row>
    <row r="12" spans="1:12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J12" s="16" t="str">
        <f t="shared" si="0"/>
        <v>{ name: "Kamizun Shrine", landmark: "Shrine", type: "Proving Grounds", region: 2, level: "Surface", x: -176, y: -1557, z: 23, details: `` },</v>
      </c>
    </row>
    <row r="13" spans="1:12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J13" s="16" t="str">
        <f t="shared" si="0"/>
        <v>{ name: "Kyokugon Shrine", landmark: "Shrine", type: "Puzzle Trial", region: 2, level: "Surface", x: -710, y: -1550, z: 6, details: `` },</v>
      </c>
    </row>
    <row r="14" spans="1:12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J14" s="16" t="str">
        <f t="shared" si="0"/>
        <v>{ name: "Mayachin Shrine", landmark: "Shrine", type: "Puzzle Trial", region: 2, level: "Surface", x: -705, y: -866, z: 31, details: `` },</v>
      </c>
    </row>
    <row r="15" spans="1:12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J15" s="16" t="str">
        <f t="shared" si="0"/>
        <v>{ name: "Riogok Shrine", landmark: "Shrine", type: "Puzzle Trial", region: 2, level: "Surface", x: -1443, y: -1616, z: 89, details: `` },</v>
      </c>
    </row>
    <row r="16" spans="1:12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J16" s="16" t="str">
        <f t="shared" si="0"/>
        <v>{ name: "Sonapan Shrine", landmark: "Shrine", type: "Puzzle Trial", region: 2, level: "Surface", x: -1921, y: -356, z: 228, details: `` },</v>
      </c>
    </row>
    <row r="17" spans="1:12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J17" s="16" t="str">
        <f t="shared" si="0"/>
        <v>{ name: "Tadarok Shrine", landmark: "Shrine", type: "Puzzle Trial", region: 2, level: "Surface", x: -1082, y: -2187, z: 128, details: `` },</v>
      </c>
      <c r="K17" s="11"/>
      <c r="L17" s="11"/>
    </row>
    <row r="18" spans="1:12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J18" s="16" t="str">
        <f t="shared" si="0"/>
        <v>{ name: "Tajikats Shrine", landmark: "Shrine", type: "Puzzle Trial", region: 2, level: "Surface", x: 344, y: -1007, z: 16, details: `` },</v>
      </c>
      <c r="K18" s="11"/>
      <c r="L18" s="11"/>
    </row>
    <row r="19" spans="1:12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J19" s="16" t="str">
        <f t="shared" si="0"/>
        <v>{ name: "Teniten Shrine", landmark: "Shrine", type: "Combat Training", region: 2, level: "Surface", x: -73, y: -1115, z: 21, details: `` },</v>
      </c>
      <c r="K19" s="11"/>
      <c r="L19" s="11"/>
    </row>
    <row r="20" spans="1:12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J20" s="16" t="str">
        <f t="shared" si="0"/>
        <v>{ name: "Tsutsu-um Shrine", landmark: "Shrine", type: "Puzzle Trial", region: 2, level: "Surface", x: -1422, y: -1350, z: 68, details: `` },</v>
      </c>
      <c r="K20" s="11"/>
      <c r="L20" s="11"/>
    </row>
    <row r="21" spans="1:12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7" t="s">
        <v>4754</v>
      </c>
      <c r="J21" s="16" t="str">
        <f t="shared" si="0"/>
        <v>{ name: "Usazum Shrine", landmark: "Shrine", type: "Rauru's Blessing", region: 2, level: "Surface", x: -2140, y: -873, z: 93, details: `&lt;strong&gt;First:&lt;/strong&gt; Complete &lt;img src="icons/shrine-quest.png" style="height: 20px; width: 20px; vertical-align: middle; margin-right: 5px;"&gt;&lt;span style="color: #7cc9c2; font-weight: bold;"&gt;The Satori Mountain Crystal&lt;/span&gt; shrine quest` },</v>
      </c>
      <c r="K21" s="11"/>
      <c r="L21" s="11"/>
    </row>
    <row r="22" spans="1:12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J22" s="16" t="str">
        <f t="shared" si="0"/>
        <v>{ name: "Ga-ahisas Shrine", landmark: "Shrine", type: "Rauru's Blessing", region: 3, level: "Sky", x: -3596, y: 962, z: 1699, details: `` },</v>
      </c>
      <c r="K22" s="11"/>
      <c r="L22" s="11"/>
    </row>
    <row r="23" spans="1:12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7" t="s">
        <v>4755</v>
      </c>
      <c r="J23" s="16" t="str">
        <f t="shared" si="0"/>
        <v>{ name: "Ganos Shrine", landmark: "Shrine", type: "Rauru's Blessing", region: 3, level: "Sky", x: -3366, y: 469, z: 1695, details: `&lt;strong&gt;First:&lt;/strong&gt; Complete &lt;img src="icons/shrine-quest.png" style="height: 20px; width: 20px; vertical-align: middle; margin-right: 5px;"&gt;&lt;span style="color: #7cc9c2; font-weight: bold;"&gt;The Tabantha Sky Crystal&lt;/span&gt; shrine quest` },</v>
      </c>
      <c r="K23" s="11"/>
      <c r="L23" s="11"/>
    </row>
    <row r="24" spans="1:12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J24" s="16" t="str">
        <f t="shared" si="0"/>
        <v>{ name: "Taunhiy Shrine", landmark: "Shrine", type: "Combat Training", region: 3, level: "Sky", x: -2400, y: 824, z: 615, details: `` },</v>
      </c>
      <c r="K24" s="11"/>
      <c r="L24" s="11"/>
    </row>
    <row r="25" spans="1:12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7" t="s">
        <v>4756</v>
      </c>
      <c r="J25" s="16" t="str">
        <f t="shared" si="0"/>
        <v>{ name: "Ikatak Shrine", landmark: "Shrine", type: "Rauru's Blessing", region: 3, level: "Surface", x: -3950, y: 1138, z: 111, details: `&lt;strong&gt;First:&lt;/strong&gt; Complete &lt;img src="icons/shrine-quest.png" style="height: 20px; width: 20px; vertical-align: middle; margin-right: 5px;"&gt;&lt;span style="color: #7cc9c2; font-weight: bold;"&gt;The Gisa Crater Crystal&lt;/span&gt; shrine quest` },</v>
      </c>
      <c r="K25" s="11"/>
      <c r="L25" s="11"/>
    </row>
    <row r="26" spans="1:12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J26" s="16" t="str">
        <f t="shared" si="0"/>
        <v>{ name: "Iun-orok Shrine", landmark: "Shrine", type: "Puzzle Trial", region: 3, level: "Surface", x: -3538, y: 853, z: -133, details: `` },</v>
      </c>
      <c r="K26" s="11"/>
      <c r="L26" s="11"/>
    </row>
    <row r="27" spans="1:12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J27" s="16" t="str">
        <f t="shared" si="0"/>
        <v>{ name: "Kiuyoyou Shrine", landmark: "Shrine", type: "Puzzle Trial", region: 3, level: "Surface", x: -1106, y: 2086, z: 104, details: `` },</v>
      </c>
      <c r="K27" s="11"/>
      <c r="L27" s="11"/>
    </row>
    <row r="28" spans="1:12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J28" s="16" t="str">
        <f t="shared" si="0"/>
        <v>{ name: "Makurukis Shrine", landmark: "Shrine", type: "Combat Training", region: 3, level: "Surface", x: -2848, y: 629, z: 233, details: `` },</v>
      </c>
      <c r="K28" s="11"/>
      <c r="L28" s="11"/>
    </row>
    <row r="29" spans="1:12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J29" s="16" t="str">
        <f t="shared" si="0"/>
        <v>{ name: "Oromuwak Shrine", landmark: "Shrine", type: "Puzzle Trial", region: 3, level: "Surface", x: -3079, y: 1618, z: -241, details: `` },</v>
      </c>
      <c r="K29" s="11"/>
      <c r="L29" s="11"/>
    </row>
    <row r="30" spans="1:12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J30" s="16" t="str">
        <f t="shared" si="0"/>
        <v>{ name: "Runakit Shrine", landmark: "Shrine", type: "Puzzle Trial", region: 3, level: "Surface", x: -2534, y: 1167, z: 177, details: `` },</v>
      </c>
      <c r="K30" s="11"/>
      <c r="L30" s="11"/>
    </row>
    <row r="31" spans="1:12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J31" s="16" t="str">
        <f t="shared" si="0"/>
        <v>{ name: "Sinakawak Shrine", landmark: "Shrine", type: "Puzzle Trial", region: 3, level: "Surface", x: -1413, y: 757, z: 89, details: `` },</v>
      </c>
      <c r="K31" s="11"/>
      <c r="L31" s="11"/>
    </row>
    <row r="32" spans="1:12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J32" s="16" t="str">
        <f t="shared" si="0"/>
        <v>{ name: "Taki-ihaban Shrine", landmark: "Shrine", type: "Rauru's Blessing", region: 3, level: "Surface", x: -1828, y: 1196, z: 147, details: `` },</v>
      </c>
      <c r="K32" s="11"/>
      <c r="L32" s="11"/>
    </row>
    <row r="33" spans="1:12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J33" s="16" t="str">
        <f t="shared" si="0"/>
        <v>{ name: "Ijo-o Shrine", landmark: "Shrine", type: "Puzzle Trial", region: 4, level: "Sky", x: -3863, y: 2684, z: 702, details: `` },</v>
      </c>
      <c r="K33" s="11"/>
      <c r="L33" s="11"/>
    </row>
    <row r="34" spans="1:12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J34" s="16" t="str">
        <f t="shared" si="0"/>
        <v>{ name: "Kahatanaum Shrine", landmark: "Shrine", type: "Rauru's Blessing", region: 4, level: "Sky", x: -3294, y: 3430, z: 1347, details: `` },</v>
      </c>
      <c r="K34" s="11"/>
      <c r="L34" s="11"/>
    </row>
    <row r="35" spans="1:12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J35" s="16" t="str">
        <f t="shared" si="0"/>
        <v>{ name: "Mayaumekis Shrine", landmark: "Shrine", type: "Puzzle Trial", region: 4, level: "Sky", x: -2947, y: 3051, z: 897, details: `` },</v>
      </c>
      <c r="K35" s="11"/>
      <c r="L35" s="11"/>
    </row>
    <row r="36" spans="1:12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J36" s="16" t="str">
        <f t="shared" si="0"/>
        <v>{ name: "Eutoum Shrine", landmark: "Shrine", type: "Proving Grounds", region: 4, level: "Surface", x: -3506, y: 3570, z: 387, details: `` },</v>
      </c>
      <c r="K36" s="11"/>
      <c r="L36" s="11"/>
    </row>
    <row r="37" spans="1:12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J37" s="16" t="str">
        <f t="shared" si="0"/>
        <v>{ name: "Gatakis Shrine", landmark: "Shrine", type: "Puzzle Trial", region: 4, level: "Surface", x: -3650, y: 1805, z: 168, details: `` },</v>
      </c>
      <c r="K37" s="11"/>
      <c r="L37" s="11"/>
    </row>
    <row r="38" spans="1:12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J38" s="16" t="str">
        <f t="shared" si="0"/>
        <v>{ name: "Otak Shrine", landmark: "Shrine", type: "Proving Grounds", region: 4, level: "Surface", x: -4391, y: 3714, z: 212, details: `` },</v>
      </c>
      <c r="K38" s="11"/>
      <c r="L38" s="11"/>
    </row>
    <row r="39" spans="1:12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7" t="s">
        <v>4757</v>
      </c>
      <c r="J39" s="16" t="str">
        <f t="shared" si="0"/>
        <v>{ name: "Rutafu-um Shrine", landmark: "Shrine", type: "Rauru's Blessing", region: 4, level: "Surface", x: -2996, y: 3102, z: 529, details: `&lt;strong&gt;First:&lt;/strong&gt; Complete &lt;img src="icons/shrine-quest.png" style="height: 20px; width: 20px; vertical-align: middle; margin-right: 5px;"&gt;&lt;span style="color: #7cc9c2; font-weight: bold;"&gt;The Northwest Hebra Cave Crystal&lt;/span&gt; shrine quest` },</v>
      </c>
      <c r="K39" s="11"/>
      <c r="L39" s="11"/>
    </row>
    <row r="40" spans="1:12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J40" s="16" t="str">
        <f t="shared" si="0"/>
        <v>{ name: "Sahirow Shrine", landmark: "Shrine", type: "Puzzle Trial", region: 4, level: "Surface", x: -3355, y: 2387, z: 361, details: `` },</v>
      </c>
      <c r="K40" s="11"/>
      <c r="L40" s="11"/>
    </row>
    <row r="41" spans="1:12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7" t="s">
        <v>4758</v>
      </c>
      <c r="J41" s="16" t="str">
        <f t="shared" si="0"/>
        <v>{ name: "Sisuran Shrine", landmark: "Shrine", type: "Rauru's Blessing", region: 4, level: "Surface", x: -2559, y: 3353, z: 245, details: `&lt;strong&gt;First:&lt;/strong&gt; Complete &lt;img src="icons/shrine-quest.png" style="height: 20px; width: 20px; vertical-align: middle; margin-right: 5px;"&gt;&lt;span style="color: #7cc9c2; font-weight: bold;"&gt;The North Hebra Mountains Crystal&lt;/span&gt; shrine quest` },</v>
      </c>
      <c r="K41" s="11"/>
      <c r="L41" s="11"/>
    </row>
    <row r="42" spans="1:12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J42" s="16" t="str">
        <f t="shared" si="0"/>
        <v>{ name: "Tauyosipun Shrine", landmark: "Shrine", type: "Puzzle Trial", region: 4, level: "Surface", x: -4539, y: 2881, z: 262, details: `` },</v>
      </c>
      <c r="K42" s="11"/>
      <c r="L42" s="11"/>
    </row>
    <row r="43" spans="1:12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7" t="s">
        <v>4759</v>
      </c>
      <c r="J43" s="16" t="str">
        <f t="shared" si="0"/>
        <v>{ name: "Wao-os Shrine", landmark: "Shrine", type: "Puzzle Trial", region: 4, level: "Surface", x: -4059, y: 1991, z: 183, details: `&lt;strong&gt;First:&lt;/strong&gt; Complete &lt;img src="icons/shrine-quest.png" style="height: 20px; width: 20px; vertical-align: middle; margin-right: 5px;"&gt;&lt;span style="color: #7cc9c2; font-weight: bold;"&gt;The White Bird's Guidance&lt;/span&gt; shrine quest` },</v>
      </c>
      <c r="K43" s="11"/>
      <c r="L43" s="11"/>
    </row>
    <row r="44" spans="1:12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J44" s="16" t="str">
        <f t="shared" si="0"/>
        <v>{ name: "Taninoud Shrine", landmark: "Shrine", type: "Rauru's Blessing", region: 5, level: "Sky", x: -1800, y: 3406, z: 949, details: `` },</v>
      </c>
      <c r="K44" s="11"/>
      <c r="L44" s="11"/>
    </row>
    <row r="45" spans="1:12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J45" s="16" t="str">
        <f t="shared" si="0"/>
        <v>{ name: "Tenbez Shrine", landmark: "Shrine", type: "Puzzle Trial", region: 5, level: "Sky", x: -970, y: 3536, z: 1011, details: `` },</v>
      </c>
      <c r="K45" s="11"/>
      <c r="L45" s="11"/>
    </row>
    <row r="46" spans="1:12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J46" s="16" t="str">
        <f t="shared" si="0"/>
        <v>{ name: "Mayaotaki Shrine", landmark: "Shrine", type: "Rauru's Blessing", region: 5, level: "Surface", x: -823, y: 3535, z: 235, details: `` },</v>
      </c>
      <c r="K46" s="11"/>
      <c r="L46" s="11"/>
    </row>
    <row r="47" spans="1:12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J47" s="16" t="str">
        <f t="shared" si="0"/>
        <v>{ name: "Mayausiy Shrine", landmark: "Shrine", type: "Puzzle Trial", region: 5, level: "Surface", x: -1165, y: 2602, z: 86, details: `` },</v>
      </c>
      <c r="K47" s="11"/>
      <c r="L47" s="11"/>
    </row>
    <row r="48" spans="1:12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J48" s="16" t="str">
        <f t="shared" si="0"/>
        <v>{ name: "Nouda Shrine", landmark: "Shrine", type: "Proving Grounds", region: 5, level: "Surface", x: -2319, y: 2201, z: 173, details: `` },</v>
      </c>
      <c r="K48" s="11"/>
      <c r="L48" s="11"/>
    </row>
    <row r="49" spans="1:12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J49" s="16" t="str">
        <f t="shared" si="0"/>
        <v>{ name: "Orochium Shrine", landmark: "Shrine", type: "Puzzle Trial", region: 5, level: "Surface", x: -1638, y: 2643, z: 238, details: `` },</v>
      </c>
      <c r="K49" s="11"/>
      <c r="L49" s="11"/>
    </row>
    <row r="50" spans="1:12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J50" s="16" t="str">
        <f t="shared" si="0"/>
        <v>{ name: "Oshozan-u Shrine", landmark: "Shrine", type: "Puzzle Trial", region: 5, level: "Surface", x: -1404, y: 3677, z: 288, details: `` },</v>
      </c>
      <c r="K50" s="11"/>
      <c r="L50" s="11"/>
    </row>
    <row r="51" spans="1:12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7" t="s">
        <v>4760</v>
      </c>
      <c r="J51" s="16" t="str">
        <f t="shared" si="0"/>
        <v>{ name: "Mayam Shrine", landmark: "Shrine", type: "Rauru's Blessing", region: 6, level: "Sky", x: 341, y: 2814, z: 1821, details: `&lt;strong&gt;First:&lt;/strong&gt; Complete &lt;img src="icons/shrine-quest.png" style="height: 20px; width: 20px; vertical-align: middle; margin-right: 5px;"&gt;&lt;span style="color: #7cc9c2; font-weight: bold;"&gt;The North Hyrule Sky Crystal&lt;/span&gt; shrine quest` },</v>
      </c>
      <c r="K51" s="11"/>
      <c r="L51" s="11"/>
    </row>
    <row r="52" spans="1:12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J52" s="16" t="str">
        <f t="shared" si="0"/>
        <v>{ name: "Simosiwak Shrine", landmark: "Shrine", type: "Proving Grounds", region: 6, level: "Sky", x: 163, y: 1973, z: 759, details: `` },</v>
      </c>
      <c r="K52" s="11"/>
      <c r="L52" s="11"/>
    </row>
    <row r="53" spans="1:12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J53" s="16" t="str">
        <f t="shared" si="0"/>
        <v>{ name: "Kikakin Shrine", landmark: "Shrine", type: "Puzzle Trial", region: 6, level: "Surface", x: -395, y: 2736, z: 287, details: `` },</v>
      </c>
      <c r="K53" s="11"/>
      <c r="L53" s="11"/>
    </row>
    <row r="54" spans="1:12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J54" s="16" t="str">
        <f t="shared" si="0"/>
        <v>{ name: "Mayak Shrine", landmark: "Shrine", type: "Puzzle Trial", region: 6, level: "Surface", x: 1270, y: 3733, z: 106, details: `` },</v>
      </c>
      <c r="K54" s="11"/>
      <c r="L54" s="11"/>
    </row>
    <row r="55" spans="1:12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J55" s="16" t="str">
        <f t="shared" si="0"/>
        <v>{ name: "Minetak Shrine", landmark: "Shrine", type: "Rauru's Blessing", region: 6, level: "Surface", x: 393, y: 3485, z: 68, details: `` },</v>
      </c>
      <c r="K55" s="11"/>
      <c r="L55" s="11"/>
    </row>
    <row r="56" spans="1:12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J56" s="16" t="str">
        <f t="shared" si="0"/>
        <v>{ name: "Musanokir Shrine", landmark: "Shrine", type: "Puzzle Trial", region: 6, level: "Surface", x: 408, y: 2133, z: 143, details: `` },</v>
      </c>
      <c r="K56" s="11"/>
      <c r="L56" s="11"/>
    </row>
    <row r="57" spans="1:12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7" t="s">
        <v>4761</v>
      </c>
      <c r="J57" s="16" t="str">
        <f t="shared" si="0"/>
        <v>{ name: "Ninjis Shrine", landmark: "Shrine", type: "Rauru's Blessing", region: 6, level: "Surface", x: 353, y: 1890, z: 178, details: `&lt;strong&gt;First:&lt;/strong&gt; Complete &lt;img src="icons/shrine-quest.png" style="height: 20px; width: 20px; vertical-align: middle; margin-right: 5px;"&gt;&lt;span style="color: #7cc9c2; font-weight: bold;"&gt;Maca's Special Place&lt;/span&gt; shrine quest` },</v>
      </c>
      <c r="K57" s="11"/>
      <c r="L57" s="11"/>
    </row>
    <row r="58" spans="1:12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7" t="s">
        <v>4762</v>
      </c>
      <c r="J58" s="16" t="str">
        <f t="shared" si="0"/>
        <v>{ name: "Pupunke Shrine", landmark: "Shrine", type: "Rauru's Blessing", region: 6, level: "Surface", x: 619, y: 2211, z: 164, details: `&lt;strong&gt;First:&lt;/strong&gt;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quest` },</v>
      </c>
      <c r="K58" s="11"/>
      <c r="L58" s="11"/>
    </row>
    <row r="59" spans="1:12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7" t="s">
        <v>4763</v>
      </c>
      <c r="J59" s="16" t="str">
        <f t="shared" si="0"/>
        <v>{ name: "Sakunbomar Shrine", landmark: "Shrine", type: "Rauru's Blessing", region: 6, level: "Surface", x: 166, y: 2319, z: 178, details: `&lt;strong&gt;First:&lt;/strong&gt; Complete &lt;img src="icons/shrine-quest.png" style="height: 20px; width: 20px; vertical-align: middle; margin-right: 5px;"&gt;&lt;span style="color: #7cc9c2; font-weight: bold;"&gt;None Shall Pass&lt;/span&gt; shrine quest` },</v>
      </c>
      <c r="K59" s="11"/>
      <c r="L59" s="11"/>
    </row>
    <row r="60" spans="1:12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J60" s="16" t="str">
        <f t="shared" si="0"/>
        <v>{ name: "Sikukuu Shrine", landmark: "Shrine", type: "Puzzle Trial", region: 6, level: "Surface", x: 700, y: 2793, z: 225, details: `` },</v>
      </c>
      <c r="K60" s="11"/>
      <c r="L60" s="11"/>
    </row>
    <row r="61" spans="1:12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J61" s="16" t="str">
        <f t="shared" si="0"/>
        <v>{ name: "Tenmaten Shrine", landmark: "Shrine", type: "Rauru's Blessing", region: 6, level: "Surface", x: -594, y: 1551, z: -14, details: `` },</v>
      </c>
      <c r="K61" s="11"/>
      <c r="L61" s="11"/>
    </row>
    <row r="62" spans="1:12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J62" s="16" t="str">
        <f t="shared" si="0"/>
        <v>{ name: "Kadaunar Shrine", landmark: "Shrine", type: "Puzzle Trial", region: 7, level: "Sky", x: 1883, y: 1202, z: 1251, details: `` },</v>
      </c>
      <c r="K62" s="11"/>
      <c r="L62" s="11"/>
    </row>
    <row r="63" spans="1:12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J63" s="16" t="str">
        <f t="shared" si="0"/>
        <v>{ name: "Ekochiu Shrine", landmark: "Shrine", type: "Puzzle Trial", region: 7, level: "Surface", x: 1059, y: 1276, z: 45, details: `` },</v>
      </c>
      <c r="K63" s="11"/>
      <c r="L63" s="11"/>
    </row>
    <row r="64" spans="1:12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J64" s="16" t="str">
        <f t="shared" si="0"/>
        <v>{ name: "Isisim Shrine", landmark: "Shrine", type: "Proving Grounds", region: 7, level: "Surface", x: 1842, y: 2841, z: 363, details: `` },</v>
      </c>
      <c r="K64" s="11"/>
      <c r="L64" s="11"/>
    </row>
    <row r="65" spans="1:12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J65" s="16" t="str">
        <f t="shared" si="0"/>
        <v>{ name: "Jiotak Shrine", landmark: "Shrine", type: "Rauru's Blessing", region: 7, level: "Surface", x: 1833, y: 3179, z: 257, details: `` },</v>
      </c>
      <c r="K65" s="11"/>
      <c r="L65" s="11"/>
    </row>
    <row r="66" spans="1:12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J66" s="16" t="str">
        <f t="shared" si="0"/>
        <v>{ name: "Kimayat Shrine", landmark: "Shrine", type: "Proving Grounds", region: 7, level: "Surface", x: 2863, y: 3637, z: 239, details: `` },</v>
      </c>
      <c r="K66" s="11"/>
      <c r="L66" s="11"/>
    </row>
    <row r="67" spans="1:12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J67" s="16" t="str">
        <f t="shared" ref="J67:J130" si="1">"{ name: "&amp;CHAR(34)&amp;A67&amp;CHAR(34)&amp;", landmark: "&amp;CHAR(34)&amp;"Shrine"&amp;CHAR(34)&amp;", type: "&amp;CHAR(34)&amp;B67&amp;CHAR(34)&amp;", region: "&amp;D67&amp;", level: "&amp;CHAR(34)&amp;E67&amp;CHAR(34)&amp;", x: "&amp;F67&amp;", y: "&amp;G67&amp;", z: "&amp;H67&amp;", details: `"&amp;I67&amp;"` },"</f>
        <v>{ name: "Kisinona Shrine", landmark: "Shrine", type: "Puzzle Trial", region: 7, level: "Surface", x: 2567, y: 1245, z: 173, details: `` },</v>
      </c>
      <c r="K67" s="11"/>
      <c r="L67" s="11"/>
    </row>
    <row r="68" spans="1:12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J68" s="16" t="str">
        <f t="shared" si="1"/>
        <v>{ name: "Marakuguc Shrine", landmark: "Shrine", type: "Puzzle Trial", region: 7, level: "Surface", x: 1761, y: 2508, z: 437, details: `` },</v>
      </c>
      <c r="K68" s="11"/>
      <c r="L68" s="11"/>
    </row>
    <row r="69" spans="1:12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7" t="s">
        <v>4764</v>
      </c>
      <c r="J69" s="16" t="str">
        <f t="shared" si="1"/>
        <v>{ name: "Momosik Shrine", landmark: "Shrine", type: "Rauru's Blessing", region: 7, level: "Surface", x: 2959, y: 2758, z: 524, details: `&lt;strong&gt;First:&lt;/strong&gt; Complete &lt;img src="icons/shrine-quest.png" style="height: 20px; width: 20px; vertical-align: middle; margin-right: 5px;"&gt;&lt;span style="color: #7cc9c2; font-weight: bold;"&gt;The Death Caldera Crystal&lt;/span&gt; shrine quest` },</v>
      </c>
      <c r="K69" s="11"/>
      <c r="L69" s="11"/>
    </row>
    <row r="70" spans="1:12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7" t="s">
        <v>4765</v>
      </c>
      <c r="J70" s="16" t="str">
        <f t="shared" si="1"/>
        <v>{ name: "Moshapin Shrine", landmark: "Shrine", type: "Rauru's Blessing", region: 7, level: "Surface", x: 2678, y: 1905, z: 131, details: `&lt;strong&gt;First:&lt;/strong&gt; Complete &lt;img src="icons/shrine-quest.png" style="height: 20px; width: 20px; vertical-align: middle; margin-right: 5px;"&gt;&lt;span style="color: #7cc9c2; font-weight: bold;"&gt;The Lake Intenoch Cave Crystal&lt;/span&gt; shrine quest` },</v>
      </c>
      <c r="K70" s="11"/>
      <c r="L70" s="11"/>
    </row>
    <row r="71" spans="1:12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J71" s="16" t="str">
        <f t="shared" si="1"/>
        <v>{ name: "Sibajitak Shrine", landmark: "Shrine", type: "Puzzle Trial", region: 7, level: "Surface", x: 2401, y: 3273, z: 402, details: `` },</v>
      </c>
      <c r="K71" s="11"/>
      <c r="L71" s="11"/>
    </row>
    <row r="72" spans="1:12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J72" s="16" t="str">
        <f t="shared" si="1"/>
        <v>{ name: "Sitsum Shrine", landmark: "Shrine", type: "Puzzle Trial", region: 7, level: "Surface", x: 2367, y: 2598, z: 790, details: `` },</v>
      </c>
      <c r="K72" s="11"/>
      <c r="L72" s="11"/>
    </row>
    <row r="73" spans="1:12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J73" s="16" t="str">
        <f t="shared" si="1"/>
        <v>{ name: "Timawak Shrine", landmark: "Shrine", type: "Puzzle Trial", region: 7, level: "Surface", x: 1798, y: 1639, z: 311, details: `` },</v>
      </c>
      <c r="K73" s="11"/>
      <c r="L73" s="11"/>
    </row>
    <row r="74" spans="1:12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7" t="s">
        <v>4766</v>
      </c>
      <c r="J74" s="16" t="str">
        <f t="shared" si="1"/>
        <v>{ name: "Gikaku Shrine", landmark: "Shrine", type: "Rauru's Blessing", region: 8, level: "Sky", x: 4506, y: 2164, z: 1155, details: `&lt;strong&gt;First:&lt;/strong&gt; Complete &lt;img src="icons/shrine-quest.png" style="height: 20px; width: 20px; vertical-align: middle; margin-right: 5px;"&gt;&lt;span style="color: #7cc9c2; font-weight: bold;"&gt;The Sky Mine Crystal&lt;/span&gt; shrine quest` },</v>
      </c>
      <c r="K74" s="11"/>
      <c r="L74" s="11"/>
    </row>
    <row r="75" spans="1:12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J75" s="16" t="str">
        <f t="shared" si="1"/>
        <v>{ name: "Mogisari Shrine", landmark: "Shrine", type: "Puzzle Trial", region: 8, level: "Sky", x: 4655, y: 3501, z: 1010, details: `` },</v>
      </c>
      <c r="K75" s="11"/>
      <c r="L75" s="11"/>
    </row>
    <row r="76" spans="1:12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7" t="s">
        <v>4767</v>
      </c>
      <c r="J76" s="16" t="str">
        <f t="shared" si="1"/>
        <v>{ name: "Natak Shrine", landmark: "Shrine", type: "Rauru's Blessing", region: 8, level: "Sky", x: 3669, y: 1488, z: 1157, details: `&lt;strong&gt;First:&lt;/strong&gt; Complete &lt;img src="icons/shrine-quest.png" style="height: 20px; width: 20px; vertical-align: middle; margin-right: 5px;"&gt;&lt;span style="color: #7cc9c2; font-weight: bold;"&gt;The Sokkala Sky Crystal&lt;/span&gt; shrine quest` },</v>
      </c>
      <c r="K76" s="11"/>
      <c r="L76" s="11"/>
    </row>
    <row r="77" spans="1:12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J77" s="16" t="str">
        <f t="shared" si="1"/>
        <v>{ name: "Domizuin Shrine", landmark: "Shrine", type: "Puzzle Trial", region: 8, level: "Surface", x: 3305, y: 1443, z: 426, details: `` },</v>
      </c>
      <c r="K77" s="11"/>
      <c r="L77" s="11"/>
    </row>
    <row r="78" spans="1:12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J78" s="16" t="str">
        <f t="shared" si="1"/>
        <v>{ name: "Gemimik Shrine", landmark: "Shrine", type: "Puzzle Trial", region: 8, level: "Surface", x: 4513, y: 2116, z: 1, details: `` },</v>
      </c>
      <c r="K78" s="11"/>
      <c r="L78" s="11"/>
    </row>
    <row r="79" spans="1:12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J79" s="16" t="str">
        <f t="shared" si="1"/>
        <v>{ name: "Igashuk Shrine", landmark: "Shrine", type: "Rauru's Blessing", region: 8, level: "Surface", x: 4653, y: 3702, z: 131, details: `` },</v>
      </c>
      <c r="K79" s="11"/>
      <c r="L79" s="11"/>
    </row>
    <row r="80" spans="1:12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7" t="s">
        <v>4768</v>
      </c>
      <c r="J80" s="16" t="str">
        <f t="shared" si="1"/>
        <v>{ name: "Jochi-ihiga Shrine", landmark: "Shrine", type: "Rauru's Blessing", region: 8, level: "Surface", x: 3809, y: 1219, z: 90, details: `&lt;strong&gt;First:&lt;/strong&gt; Complete &lt;img src="icons/shrine-quest.png" style="height: 20px; width: 20px; vertical-align: middle; margin-right: 5px;"&gt;&lt;span style="color: #7cc9c2; font-weight: bold;"&gt;Rock for Sale&lt;/span&gt; shrine quest` },</v>
      </c>
      <c r="K80" s="11"/>
      <c r="L80" s="11"/>
    </row>
    <row r="81" spans="1:12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J81" s="16" t="str">
        <f t="shared" si="1"/>
        <v>{ name: "Jochi-iu Shrine", landmark: "Shrine", type: "Puzzle Trial", region: 8, level: "Surface", x: 4346, y: 2875, z: 164, details: `` },</v>
      </c>
      <c r="K81" s="11"/>
      <c r="L81" s="11"/>
    </row>
    <row r="82" spans="1:12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J82" s="16" t="str">
        <f t="shared" si="1"/>
        <v>{ name: "Kamatukis Shrine", landmark: "Shrine", type: "Puzzle Trial", region: 8, level: "Surface", x: 3431, y: 3355, z: 70, details: `` },</v>
      </c>
      <c r="K82" s="11"/>
      <c r="L82" s="11"/>
    </row>
    <row r="83" spans="1:12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J83" s="16" t="str">
        <f t="shared" si="1"/>
        <v>{ name: "Mayachideg Shrine", landmark: "Shrine", type: "Proving Grounds", region: 8, level: "Surface", x: 3061, y: 1823, z: 216, details: `` },</v>
      </c>
      <c r="K83" s="11"/>
      <c r="L83" s="11"/>
    </row>
    <row r="84" spans="1:12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J84" s="16" t="str">
        <f t="shared" si="1"/>
        <v>{ name: "Rasiwak Shrine", landmark: "Shrine", type: "Puzzle Trial", region: 8, level: "Surface", x: 4664, y: 3262, z: 2, details: `` },</v>
      </c>
      <c r="K84" s="11"/>
      <c r="L84" s="11"/>
    </row>
    <row r="85" spans="1:12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J85" s="16" t="str">
        <f t="shared" si="1"/>
        <v>{ name: "Sinatanika Shrine", landmark: "Shrine", type: "Combat Training", region: 8, level: "Surface", x: 3839, y: 2301, z: 48, details: `` },</v>
      </c>
      <c r="K85" s="11"/>
      <c r="L85" s="11"/>
    </row>
    <row r="86" spans="1:12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J86" s="16" t="str">
        <f t="shared" si="1"/>
        <v>{ name: "Igoshon Shrine", landmark: "Shrine", type: "Puzzle Trial", region: 9, level: "Sky", x: 3480, y: 664, z: 1325, details: `` },</v>
      </c>
      <c r="K86" s="11"/>
      <c r="L86" s="11"/>
    </row>
    <row r="87" spans="1:12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J87" s="16" t="str">
        <f t="shared" si="1"/>
        <v>{ name: "Jirutagumac Shrine", landmark: "Shrine", type: "Puzzle Trial", region: 9, level: "Sky", x: 2916, y: 533, z: 951, details: `` },</v>
      </c>
      <c r="K87" s="11"/>
      <c r="L87" s="11"/>
    </row>
    <row r="88" spans="1:12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J88" s="16" t="str">
        <f t="shared" si="1"/>
        <v>{ name: "Apogek Shrine", landmark: "Shrine", type: "Puzzle Trial", region: 9, level: "Surface", x: 3887, y: -217, z: 163, details: `` },</v>
      </c>
      <c r="K88" s="11"/>
      <c r="L88" s="11"/>
    </row>
    <row r="89" spans="1:12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J89" s="16" t="str">
        <f t="shared" si="1"/>
        <v>{ name: "Gatanisis Shrine", landmark: "Shrine", type: "Puzzle Trial", region: 9, level: "Surface", x: 4498, y: 825, z: 95, details: `` },</v>
      </c>
      <c r="K89" s="11"/>
      <c r="L89" s="11"/>
    </row>
    <row r="90" spans="1:12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J90" s="16" t="str">
        <f t="shared" si="1"/>
        <v>{ name: "Ihen-a Shrine", landmark: "Shrine", type: "Puzzle Trial", region: 9, level: "Surface", x: 3784, y: 579, z: 486, details: `` },</v>
      </c>
      <c r="K90" s="11"/>
      <c r="L90" s="11"/>
    </row>
    <row r="91" spans="1:12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7" t="s">
        <v>4769</v>
      </c>
      <c r="J91" s="16" t="str">
        <f t="shared" si="1"/>
        <v>{ name: "Joniu Shrine", landmark: "Shrine", type: "Rauru's Blessing", region: 9, level: "Surface", x: 2918, y: 505, z: 155, details: `&lt;strong&gt;First:&lt;/strong&gt; Complete &lt;img src="icons/shrine-quest.png" style="height: 20px; width: 20px; vertical-align: middle; margin-right: 5px;"&gt;&lt;span style="color: #7cc9c2; font-weight: bold;"&gt;The Ralis Channel Crystal&lt;/span&gt; shrine quest` },</v>
      </c>
      <c r="K91" s="11"/>
      <c r="L91" s="11"/>
    </row>
    <row r="92" spans="1:12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J92" s="16" t="str">
        <f t="shared" si="1"/>
        <v>{ name: "Maoikes Shrine", landmark: "Shrine", type: "Rauru's Blessing", region: 9, level: "Surface", x: 2277, y: 150, z: 79, details: `` },</v>
      </c>
      <c r="K92" s="11"/>
      <c r="L92" s="11"/>
    </row>
    <row r="93" spans="1:12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J93" s="16" t="str">
        <f t="shared" si="1"/>
        <v>{ name: "Mogawak Shrine", landmark: "Shrine", type: "Puzzle Trial", region: 9, level: "Surface", x: 3298, y: 424, z: 112, details: `` },</v>
      </c>
      <c r="K93" s="11"/>
      <c r="L93" s="11"/>
    </row>
    <row r="94" spans="1:12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J94" s="16" t="str">
        <f t="shared" si="1"/>
        <v>{ name: "Rasitakiwak Shrine", landmark: "Shrine", type: "Proving Grounds", region: 9, level: "Surface", x: 4166, y: 1323, z: 229, details: `` },</v>
      </c>
      <c r="K94" s="11"/>
      <c r="L94" s="11"/>
    </row>
    <row r="95" spans="1:12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J95" s="16" t="str">
        <f t="shared" si="1"/>
        <v>{ name: "Yomizuk Shrine", landmark: "Shrine", type: "Rauru's Blessing", region: 9, level: "Surface", x: 4412, y: -610, z: 34, details: `` },</v>
      </c>
      <c r="K95" s="11"/>
      <c r="L95" s="11"/>
    </row>
    <row r="96" spans="1:12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7" t="s">
        <v>4770</v>
      </c>
      <c r="J96" s="16" t="str">
        <f t="shared" si="1"/>
        <v>{ name: "Josiu Shrine", landmark: "Shrine", type: "Rauru's Blessing", region: 10, level: "Sky", x: 1759, y: -1208, z: 924, details: `&lt;strong&gt;First:&lt;/strong&gt; Complete &lt;img src="icons/shrine-quest.png" style="height: 20px; width: 20px; vertical-align: middle; margin-right: 5px;"&gt;&lt;span style="color: #7cc9c2; font-weight: bold;"&gt;The North Necluda Sky Crystal&lt;/span&gt; shrine quest` },</v>
      </c>
      <c r="K96" s="11"/>
      <c r="L96" s="11"/>
    </row>
    <row r="97" spans="1:12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7" t="s">
        <v>4771</v>
      </c>
      <c r="J97" s="16" t="str">
        <f t="shared" si="1"/>
        <v>{ name: "Ukoojisi Shrine", landmark: "Shrine", type: "Rauru's Blessing", region: 10, level: "Sky", x: 1470, y: -2170, z: 585, details: `&lt;strong&gt;First:&lt;/strong&gt; Complete &lt;img src="icons/shrine-quest.png" style="height: 20px; width: 20px; vertical-align: middle; margin-right: 5px;"&gt;&lt;span style="color: #7cc9c2; font-weight: bold;"&gt;The West Necluda Sky Crystal&lt;/span&gt; shrine quest` },</v>
      </c>
      <c r="K97" s="11"/>
      <c r="L97" s="11"/>
    </row>
    <row r="98" spans="1:12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J98" s="16" t="str">
        <f t="shared" si="1"/>
        <v>{ name: "Yansamin Shrine", landmark: "Shrine", type: "Proving Grounds", region: 10, level: "Sky", x: 2349, y: -1782, z: 1475, details: `` },</v>
      </c>
      <c r="K98" s="11"/>
      <c r="L98" s="11"/>
    </row>
    <row r="99" spans="1:12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J99" s="16" t="str">
        <f t="shared" si="1"/>
        <v>{ name: "Eshos Shrine", landmark: "Shrine", type: "Combat Training", region: 10, level: "Surface", x: 1564, y: -1945, z: 157, details: `` },</v>
      </c>
      <c r="K99" s="11"/>
      <c r="L99" s="11"/>
    </row>
    <row r="100" spans="1:12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J100" s="16" t="str">
        <f t="shared" si="1"/>
        <v>{ name: "Jojon Shrine", landmark: "Shrine", type: "Proving Grounds", region: 10, level: "Surface", x: 1202, y: 329, z: 29, details: `` },</v>
      </c>
      <c r="K100" s="11"/>
      <c r="L100" s="11"/>
    </row>
    <row r="101" spans="1:12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J101" s="16" t="str">
        <f t="shared" si="1"/>
        <v>{ name: "Jonsau Shrine", landmark: "Shrine", type: "Puzzle Trial", region: 10, level: "Surface", x: 1743, y: 18, z: 25, details: `` },</v>
      </c>
      <c r="K101" s="11"/>
      <c r="L101" s="11"/>
    </row>
    <row r="102" spans="1:12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7" t="s">
        <v>4772</v>
      </c>
      <c r="J102" s="16" t="str">
        <f t="shared" si="1"/>
        <v>{ name: "Kurakat Shrine", landmark: "Shrine", type: "Rauru's Blessing", region: 10, level: "Surface", x: 2362, y: -511, z: 155, details: `&lt;strong&gt;First:&lt;/strong&gt; Complete &lt;img src="icons/shrine-quest.png" style="height: 20px; width: 20px; vertical-align: middle; margin-right: 5px;"&gt;&lt;span style="color: #7cc9c2; font-weight: bold;"&gt;Dyeing to Find It&lt;/span&gt; shrine quest` },</v>
      </c>
      <c r="K102" s="11"/>
      <c r="L102" s="11"/>
    </row>
    <row r="103" spans="1:12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J103" s="16" t="str">
        <f t="shared" si="1"/>
        <v>{ name: "Makasura Shrine", landmark: "Shrine", type: "Puzzle Trial", region: 10, level: "Surface", x: 1770, y: -1050, z: 166, details: `` },</v>
      </c>
      <c r="K103" s="11"/>
      <c r="L103" s="11"/>
    </row>
    <row r="104" spans="1:12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J104" s="16" t="str">
        <f t="shared" si="1"/>
        <v>{ name: "Morok Shrine", landmark: "Shrine", type: "Puzzle Trial", region: 10, level: "Surface", x: 1183, y: -780, z: 133, details: `` },</v>
      </c>
      <c r="K104" s="11"/>
      <c r="L104" s="11"/>
    </row>
    <row r="105" spans="1:12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7" t="s">
        <v>4773</v>
      </c>
      <c r="J105" s="16" t="str">
        <f t="shared" si="1"/>
        <v>{ name: "O-ogim Shrine", landmark: "Shrine", type: "Rauru's Blessing", region: 10, level: "Surface", x: 2755, y: -1089, z: 100, details: `&lt;strong&gt;First:&lt;/strong&gt; Complete &lt;img src="icons/shrine-quest.png" style="height: 20px; width: 20px; vertical-align: middle; margin-right: 5px;"&gt;&lt;span style="color: #7cc9c2; font-weight: bold;"&gt;The Lanayru Road Crystal&lt;/span&gt; shrine quest` },</v>
      </c>
      <c r="K105" s="11"/>
      <c r="L105" s="11"/>
    </row>
    <row r="106" spans="1:12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J106" s="16" t="str">
        <f t="shared" si="1"/>
        <v>{ name: "Ren-iz Shrine", landmark: "Shrine", type: "Puzzle Trial", region: 10, level: "Surface", x: 756, y: 823, z: 81, details: `` },</v>
      </c>
      <c r="K106" s="11"/>
      <c r="L106" s="11"/>
    </row>
    <row r="107" spans="1:12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J107" s="16" t="str">
        <f t="shared" si="1"/>
        <v>{ name: "Tukarok Shrine", landmark: "Shrine", type: "Puzzle Trial", region: 10, level: "Surface", x: 915, y: -250, z: 34, details: `` },</v>
      </c>
      <c r="K107" s="11"/>
      <c r="L107" s="11"/>
    </row>
    <row r="108" spans="1:12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7" t="s">
        <v>4774</v>
      </c>
      <c r="J108" s="16" t="str">
        <f t="shared" si="1"/>
        <v>{ name: "Mayanas Shrine", landmark: "Shrine", type: "Puzzle Trial", region: 11, level: "Sky", x: 4613, y: -947, z: 1790, details: `&lt;strong&gt;First:&lt;/strong&gt; Complete &lt;img src="icons/shrine-quest.png" style="height: 20px; width: 20px; vertical-align: middle; margin-right: 5px;"&gt;&lt;span style="color: #7cc9c2; font-weight: bold;"&gt;The South Lanayru Sky Crystal&lt;/span&gt; shrine quest` },</v>
      </c>
      <c r="K108" s="11"/>
      <c r="L108" s="11"/>
    </row>
    <row r="109" spans="1:12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J109" s="16" t="str">
        <f t="shared" si="1"/>
        <v>{ name: "Sihajog Shrine", landmark: "Shrine", type: "Rauru's Blessing", region: 11, level: "Sky", x: 4545, y: -845, z: 1121, details: `` },</v>
      </c>
      <c r="K109" s="11"/>
      <c r="L109" s="11"/>
    </row>
    <row r="110" spans="1:12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J110" s="16" t="str">
        <f t="shared" si="1"/>
        <v>{ name: "Anedamimik Shrine", landmark: "Shrine", type: "Puzzle Trial", region: 11, level: "Surface", x: 4231, y: -2178, z: -7, details: `` },</v>
      </c>
      <c r="K110" s="11"/>
      <c r="L110" s="11"/>
    </row>
    <row r="111" spans="1:12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J111" s="16" t="str">
        <f t="shared" si="1"/>
        <v>{ name: "Jikais Shrine", landmark: "Shrine", type: "Puzzle Trial", region: 11, level: "Surface", x: 4266, y: -1674, z: 181, details: `` },</v>
      </c>
      <c r="K111" s="11"/>
      <c r="L111" s="11"/>
    </row>
    <row r="112" spans="1:12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J112" s="16" t="str">
        <f t="shared" si="1"/>
        <v>{ name: "Jogou Shrine", landmark: "Shrine", type: "Rauru's Blessing", region: 11, level: "Surface", x: 3346, y: -1188, z: 57, details: `` },</v>
      </c>
      <c r="K112" s="11"/>
      <c r="L112" s="11"/>
    </row>
    <row r="113" spans="1:12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J113" s="16" t="str">
        <f t="shared" si="1"/>
        <v>{ name: "Mayahisik Shrine", landmark: "Shrine", type: "Rauru's Blessing", region: 11, level: "Surface", x: 3730, y: -2057, z: 189, details: `` },</v>
      </c>
      <c r="K113" s="11"/>
      <c r="L113" s="11"/>
    </row>
    <row r="114" spans="1:12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7" t="s">
        <v>4775</v>
      </c>
      <c r="J114" s="16" t="str">
        <f t="shared" si="1"/>
        <v>{ name: "Zakusu Shrine", landmark: "Shrine", type: "Proving Grounds", region: 11, level: "Surface", x: 3527, y: -1481, z: 167, details: `&lt;strong&gt;First:&lt;/strong&gt; Complete &lt;img src="icons/shrine-quest.png" style="height: 20px; width: 20px; vertical-align: middle; margin-right: 5px;"&gt;&lt;span style="color: #7cc9c2; font-weight: bold;"&gt;The High Spring and the Light Rings&lt;/span&gt; shrine quest` },</v>
      </c>
      <c r="K114" s="11"/>
      <c r="L114" s="11"/>
    </row>
    <row r="115" spans="1:12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J115" s="16" t="str">
        <f t="shared" si="1"/>
        <v>{ name: "Zanmik Shrine", landmark: "Shrine", type: "Puzzle Trial", region: 11, level: "Surface", x: 3469, y: -2180, z: 148, details: `` },</v>
      </c>
      <c r="K115" s="11"/>
      <c r="L115" s="11"/>
    </row>
    <row r="116" spans="1:12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7" t="s">
        <v>4776</v>
      </c>
      <c r="J116" s="16" t="str">
        <f t="shared" si="1"/>
        <v>{ name: "Kumamayn Shrine", landmark: "Shrine", type: "Rauru's Blessing", region: 12, level: "Sky", x: 2856, y: -2857, z: 1212, details: `&lt;strong&gt;First:&lt;/strong&gt; Complete &lt;img src="icons/shrine-quest.png" style="height: 20px; width: 20px; vertical-align: middle; margin-right: 5px;"&gt;&lt;span style="color: #7cc9c2; font-weight: bold;"&gt;The Necluda Sky Crystal&lt;/span&gt; shrine quest` },</v>
      </c>
      <c r="K116" s="11"/>
      <c r="L116" s="11"/>
    </row>
    <row r="117" spans="1:12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J117" s="16" t="str">
        <f t="shared" si="1"/>
        <v>{ name: "Bamitok Shrine", landmark: "Shrine", type: "Rauru's Blessing", region: 12, level: "Surface", x: 3094, y: -3209, z: 81, details: `` },</v>
      </c>
      <c r="K117" s="11"/>
      <c r="L117" s="11"/>
    </row>
    <row r="118" spans="1:12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J118" s="16" t="str">
        <f t="shared" si="1"/>
        <v>{ name: "Marari-In Shrine", landmark: "Shrine", type: "Rauru's Blessing", region: 12, level: "Surface", x: 4632, y: -3712, z: 18, details: `` },</v>
      </c>
      <c r="K118" s="11"/>
      <c r="L118" s="11"/>
    </row>
    <row r="119" spans="1:12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J119" s="16" t="str">
        <f t="shared" si="1"/>
        <v>{ name: "Sifumim Shrine", landmark: "Shrine", type: "Proving Grounds", region: 12, level: "Surface", x: 2826, y: -3271, z: 78, details: `` },</v>
      </c>
      <c r="K119" s="11"/>
      <c r="L119" s="11"/>
    </row>
    <row r="120" spans="1:12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7" t="s">
        <v>4777</v>
      </c>
      <c r="J120" s="16" t="str">
        <f t="shared" si="1"/>
        <v>{ name: "Tokiy Shrine", landmark: "Shrine", type: "Rauru's Blessing", region: 12, level: "Surface", x: 2304, y: -2377, z: -28, details: `&lt;strong&gt;First:&lt;/strong&gt; Complete &lt;img src="icons/shrine-quest.png" style="height: 20px; width: 20px; vertical-align: middle; margin-right: 5px;"&gt;&lt;span style="color: #7cc9c2; font-weight: bold;"&gt;The Oakle's Navel Cave Crystal&lt;/span&gt; shrine quest` },</v>
      </c>
      <c r="K120" s="11"/>
      <c r="L120" s="11"/>
    </row>
    <row r="121" spans="1:12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J121" s="16" t="str">
        <f t="shared" si="1"/>
        <v>{ name: "Gutanbac Shrine", landmark: "Shrine", type: "Puzzle Trial", region: 13, level: "Sky", x: 709, y: -1381, z: 1584, details: `` },</v>
      </c>
      <c r="K121" s="11"/>
      <c r="L121" s="11"/>
    </row>
    <row r="122" spans="1:12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J122" s="16" t="str">
        <f t="shared" si="1"/>
        <v>{ name: "Joku-u Shrine", landmark: "Shrine", type: "Rauru's Blessing", region: 13, level: "Sky", x: 1376, y: -3340, z: 443, details: `` },</v>
      </c>
      <c r="K122" s="11"/>
      <c r="L122" s="11"/>
    </row>
    <row r="123" spans="1:12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J123" s="16" t="str">
        <f t="shared" si="1"/>
        <v>{ name: "Joku-usin Shrine", landmark: "Shrine", type: "Puzzle Trial", region: 13, level: "Sky", x: 1070, y: -3347, z: 785, details: `` },</v>
      </c>
      <c r="K123" s="11"/>
      <c r="L123" s="11"/>
    </row>
    <row r="124" spans="1:12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J124" s="16" t="str">
        <f t="shared" si="1"/>
        <v>{ name: "Nachoyah Shrine", landmark: "Shrine", type: "Puzzle Trial", region: 13, level: "Sky", x: 390, y: -1660, z: 2299, details: `` },</v>
      </c>
      <c r="K124" s="11"/>
      <c r="L124" s="11"/>
    </row>
    <row r="125" spans="1:12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7" t="s">
        <v>4778</v>
      </c>
      <c r="J125" s="16" t="str">
        <f t="shared" si="1"/>
        <v>{ name: "En-oma Shrine", landmark: "Shrine", type: "Rauru's Blessing", region: 13, level: "Surface", x: 104, y: -2517, z: 88, details: `&lt;strong&gt;First:&lt;/strong&gt; Complete &lt;img src="icons/shrine-quest.png" style="height: 20px; width: 20px; vertical-align: middle; margin-right: 5px;"&gt;&lt;span style="color: #7cc9c2; font-weight: bold;"&gt;The Lake Hylia Crystal&lt;/span&gt; shrine quest` },</v>
      </c>
      <c r="K125" s="11"/>
      <c r="L125" s="11"/>
    </row>
    <row r="126" spans="1:12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7" t="s">
        <v>4779</v>
      </c>
      <c r="J126" s="16" t="str">
        <f t="shared" si="1"/>
        <v>{ name: "Ishokin Shrine", landmark: "Shrine", type: "Rauru's Blessing", region: 13, level: "Surface", x: -562, y: -3524, z: 129, details: `&lt;strong&gt;First:&lt;/strong&gt; Complete &lt;img src="icons/shrine-quest.png" style="height: 20px; width: 20px; vertical-align: middle; margin-right: 5px;"&gt;&lt;span style="color: #7cc9c2; font-weight: bold;"&gt;Ride the Giant Horse&lt;/span&gt; shrine quest` },</v>
      </c>
      <c r="K126" s="11"/>
      <c r="L126" s="11"/>
    </row>
    <row r="127" spans="1:12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J127" s="16" t="str">
        <f t="shared" si="1"/>
        <v>{ name: "Jiukoum Shrine", landmark: "Shrine", type: "Puzzle Trial", region: 13, level: "Surface", x: 867, y: -2280, z: 141, details: `` },</v>
      </c>
      <c r="K127" s="11"/>
      <c r="L127" s="11"/>
    </row>
    <row r="128" spans="1:12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7" t="s">
        <v>4780</v>
      </c>
      <c r="J128" s="16" t="str">
        <f t="shared" si="1"/>
        <v>{ name: "Jochisiu Shrine", landmark: "Shrine", type: "Rauru's Blessing", region: 13, level: "Surface", x: 931, y: -1902, z: 29, details: `&lt;strong&gt;First:&lt;/strong&gt; Complete &lt;img src="icons/shrine-quest.png" style="height: 20px; width: 20px; vertical-align: middle; margin-right: 5px;"&gt;&lt;span style="color: #7cc9c2; font-weight: bold;"&gt;Keys Born of Water&lt;/span&gt; shrine quest` },</v>
      </c>
      <c r="K128" s="11"/>
      <c r="L128" s="11"/>
    </row>
    <row r="129" spans="1:12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J129" s="16" t="str">
        <f t="shared" si="1"/>
        <v>{ name: "Joju-u-u Shrine", landmark: "Shrine", type: "Puzzle Trial", region: 13, level: "Surface", x: 1516, y: -3576, z: 142, details: `` },</v>
      </c>
      <c r="K129" s="11"/>
      <c r="L129" s="11"/>
    </row>
    <row r="130" spans="1:12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J130" s="16" t="str">
        <f t="shared" si="1"/>
        <v>{ name: "Susub Shrine", landmark: "Shrine", type: "Rauru's Blessing", region: 13, level: "Surface", x: 348, y: -2050, z: -26, details: `` },</v>
      </c>
      <c r="K130" s="11"/>
      <c r="L130" s="11"/>
    </row>
    <row r="131" spans="1:12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7" t="s">
        <v>4781</v>
      </c>
      <c r="J131" s="16" t="str">
        <f t="shared" ref="J131:J153" si="2">"{ name: "&amp;CHAR(34)&amp;A131&amp;CHAR(34)&amp;", landmark: "&amp;CHAR(34)&amp;"Shrine"&amp;CHAR(34)&amp;", type: "&amp;CHAR(34)&amp;B131&amp;CHAR(34)&amp;", region: "&amp;D131&amp;", level: "&amp;CHAR(34)&amp;E131&amp;CHAR(34)&amp;", x: "&amp;F131&amp;", y: "&amp;G131&amp;", z: "&amp;H131&amp;", details: `"&amp;I131&amp;"` },"</f>
        <v>{ name: "Utojis Shrine", landmark: "Shrine", type: "Rauru's Blessing", region: 13, level: "Surface", x: 1217, y: -2542, z: 96, details: `&lt;strong&gt;First:&lt;/strong&gt; Complete &lt;img src="icons/shrine-quest.png" style="height: 20px; width: 20px; vertical-align: middle; margin-right: 5px;"&gt;&lt;span style="color: #7cc9c2; font-weight: bold;"&gt;Legend of the Soaring Spear&lt;/span&gt; shrine quest` },</v>
      </c>
      <c r="K131" s="11"/>
      <c r="L131" s="11"/>
    </row>
    <row r="132" spans="1:12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J132" s="16" t="str">
        <f t="shared" si="2"/>
        <v>{ name: "Utsushok Shrine", landmark: "Shrine", type: "Puzzle Trial", region: 13, level: "Surface", x: 669, y: -3358, z: 72, details: `` },</v>
      </c>
      <c r="K132" s="11"/>
      <c r="L132" s="11"/>
    </row>
    <row r="133" spans="1:12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J133" s="16" t="str">
        <f t="shared" si="2"/>
        <v>{ name: "Rakashog Shrine", landmark: "Shrine", type: "Puzzle Trial", region: 14, level: "Sky", x: -1715, y: -2119, z: 1149, details: `` },</v>
      </c>
      <c r="K133" s="11"/>
      <c r="L133" s="11"/>
    </row>
    <row r="134" spans="1:12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J134" s="16" t="str">
        <f t="shared" si="2"/>
        <v>{ name: "Siyamotsus Shrine", landmark: "Shrine", type: "Rauru's Blessing", region: 14, level: "Sky", x: -1793, y: -3331, z: 1011, details: `` },</v>
      </c>
      <c r="K134" s="11"/>
      <c r="L134" s="11"/>
    </row>
    <row r="135" spans="1:12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J135" s="16" t="str">
        <f t="shared" si="2"/>
        <v>{ name: "Chichim Shrine", landmark: "Shrine", type: "Rauru's Blessing", region: 14, level: "Surface", x: -3211, y: -3007, z: -49, details: `` },</v>
      </c>
      <c r="K135" s="11"/>
      <c r="L135" s="11"/>
    </row>
    <row r="136" spans="1:12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J136" s="16" t="str">
        <f t="shared" si="2"/>
        <v>{ name: "Irasak Shrine", landmark: "Shrine", type: "Rauru's Blessing", region: 14, level: "Surface", x: -4159, y: -3824, z: 28, details: `` },</v>
      </c>
      <c r="K136" s="11"/>
      <c r="L136" s="11"/>
    </row>
    <row r="137" spans="1:12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J137" s="16" t="str">
        <f t="shared" si="2"/>
        <v>{ name: "Karahatag Shrine", landmark: "Shrine", type: "Puzzle Trial", region: 14, level: "Surface", x: -3726, y: -3625, z: 43, details: `` },</v>
      </c>
      <c r="K137" s="11"/>
      <c r="L137" s="11"/>
    </row>
    <row r="138" spans="1:12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J138" s="16" t="str">
        <f t="shared" si="2"/>
        <v>{ name: "Kitawak Shrine", landmark: "Shrine", type: "Puzzle Trial", region: 14, level: "Surface", x: -1529, y: -2928, z: 321, details: `` },</v>
      </c>
      <c r="K138" s="11"/>
      <c r="L138" s="11"/>
    </row>
    <row r="139" spans="1:12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J139" s="16" t="str">
        <f t="shared" si="2"/>
        <v>{ name: "Kudanisar Shrine", landmark: "Shrine", type: "Puzzle Trial", region: 14, level: "Surface", x: -4168, y: -2144, z: 50, details: `` },</v>
      </c>
      <c r="K139" s="11"/>
      <c r="L139" s="11"/>
    </row>
    <row r="140" spans="1:12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J140" s="16" t="str">
        <f t="shared" si="2"/>
        <v>{ name: "Mayatat Shrine", landmark: "Shrine", type: "Puzzle Trial", region: 14, level: "Surface", x: -3292, y: -2509, z: 23, details: `` },</v>
      </c>
      <c r="K140" s="11"/>
      <c r="L140" s="11"/>
    </row>
    <row r="141" spans="1:12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J141" s="16" t="str">
        <f t="shared" si="2"/>
        <v>{ name: "Miryotanog Shrine", landmark: "Shrine", type: "Proving Grounds", region: 14, level: "Surface", x: -4679, y: -3086, z: 56, details: `` },</v>
      </c>
      <c r="K141" s="11"/>
      <c r="L141" s="11"/>
    </row>
    <row r="142" spans="1:12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J142" s="16" t="str">
        <f t="shared" si="2"/>
        <v>{ name: "Motsusis Shrine", landmark: "Shrine", type: "Rauru's Blessing", region: 14, level: "Surface", x: -1795, y: -3485, z: 45, details: `` },</v>
      </c>
      <c r="K142" s="11"/>
      <c r="L142" s="11"/>
    </row>
    <row r="143" spans="1:12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7" t="s">
        <v>4782</v>
      </c>
      <c r="J143" s="16" t="str">
        <f t="shared" si="2"/>
        <v>{ name: "Rakakudaj Shrine", landmark: "Shrine", type: "Rauru's Blessing", region: 14, level: "Surface", x: -2031, y: -1847, z: 64, details: `&lt;strong&gt;First:&lt;/strong&gt; Complete &lt;img src="icons/shrine-quest.png" style="height: 20px; width: 20px; vertical-align: middle; margin-right: 5px;"&gt;&lt;span style="color: #7cc9c2; font-weight: bold;"&gt;The Gerudo Canyon Crystal&lt;/span&gt; shrine quest` },</v>
      </c>
      <c r="K143" s="11"/>
      <c r="L143" s="11"/>
    </row>
    <row r="144" spans="1:12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J144" s="16" t="str">
        <f t="shared" si="2"/>
        <v>{ name: "Siwakama Shrine", landmark: "Shrine", type: "Puzzle Trial", region: 14, level: "Surface", x: -2445, y: -3345, z: 41, details: `` },</v>
      </c>
      <c r="K144" s="11"/>
      <c r="L144" s="11"/>
    </row>
    <row r="145" spans="1:12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J145" s="16" t="str">
        <f t="shared" si="2"/>
        <v>{ name: "Soryotanog Shrine", landmark: "Shrine", type: "Puzzle Trial", region: 14, level: "Surface", x: -3883, y: -2964, z: 125, details: `` },</v>
      </c>
      <c r="K145" s="11"/>
      <c r="L145" s="11"/>
    </row>
    <row r="146" spans="1:12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J146" s="16" t="str">
        <f t="shared" si="2"/>
        <v>{ name: "Turakamik Shrine", landmark: "Shrine", type: "Puzzle Trial", region: 14, level: "Surface", x: -2658, y: -2236, z: 67, details: `` },</v>
      </c>
      <c r="K146" s="11"/>
      <c r="L146" s="11"/>
    </row>
    <row r="147" spans="1:12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J147" s="16" t="str">
        <f t="shared" si="2"/>
        <v>{ name: "Mayasiar Shrine", landmark: "Shrine", type: "Rauru's Blessing", region: 15, level: "Sky", x: -3544, y: -320, z: 1964, details: `` },</v>
      </c>
      <c r="K147" s="11"/>
      <c r="L147" s="11"/>
    </row>
    <row r="148" spans="1:12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J148" s="16" t="str">
        <f t="shared" si="2"/>
        <v>{ name: "Gasas Shrine", landmark: "Shrine", type: "Puzzle Trial", region: 15, level: "Surface", x: -4152, y: 98, z: 40, details: `` },</v>
      </c>
      <c r="K148" s="11"/>
      <c r="L148" s="11"/>
    </row>
    <row r="149" spans="1:12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J149" s="16" t="str">
        <f t="shared" si="2"/>
        <v>{ name: "Mayamats Shrine", landmark: "Shrine", type: "Puzzle Trial", region: 15, level: "Surface", x: -4637, y: -1514, z: 452, details: `` },</v>
      </c>
      <c r="K149" s="11"/>
      <c r="L149" s="11"/>
    </row>
    <row r="150" spans="1:12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J150" s="16" t="str">
        <f t="shared" si="2"/>
        <v>{ name: "Otutsum Shrine", landmark: "Shrine", type: "Rauru's Blessing", region: 15, level: "Surface", x: -4468, y: -670, z: 509, details: `` },</v>
      </c>
      <c r="K150" s="11"/>
      <c r="L150" s="11"/>
    </row>
    <row r="151" spans="1:12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J151" s="16" t="str">
        <f t="shared" si="2"/>
        <v>{ name: "Rotsumamu Shrine", landmark: "Shrine", type: "Puzzle Trial", region: 15, level: "Surface", x: -3407, y: -1362, z: 35, details: `` },</v>
      </c>
      <c r="K151" s="11"/>
      <c r="L151" s="11"/>
    </row>
    <row r="152" spans="1:12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J152" s="16" t="str">
        <f t="shared" si="2"/>
        <v>{ name: "Suariwak Shrine", landmark: "Shrine", type: "Rauru's Blessing", region: 15, level: "Surface", x: -2523, y: -1770, z: 132, details: `` },</v>
      </c>
      <c r="K152" s="11"/>
      <c r="L152" s="11"/>
    </row>
    <row r="153" spans="1:12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J153" s="16" t="str">
        <f t="shared" si="2"/>
        <v>{ name: "Turakawak Shrine", landmark: "Shrine", type: "Puzzle Trial", region: 15, level: "Surface", x: -3496, y: -197, z: 66, details: `` },</v>
      </c>
      <c r="K153" s="11"/>
      <c r="L153" s="11"/>
    </row>
    <row r="154" spans="1:12" x14ac:dyDescent="0.2">
      <c r="A154" s="1"/>
      <c r="B154" s="1"/>
    </row>
  </sheetData>
  <autoFilter ref="A1:J154" xr:uid="{3781161B-E3B8-6A41-B5B5-EF88E67723E0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F13" sqref="F13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2397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2391</v>
      </c>
      <c r="B3" t="s">
        <v>2398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2220</v>
      </c>
      <c r="I3" t="s">
        <v>2892</v>
      </c>
    </row>
    <row r="4" spans="1:9" x14ac:dyDescent="0.2">
      <c r="A4" t="s">
        <v>1444</v>
      </c>
      <c r="B4" t="s">
        <v>2398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2893</v>
      </c>
    </row>
    <row r="5" spans="1:9" x14ac:dyDescent="0.2">
      <c r="A5" t="s">
        <v>1689</v>
      </c>
      <c r="B5" t="s">
        <v>2595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2894</v>
      </c>
    </row>
    <row r="6" spans="1:9" x14ac:dyDescent="0.2">
      <c r="A6" t="s">
        <v>1262</v>
      </c>
      <c r="B6" t="s">
        <v>2595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2895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2896</v>
      </c>
    </row>
    <row r="8" spans="1:9" x14ac:dyDescent="0.2">
      <c r="A8" t="s">
        <v>1133</v>
      </c>
      <c r="B8" t="s">
        <v>2398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2897</v>
      </c>
    </row>
    <row r="9" spans="1:9" x14ac:dyDescent="0.2">
      <c r="A9" t="s">
        <v>1719</v>
      </c>
      <c r="B9" t="s">
        <v>2398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2898</v>
      </c>
    </row>
    <row r="10" spans="1:9" x14ac:dyDescent="0.2">
      <c r="A10" t="s">
        <v>998</v>
      </c>
      <c r="B10" t="s">
        <v>2398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2899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2900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3962</v>
      </c>
      <c r="F12" s="2">
        <v>1653</v>
      </c>
      <c r="G12" s="2">
        <v>129</v>
      </c>
      <c r="I12" t="s">
        <v>2901</v>
      </c>
    </row>
    <row r="13" spans="1:9" x14ac:dyDescent="0.2">
      <c r="A13" t="s">
        <v>1665</v>
      </c>
      <c r="B13" t="s">
        <v>2595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2902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2903</v>
      </c>
    </row>
    <row r="15" spans="1:9" x14ac:dyDescent="0.2">
      <c r="A15" t="s">
        <v>1449</v>
      </c>
      <c r="B15" t="s">
        <v>2595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2904</v>
      </c>
    </row>
    <row r="16" spans="1:9" x14ac:dyDescent="0.2">
      <c r="A16" t="s">
        <v>2415</v>
      </c>
      <c r="B16" t="s">
        <v>2398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2905</v>
      </c>
    </row>
    <row r="17" spans="1:9" x14ac:dyDescent="0.2">
      <c r="A17" t="s">
        <v>840</v>
      </c>
      <c r="B17" t="s">
        <v>2398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2906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2416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2562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2563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2564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2565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2566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2567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2568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2569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2570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2571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2572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2573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2574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2575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1062, z: 386, details: "" },</v>
      </c>
    </row>
    <row r="3" spans="1:9" x14ac:dyDescent="0.2">
      <c r="A3" t="s">
        <v>2407</v>
      </c>
      <c r="B3" t="s">
        <v>2465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2404</v>
      </c>
      <c r="B4" t="s">
        <v>2466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2406</v>
      </c>
      <c r="B5" t="s">
        <v>2464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2402</v>
      </c>
      <c r="B6" t="s">
        <v>2468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2405</v>
      </c>
      <c r="B7" t="s">
        <v>2467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H3" sqref="H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8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 s="2">
        <v>1</v>
      </c>
      <c r="D2" s="2" t="s">
        <v>785</v>
      </c>
      <c r="E2" s="2">
        <v>-298</v>
      </c>
      <c r="F2" s="2">
        <v>142</v>
      </c>
      <c r="G2" s="2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 s="2">
        <v>2</v>
      </c>
      <c r="D3" s="2" t="s">
        <v>785</v>
      </c>
      <c r="E3" s="2">
        <v>-761</v>
      </c>
      <c r="F3" s="2">
        <v>-1019</v>
      </c>
      <c r="G3" s="2">
        <v>64</v>
      </c>
      <c r="H3" s="7" t="s">
        <v>2207</v>
      </c>
      <c r="I3" s="11"/>
      <c r="K3" s="11"/>
    </row>
    <row r="4" spans="1:11" x14ac:dyDescent="0.2">
      <c r="A4" s="1" t="s">
        <v>1432</v>
      </c>
      <c r="B4" t="s">
        <v>787</v>
      </c>
      <c r="C4" s="2">
        <v>3</v>
      </c>
      <c r="D4" s="2" t="s">
        <v>785</v>
      </c>
      <c r="E4" s="2">
        <v>-1909</v>
      </c>
      <c r="F4" s="2">
        <v>1245</v>
      </c>
      <c r="G4" s="2">
        <v>297</v>
      </c>
      <c r="H4" s="7" t="s">
        <v>2208</v>
      </c>
      <c r="I4" s="11"/>
      <c r="K4" s="11"/>
    </row>
    <row r="5" spans="1:11" x14ac:dyDescent="0.2">
      <c r="A5" s="1" t="s">
        <v>1585</v>
      </c>
      <c r="B5" t="s">
        <v>800</v>
      </c>
      <c r="C5" s="2">
        <v>4</v>
      </c>
      <c r="D5" s="2" t="s">
        <v>785</v>
      </c>
      <c r="E5" s="2">
        <v>-3860</v>
      </c>
      <c r="F5" s="2">
        <v>2345</v>
      </c>
      <c r="G5" s="2">
        <v>233</v>
      </c>
      <c r="H5" s="7" t="s">
        <v>2209</v>
      </c>
      <c r="I5" s="11"/>
      <c r="K5" s="11"/>
    </row>
    <row r="6" spans="1:11" x14ac:dyDescent="0.2">
      <c r="A6" s="1" t="s">
        <v>1069</v>
      </c>
      <c r="B6" t="s">
        <v>1653</v>
      </c>
      <c r="C6" s="2">
        <v>5</v>
      </c>
      <c r="D6" s="2" t="s">
        <v>785</v>
      </c>
      <c r="E6" s="2">
        <v>-2312</v>
      </c>
      <c r="F6" s="2">
        <v>3064</v>
      </c>
      <c r="G6" s="2">
        <v>536</v>
      </c>
      <c r="H6" s="7" t="s">
        <v>2210</v>
      </c>
      <c r="I6" s="11"/>
      <c r="K6" s="11"/>
    </row>
    <row r="7" spans="1:11" x14ac:dyDescent="0.2">
      <c r="A7" s="1" t="s">
        <v>2066</v>
      </c>
      <c r="B7" t="s">
        <v>789</v>
      </c>
      <c r="C7" s="2">
        <v>6</v>
      </c>
      <c r="D7" s="2" t="s">
        <v>785</v>
      </c>
      <c r="E7" s="2">
        <v>345</v>
      </c>
      <c r="F7" s="2">
        <v>3142</v>
      </c>
      <c r="G7" s="2">
        <v>180</v>
      </c>
      <c r="H7" s="7" t="s">
        <v>4658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 s="2">
        <v>7</v>
      </c>
      <c r="D8" s="2" t="s">
        <v>785</v>
      </c>
      <c r="E8" s="2">
        <v>1641</v>
      </c>
      <c r="F8" s="2">
        <v>1190</v>
      </c>
      <c r="G8" s="2">
        <v>225</v>
      </c>
      <c r="H8" s="7" t="s">
        <v>2211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 s="2">
        <v>8</v>
      </c>
      <c r="D9" s="2" t="s">
        <v>785</v>
      </c>
      <c r="E9" s="2">
        <v>3497</v>
      </c>
      <c r="F9" s="2">
        <v>2025</v>
      </c>
      <c r="G9" s="2">
        <v>188</v>
      </c>
      <c r="H9" s="7" t="s">
        <v>2212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 s="2">
        <v>9</v>
      </c>
      <c r="D10" s="2" t="s">
        <v>785</v>
      </c>
      <c r="E10" s="2">
        <v>2865</v>
      </c>
      <c r="F10" s="2">
        <v>580</v>
      </c>
      <c r="G10" s="2">
        <v>379</v>
      </c>
      <c r="H10" s="7" t="s">
        <v>2213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 s="2">
        <v>10</v>
      </c>
      <c r="D11" s="2" t="s">
        <v>785</v>
      </c>
      <c r="E11" s="2">
        <v>1341</v>
      </c>
      <c r="F11" s="2">
        <v>-1176</v>
      </c>
      <c r="G11" s="2">
        <v>166</v>
      </c>
      <c r="H11" s="7" t="s">
        <v>2214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 s="2">
        <v>11</v>
      </c>
      <c r="D12" s="2" t="s">
        <v>785</v>
      </c>
      <c r="E12" s="2">
        <v>3847</v>
      </c>
      <c r="F12" s="2">
        <v>-1313</v>
      </c>
      <c r="G12" s="2">
        <v>539</v>
      </c>
      <c r="H12" s="7" t="s">
        <v>2215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 s="2">
        <v>12</v>
      </c>
      <c r="D13" s="2" t="s">
        <v>785</v>
      </c>
      <c r="E13" s="2">
        <v>2419</v>
      </c>
      <c r="F13" s="2">
        <v>-2755</v>
      </c>
      <c r="G13" s="2">
        <v>222</v>
      </c>
      <c r="H13" s="7" t="s">
        <v>2216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 s="2">
        <v>13</v>
      </c>
      <c r="D14" s="2" t="s">
        <v>785</v>
      </c>
      <c r="E14" s="2">
        <v>607</v>
      </c>
      <c r="F14" s="2">
        <v>-2127</v>
      </c>
      <c r="G14" s="2">
        <v>98</v>
      </c>
      <c r="H14" s="7" t="s">
        <v>2217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 s="2">
        <v>14</v>
      </c>
      <c r="D15" s="2" t="s">
        <v>785</v>
      </c>
      <c r="E15" s="2">
        <v>-2438</v>
      </c>
      <c r="F15" s="2">
        <v>-2182</v>
      </c>
      <c r="G15" s="2">
        <v>307</v>
      </c>
      <c r="H15" s="7" t="s">
        <v>2218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 s="2">
        <v>15</v>
      </c>
      <c r="D16" s="2" t="s">
        <v>785</v>
      </c>
      <c r="E16" s="2">
        <v>-3959</v>
      </c>
      <c r="F16" s="2">
        <v>-1313</v>
      </c>
      <c r="G16" s="2">
        <v>422</v>
      </c>
      <c r="H16" s="7" t="s">
        <v>2219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H18" s="9"/>
      <c r="I18" s="11"/>
      <c r="J18" s="11"/>
      <c r="K18" s="11"/>
    </row>
    <row r="19" spans="1:11" x14ac:dyDescent="0.2">
      <c r="A19" s="1"/>
      <c r="H19" s="9"/>
      <c r="I19" s="11"/>
      <c r="J19" s="11"/>
      <c r="K19" s="11"/>
    </row>
    <row r="20" spans="1:11" x14ac:dyDescent="0.2">
      <c r="A20" s="1"/>
      <c r="H20" s="9"/>
      <c r="I20" s="11"/>
      <c r="J20" s="11"/>
      <c r="K20" s="11"/>
    </row>
    <row r="21" spans="1:11" x14ac:dyDescent="0.2">
      <c r="A21" s="1"/>
      <c r="H21" s="9"/>
      <c r="I21" s="11"/>
      <c r="J21" s="11"/>
      <c r="K21" s="11"/>
    </row>
    <row r="22" spans="1:11" x14ac:dyDescent="0.2">
      <c r="A22" s="1"/>
      <c r="H22" s="9"/>
      <c r="I22" s="11"/>
      <c r="J22" s="11"/>
      <c r="K22" s="11"/>
    </row>
    <row r="23" spans="1:11" x14ac:dyDescent="0.2">
      <c r="A23" s="1"/>
      <c r="H23" s="9"/>
      <c r="I23" s="11"/>
      <c r="J23" s="11"/>
      <c r="K23" s="11"/>
    </row>
    <row r="24" spans="1:11" x14ac:dyDescent="0.2">
      <c r="A24" s="1"/>
      <c r="H24" s="9"/>
      <c r="I24" s="11"/>
      <c r="J24" s="11"/>
      <c r="K24" s="11"/>
    </row>
    <row r="25" spans="1:11" x14ac:dyDescent="0.2">
      <c r="A25" s="1"/>
      <c r="H25" s="9"/>
      <c r="I25" s="11"/>
      <c r="J25" s="11"/>
      <c r="K25" s="11"/>
    </row>
    <row r="26" spans="1:11" x14ac:dyDescent="0.2">
      <c r="A26" s="1"/>
      <c r="H26" s="9"/>
      <c r="I26" s="11"/>
      <c r="J26" s="11"/>
      <c r="K26" s="11"/>
    </row>
    <row r="27" spans="1:11" x14ac:dyDescent="0.2">
      <c r="A27" s="1"/>
      <c r="H27" s="9"/>
      <c r="I27" s="11"/>
      <c r="J27" s="11"/>
      <c r="K27" s="11"/>
    </row>
    <row r="28" spans="1:11" x14ac:dyDescent="0.2">
      <c r="A28" s="1"/>
      <c r="H28" s="9"/>
      <c r="I28" s="11"/>
      <c r="J28" s="11"/>
      <c r="K28" s="11"/>
    </row>
    <row r="29" spans="1:11" x14ac:dyDescent="0.2">
      <c r="A29" s="1"/>
      <c r="H29" s="9"/>
      <c r="I29" s="11"/>
      <c r="J29" s="11"/>
      <c r="K29" s="11"/>
    </row>
    <row r="30" spans="1:11" x14ac:dyDescent="0.2">
      <c r="A30" s="1"/>
      <c r="H30" s="9"/>
      <c r="I30" s="11"/>
      <c r="J30" s="11"/>
      <c r="K30" s="11"/>
    </row>
    <row r="31" spans="1:11" x14ac:dyDescent="0.2">
      <c r="A31" s="1"/>
      <c r="H31" s="9"/>
      <c r="I31" s="11"/>
      <c r="J31" s="11"/>
      <c r="K31" s="11"/>
    </row>
    <row r="32" spans="1:11" x14ac:dyDescent="0.2">
      <c r="A32" s="1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A15" sqref="A15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2392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2393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2394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2576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2395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2623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2624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2625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2626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2644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2645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2646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2648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2649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2650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2651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2652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2643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2634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2627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2628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2629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2630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2631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2632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2633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2635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2638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2641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2639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2640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2637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2636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2577</v>
      </c>
      <c r="I1" s="4" t="s">
        <v>2580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2414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2916</v>
      </c>
      <c r="I2" s="2" t="s">
        <v>2555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2414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2916</v>
      </c>
      <c r="I3" s="2" t="s">
        <v>2555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2414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2916</v>
      </c>
      <c r="I4" s="2" t="s">
        <v>2555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2414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2916</v>
      </c>
      <c r="I5" s="2" t="s">
        <v>2555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2414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2916</v>
      </c>
      <c r="I6" s="2" t="s">
        <v>2555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2414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2916</v>
      </c>
      <c r="I7" s="2" t="s">
        <v>2555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2414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2916</v>
      </c>
      <c r="I8" s="2" t="s">
        <v>2555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2414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2916</v>
      </c>
      <c r="I9" s="2" t="s">
        <v>2555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2414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2916</v>
      </c>
      <c r="I10" s="2" t="s">
        <v>2555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2414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2916</v>
      </c>
      <c r="I11" s="2" t="s">
        <v>2555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2414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2916</v>
      </c>
      <c r="I12" s="2" t="s">
        <v>2555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J10" sqref="J10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2577</v>
      </c>
      <c r="I1" s="4" t="s">
        <v>2580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3067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3067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3067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3067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3067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3067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3067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3067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3067</v>
      </c>
      <c r="J10" t="s">
        <v>3284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3067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3067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3067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3067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3067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3067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3067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3067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3067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3067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3067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3067</v>
      </c>
      <c r="J22" t="s">
        <v>3284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3067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3067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3067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3067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3067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3067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3067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3067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3067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3067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3067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3067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3067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3067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3067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3067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3067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3067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3067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3067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3067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3067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3067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3067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3067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3067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3067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3067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3067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3067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3067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3067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3067</v>
      </c>
      <c r="J55" t="s">
        <v>3284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3067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3067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3067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3067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Checklist</vt:lpstr>
      <vt:lpstr>New Checklist</vt:lpstr>
      <vt:lpstr>Main Quests</vt:lpstr>
      <vt:lpstr>Side Quests</vt:lpstr>
      <vt:lpstr>Shrine Quests</vt:lpstr>
      <vt:lpstr>Side Adventures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2026-09-10T21:25:37Z</dcterms:modified>
</cp:coreProperties>
</file>